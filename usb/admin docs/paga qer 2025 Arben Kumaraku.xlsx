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845BC02-58DA-420A-80CD-B5E5D44B88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2" i="1" l="1"/>
  <c r="P12" i="1"/>
  <c r="K12" i="1"/>
  <c r="F12" i="1"/>
  <c r="R12" i="1" l="1"/>
  <c r="X12" i="1"/>
  <c r="V12" i="1"/>
  <c r="Y12" i="1" s="1"/>
  <c r="AA12" i="1" s="1"/>
</calcChain>
</file>

<file path=xl/sharedStrings.xml><?xml version="1.0" encoding="utf-8"?>
<sst xmlns="http://schemas.openxmlformats.org/spreadsheetml/2006/main" count="36" uniqueCount="34">
  <si>
    <t>Republika e Shqipërisë</t>
  </si>
  <si>
    <t>Gjykata Kushtetuese</t>
  </si>
  <si>
    <t>Kolegji i Posaçëm i Apelimit</t>
  </si>
  <si>
    <t>Borderoja e pagave për personelin e Kolegjit të Posaçem të Apelimit për muajin Qershor 2025</t>
  </si>
  <si>
    <t>në lekë</t>
  </si>
  <si>
    <t>Nr</t>
  </si>
  <si>
    <t>Emer Mbiemer</t>
  </si>
  <si>
    <t>Funksioni</t>
  </si>
  <si>
    <t>Dite punë</t>
  </si>
  <si>
    <t>Paga referuese</t>
  </si>
  <si>
    <t>Paga e Grupit</t>
  </si>
  <si>
    <t>Shuma</t>
  </si>
  <si>
    <t>Paga bruto fillestare (G*)</t>
  </si>
  <si>
    <t>Vite vjetersi pune</t>
  </si>
  <si>
    <t xml:space="preserve">Shtesa për pozicion </t>
  </si>
  <si>
    <t>Paga bruto për ditët me raport</t>
  </si>
  <si>
    <t xml:space="preserve">Shtesa për vështirësi pune </t>
  </si>
  <si>
    <t>Shpërblim</t>
  </si>
  <si>
    <t>Shtesë page për natyre të veçantë</t>
  </si>
  <si>
    <t>Shtesë për orët jashtë kohës normale të punës</t>
  </si>
  <si>
    <t xml:space="preserve">Total paga bruto mujore </t>
  </si>
  <si>
    <t xml:space="preserve">Paga mbi të cilën llogariten sigurimet shoqërore  </t>
  </si>
  <si>
    <t>Sigurim vullnetar</t>
  </si>
  <si>
    <t>Sigurimet shoqërore nga punëmarrësi 9.5%</t>
  </si>
  <si>
    <t xml:space="preserve">Sigurimet shëndetësore nga punëmarrësi 1.7% </t>
  </si>
  <si>
    <t xml:space="preserve">Sigurimi suplementar </t>
  </si>
  <si>
    <t>TAP</t>
  </si>
  <si>
    <t>Totali ndalesat nga paga</t>
  </si>
  <si>
    <t>Diference nga periudha te kaluara</t>
  </si>
  <si>
    <t>Paga mujore neto</t>
  </si>
  <si>
    <t>në vite</t>
  </si>
  <si>
    <t xml:space="preserve"> </t>
  </si>
  <si>
    <t>Arben Kumaraku</t>
  </si>
  <si>
    <t>Perkthyes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</si>
</sst>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L_e_k_-;\-* #,##0.00_L_e_k_-;_-* &quot;-&quot;??_L_e_k_-;_-@_-"/>
    <numFmt numFmtId="165" formatCode="_-* #,##0_L_e_k_-;\-* #,##0_L_e_k_-;_-* &quot;-&quot;??_L_e_k_-;_-@_-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9" fillId="0" borderId="0"/>
  </cellStyleXfs>
  <cellXfs count="103">
    <xf numFmtId="0" fontId="0" fillId="0" borderId="0" xfId="0"/>
    <xf numFmtId="0" fontId="3" fillId="0" borderId="0" xfId="2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65" fontId="5" fillId="0" borderId="0" xfId="3" applyNumberFormat="1" applyFont="1" applyFill="1" applyBorder="1" applyAlignment="1">
      <alignment horizontal="center"/>
    </xf>
    <xf numFmtId="165" fontId="5" fillId="0" borderId="0" xfId="3" applyNumberFormat="1" applyFont="1" applyFill="1" applyBorder="1"/>
    <xf numFmtId="0" fontId="4" fillId="0" borderId="0" xfId="2" applyFont="1"/>
    <xf numFmtId="0" fontId="1" fillId="0" borderId="0" xfId="0" applyFont="1"/>
    <xf numFmtId="0" fontId="6" fillId="0" borderId="1" xfId="2" applyFont="1" applyBorder="1" applyAlignment="1" applyProtection="1">
      <alignment horizontal="left" vertical="center" wrapText="1"/>
      <protection locked="0"/>
    </xf>
    <xf numFmtId="0" fontId="3" fillId="0" borderId="0" xfId="0" applyFont="1"/>
    <xf numFmtId="0" fontId="6" fillId="0" borderId="0" xfId="0" applyFont="1"/>
    <xf numFmtId="3" fontId="6" fillId="0" borderId="0" xfId="3" applyNumberFormat="1" applyFont="1" applyFill="1" applyBorder="1" applyAlignment="1">
      <alignment horizontal="right" vertical="center"/>
    </xf>
    <xf numFmtId="3" fontId="6" fillId="0" borderId="0" xfId="3" applyNumberFormat="1" applyFont="1" applyFill="1" applyBorder="1" applyAlignment="1">
      <alignment horizontal="center" vertical="center"/>
    </xf>
    <xf numFmtId="3" fontId="6" fillId="0" borderId="0" xfId="2" applyNumberFormat="1" applyFont="1" applyAlignment="1" applyProtection="1">
      <alignment horizontal="right" vertical="center"/>
      <protection locked="0"/>
    </xf>
    <xf numFmtId="3" fontId="6" fillId="0" borderId="0" xfId="3" applyNumberFormat="1" applyFont="1" applyFill="1" applyBorder="1" applyAlignment="1" applyProtection="1">
      <alignment horizontal="right" vertical="center"/>
      <protection locked="0"/>
    </xf>
    <xf numFmtId="166" fontId="3" fillId="0" borderId="0" xfId="1" applyNumberFormat="1" applyFont="1" applyFill="1" applyBorder="1" applyAlignment="1">
      <alignment horizontal="right" vertical="center"/>
    </xf>
    <xf numFmtId="3" fontId="6" fillId="0" borderId="0" xfId="2" applyNumberFormat="1" applyFont="1" applyAlignment="1">
      <alignment horizontal="right" vertical="center"/>
    </xf>
    <xf numFmtId="3" fontId="6" fillId="0" borderId="0" xfId="3" applyNumberFormat="1" applyFont="1" applyFill="1" applyBorder="1" applyAlignment="1">
      <alignment horizontal="right" vertical="center" wrapText="1"/>
    </xf>
    <xf numFmtId="0" fontId="6" fillId="0" borderId="0" xfId="2" applyFont="1"/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166" fontId="3" fillId="0" borderId="11" xfId="3" applyNumberFormat="1" applyFont="1" applyFill="1" applyBorder="1" applyAlignment="1">
      <alignment horizontal="center" vertical="center" wrapText="1"/>
    </xf>
    <xf numFmtId="166" fontId="3" fillId="0" borderId="18" xfId="3" applyNumberFormat="1" applyFont="1" applyFill="1" applyBorder="1" applyAlignment="1">
      <alignment horizontal="center" vertical="center" wrapText="1"/>
    </xf>
    <xf numFmtId="3" fontId="6" fillId="0" borderId="15" xfId="3" applyNumberFormat="1" applyFont="1" applyFill="1" applyBorder="1" applyAlignment="1">
      <alignment horizontal="center" vertical="center" wrapText="1"/>
    </xf>
    <xf numFmtId="3" fontId="3" fillId="0" borderId="15" xfId="3" applyNumberFormat="1" applyFont="1" applyFill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/>
    </xf>
    <xf numFmtId="166" fontId="6" fillId="0" borderId="19" xfId="3" applyNumberFormat="1" applyFont="1" applyFill="1" applyBorder="1" applyAlignment="1">
      <alignment horizontal="center" vertical="center" wrapText="1"/>
    </xf>
    <xf numFmtId="0" fontId="6" fillId="0" borderId="22" xfId="3" applyNumberFormat="1" applyFont="1" applyFill="1" applyBorder="1" applyAlignment="1">
      <alignment horizontal="center" vertical="center"/>
    </xf>
    <xf numFmtId="166" fontId="6" fillId="0" borderId="23" xfId="3" applyNumberFormat="1" applyFont="1" applyFill="1" applyBorder="1" applyAlignment="1">
      <alignment horizontal="center" vertical="center" wrapText="1"/>
    </xf>
    <xf numFmtId="166" fontId="6" fillId="0" borderId="24" xfId="3" applyNumberFormat="1" applyFont="1" applyFill="1" applyBorder="1" applyAlignment="1">
      <alignment horizontal="center" vertical="center" wrapText="1"/>
    </xf>
    <xf numFmtId="3" fontId="6" fillId="0" borderId="19" xfId="3" applyNumberFormat="1" applyFont="1" applyFill="1" applyBorder="1" applyAlignment="1">
      <alignment horizontal="center" vertical="center" wrapText="1"/>
    </xf>
    <xf numFmtId="3" fontId="6" fillId="0" borderId="19" xfId="3" applyNumberFormat="1" applyFont="1" applyFill="1" applyBorder="1" applyAlignment="1">
      <alignment horizontal="right" vertical="center" wrapText="1"/>
    </xf>
    <xf numFmtId="0" fontId="6" fillId="0" borderId="19" xfId="3" applyNumberFormat="1" applyFont="1" applyFill="1" applyBorder="1" applyAlignment="1">
      <alignment horizontal="center" vertical="center"/>
    </xf>
    <xf numFmtId="165" fontId="6" fillId="0" borderId="19" xfId="3" applyNumberFormat="1" applyFont="1" applyFill="1" applyBorder="1" applyAlignment="1">
      <alignment horizontal="center" vertical="center"/>
    </xf>
    <xf numFmtId="0" fontId="3" fillId="0" borderId="22" xfId="3" applyNumberFormat="1" applyFont="1" applyFill="1" applyBorder="1" applyAlignment="1">
      <alignment horizontal="center" vertical="center"/>
    </xf>
    <xf numFmtId="0" fontId="6" fillId="0" borderId="21" xfId="3" applyNumberFormat="1" applyFont="1" applyFill="1" applyBorder="1" applyAlignment="1">
      <alignment horizontal="center" vertical="center"/>
    </xf>
    <xf numFmtId="0" fontId="6" fillId="0" borderId="24" xfId="3" applyNumberFormat="1" applyFont="1" applyFill="1" applyBorder="1" applyAlignment="1">
      <alignment horizontal="center" vertical="center"/>
    </xf>
    <xf numFmtId="165" fontId="6" fillId="0" borderId="19" xfId="3" applyNumberFormat="1" applyFont="1" applyFill="1" applyBorder="1" applyAlignment="1">
      <alignment horizontal="center" vertical="center" wrapText="1"/>
    </xf>
    <xf numFmtId="165" fontId="6" fillId="0" borderId="22" xfId="3" applyNumberFormat="1" applyFont="1" applyFill="1" applyBorder="1" applyAlignment="1">
      <alignment horizontal="center" vertical="center" wrapText="1"/>
    </xf>
    <xf numFmtId="165" fontId="6" fillId="0" borderId="25" xfId="3" applyNumberFormat="1" applyFont="1" applyFill="1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6" fillId="0" borderId="9" xfId="2" applyFont="1" applyBorder="1" applyAlignment="1" applyProtection="1">
      <alignment horizontal="left" vertical="center"/>
      <protection locked="0"/>
    </xf>
    <xf numFmtId="0" fontId="6" fillId="0" borderId="10" xfId="2" applyFont="1" applyBorder="1" applyAlignment="1">
      <alignment horizontal="right" vertical="center"/>
    </xf>
    <xf numFmtId="3" fontId="6" fillId="0" borderId="11" xfId="2" applyNumberFormat="1" applyFont="1" applyBorder="1" applyAlignment="1">
      <alignment horizontal="right" vertical="center"/>
    </xf>
    <xf numFmtId="166" fontId="6" fillId="0" borderId="1" xfId="1" applyNumberFormat="1" applyFont="1" applyFill="1" applyBorder="1" applyAlignment="1">
      <alignment horizontal="center" vertical="center"/>
    </xf>
    <xf numFmtId="3" fontId="6" fillId="0" borderId="1" xfId="3" applyNumberFormat="1" applyFont="1" applyFill="1" applyBorder="1" applyAlignment="1">
      <alignment horizontal="right" vertical="center"/>
    </xf>
    <xf numFmtId="3" fontId="6" fillId="0" borderId="1" xfId="2" applyNumberFormat="1" applyFont="1" applyBorder="1" applyAlignment="1" applyProtection="1">
      <alignment horizontal="right" vertical="center"/>
      <protection locked="0"/>
    </xf>
    <xf numFmtId="3" fontId="6" fillId="0" borderId="1" xfId="3" applyNumberFormat="1" applyFont="1" applyFill="1" applyBorder="1" applyAlignment="1" applyProtection="1">
      <alignment horizontal="right" vertical="center"/>
      <protection locked="0"/>
    </xf>
    <xf numFmtId="3" fontId="6" fillId="0" borderId="9" xfId="1" applyNumberFormat="1" applyFont="1" applyFill="1" applyBorder="1" applyAlignment="1">
      <alignment horizontal="right" vertical="center"/>
    </xf>
    <xf numFmtId="166" fontId="6" fillId="0" borderId="1" xfId="1" applyNumberFormat="1" applyFont="1" applyFill="1" applyBorder="1" applyAlignment="1">
      <alignment horizontal="right" vertical="center"/>
    </xf>
    <xf numFmtId="3" fontId="6" fillId="0" borderId="1" xfId="2" applyNumberFormat="1" applyFont="1" applyBorder="1" applyAlignment="1">
      <alignment horizontal="right" vertical="center"/>
    </xf>
    <xf numFmtId="3" fontId="6" fillId="0" borderId="1" xfId="3" applyNumberFormat="1" applyFont="1" applyFill="1" applyBorder="1" applyAlignment="1">
      <alignment horizontal="right" vertical="center" wrapText="1"/>
    </xf>
    <xf numFmtId="3" fontId="6" fillId="0" borderId="27" xfId="3" applyNumberFormat="1" applyFont="1" applyFill="1" applyBorder="1" applyAlignment="1">
      <alignment horizontal="right" vertical="center" wrapText="1"/>
    </xf>
    <xf numFmtId="3" fontId="6" fillId="0" borderId="27" xfId="2" applyNumberFormat="1" applyFont="1" applyBorder="1" applyAlignment="1">
      <alignment horizontal="right" vertical="center"/>
    </xf>
    <xf numFmtId="3" fontId="6" fillId="0" borderId="28" xfId="3" applyNumberFormat="1" applyFont="1" applyFill="1" applyBorder="1" applyAlignment="1">
      <alignment horizontal="right" vertical="center" wrapText="1"/>
    </xf>
    <xf numFmtId="3" fontId="6" fillId="0" borderId="29" xfId="3" applyNumberFormat="1" applyFont="1" applyFill="1" applyBorder="1" applyAlignment="1">
      <alignment horizontal="right" vertical="center"/>
    </xf>
    <xf numFmtId="3" fontId="1" fillId="0" borderId="0" xfId="0" applyNumberFormat="1" applyFont="1"/>
    <xf numFmtId="165" fontId="4" fillId="0" borderId="0" xfId="3" applyNumberFormat="1" applyFont="1" applyFill="1" applyBorder="1"/>
    <xf numFmtId="0" fontId="4" fillId="0" borderId="0" xfId="2" applyFont="1" applyAlignment="1">
      <alignment horizontal="center"/>
    </xf>
    <xf numFmtId="165" fontId="4" fillId="0" borderId="0" xfId="3" applyNumberFormat="1" applyFont="1" applyFill="1" applyBorder="1" applyAlignment="1">
      <alignment horizontal="right"/>
    </xf>
    <xf numFmtId="0" fontId="5" fillId="0" borderId="0" xfId="2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7" fillId="0" borderId="0" xfId="0" applyFont="1" applyAlignment="1">
      <alignment horizontal="center"/>
    </xf>
    <xf numFmtId="0" fontId="3" fillId="0" borderId="0" xfId="2" applyFont="1" applyAlignment="1">
      <alignment horizontal="center" wrapText="1"/>
    </xf>
    <xf numFmtId="0" fontId="3" fillId="0" borderId="2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166" fontId="5" fillId="0" borderId="3" xfId="3" applyNumberFormat="1" applyFont="1" applyFill="1" applyBorder="1" applyAlignment="1">
      <alignment horizontal="center" vertical="center" wrapText="1"/>
    </xf>
    <xf numFmtId="166" fontId="3" fillId="0" borderId="1" xfId="3" applyNumberFormat="1" applyFont="1" applyFill="1" applyBorder="1" applyAlignment="1">
      <alignment horizontal="center" vertical="center" wrapText="1"/>
    </xf>
    <xf numFmtId="166" fontId="3" fillId="0" borderId="15" xfId="3" applyNumberFormat="1" applyFont="1" applyFill="1" applyBorder="1" applyAlignment="1">
      <alignment horizontal="center" vertical="center" wrapText="1"/>
    </xf>
    <xf numFmtId="0" fontId="3" fillId="0" borderId="4" xfId="3" applyNumberFormat="1" applyFont="1" applyFill="1" applyBorder="1" applyAlignment="1">
      <alignment horizontal="center" vertical="center"/>
    </xf>
    <xf numFmtId="0" fontId="3" fillId="0" borderId="9" xfId="3" applyNumberFormat="1" applyFont="1" applyFill="1" applyBorder="1" applyAlignment="1">
      <alignment horizontal="center" vertical="center"/>
    </xf>
    <xf numFmtId="0" fontId="3" fillId="0" borderId="16" xfId="3" applyNumberFormat="1" applyFont="1" applyFill="1" applyBorder="1" applyAlignment="1">
      <alignment horizontal="center" vertical="center"/>
    </xf>
    <xf numFmtId="166" fontId="3" fillId="0" borderId="5" xfId="3" applyNumberFormat="1" applyFont="1" applyFill="1" applyBorder="1" applyAlignment="1">
      <alignment horizontal="center" vertical="center" wrapText="1"/>
    </xf>
    <xf numFmtId="166" fontId="3" fillId="0" borderId="10" xfId="3" applyNumberFormat="1" applyFont="1" applyFill="1" applyBorder="1" applyAlignment="1">
      <alignment horizontal="center" vertical="center" wrapText="1"/>
    </xf>
    <xf numFmtId="166" fontId="3" fillId="0" borderId="17" xfId="3" applyNumberFormat="1" applyFont="1" applyFill="1" applyBorder="1" applyAlignment="1">
      <alignment horizontal="center" vertical="center" wrapText="1"/>
    </xf>
    <xf numFmtId="3" fontId="3" fillId="0" borderId="6" xfId="3" applyNumberFormat="1" applyFont="1" applyFill="1" applyBorder="1" applyAlignment="1">
      <alignment horizontal="center" vertical="center"/>
    </xf>
    <xf numFmtId="3" fontId="3" fillId="0" borderId="3" xfId="3" applyNumberFormat="1" applyFont="1" applyFill="1" applyBorder="1" applyAlignment="1">
      <alignment horizontal="center" vertical="center"/>
    </xf>
    <xf numFmtId="3" fontId="3" fillId="0" borderId="4" xfId="3" applyNumberFormat="1" applyFont="1" applyFill="1" applyBorder="1" applyAlignment="1">
      <alignment horizontal="center" vertical="center"/>
    </xf>
    <xf numFmtId="166" fontId="3" fillId="0" borderId="2" xfId="3" applyNumberFormat="1" applyFont="1" applyFill="1" applyBorder="1" applyAlignment="1">
      <alignment horizontal="center" vertical="center" wrapText="1"/>
    </xf>
    <xf numFmtId="166" fontId="3" fillId="0" borderId="6" xfId="3" applyNumberFormat="1" applyFont="1" applyFill="1" applyBorder="1" applyAlignment="1">
      <alignment horizontal="center" vertical="center" wrapText="1"/>
    </xf>
    <xf numFmtId="166" fontId="3" fillId="0" borderId="3" xfId="3" applyNumberFormat="1" applyFont="1" applyFill="1" applyBorder="1" applyAlignment="1">
      <alignment horizontal="center" vertical="center" wrapText="1"/>
    </xf>
    <xf numFmtId="166" fontId="3" fillId="0" borderId="4" xfId="3" applyNumberFormat="1" applyFont="1" applyFill="1" applyBorder="1" applyAlignment="1">
      <alignment horizontal="center" vertical="center" wrapText="1"/>
    </xf>
    <xf numFmtId="166" fontId="3" fillId="0" borderId="7" xfId="3" applyNumberFormat="1" applyFont="1" applyFill="1" applyBorder="1" applyAlignment="1">
      <alignment horizontal="center" vertical="center" wrapText="1"/>
    </xf>
    <xf numFmtId="166" fontId="3" fillId="0" borderId="11" xfId="3" applyNumberFormat="1" applyFont="1" applyFill="1" applyBorder="1" applyAlignment="1">
      <alignment horizontal="center" vertical="center" wrapText="1"/>
    </xf>
    <xf numFmtId="166" fontId="3" fillId="0" borderId="18" xfId="3" applyNumberFormat="1" applyFont="1" applyFill="1" applyBorder="1" applyAlignment="1">
      <alignment horizontal="center" vertical="center" wrapText="1"/>
    </xf>
    <xf numFmtId="166" fontId="3" fillId="0" borderId="12" xfId="3" applyNumberFormat="1" applyFont="1" applyFill="1" applyBorder="1" applyAlignment="1">
      <alignment horizontal="center" vertical="center" wrapText="1"/>
    </xf>
    <xf numFmtId="166" fontId="3" fillId="0" borderId="19" xfId="3" applyNumberFormat="1" applyFont="1" applyFill="1" applyBorder="1" applyAlignment="1">
      <alignment horizontal="center" vertical="center" wrapText="1"/>
    </xf>
    <xf numFmtId="3" fontId="3" fillId="0" borderId="1" xfId="3" applyNumberFormat="1" applyFont="1" applyFill="1" applyBorder="1" applyAlignment="1">
      <alignment horizontal="center" vertical="center" wrapText="1"/>
    </xf>
    <xf numFmtId="3" fontId="3" fillId="0" borderId="15" xfId="3" applyNumberFormat="1" applyFont="1" applyFill="1" applyBorder="1" applyAlignment="1">
      <alignment horizontal="center" vertical="center" wrapText="1"/>
    </xf>
    <xf numFmtId="3" fontId="3" fillId="0" borderId="1" xfId="3" applyNumberFormat="1" applyFont="1" applyFill="1" applyBorder="1" applyAlignment="1">
      <alignment horizontal="right" vertical="center" wrapText="1"/>
    </xf>
    <xf numFmtId="3" fontId="3" fillId="0" borderId="15" xfId="3" applyNumberFormat="1" applyFont="1" applyFill="1" applyBorder="1" applyAlignment="1">
      <alignment horizontal="right" vertical="center" wrapText="1"/>
    </xf>
    <xf numFmtId="165" fontId="3" fillId="0" borderId="1" xfId="3" applyNumberFormat="1" applyFont="1" applyFill="1" applyBorder="1" applyAlignment="1">
      <alignment horizontal="center" vertical="center" wrapText="1"/>
    </xf>
    <xf numFmtId="165" fontId="3" fillId="0" borderId="15" xfId="3" applyNumberFormat="1" applyFont="1" applyFill="1" applyBorder="1" applyAlignment="1">
      <alignment horizontal="center" vertical="center" wrapText="1"/>
    </xf>
    <xf numFmtId="3" fontId="3" fillId="0" borderId="9" xfId="3" applyNumberFormat="1" applyFont="1" applyFill="1" applyBorder="1" applyAlignment="1">
      <alignment horizontal="center" vertical="center" wrapText="1"/>
    </xf>
    <xf numFmtId="3" fontId="3" fillId="0" borderId="16" xfId="3" applyNumberFormat="1" applyFont="1" applyFill="1" applyBorder="1" applyAlignment="1">
      <alignment horizontal="center" vertical="center" wrapText="1"/>
    </xf>
    <xf numFmtId="166" fontId="3" fillId="0" borderId="8" xfId="3" applyNumberFormat="1" applyFont="1" applyFill="1" applyBorder="1" applyAlignment="1">
      <alignment horizontal="center" vertical="center" wrapText="1"/>
    </xf>
    <xf numFmtId="166" fontId="3" fillId="0" borderId="14" xfId="3" applyNumberFormat="1" applyFont="1" applyFill="1" applyBorder="1" applyAlignment="1">
      <alignment horizontal="center" vertical="center" wrapText="1"/>
    </xf>
    <xf numFmtId="166" fontId="3" fillId="0" borderId="13" xfId="3" applyNumberFormat="1" applyFont="1" applyFill="1" applyBorder="1" applyAlignment="1">
      <alignment horizontal="center" vertical="center" wrapText="1"/>
    </xf>
    <xf numFmtId="166" fontId="3" fillId="0" borderId="20" xfId="3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Comma 7" xfId="3" xr:uid="{00000000-0005-0000-0000-000001000000}"/>
    <cellStyle name="Normal" xfId="0" builtinId="0"/>
    <cellStyle name="Normal 2" xfId="4" xr:uid="{00000000-0005-0000-0000-000003000000}"/>
    <cellStyle name="Normal 7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4996"/>
  <sheetViews>
    <sheetView tabSelected="1" topLeftCell="K1" workbookViewId="0">
      <selection activeCell="AA12" sqref="AA12"/>
    </sheetView>
  </sheetViews>
  <sheetFormatPr defaultColWidth="9.140625" defaultRowHeight="15" outlineLevelCol="1" x14ac:dyDescent="0.25"/>
  <cols>
    <col min="1" max="1" width="5.140625" style="7" customWidth="1"/>
    <col min="2" max="2" width="19.7109375" style="7" customWidth="1"/>
    <col min="3" max="3" width="15.5703125" style="62" customWidth="1"/>
    <col min="4" max="4" width="5.7109375" style="60" customWidth="1"/>
    <col min="5" max="5" width="12.85546875" style="60" customWidth="1"/>
    <col min="6" max="6" width="11.140625" style="60" customWidth="1"/>
    <col min="7" max="7" width="13.28515625" style="59" customWidth="1"/>
    <col min="8" max="8" width="13" style="59" customWidth="1"/>
    <col min="9" max="9" width="13" style="61" customWidth="1"/>
    <col min="10" max="10" width="12.85546875" style="60" customWidth="1"/>
    <col min="11" max="11" width="13.5703125" style="7" customWidth="1"/>
    <col min="12" max="12" width="13.42578125" style="7" customWidth="1"/>
    <col min="13" max="13" width="11.28515625" style="7" customWidth="1"/>
    <col min="14" max="14" width="20.7109375" style="5" customWidth="1"/>
    <col min="15" max="15" width="12.28515625" style="5" customWidth="1"/>
    <col min="16" max="17" width="10.7109375" style="5" customWidth="1"/>
    <col min="18" max="18" width="29.140625" style="6" bestFit="1" customWidth="1"/>
    <col min="19" max="19" width="15.28515625" style="6" customWidth="1" outlineLevel="1"/>
    <col min="20" max="20" width="13.28515625" style="6" customWidth="1" outlineLevel="1"/>
    <col min="21" max="21" width="12.42578125" style="6" customWidth="1"/>
    <col min="22" max="22" width="11.5703125" style="6" customWidth="1"/>
    <col min="23" max="23" width="15.85546875" style="6" customWidth="1"/>
    <col min="24" max="24" width="14.7109375" style="6" customWidth="1"/>
    <col min="25" max="26" width="13" style="6" customWidth="1"/>
    <col min="27" max="27" width="14.140625" style="7" customWidth="1"/>
    <col min="28" max="28" width="10.85546875" style="8" customWidth="1"/>
    <col min="29" max="16384" width="9.140625" style="8"/>
  </cols>
  <sheetData>
    <row r="1" spans="1:28" x14ac:dyDescent="0.25">
      <c r="A1" s="1" t="s">
        <v>0</v>
      </c>
      <c r="B1" s="2"/>
      <c r="C1" s="3"/>
      <c r="D1" s="2"/>
      <c r="E1" s="2"/>
      <c r="F1" s="2"/>
      <c r="G1" s="2"/>
      <c r="H1" s="2"/>
      <c r="I1" s="4"/>
      <c r="J1" s="2"/>
      <c r="K1" s="2"/>
      <c r="L1" s="2"/>
      <c r="M1" s="2"/>
    </row>
    <row r="2" spans="1:28" x14ac:dyDescent="0.25">
      <c r="A2" s="1" t="s">
        <v>1</v>
      </c>
      <c r="B2" s="2"/>
      <c r="C2" s="3"/>
      <c r="D2" s="2"/>
      <c r="E2" s="2"/>
      <c r="F2" s="9"/>
      <c r="G2" s="2"/>
      <c r="H2" s="2"/>
      <c r="I2" s="4"/>
      <c r="J2" s="2"/>
      <c r="K2" s="2"/>
      <c r="L2" s="2"/>
      <c r="M2" s="2"/>
    </row>
    <row r="3" spans="1:28" x14ac:dyDescent="0.25">
      <c r="A3" s="1" t="s">
        <v>2</v>
      </c>
      <c r="B3" s="10"/>
      <c r="C3" s="10"/>
      <c r="D3" s="11"/>
      <c r="E3" s="12"/>
      <c r="F3" s="13"/>
      <c r="G3" s="12"/>
      <c r="H3" s="12"/>
      <c r="I3" s="14"/>
      <c r="J3" s="12"/>
      <c r="K3" s="12"/>
      <c r="L3" s="12"/>
      <c r="M3" s="15"/>
      <c r="N3" s="15"/>
      <c r="O3" s="15"/>
      <c r="P3" s="15"/>
      <c r="Q3" s="16"/>
      <c r="R3" s="17"/>
      <c r="S3" s="17"/>
      <c r="T3" s="18"/>
      <c r="U3" s="18"/>
      <c r="V3" s="18"/>
      <c r="W3" s="17"/>
      <c r="X3" s="18"/>
      <c r="Y3" s="12"/>
      <c r="Z3" s="12"/>
      <c r="AA3" s="19"/>
    </row>
    <row r="4" spans="1:28" ht="15.75" x14ac:dyDescent="0.25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8" ht="15.75" x14ac:dyDescent="0.25">
      <c r="A5" s="66" t="s">
        <v>3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20"/>
      <c r="Y5" s="20"/>
      <c r="Z5" s="20"/>
      <c r="AA5" s="20" t="s">
        <v>4</v>
      </c>
    </row>
    <row r="6" spans="1:28" ht="15.75" x14ac:dyDescent="0.25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20"/>
      <c r="Y6" s="20"/>
      <c r="Z6" s="20"/>
      <c r="AA6" s="20"/>
    </row>
    <row r="7" spans="1:28" ht="16.5" thickBot="1" x14ac:dyDescent="0.3">
      <c r="A7" s="19"/>
      <c r="B7" s="11"/>
      <c r="C7" s="11"/>
      <c r="D7" s="11"/>
      <c r="E7" s="20"/>
      <c r="F7" s="20"/>
      <c r="G7" s="20"/>
      <c r="H7" s="20"/>
      <c r="I7" s="21"/>
      <c r="J7" s="22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8" x14ac:dyDescent="0.25">
      <c r="A8" s="67" t="s">
        <v>5</v>
      </c>
      <c r="B8" s="70" t="s">
        <v>6</v>
      </c>
      <c r="C8" s="73" t="s">
        <v>7</v>
      </c>
      <c r="D8" s="76" t="s">
        <v>8</v>
      </c>
      <c r="E8" s="79"/>
      <c r="F8" s="79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/>
      <c r="S8" s="82"/>
      <c r="T8" s="83"/>
      <c r="U8" s="84"/>
      <c r="V8" s="84"/>
      <c r="W8" s="84"/>
      <c r="X8" s="84"/>
      <c r="Y8" s="84"/>
      <c r="Z8" s="85"/>
      <c r="AA8" s="86"/>
    </row>
    <row r="9" spans="1:28" x14ac:dyDescent="0.25">
      <c r="A9" s="68"/>
      <c r="B9" s="71"/>
      <c r="C9" s="74"/>
      <c r="D9" s="77"/>
      <c r="E9" s="87" t="s">
        <v>9</v>
      </c>
      <c r="F9" s="23"/>
      <c r="G9" s="71" t="s">
        <v>10</v>
      </c>
      <c r="H9" s="91" t="s">
        <v>11</v>
      </c>
      <c r="I9" s="93" t="s">
        <v>12</v>
      </c>
      <c r="J9" s="91" t="s">
        <v>13</v>
      </c>
      <c r="K9" s="91"/>
      <c r="L9" s="91" t="s">
        <v>14</v>
      </c>
      <c r="M9" s="91" t="s">
        <v>15</v>
      </c>
      <c r="N9" s="95" t="s">
        <v>16</v>
      </c>
      <c r="O9" s="95" t="s">
        <v>17</v>
      </c>
      <c r="P9" s="95" t="s">
        <v>18</v>
      </c>
      <c r="Q9" s="95" t="s">
        <v>19</v>
      </c>
      <c r="R9" s="97" t="s">
        <v>20</v>
      </c>
      <c r="S9" s="99" t="s">
        <v>21</v>
      </c>
      <c r="T9" s="89" t="s">
        <v>22</v>
      </c>
      <c r="U9" s="71" t="s">
        <v>23</v>
      </c>
      <c r="V9" s="71" t="s">
        <v>24</v>
      </c>
      <c r="W9" s="71" t="s">
        <v>25</v>
      </c>
      <c r="X9" s="71" t="s">
        <v>26</v>
      </c>
      <c r="Y9" s="91" t="s">
        <v>27</v>
      </c>
      <c r="Z9" s="101" t="s">
        <v>28</v>
      </c>
      <c r="AA9" s="101" t="s">
        <v>29</v>
      </c>
    </row>
    <row r="10" spans="1:28" ht="108.75" customHeight="1" thickBot="1" x14ac:dyDescent="0.3">
      <c r="A10" s="69"/>
      <c r="B10" s="72"/>
      <c r="C10" s="75"/>
      <c r="D10" s="78"/>
      <c r="E10" s="88"/>
      <c r="F10" s="24"/>
      <c r="G10" s="72"/>
      <c r="H10" s="92"/>
      <c r="I10" s="94"/>
      <c r="J10" s="25" t="s">
        <v>30</v>
      </c>
      <c r="K10" s="26" t="s">
        <v>4</v>
      </c>
      <c r="L10" s="92"/>
      <c r="M10" s="92"/>
      <c r="N10" s="96"/>
      <c r="O10" s="96"/>
      <c r="P10" s="96"/>
      <c r="Q10" s="96"/>
      <c r="R10" s="98"/>
      <c r="S10" s="100"/>
      <c r="T10" s="90"/>
      <c r="U10" s="72"/>
      <c r="V10" s="72"/>
      <c r="W10" s="72"/>
      <c r="X10" s="72"/>
      <c r="Y10" s="92"/>
      <c r="Z10" s="102"/>
      <c r="AA10" s="102"/>
    </row>
    <row r="11" spans="1:28" ht="15.75" thickBot="1" x14ac:dyDescent="0.3">
      <c r="A11" s="27" t="s">
        <v>31</v>
      </c>
      <c r="B11" s="28">
        <v>2</v>
      </c>
      <c r="C11" s="29">
        <v>3</v>
      </c>
      <c r="D11" s="30">
        <v>4</v>
      </c>
      <c r="E11" s="31">
        <v>5</v>
      </c>
      <c r="F11" s="31"/>
      <c r="G11" s="28">
        <v>6</v>
      </c>
      <c r="H11" s="32">
        <v>7</v>
      </c>
      <c r="I11" s="33">
        <v>8</v>
      </c>
      <c r="J11" s="34">
        <v>9</v>
      </c>
      <c r="K11" s="34">
        <v>10</v>
      </c>
      <c r="L11" s="34">
        <v>11</v>
      </c>
      <c r="M11" s="34">
        <v>12</v>
      </c>
      <c r="N11" s="35">
        <v>13</v>
      </c>
      <c r="O11" s="35">
        <v>14</v>
      </c>
      <c r="P11" s="35">
        <v>15</v>
      </c>
      <c r="Q11" s="35">
        <v>16</v>
      </c>
      <c r="R11" s="36">
        <v>17</v>
      </c>
      <c r="S11" s="37">
        <v>18</v>
      </c>
      <c r="T11" s="38"/>
      <c r="U11" s="34">
        <v>19</v>
      </c>
      <c r="V11" s="35">
        <v>20</v>
      </c>
      <c r="W11" s="35">
        <v>21</v>
      </c>
      <c r="X11" s="35">
        <v>23</v>
      </c>
      <c r="Y11" s="39">
        <v>24</v>
      </c>
      <c r="Z11" s="40">
        <v>25</v>
      </c>
      <c r="AA11" s="41">
        <v>26</v>
      </c>
    </row>
    <row r="12" spans="1:28" ht="28.5" customHeight="1" x14ac:dyDescent="0.25">
      <c r="A12" s="42">
        <v>39</v>
      </c>
      <c r="B12" s="9" t="s">
        <v>32</v>
      </c>
      <c r="C12" s="43" t="s">
        <v>33</v>
      </c>
      <c r="D12" s="44">
        <v>22</v>
      </c>
      <c r="E12" s="45"/>
      <c r="F12" s="46">
        <f t="shared" ref="F12" si="0">14000*D12/22</f>
        <v>14000</v>
      </c>
      <c r="G12" s="47"/>
      <c r="H12" s="47"/>
      <c r="I12" s="48">
        <v>19</v>
      </c>
      <c r="J12" s="47">
        <v>20460</v>
      </c>
      <c r="K12" s="47">
        <f t="shared" ref="K12" si="1">155000*D12/22</f>
        <v>155000</v>
      </c>
      <c r="L12" s="47"/>
      <c r="M12" s="49"/>
      <c r="N12" s="49"/>
      <c r="O12" s="49"/>
      <c r="P12" s="49">
        <f>155000/10*D12/22</f>
        <v>15500</v>
      </c>
      <c r="Q12" s="50">
        <v>23558.620689655174</v>
      </c>
      <c r="R12" s="51">
        <f t="shared" ref="R12" si="2">F12+J12+K12+L12+M12+N12+O12+P12+Q12</f>
        <v>228518.62068965519</v>
      </c>
      <c r="S12" s="52">
        <v>176416</v>
      </c>
      <c r="T12" s="53"/>
      <c r="U12" s="54">
        <f t="shared" ref="U12" si="3">S12*9.5/100</f>
        <v>16759.52</v>
      </c>
      <c r="V12" s="54">
        <f t="shared" ref="V12" si="4">R12*1.7%</f>
        <v>3884.8165517241387</v>
      </c>
      <c r="W12" s="52"/>
      <c r="X12" s="55">
        <f t="shared" ref="X12" si="5">(R12-200000)*23%+22100</f>
        <v>28659.282758620695</v>
      </c>
      <c r="Y12" s="54">
        <f t="shared" ref="Y12" si="6">T12+U12+V12+W12+X12</f>
        <v>49303.619310344831</v>
      </c>
      <c r="Z12" s="56"/>
      <c r="AA12" s="57">
        <f t="shared" ref="AA12" si="7">ROUND(R12-Y12+Z12,0)</f>
        <v>179215</v>
      </c>
      <c r="AB12" s="58"/>
    </row>
    <row r="13" spans="1:28" x14ac:dyDescent="0.25">
      <c r="A13" s="7" t="s">
        <v>31</v>
      </c>
    </row>
    <row r="58349" spans="19:27" x14ac:dyDescent="0.25">
      <c r="S58349" s="8"/>
      <c r="T58349" s="8"/>
      <c r="U58349" s="8"/>
      <c r="V58349" s="8"/>
      <c r="W58349" s="8"/>
      <c r="X58349" s="8"/>
      <c r="Y58349" s="8"/>
      <c r="Z58349" s="8"/>
      <c r="AA58349" s="8"/>
    </row>
    <row r="58350" spans="19:27" x14ac:dyDescent="0.25">
      <c r="S58350" s="8"/>
      <c r="T58350" s="8"/>
      <c r="U58350" s="8"/>
      <c r="V58350" s="8"/>
      <c r="W58350" s="8"/>
      <c r="X58350" s="8"/>
      <c r="Y58350" s="8"/>
      <c r="Z58350" s="8"/>
      <c r="AA58350" s="8"/>
    </row>
    <row r="58351" spans="19:27" x14ac:dyDescent="0.25">
      <c r="S58351" s="8"/>
      <c r="T58351" s="8"/>
      <c r="U58351" s="8"/>
      <c r="V58351" s="8"/>
      <c r="W58351" s="8"/>
      <c r="X58351" s="8"/>
      <c r="Y58351" s="8"/>
      <c r="Z58351" s="8"/>
      <c r="AA58351" s="8"/>
    </row>
    <row r="58352" spans="19:27" x14ac:dyDescent="0.25">
      <c r="S58352" s="8"/>
      <c r="T58352" s="8"/>
      <c r="U58352" s="8"/>
      <c r="V58352" s="8"/>
      <c r="W58352" s="8"/>
      <c r="X58352" s="8"/>
      <c r="Y58352" s="8"/>
      <c r="Z58352" s="8"/>
      <c r="AA58352" s="8"/>
    </row>
    <row r="58353" spans="19:27" x14ac:dyDescent="0.25">
      <c r="S58353" s="8"/>
      <c r="T58353" s="8"/>
      <c r="U58353" s="8"/>
      <c r="V58353" s="8"/>
      <c r="W58353" s="8"/>
      <c r="X58353" s="8"/>
      <c r="Y58353" s="8"/>
      <c r="Z58353" s="8"/>
      <c r="AA58353" s="8"/>
    </row>
    <row r="58354" spans="19:27" x14ac:dyDescent="0.25">
      <c r="S58354" s="8"/>
      <c r="T58354" s="8"/>
      <c r="U58354" s="8"/>
      <c r="V58354" s="8"/>
      <c r="W58354" s="8"/>
      <c r="X58354" s="8"/>
      <c r="Y58354" s="8"/>
      <c r="Z58354" s="8"/>
      <c r="AA58354" s="8"/>
    </row>
    <row r="58355" spans="19:27" x14ac:dyDescent="0.25">
      <c r="S58355" s="8"/>
      <c r="T58355" s="8"/>
      <c r="U58355" s="8"/>
      <c r="V58355" s="8"/>
      <c r="W58355" s="8"/>
      <c r="X58355" s="8"/>
      <c r="Y58355" s="8"/>
      <c r="Z58355" s="8"/>
      <c r="AA58355" s="8"/>
    </row>
    <row r="58356" spans="19:27" x14ac:dyDescent="0.25">
      <c r="S58356" s="8"/>
      <c r="T58356" s="8"/>
      <c r="U58356" s="8"/>
      <c r="V58356" s="8"/>
      <c r="W58356" s="8"/>
      <c r="X58356" s="8"/>
      <c r="Y58356" s="8"/>
      <c r="Z58356" s="8"/>
      <c r="AA58356" s="8"/>
    </row>
    <row r="58357" spans="19:27" x14ac:dyDescent="0.25">
      <c r="S58357" s="8"/>
      <c r="T58357" s="8"/>
      <c r="U58357" s="8"/>
      <c r="V58357" s="8"/>
      <c r="W58357" s="8"/>
      <c r="X58357" s="8"/>
      <c r="Y58357" s="8"/>
      <c r="Z58357" s="8"/>
      <c r="AA58357" s="8"/>
    </row>
    <row r="58358" spans="19:27" x14ac:dyDescent="0.25">
      <c r="S58358" s="8"/>
      <c r="T58358" s="8"/>
      <c r="U58358" s="8"/>
      <c r="V58358" s="8"/>
      <c r="W58358" s="8"/>
      <c r="X58358" s="8"/>
      <c r="Y58358" s="8"/>
      <c r="Z58358" s="8"/>
      <c r="AA58358" s="8"/>
    </row>
    <row r="58359" spans="19:27" x14ac:dyDescent="0.25">
      <c r="S58359" s="8"/>
      <c r="T58359" s="8"/>
      <c r="U58359" s="8"/>
      <c r="V58359" s="8"/>
      <c r="W58359" s="8"/>
      <c r="X58359" s="8"/>
      <c r="Y58359" s="8"/>
      <c r="Z58359" s="8"/>
      <c r="AA58359" s="8"/>
    </row>
    <row r="58360" spans="19:27" x14ac:dyDescent="0.25">
      <c r="S58360" s="8"/>
      <c r="T58360" s="8"/>
      <c r="U58360" s="8"/>
      <c r="V58360" s="8"/>
      <c r="W58360" s="8"/>
      <c r="X58360" s="8"/>
      <c r="Y58360" s="8"/>
      <c r="Z58360" s="8"/>
      <c r="AA58360" s="8"/>
    </row>
    <row r="58361" spans="19:27" x14ac:dyDescent="0.25">
      <c r="S58361" s="8"/>
      <c r="T58361" s="8"/>
      <c r="U58361" s="8"/>
      <c r="V58361" s="8"/>
      <c r="W58361" s="8"/>
      <c r="X58361" s="8"/>
      <c r="Y58361" s="8"/>
      <c r="Z58361" s="8"/>
      <c r="AA58361" s="8"/>
    </row>
    <row r="58362" spans="19:27" x14ac:dyDescent="0.25">
      <c r="S58362" s="8"/>
      <c r="T58362" s="8"/>
      <c r="U58362" s="8"/>
      <c r="V58362" s="8"/>
      <c r="W58362" s="8"/>
      <c r="X58362" s="8"/>
      <c r="Y58362" s="8"/>
      <c r="Z58362" s="8"/>
      <c r="AA58362" s="8"/>
    </row>
    <row r="58363" spans="19:27" x14ac:dyDescent="0.25">
      <c r="S58363" s="8"/>
      <c r="T58363" s="8"/>
      <c r="U58363" s="8"/>
      <c r="V58363" s="8"/>
      <c r="W58363" s="8"/>
      <c r="X58363" s="8"/>
      <c r="Y58363" s="8"/>
      <c r="Z58363" s="8"/>
      <c r="AA58363" s="8"/>
    </row>
    <row r="58364" spans="19:27" x14ac:dyDescent="0.25">
      <c r="S58364" s="8"/>
      <c r="T58364" s="8"/>
      <c r="U58364" s="8"/>
      <c r="V58364" s="8"/>
      <c r="W58364" s="8"/>
      <c r="X58364" s="8"/>
      <c r="Y58364" s="8"/>
      <c r="Z58364" s="8"/>
      <c r="AA58364" s="8"/>
    </row>
    <row r="58365" spans="19:27" x14ac:dyDescent="0.25">
      <c r="S58365" s="8"/>
      <c r="T58365" s="8"/>
      <c r="U58365" s="8"/>
      <c r="V58365" s="8"/>
      <c r="W58365" s="8"/>
      <c r="X58365" s="8"/>
      <c r="Y58365" s="8"/>
      <c r="Z58365" s="8"/>
      <c r="AA58365" s="8"/>
    </row>
    <row r="58366" spans="19:27" x14ac:dyDescent="0.25">
      <c r="S58366" s="8"/>
      <c r="T58366" s="8"/>
      <c r="U58366" s="8"/>
      <c r="V58366" s="8"/>
      <c r="W58366" s="8"/>
      <c r="X58366" s="8"/>
      <c r="Y58366" s="8"/>
      <c r="Z58366" s="8"/>
      <c r="AA58366" s="8"/>
    </row>
    <row r="58367" spans="19:27" x14ac:dyDescent="0.25">
      <c r="S58367" s="8"/>
      <c r="T58367" s="8"/>
      <c r="U58367" s="8"/>
      <c r="V58367" s="8"/>
      <c r="W58367" s="8"/>
      <c r="X58367" s="8"/>
      <c r="Y58367" s="8"/>
      <c r="Z58367" s="8"/>
      <c r="AA58367" s="8"/>
    </row>
    <row r="58368" spans="19:27" x14ac:dyDescent="0.25">
      <c r="S58368" s="8"/>
      <c r="T58368" s="8"/>
      <c r="U58368" s="8"/>
      <c r="V58368" s="8"/>
      <c r="W58368" s="8"/>
      <c r="X58368" s="8"/>
      <c r="Y58368" s="8"/>
      <c r="Z58368" s="8"/>
      <c r="AA58368" s="8"/>
    </row>
    <row r="58369" spans="19:27" x14ac:dyDescent="0.25">
      <c r="S58369" s="8"/>
      <c r="T58369" s="8"/>
      <c r="U58369" s="8"/>
      <c r="V58369" s="8"/>
      <c r="W58369" s="8"/>
      <c r="X58369" s="8"/>
      <c r="Y58369" s="8"/>
      <c r="Z58369" s="8"/>
      <c r="AA58369" s="8"/>
    </row>
    <row r="58370" spans="19:27" x14ac:dyDescent="0.25">
      <c r="S58370" s="8"/>
      <c r="T58370" s="8"/>
      <c r="U58370" s="8"/>
      <c r="V58370" s="8"/>
      <c r="W58370" s="8"/>
      <c r="X58370" s="8"/>
      <c r="Y58370" s="8"/>
      <c r="Z58370" s="8"/>
      <c r="AA58370" s="8"/>
    </row>
    <row r="58371" spans="19:27" x14ac:dyDescent="0.25">
      <c r="S58371" s="8"/>
      <c r="T58371" s="8"/>
      <c r="U58371" s="8"/>
      <c r="V58371" s="8"/>
      <c r="W58371" s="8"/>
      <c r="X58371" s="8"/>
      <c r="Y58371" s="8"/>
      <c r="Z58371" s="8"/>
      <c r="AA58371" s="8"/>
    </row>
    <row r="58372" spans="19:27" x14ac:dyDescent="0.25">
      <c r="S58372" s="8"/>
      <c r="T58372" s="8"/>
      <c r="U58372" s="8"/>
      <c r="V58372" s="8"/>
      <c r="W58372" s="8"/>
      <c r="X58372" s="8"/>
      <c r="Y58372" s="8"/>
      <c r="Z58372" s="8"/>
      <c r="AA58372" s="8"/>
    </row>
    <row r="58373" spans="19:27" x14ac:dyDescent="0.25">
      <c r="S58373" s="8"/>
      <c r="T58373" s="8"/>
      <c r="U58373" s="8"/>
      <c r="V58373" s="8"/>
      <c r="W58373" s="8"/>
      <c r="X58373" s="8"/>
      <c r="Y58373" s="8"/>
      <c r="Z58373" s="8"/>
      <c r="AA58373" s="8"/>
    </row>
    <row r="58374" spans="19:27" x14ac:dyDescent="0.25">
      <c r="S58374" s="8"/>
      <c r="T58374" s="8"/>
      <c r="U58374" s="8"/>
      <c r="V58374" s="8"/>
      <c r="W58374" s="8"/>
      <c r="X58374" s="8"/>
      <c r="Y58374" s="8"/>
      <c r="Z58374" s="8"/>
      <c r="AA58374" s="8"/>
    </row>
    <row r="58375" spans="19:27" x14ac:dyDescent="0.25">
      <c r="S58375" s="8"/>
      <c r="T58375" s="8"/>
      <c r="U58375" s="8"/>
      <c r="V58375" s="8"/>
      <c r="W58375" s="8"/>
      <c r="X58375" s="8"/>
      <c r="Y58375" s="8"/>
      <c r="Z58375" s="8"/>
      <c r="AA58375" s="8"/>
    </row>
    <row r="58376" spans="19:27" x14ac:dyDescent="0.25">
      <c r="S58376" s="8"/>
      <c r="T58376" s="8"/>
      <c r="U58376" s="8"/>
      <c r="V58376" s="8"/>
      <c r="W58376" s="8"/>
      <c r="X58376" s="8"/>
      <c r="Y58376" s="8"/>
      <c r="Z58376" s="8"/>
      <c r="AA58376" s="8"/>
    </row>
    <row r="58377" spans="19:27" x14ac:dyDescent="0.25">
      <c r="S58377" s="8"/>
      <c r="T58377" s="8"/>
      <c r="U58377" s="8"/>
      <c r="V58377" s="8"/>
      <c r="W58377" s="8"/>
      <c r="X58377" s="8"/>
      <c r="Y58377" s="8"/>
      <c r="Z58377" s="8"/>
      <c r="AA58377" s="8"/>
    </row>
    <row r="58378" spans="19:27" x14ac:dyDescent="0.25">
      <c r="S58378" s="8"/>
      <c r="T58378" s="8"/>
      <c r="U58378" s="8"/>
      <c r="V58378" s="8"/>
      <c r="W58378" s="8"/>
      <c r="X58378" s="8"/>
      <c r="Y58378" s="8"/>
      <c r="Z58378" s="8"/>
      <c r="AA58378" s="8"/>
    </row>
    <row r="58379" spans="19:27" x14ac:dyDescent="0.25">
      <c r="S58379" s="8"/>
      <c r="T58379" s="8"/>
      <c r="U58379" s="8"/>
      <c r="V58379" s="8"/>
      <c r="W58379" s="8"/>
      <c r="X58379" s="8"/>
      <c r="Y58379" s="8"/>
      <c r="Z58379" s="8"/>
      <c r="AA58379" s="8"/>
    </row>
    <row r="58380" spans="19:27" x14ac:dyDescent="0.25">
      <c r="S58380" s="8"/>
      <c r="T58380" s="8"/>
      <c r="U58380" s="8"/>
      <c r="V58380" s="8"/>
      <c r="W58380" s="8"/>
      <c r="X58380" s="8"/>
      <c r="Y58380" s="8"/>
      <c r="Z58380" s="8"/>
      <c r="AA58380" s="8"/>
    </row>
    <row r="58381" spans="19:27" x14ac:dyDescent="0.25">
      <c r="S58381" s="8"/>
      <c r="T58381" s="8"/>
      <c r="U58381" s="8"/>
      <c r="V58381" s="8"/>
      <c r="W58381" s="8"/>
      <c r="X58381" s="8"/>
      <c r="Y58381" s="8"/>
      <c r="Z58381" s="8"/>
      <c r="AA58381" s="8"/>
    </row>
    <row r="58382" spans="19:27" x14ac:dyDescent="0.25">
      <c r="S58382" s="8"/>
      <c r="T58382" s="8"/>
      <c r="U58382" s="8"/>
      <c r="V58382" s="8"/>
      <c r="W58382" s="8"/>
      <c r="X58382" s="8"/>
      <c r="Y58382" s="8"/>
      <c r="Z58382" s="8"/>
      <c r="AA58382" s="8"/>
    </row>
    <row r="58383" spans="19:27" x14ac:dyDescent="0.25">
      <c r="S58383" s="8"/>
      <c r="T58383" s="8"/>
      <c r="U58383" s="8"/>
      <c r="V58383" s="8"/>
      <c r="W58383" s="8"/>
      <c r="X58383" s="8"/>
      <c r="Y58383" s="8"/>
      <c r="Z58383" s="8"/>
      <c r="AA58383" s="8"/>
    </row>
    <row r="58384" spans="19:27" x14ac:dyDescent="0.25">
      <c r="S58384" s="8"/>
      <c r="T58384" s="8"/>
      <c r="U58384" s="8"/>
      <c r="V58384" s="8"/>
      <c r="W58384" s="8"/>
      <c r="X58384" s="8"/>
      <c r="Y58384" s="8"/>
      <c r="Z58384" s="8"/>
      <c r="AA58384" s="8"/>
    </row>
    <row r="58385" spans="19:27" x14ac:dyDescent="0.25">
      <c r="S58385" s="8"/>
      <c r="T58385" s="8"/>
      <c r="U58385" s="8"/>
      <c r="V58385" s="8"/>
      <c r="W58385" s="8"/>
      <c r="X58385" s="8"/>
      <c r="Y58385" s="8"/>
      <c r="Z58385" s="8"/>
      <c r="AA58385" s="8"/>
    </row>
    <row r="58386" spans="19:27" x14ac:dyDescent="0.25">
      <c r="S58386" s="8"/>
      <c r="T58386" s="8"/>
      <c r="U58386" s="8"/>
      <c r="V58386" s="8"/>
      <c r="W58386" s="8"/>
      <c r="X58386" s="8"/>
      <c r="Y58386" s="8"/>
      <c r="Z58386" s="8"/>
      <c r="AA58386" s="8"/>
    </row>
    <row r="58387" spans="19:27" x14ac:dyDescent="0.25">
      <c r="S58387" s="8"/>
      <c r="T58387" s="8"/>
      <c r="U58387" s="8"/>
      <c r="V58387" s="8"/>
      <c r="W58387" s="8"/>
      <c r="X58387" s="8"/>
      <c r="Y58387" s="8"/>
      <c r="Z58387" s="8"/>
      <c r="AA58387" s="8"/>
    </row>
    <row r="58388" spans="19:27" x14ac:dyDescent="0.25">
      <c r="S58388" s="8"/>
      <c r="T58388" s="8"/>
      <c r="U58388" s="8"/>
      <c r="V58388" s="8"/>
      <c r="W58388" s="8"/>
      <c r="X58388" s="8"/>
      <c r="Y58388" s="8"/>
      <c r="Z58388" s="8"/>
      <c r="AA58388" s="8"/>
    </row>
    <row r="58389" spans="19:27" x14ac:dyDescent="0.25">
      <c r="S58389" s="8"/>
      <c r="T58389" s="8"/>
      <c r="U58389" s="8"/>
      <c r="V58389" s="8"/>
      <c r="W58389" s="8"/>
      <c r="X58389" s="8"/>
      <c r="Y58389" s="8"/>
      <c r="Z58389" s="8"/>
      <c r="AA58389" s="8"/>
    </row>
    <row r="58390" spans="19:27" x14ac:dyDescent="0.25">
      <c r="S58390" s="8"/>
      <c r="T58390" s="8"/>
      <c r="U58390" s="8"/>
      <c r="V58390" s="8"/>
      <c r="W58390" s="8"/>
      <c r="X58390" s="8"/>
      <c r="Y58390" s="8"/>
      <c r="Z58390" s="8"/>
      <c r="AA58390" s="8"/>
    </row>
    <row r="58391" spans="19:27" x14ac:dyDescent="0.25">
      <c r="S58391" s="8"/>
      <c r="T58391" s="8"/>
      <c r="U58391" s="8"/>
      <c r="V58391" s="8"/>
      <c r="W58391" s="8"/>
      <c r="X58391" s="8"/>
      <c r="Y58391" s="8"/>
      <c r="Z58391" s="8"/>
      <c r="AA58391" s="8"/>
    </row>
    <row r="58392" spans="19:27" x14ac:dyDescent="0.25">
      <c r="S58392" s="8"/>
      <c r="T58392" s="8"/>
      <c r="U58392" s="8"/>
      <c r="V58392" s="8"/>
      <c r="W58392" s="8"/>
      <c r="X58392" s="8"/>
      <c r="Y58392" s="8"/>
      <c r="Z58392" s="8"/>
      <c r="AA58392" s="8"/>
    </row>
    <row r="58393" spans="19:27" x14ac:dyDescent="0.25">
      <c r="S58393" s="8"/>
      <c r="T58393" s="8"/>
      <c r="U58393" s="8"/>
      <c r="V58393" s="8"/>
      <c r="W58393" s="8"/>
      <c r="X58393" s="8"/>
      <c r="Y58393" s="8"/>
      <c r="Z58393" s="8"/>
      <c r="AA58393" s="8"/>
    </row>
    <row r="58394" spans="19:27" x14ac:dyDescent="0.25">
      <c r="S58394" s="8"/>
      <c r="T58394" s="8"/>
      <c r="U58394" s="8"/>
      <c r="V58394" s="8"/>
      <c r="W58394" s="8"/>
      <c r="X58394" s="8"/>
      <c r="Y58394" s="8"/>
      <c r="Z58394" s="8"/>
      <c r="AA58394" s="8"/>
    </row>
    <row r="58395" spans="19:27" x14ac:dyDescent="0.25">
      <c r="S58395" s="8"/>
      <c r="T58395" s="8"/>
      <c r="U58395" s="8"/>
      <c r="V58395" s="8"/>
      <c r="W58395" s="8"/>
      <c r="X58395" s="8"/>
      <c r="Y58395" s="8"/>
      <c r="Z58395" s="8"/>
      <c r="AA58395" s="8"/>
    </row>
    <row r="58396" spans="19:27" x14ac:dyDescent="0.25">
      <c r="S58396" s="8"/>
      <c r="T58396" s="8"/>
      <c r="U58396" s="8"/>
      <c r="V58396" s="8"/>
      <c r="W58396" s="8"/>
      <c r="X58396" s="8"/>
      <c r="Y58396" s="8"/>
      <c r="Z58396" s="8"/>
      <c r="AA58396" s="8"/>
    </row>
    <row r="58397" spans="19:27" x14ac:dyDescent="0.25">
      <c r="S58397" s="8"/>
      <c r="T58397" s="8"/>
      <c r="U58397" s="8"/>
      <c r="V58397" s="8"/>
      <c r="W58397" s="8"/>
      <c r="X58397" s="8"/>
      <c r="Y58397" s="8"/>
      <c r="Z58397" s="8"/>
      <c r="AA58397" s="8"/>
    </row>
    <row r="58398" spans="19:27" x14ac:dyDescent="0.25">
      <c r="S58398" s="8"/>
      <c r="T58398" s="8"/>
      <c r="U58398" s="8"/>
      <c r="V58398" s="8"/>
      <c r="W58398" s="8"/>
      <c r="X58398" s="8"/>
      <c r="Y58398" s="8"/>
      <c r="Z58398" s="8"/>
      <c r="AA58398" s="8"/>
    </row>
    <row r="58399" spans="19:27" x14ac:dyDescent="0.25">
      <c r="S58399" s="8"/>
      <c r="T58399" s="8"/>
      <c r="U58399" s="8"/>
      <c r="V58399" s="8"/>
      <c r="W58399" s="8"/>
      <c r="X58399" s="8"/>
      <c r="Y58399" s="8"/>
      <c r="Z58399" s="8"/>
      <c r="AA58399" s="8"/>
    </row>
    <row r="58400" spans="19:27" x14ac:dyDescent="0.25">
      <c r="S58400" s="8"/>
      <c r="T58400" s="8"/>
      <c r="U58400" s="8"/>
      <c r="V58400" s="8"/>
      <c r="W58400" s="8"/>
      <c r="X58400" s="8"/>
      <c r="Y58400" s="8"/>
      <c r="Z58400" s="8"/>
      <c r="AA58400" s="8"/>
    </row>
    <row r="58401" spans="19:27" x14ac:dyDescent="0.25">
      <c r="S58401" s="8"/>
      <c r="T58401" s="8"/>
      <c r="U58401" s="8"/>
      <c r="V58401" s="8"/>
      <c r="W58401" s="8"/>
      <c r="X58401" s="8"/>
      <c r="Y58401" s="8"/>
      <c r="Z58401" s="8"/>
      <c r="AA58401" s="8"/>
    </row>
    <row r="58402" spans="19:27" x14ac:dyDescent="0.25">
      <c r="S58402" s="8"/>
      <c r="T58402" s="8"/>
      <c r="U58402" s="8"/>
      <c r="V58402" s="8"/>
      <c r="W58402" s="8"/>
      <c r="X58402" s="8"/>
      <c r="Y58402" s="8"/>
      <c r="Z58402" s="8"/>
      <c r="AA58402" s="8"/>
    </row>
    <row r="58403" spans="19:27" x14ac:dyDescent="0.25">
      <c r="S58403" s="8"/>
      <c r="T58403" s="8"/>
      <c r="U58403" s="8"/>
      <c r="V58403" s="8"/>
      <c r="W58403" s="8"/>
      <c r="X58403" s="8"/>
      <c r="Y58403" s="8"/>
      <c r="Z58403" s="8"/>
      <c r="AA58403" s="8"/>
    </row>
    <row r="58404" spans="19:27" x14ac:dyDescent="0.25">
      <c r="S58404" s="8"/>
      <c r="T58404" s="8"/>
      <c r="U58404" s="8"/>
      <c r="V58404" s="8"/>
      <c r="W58404" s="8"/>
      <c r="X58404" s="8"/>
      <c r="Y58404" s="8"/>
      <c r="Z58404" s="8"/>
      <c r="AA58404" s="8"/>
    </row>
    <row r="58405" spans="19:27" x14ac:dyDescent="0.25">
      <c r="S58405" s="8"/>
      <c r="T58405" s="8"/>
      <c r="U58405" s="8"/>
      <c r="V58405" s="8"/>
      <c r="W58405" s="8"/>
      <c r="X58405" s="8"/>
      <c r="Y58405" s="8"/>
      <c r="Z58405" s="8"/>
      <c r="AA58405" s="8"/>
    </row>
    <row r="58406" spans="19:27" x14ac:dyDescent="0.25">
      <c r="S58406" s="8"/>
      <c r="T58406" s="8"/>
      <c r="U58406" s="8"/>
      <c r="V58406" s="8"/>
      <c r="W58406" s="8"/>
      <c r="X58406" s="8"/>
      <c r="Y58406" s="8"/>
      <c r="Z58406" s="8"/>
      <c r="AA58406" s="8"/>
    </row>
    <row r="58407" spans="19:27" x14ac:dyDescent="0.25">
      <c r="S58407" s="8"/>
      <c r="T58407" s="8"/>
      <c r="U58407" s="8"/>
      <c r="V58407" s="8"/>
      <c r="W58407" s="8"/>
      <c r="X58407" s="8"/>
      <c r="Y58407" s="8"/>
      <c r="Z58407" s="8"/>
      <c r="AA58407" s="8"/>
    </row>
    <row r="58408" spans="19:27" x14ac:dyDescent="0.25">
      <c r="S58408" s="8"/>
      <c r="T58408" s="8"/>
      <c r="U58408" s="8"/>
      <c r="V58408" s="8"/>
      <c r="W58408" s="8"/>
      <c r="X58408" s="8"/>
      <c r="Y58408" s="8"/>
      <c r="Z58408" s="8"/>
      <c r="AA58408" s="8"/>
    </row>
    <row r="58409" spans="19:27" x14ac:dyDescent="0.25">
      <c r="S58409" s="8"/>
      <c r="T58409" s="8"/>
      <c r="U58409" s="8"/>
      <c r="V58409" s="8"/>
      <c r="W58409" s="8"/>
      <c r="X58409" s="8"/>
      <c r="Y58409" s="8"/>
      <c r="Z58409" s="8"/>
      <c r="AA58409" s="8"/>
    </row>
    <row r="58410" spans="19:27" x14ac:dyDescent="0.25">
      <c r="S58410" s="8"/>
      <c r="T58410" s="8"/>
      <c r="U58410" s="8"/>
      <c r="V58410" s="8"/>
      <c r="W58410" s="8"/>
      <c r="X58410" s="8"/>
      <c r="Y58410" s="8"/>
      <c r="Z58410" s="8"/>
      <c r="AA58410" s="8"/>
    </row>
    <row r="58411" spans="19:27" x14ac:dyDescent="0.25">
      <c r="S58411" s="8"/>
      <c r="T58411" s="8"/>
      <c r="U58411" s="8"/>
      <c r="V58411" s="8"/>
      <c r="W58411" s="8"/>
      <c r="X58411" s="8"/>
      <c r="Y58411" s="8"/>
      <c r="Z58411" s="8"/>
      <c r="AA58411" s="8"/>
    </row>
    <row r="58412" spans="19:27" x14ac:dyDescent="0.25">
      <c r="S58412" s="8"/>
      <c r="T58412" s="8"/>
      <c r="U58412" s="8"/>
      <c r="V58412" s="8"/>
      <c r="W58412" s="8"/>
      <c r="X58412" s="8"/>
      <c r="Y58412" s="8"/>
      <c r="Z58412" s="8"/>
      <c r="AA58412" s="8"/>
    </row>
    <row r="58413" spans="19:27" x14ac:dyDescent="0.25">
      <c r="S58413" s="8"/>
      <c r="T58413" s="8"/>
      <c r="U58413" s="8"/>
      <c r="V58413" s="8"/>
      <c r="W58413" s="8"/>
      <c r="X58413" s="8"/>
      <c r="Y58413" s="8"/>
      <c r="Z58413" s="8"/>
      <c r="AA58413" s="8"/>
    </row>
    <row r="58414" spans="19:27" x14ac:dyDescent="0.25">
      <c r="S58414" s="8"/>
      <c r="T58414" s="8"/>
      <c r="U58414" s="8"/>
      <c r="V58414" s="8"/>
      <c r="W58414" s="8"/>
      <c r="X58414" s="8"/>
      <c r="Y58414" s="8"/>
      <c r="Z58414" s="8"/>
      <c r="AA58414" s="8"/>
    </row>
    <row r="58415" spans="19:27" x14ac:dyDescent="0.25">
      <c r="S58415" s="8"/>
      <c r="T58415" s="8"/>
      <c r="U58415" s="8"/>
      <c r="V58415" s="8"/>
      <c r="W58415" s="8"/>
      <c r="X58415" s="8"/>
      <c r="Y58415" s="8"/>
      <c r="Z58415" s="8"/>
      <c r="AA58415" s="8"/>
    </row>
    <row r="58416" spans="19:27" x14ac:dyDescent="0.25">
      <c r="S58416" s="8"/>
      <c r="T58416" s="8"/>
      <c r="U58416" s="8"/>
      <c r="V58416" s="8"/>
      <c r="W58416" s="8"/>
      <c r="X58416" s="8"/>
      <c r="Y58416" s="8"/>
      <c r="Z58416" s="8"/>
      <c r="AA58416" s="8"/>
    </row>
    <row r="58417" spans="19:27" x14ac:dyDescent="0.25">
      <c r="S58417" s="8"/>
      <c r="T58417" s="8"/>
      <c r="U58417" s="8"/>
      <c r="V58417" s="8"/>
      <c r="W58417" s="8"/>
      <c r="X58417" s="8"/>
      <c r="Y58417" s="8"/>
      <c r="Z58417" s="8"/>
      <c r="AA58417" s="8"/>
    </row>
    <row r="58418" spans="19:27" x14ac:dyDescent="0.25">
      <c r="S58418" s="8"/>
      <c r="T58418" s="8"/>
      <c r="U58418" s="8"/>
      <c r="V58418" s="8"/>
      <c r="W58418" s="8"/>
      <c r="X58418" s="8"/>
      <c r="Y58418" s="8"/>
      <c r="Z58418" s="8"/>
      <c r="AA58418" s="8"/>
    </row>
    <row r="58419" spans="19:27" x14ac:dyDescent="0.25">
      <c r="S58419" s="8"/>
      <c r="T58419" s="8"/>
      <c r="U58419" s="8"/>
      <c r="V58419" s="8"/>
      <c r="W58419" s="8"/>
      <c r="X58419" s="8"/>
      <c r="Y58419" s="8"/>
      <c r="Z58419" s="8"/>
      <c r="AA58419" s="8"/>
    </row>
    <row r="58420" spans="19:27" x14ac:dyDescent="0.25">
      <c r="S58420" s="8"/>
      <c r="T58420" s="8"/>
      <c r="U58420" s="8"/>
      <c r="V58420" s="8"/>
      <c r="W58420" s="8"/>
      <c r="X58420" s="8"/>
      <c r="Y58420" s="8"/>
      <c r="Z58420" s="8"/>
      <c r="AA58420" s="8"/>
    </row>
    <row r="58421" spans="19:27" x14ac:dyDescent="0.25">
      <c r="S58421" s="8"/>
      <c r="T58421" s="8"/>
      <c r="U58421" s="8"/>
      <c r="V58421" s="8"/>
      <c r="W58421" s="8"/>
      <c r="X58421" s="8"/>
      <c r="Y58421" s="8"/>
      <c r="Z58421" s="8"/>
      <c r="AA58421" s="8"/>
    </row>
    <row r="58422" spans="19:27" x14ac:dyDescent="0.25">
      <c r="S58422" s="8"/>
      <c r="T58422" s="8"/>
      <c r="U58422" s="8"/>
      <c r="V58422" s="8"/>
      <c r="W58422" s="8"/>
      <c r="X58422" s="8"/>
      <c r="Y58422" s="8"/>
      <c r="Z58422" s="8"/>
      <c r="AA58422" s="8"/>
    </row>
    <row r="58423" spans="19:27" x14ac:dyDescent="0.25">
      <c r="S58423" s="8"/>
      <c r="T58423" s="8"/>
      <c r="U58423" s="8"/>
      <c r="V58423" s="8"/>
      <c r="W58423" s="8"/>
      <c r="X58423" s="8"/>
      <c r="Y58423" s="8"/>
      <c r="Z58423" s="8"/>
      <c r="AA58423" s="8"/>
    </row>
    <row r="58424" spans="19:27" x14ac:dyDescent="0.25">
      <c r="S58424" s="8"/>
      <c r="T58424" s="8"/>
      <c r="U58424" s="8"/>
      <c r="V58424" s="8"/>
      <c r="W58424" s="8"/>
      <c r="X58424" s="8"/>
      <c r="Y58424" s="8"/>
      <c r="Z58424" s="8"/>
      <c r="AA58424" s="8"/>
    </row>
    <row r="58425" spans="19:27" x14ac:dyDescent="0.25">
      <c r="S58425" s="8"/>
      <c r="T58425" s="8"/>
      <c r="U58425" s="8"/>
      <c r="V58425" s="8"/>
      <c r="W58425" s="8"/>
      <c r="X58425" s="8"/>
      <c r="Y58425" s="8"/>
      <c r="Z58425" s="8"/>
      <c r="AA58425" s="8"/>
    </row>
    <row r="58426" spans="19:27" x14ac:dyDescent="0.25">
      <c r="S58426" s="8"/>
      <c r="T58426" s="8"/>
      <c r="U58426" s="8"/>
      <c r="V58426" s="8"/>
      <c r="W58426" s="8"/>
      <c r="X58426" s="8"/>
      <c r="Y58426" s="8"/>
      <c r="Z58426" s="8"/>
      <c r="AA58426" s="8"/>
    </row>
    <row r="58427" spans="19:27" x14ac:dyDescent="0.25">
      <c r="S58427" s="8"/>
      <c r="T58427" s="8"/>
      <c r="U58427" s="8"/>
      <c r="V58427" s="8"/>
      <c r="W58427" s="8"/>
      <c r="X58427" s="8"/>
      <c r="Y58427" s="8"/>
      <c r="Z58427" s="8"/>
      <c r="AA58427" s="8"/>
    </row>
    <row r="58428" spans="19:27" x14ac:dyDescent="0.25">
      <c r="S58428" s="8"/>
      <c r="T58428" s="8"/>
      <c r="U58428" s="8"/>
      <c r="V58428" s="8"/>
      <c r="W58428" s="8"/>
      <c r="X58428" s="8"/>
      <c r="Y58428" s="8"/>
      <c r="Z58428" s="8"/>
      <c r="AA58428" s="8"/>
    </row>
    <row r="58429" spans="19:27" x14ac:dyDescent="0.25">
      <c r="S58429" s="8"/>
      <c r="T58429" s="8"/>
      <c r="U58429" s="8"/>
      <c r="V58429" s="8"/>
      <c r="W58429" s="8"/>
      <c r="X58429" s="8"/>
      <c r="Y58429" s="8"/>
      <c r="Z58429" s="8"/>
      <c r="AA58429" s="8"/>
    </row>
    <row r="58430" spans="19:27" x14ac:dyDescent="0.25">
      <c r="S58430" s="8"/>
      <c r="T58430" s="8"/>
      <c r="U58430" s="8"/>
      <c r="V58430" s="8"/>
      <c r="W58430" s="8"/>
      <c r="X58430" s="8"/>
      <c r="Y58430" s="8"/>
      <c r="Z58430" s="8"/>
      <c r="AA58430" s="8"/>
    </row>
    <row r="58431" spans="19:27" x14ac:dyDescent="0.25">
      <c r="S58431" s="8"/>
      <c r="T58431" s="8"/>
      <c r="U58431" s="8"/>
      <c r="V58431" s="8"/>
      <c r="W58431" s="8"/>
      <c r="X58431" s="8"/>
      <c r="Y58431" s="8"/>
      <c r="Z58431" s="8"/>
      <c r="AA58431" s="8"/>
    </row>
    <row r="58432" spans="19:27" x14ac:dyDescent="0.25">
      <c r="S58432" s="8"/>
      <c r="T58432" s="8"/>
      <c r="U58432" s="8"/>
      <c r="V58432" s="8"/>
      <c r="W58432" s="8"/>
      <c r="X58432" s="8"/>
      <c r="Y58432" s="8"/>
      <c r="Z58432" s="8"/>
      <c r="AA58432" s="8"/>
    </row>
    <row r="58433" spans="19:27" x14ac:dyDescent="0.25">
      <c r="S58433" s="8"/>
      <c r="T58433" s="8"/>
      <c r="U58433" s="8"/>
      <c r="V58433" s="8"/>
      <c r="W58433" s="8"/>
      <c r="X58433" s="8"/>
      <c r="Y58433" s="8"/>
      <c r="Z58433" s="8"/>
      <c r="AA58433" s="8"/>
    </row>
    <row r="58434" spans="19:27" x14ac:dyDescent="0.25">
      <c r="S58434" s="8"/>
      <c r="T58434" s="8"/>
      <c r="U58434" s="8"/>
      <c r="V58434" s="8"/>
      <c r="W58434" s="8"/>
      <c r="X58434" s="8"/>
      <c r="Y58434" s="8"/>
      <c r="Z58434" s="8"/>
      <c r="AA58434" s="8"/>
    </row>
    <row r="58435" spans="19:27" x14ac:dyDescent="0.25">
      <c r="S58435" s="8"/>
      <c r="T58435" s="8"/>
      <c r="U58435" s="8"/>
      <c r="V58435" s="8"/>
      <c r="W58435" s="8"/>
      <c r="X58435" s="8"/>
      <c r="Y58435" s="8"/>
      <c r="Z58435" s="8"/>
      <c r="AA58435" s="8"/>
    </row>
    <row r="58436" spans="19:27" x14ac:dyDescent="0.25">
      <c r="S58436" s="8"/>
      <c r="T58436" s="8"/>
      <c r="U58436" s="8"/>
      <c r="V58436" s="8"/>
      <c r="W58436" s="8"/>
      <c r="X58436" s="8"/>
      <c r="Y58436" s="8"/>
      <c r="Z58436" s="8"/>
      <c r="AA58436" s="8"/>
    </row>
    <row r="58437" spans="19:27" x14ac:dyDescent="0.25">
      <c r="S58437" s="8"/>
      <c r="T58437" s="8"/>
      <c r="U58437" s="8"/>
      <c r="V58437" s="8"/>
      <c r="W58437" s="8"/>
      <c r="X58437" s="8"/>
      <c r="Y58437" s="8"/>
      <c r="Z58437" s="8"/>
      <c r="AA58437" s="8"/>
    </row>
    <row r="58438" spans="19:27" x14ac:dyDescent="0.25">
      <c r="S58438" s="8"/>
      <c r="T58438" s="8"/>
      <c r="U58438" s="8"/>
      <c r="V58438" s="8"/>
      <c r="W58438" s="8"/>
      <c r="X58438" s="8"/>
      <c r="Y58438" s="8"/>
      <c r="Z58438" s="8"/>
      <c r="AA58438" s="8"/>
    </row>
    <row r="58439" spans="19:27" x14ac:dyDescent="0.25">
      <c r="S58439" s="8"/>
      <c r="T58439" s="8"/>
      <c r="U58439" s="8"/>
      <c r="V58439" s="8"/>
      <c r="W58439" s="8"/>
      <c r="X58439" s="8"/>
      <c r="Y58439" s="8"/>
      <c r="Z58439" s="8"/>
      <c r="AA58439" s="8"/>
    </row>
    <row r="58440" spans="19:27" x14ac:dyDescent="0.25">
      <c r="S58440" s="8"/>
      <c r="T58440" s="8"/>
      <c r="U58440" s="8"/>
      <c r="V58440" s="8"/>
      <c r="W58440" s="8"/>
      <c r="X58440" s="8"/>
      <c r="Y58440" s="8"/>
      <c r="Z58440" s="8"/>
      <c r="AA58440" s="8"/>
    </row>
    <row r="58441" spans="19:27" x14ac:dyDescent="0.25">
      <c r="S58441" s="8"/>
      <c r="T58441" s="8"/>
      <c r="U58441" s="8"/>
      <c r="V58441" s="8"/>
      <c r="W58441" s="8"/>
      <c r="X58441" s="8"/>
      <c r="Y58441" s="8"/>
      <c r="Z58441" s="8"/>
      <c r="AA58441" s="8"/>
    </row>
    <row r="58442" spans="19:27" x14ac:dyDescent="0.25">
      <c r="S58442" s="8"/>
      <c r="T58442" s="8"/>
      <c r="U58442" s="8"/>
      <c r="V58442" s="8"/>
      <c r="W58442" s="8"/>
      <c r="X58442" s="8"/>
      <c r="Y58442" s="8"/>
      <c r="Z58442" s="8"/>
      <c r="AA58442" s="8"/>
    </row>
    <row r="58443" spans="19:27" x14ac:dyDescent="0.25">
      <c r="S58443" s="8"/>
      <c r="T58443" s="8"/>
      <c r="U58443" s="8"/>
      <c r="V58443" s="8"/>
      <c r="W58443" s="8"/>
      <c r="X58443" s="8"/>
      <c r="Y58443" s="8"/>
      <c r="Z58443" s="8"/>
      <c r="AA58443" s="8"/>
    </row>
    <row r="58444" spans="19:27" x14ac:dyDescent="0.25">
      <c r="S58444" s="8"/>
      <c r="T58444" s="8"/>
      <c r="U58444" s="8"/>
      <c r="V58444" s="8"/>
      <c r="W58444" s="8"/>
      <c r="X58444" s="8"/>
      <c r="Y58444" s="8"/>
      <c r="Z58444" s="8"/>
      <c r="AA58444" s="8"/>
    </row>
    <row r="58445" spans="19:27" x14ac:dyDescent="0.25">
      <c r="S58445" s="8"/>
      <c r="T58445" s="8"/>
      <c r="U58445" s="8"/>
      <c r="V58445" s="8"/>
      <c r="W58445" s="8"/>
      <c r="X58445" s="8"/>
      <c r="Y58445" s="8"/>
      <c r="Z58445" s="8"/>
      <c r="AA58445" s="8"/>
    </row>
    <row r="58446" spans="19:27" x14ac:dyDescent="0.25">
      <c r="S58446" s="8"/>
      <c r="T58446" s="8"/>
      <c r="U58446" s="8"/>
      <c r="V58446" s="8"/>
      <c r="W58446" s="8"/>
      <c r="X58446" s="8"/>
      <c r="Y58446" s="8"/>
      <c r="Z58446" s="8"/>
      <c r="AA58446" s="8"/>
    </row>
    <row r="58447" spans="19:27" x14ac:dyDescent="0.25">
      <c r="S58447" s="8"/>
      <c r="T58447" s="8"/>
      <c r="U58447" s="8"/>
      <c r="V58447" s="8"/>
      <c r="W58447" s="8"/>
      <c r="X58447" s="8"/>
      <c r="Y58447" s="8"/>
      <c r="Z58447" s="8"/>
      <c r="AA58447" s="8"/>
    </row>
    <row r="58448" spans="19:27" x14ac:dyDescent="0.25">
      <c r="S58448" s="8"/>
      <c r="T58448" s="8"/>
      <c r="U58448" s="8"/>
      <c r="V58448" s="8"/>
      <c r="W58448" s="8"/>
      <c r="X58448" s="8"/>
      <c r="Y58448" s="8"/>
      <c r="Z58448" s="8"/>
      <c r="AA58448" s="8"/>
    </row>
    <row r="58449" spans="19:27" x14ac:dyDescent="0.25">
      <c r="S58449" s="8"/>
      <c r="T58449" s="8"/>
      <c r="U58449" s="8"/>
      <c r="V58449" s="8"/>
      <c r="W58449" s="8"/>
      <c r="X58449" s="8"/>
      <c r="Y58449" s="8"/>
      <c r="Z58449" s="8"/>
      <c r="AA58449" s="8"/>
    </row>
    <row r="58450" spans="19:27" x14ac:dyDescent="0.25">
      <c r="S58450" s="8"/>
      <c r="T58450" s="8"/>
      <c r="U58450" s="8"/>
      <c r="V58450" s="8"/>
      <c r="W58450" s="8"/>
      <c r="X58450" s="8"/>
      <c r="Y58450" s="8"/>
      <c r="Z58450" s="8"/>
      <c r="AA58450" s="8"/>
    </row>
    <row r="58451" spans="19:27" x14ac:dyDescent="0.25">
      <c r="S58451" s="8"/>
      <c r="T58451" s="8"/>
      <c r="U58451" s="8"/>
      <c r="V58451" s="8"/>
      <c r="W58451" s="8"/>
      <c r="X58451" s="8"/>
      <c r="Y58451" s="8"/>
      <c r="Z58451" s="8"/>
      <c r="AA58451" s="8"/>
    </row>
    <row r="58452" spans="19:27" x14ac:dyDescent="0.25">
      <c r="S58452" s="8"/>
      <c r="T58452" s="8"/>
      <c r="U58452" s="8"/>
      <c r="V58452" s="8"/>
      <c r="W58452" s="8"/>
      <c r="X58452" s="8"/>
      <c r="Y58452" s="8"/>
      <c r="Z58452" s="8"/>
      <c r="AA58452" s="8"/>
    </row>
    <row r="58453" spans="19:27" x14ac:dyDescent="0.25">
      <c r="S58453" s="8"/>
      <c r="T58453" s="8"/>
      <c r="U58453" s="8"/>
      <c r="V58453" s="8"/>
      <c r="W58453" s="8"/>
      <c r="X58453" s="8"/>
      <c r="Y58453" s="8"/>
      <c r="Z58453" s="8"/>
      <c r="AA58453" s="8"/>
    </row>
    <row r="58454" spans="19:27" x14ac:dyDescent="0.25">
      <c r="S58454" s="8"/>
      <c r="T58454" s="8"/>
      <c r="U58454" s="8"/>
      <c r="V58454" s="8"/>
      <c r="W58454" s="8"/>
      <c r="X58454" s="8"/>
      <c r="Y58454" s="8"/>
      <c r="Z58454" s="8"/>
      <c r="AA58454" s="8"/>
    </row>
    <row r="58455" spans="19:27" x14ac:dyDescent="0.25">
      <c r="S58455" s="8"/>
      <c r="T58455" s="8"/>
      <c r="U58455" s="8"/>
      <c r="V58455" s="8"/>
      <c r="W58455" s="8"/>
      <c r="X58455" s="8"/>
      <c r="Y58455" s="8"/>
      <c r="Z58455" s="8"/>
      <c r="AA58455" s="8"/>
    </row>
    <row r="58456" spans="19:27" x14ac:dyDescent="0.25">
      <c r="S58456" s="8"/>
      <c r="T58456" s="8"/>
      <c r="U58456" s="8"/>
      <c r="V58456" s="8"/>
      <c r="W58456" s="8"/>
      <c r="X58456" s="8"/>
      <c r="Y58456" s="8"/>
      <c r="Z58456" s="8"/>
      <c r="AA58456" s="8"/>
    </row>
    <row r="58457" spans="19:27" x14ac:dyDescent="0.25">
      <c r="S58457" s="8"/>
      <c r="T58457" s="8"/>
      <c r="U58457" s="8"/>
      <c r="V58457" s="8"/>
      <c r="W58457" s="8"/>
      <c r="X58457" s="8"/>
      <c r="Y58457" s="8"/>
      <c r="Z58457" s="8"/>
      <c r="AA58457" s="8"/>
    </row>
    <row r="58458" spans="19:27" x14ac:dyDescent="0.25">
      <c r="S58458" s="8"/>
      <c r="T58458" s="8"/>
      <c r="U58458" s="8"/>
      <c r="V58458" s="8"/>
      <c r="W58458" s="8"/>
      <c r="X58458" s="8"/>
      <c r="Y58458" s="8"/>
      <c r="Z58458" s="8"/>
      <c r="AA58458" s="8"/>
    </row>
    <row r="58459" spans="19:27" x14ac:dyDescent="0.25">
      <c r="S58459" s="8"/>
      <c r="T58459" s="8"/>
      <c r="U58459" s="8"/>
      <c r="V58459" s="8"/>
      <c r="W58459" s="8"/>
      <c r="X58459" s="8"/>
      <c r="Y58459" s="8"/>
      <c r="Z58459" s="8"/>
      <c r="AA58459" s="8"/>
    </row>
    <row r="58460" spans="19:27" x14ac:dyDescent="0.25">
      <c r="S58460" s="8"/>
      <c r="T58460" s="8"/>
      <c r="U58460" s="8"/>
      <c r="V58460" s="8"/>
      <c r="W58460" s="8"/>
      <c r="X58460" s="8"/>
      <c r="Y58460" s="8"/>
      <c r="Z58460" s="8"/>
      <c r="AA58460" s="8"/>
    </row>
    <row r="58461" spans="19:27" x14ac:dyDescent="0.25">
      <c r="S58461" s="8"/>
      <c r="T58461" s="8"/>
      <c r="U58461" s="8"/>
      <c r="V58461" s="8"/>
      <c r="W58461" s="8"/>
      <c r="X58461" s="8"/>
      <c r="Y58461" s="8"/>
      <c r="Z58461" s="8"/>
      <c r="AA58461" s="8"/>
    </row>
    <row r="58462" spans="19:27" x14ac:dyDescent="0.25">
      <c r="S58462" s="8"/>
      <c r="T58462" s="8"/>
      <c r="U58462" s="8"/>
      <c r="V58462" s="8"/>
      <c r="W58462" s="8"/>
      <c r="X58462" s="8"/>
      <c r="Y58462" s="8"/>
      <c r="Z58462" s="8"/>
      <c r="AA58462" s="8"/>
    </row>
    <row r="58463" spans="19:27" x14ac:dyDescent="0.25">
      <c r="S58463" s="8"/>
      <c r="T58463" s="8"/>
      <c r="U58463" s="8"/>
      <c r="V58463" s="8"/>
      <c r="W58463" s="8"/>
      <c r="X58463" s="8"/>
      <c r="Y58463" s="8"/>
      <c r="Z58463" s="8"/>
      <c r="AA58463" s="8"/>
    </row>
    <row r="58464" spans="19:27" x14ac:dyDescent="0.25">
      <c r="S58464" s="8"/>
      <c r="T58464" s="8"/>
      <c r="U58464" s="8"/>
      <c r="V58464" s="8"/>
      <c r="W58464" s="8"/>
      <c r="X58464" s="8"/>
      <c r="Y58464" s="8"/>
      <c r="Z58464" s="8"/>
      <c r="AA58464" s="8"/>
    </row>
    <row r="58465" spans="19:27" x14ac:dyDescent="0.25">
      <c r="S58465" s="8"/>
      <c r="T58465" s="8"/>
      <c r="U58465" s="8"/>
      <c r="V58465" s="8"/>
      <c r="W58465" s="8"/>
      <c r="X58465" s="8"/>
      <c r="Y58465" s="8"/>
      <c r="Z58465" s="8"/>
      <c r="AA58465" s="8"/>
    </row>
    <row r="58466" spans="19:27" x14ac:dyDescent="0.25">
      <c r="S58466" s="8"/>
      <c r="T58466" s="8"/>
      <c r="U58466" s="8"/>
      <c r="V58466" s="8"/>
      <c r="W58466" s="8"/>
      <c r="X58466" s="8"/>
      <c r="Y58466" s="8"/>
      <c r="Z58466" s="8"/>
      <c r="AA58466" s="8"/>
    </row>
    <row r="58467" spans="19:27" x14ac:dyDescent="0.25">
      <c r="S58467" s="8"/>
      <c r="T58467" s="8"/>
      <c r="U58467" s="8"/>
      <c r="V58467" s="8"/>
      <c r="W58467" s="8"/>
      <c r="X58467" s="8"/>
      <c r="Y58467" s="8"/>
      <c r="Z58467" s="8"/>
      <c r="AA58467" s="8"/>
    </row>
    <row r="58468" spans="19:27" x14ac:dyDescent="0.25">
      <c r="S58468" s="8"/>
      <c r="T58468" s="8"/>
      <c r="U58468" s="8"/>
      <c r="V58468" s="8"/>
      <c r="W58468" s="8"/>
      <c r="X58468" s="8"/>
      <c r="Y58468" s="8"/>
      <c r="Z58468" s="8"/>
      <c r="AA58468" s="8"/>
    </row>
    <row r="58469" spans="19:27" x14ac:dyDescent="0.25">
      <c r="S58469" s="8"/>
      <c r="T58469" s="8"/>
      <c r="U58469" s="8"/>
      <c r="V58469" s="8"/>
      <c r="W58469" s="8"/>
      <c r="X58469" s="8"/>
      <c r="Y58469" s="8"/>
      <c r="Z58469" s="8"/>
      <c r="AA58469" s="8"/>
    </row>
    <row r="58470" spans="19:27" x14ac:dyDescent="0.25">
      <c r="S58470" s="8"/>
      <c r="T58470" s="8"/>
      <c r="U58470" s="8"/>
      <c r="V58470" s="8"/>
      <c r="W58470" s="8"/>
      <c r="X58470" s="8"/>
      <c r="Y58470" s="8"/>
      <c r="Z58470" s="8"/>
      <c r="AA58470" s="8"/>
    </row>
    <row r="58471" spans="19:27" x14ac:dyDescent="0.25">
      <c r="S58471" s="8"/>
      <c r="T58471" s="8"/>
      <c r="U58471" s="8"/>
      <c r="V58471" s="8"/>
      <c r="W58471" s="8"/>
      <c r="X58471" s="8"/>
      <c r="Y58471" s="8"/>
      <c r="Z58471" s="8"/>
      <c r="AA58471" s="8"/>
    </row>
    <row r="58472" spans="19:27" x14ac:dyDescent="0.25">
      <c r="S58472" s="8"/>
      <c r="T58472" s="8"/>
      <c r="U58472" s="8"/>
      <c r="V58472" s="8"/>
      <c r="W58472" s="8"/>
      <c r="X58472" s="8"/>
      <c r="Y58472" s="8"/>
      <c r="Z58472" s="8"/>
      <c r="AA58472" s="8"/>
    </row>
    <row r="58473" spans="19:27" x14ac:dyDescent="0.25">
      <c r="S58473" s="8"/>
      <c r="T58473" s="8"/>
      <c r="U58473" s="8"/>
      <c r="V58473" s="8"/>
      <c r="W58473" s="8"/>
      <c r="X58473" s="8"/>
      <c r="Y58473" s="8"/>
      <c r="Z58473" s="8"/>
      <c r="AA58473" s="8"/>
    </row>
    <row r="58474" spans="19:27" x14ac:dyDescent="0.25">
      <c r="S58474" s="8"/>
      <c r="T58474" s="8"/>
      <c r="U58474" s="8"/>
      <c r="V58474" s="8"/>
      <c r="W58474" s="8"/>
      <c r="X58474" s="8"/>
      <c r="Y58474" s="8"/>
      <c r="Z58474" s="8"/>
      <c r="AA58474" s="8"/>
    </row>
    <row r="58475" spans="19:27" x14ac:dyDescent="0.25">
      <c r="S58475" s="8"/>
      <c r="T58475" s="8"/>
      <c r="U58475" s="8"/>
      <c r="V58475" s="8"/>
      <c r="W58475" s="8"/>
      <c r="X58475" s="8"/>
      <c r="Y58475" s="8"/>
      <c r="Z58475" s="8"/>
      <c r="AA58475" s="8"/>
    </row>
    <row r="58476" spans="19:27" x14ac:dyDescent="0.25">
      <c r="S58476" s="8"/>
      <c r="T58476" s="8"/>
      <c r="U58476" s="8"/>
      <c r="V58476" s="8"/>
      <c r="W58476" s="8"/>
      <c r="X58476" s="8"/>
      <c r="Y58476" s="8"/>
      <c r="Z58476" s="8"/>
      <c r="AA58476" s="8"/>
    </row>
    <row r="58477" spans="19:27" x14ac:dyDescent="0.25">
      <c r="S58477" s="8"/>
      <c r="T58477" s="8"/>
      <c r="U58477" s="8"/>
      <c r="V58477" s="8"/>
      <c r="W58477" s="8"/>
      <c r="X58477" s="8"/>
      <c r="Y58477" s="8"/>
      <c r="Z58477" s="8"/>
      <c r="AA58477" s="8"/>
    </row>
    <row r="58478" spans="19:27" x14ac:dyDescent="0.25">
      <c r="S58478" s="8"/>
      <c r="T58478" s="8"/>
      <c r="U58478" s="8"/>
      <c r="V58478" s="8"/>
      <c r="W58478" s="8"/>
      <c r="X58478" s="8"/>
      <c r="Y58478" s="8"/>
      <c r="Z58478" s="8"/>
      <c r="AA58478" s="8"/>
    </row>
    <row r="58479" spans="19:27" x14ac:dyDescent="0.25">
      <c r="S58479" s="8"/>
      <c r="T58479" s="8"/>
      <c r="U58479" s="8"/>
      <c r="V58479" s="8"/>
      <c r="W58479" s="8"/>
      <c r="X58479" s="8"/>
      <c r="Y58479" s="8"/>
      <c r="Z58479" s="8"/>
      <c r="AA58479" s="8"/>
    </row>
    <row r="58480" spans="19:27" x14ac:dyDescent="0.25">
      <c r="S58480" s="8"/>
      <c r="T58480" s="8"/>
      <c r="U58480" s="8"/>
      <c r="V58480" s="8"/>
      <c r="W58480" s="8"/>
      <c r="X58480" s="8"/>
      <c r="Y58480" s="8"/>
      <c r="Z58480" s="8"/>
      <c r="AA58480" s="8"/>
    </row>
    <row r="58481" spans="19:27" x14ac:dyDescent="0.25">
      <c r="S58481" s="8"/>
      <c r="T58481" s="8"/>
      <c r="U58481" s="8"/>
      <c r="V58481" s="8"/>
      <c r="W58481" s="8"/>
      <c r="X58481" s="8"/>
      <c r="Y58481" s="8"/>
      <c r="Z58481" s="8"/>
      <c r="AA58481" s="8"/>
    </row>
    <row r="58482" spans="19:27" x14ac:dyDescent="0.25">
      <c r="S58482" s="8"/>
      <c r="T58482" s="8"/>
      <c r="U58482" s="8"/>
      <c r="V58482" s="8"/>
      <c r="W58482" s="8"/>
      <c r="X58482" s="8"/>
      <c r="Y58482" s="8"/>
      <c r="Z58482" s="8"/>
      <c r="AA58482" s="8"/>
    </row>
    <row r="58483" spans="19:27" x14ac:dyDescent="0.25">
      <c r="S58483" s="8"/>
      <c r="T58483" s="8"/>
      <c r="U58483" s="8"/>
      <c r="V58483" s="8"/>
      <c r="W58483" s="8"/>
      <c r="X58483" s="8"/>
      <c r="Y58483" s="8"/>
      <c r="Z58483" s="8"/>
      <c r="AA58483" s="8"/>
    </row>
    <row r="58484" spans="19:27" x14ac:dyDescent="0.25">
      <c r="S58484" s="8"/>
      <c r="T58484" s="8"/>
      <c r="U58484" s="8"/>
      <c r="V58484" s="8"/>
      <c r="W58484" s="8"/>
      <c r="X58484" s="8"/>
      <c r="Y58484" s="8"/>
      <c r="Z58484" s="8"/>
      <c r="AA58484" s="8"/>
    </row>
    <row r="58485" spans="19:27" x14ac:dyDescent="0.25">
      <c r="S58485" s="8"/>
      <c r="T58485" s="8"/>
      <c r="U58485" s="8"/>
      <c r="V58485" s="8"/>
      <c r="W58485" s="8"/>
      <c r="X58485" s="8"/>
      <c r="Y58485" s="8"/>
      <c r="Z58485" s="8"/>
      <c r="AA58485" s="8"/>
    </row>
    <row r="58486" spans="19:27" x14ac:dyDescent="0.25">
      <c r="S58486" s="8"/>
      <c r="T58486" s="8"/>
      <c r="U58486" s="8"/>
      <c r="V58486" s="8"/>
      <c r="W58486" s="8"/>
      <c r="X58486" s="8"/>
      <c r="Y58486" s="8"/>
      <c r="Z58486" s="8"/>
      <c r="AA58486" s="8"/>
    </row>
    <row r="58487" spans="19:27" x14ac:dyDescent="0.25">
      <c r="S58487" s="8"/>
      <c r="T58487" s="8"/>
      <c r="U58487" s="8"/>
      <c r="V58487" s="8"/>
      <c r="W58487" s="8"/>
      <c r="X58487" s="8"/>
      <c r="Y58487" s="8"/>
      <c r="Z58487" s="8"/>
      <c r="AA58487" s="8"/>
    </row>
    <row r="58488" spans="19:27" x14ac:dyDescent="0.25">
      <c r="S58488" s="8"/>
      <c r="T58488" s="8"/>
      <c r="U58488" s="8"/>
      <c r="V58488" s="8"/>
      <c r="W58488" s="8"/>
      <c r="X58488" s="8"/>
      <c r="Y58488" s="8"/>
      <c r="Z58488" s="8"/>
      <c r="AA58488" s="8"/>
    </row>
    <row r="58489" spans="19:27" x14ac:dyDescent="0.25">
      <c r="S58489" s="8"/>
      <c r="T58489" s="8"/>
      <c r="U58489" s="8"/>
      <c r="V58489" s="8"/>
      <c r="W58489" s="8"/>
      <c r="X58489" s="8"/>
      <c r="Y58489" s="8"/>
      <c r="Z58489" s="8"/>
      <c r="AA58489" s="8"/>
    </row>
    <row r="58490" spans="19:27" x14ac:dyDescent="0.25">
      <c r="S58490" s="8"/>
      <c r="T58490" s="8"/>
      <c r="U58490" s="8"/>
      <c r="V58490" s="8"/>
      <c r="W58490" s="8"/>
      <c r="X58490" s="8"/>
      <c r="Y58490" s="8"/>
      <c r="Z58490" s="8"/>
      <c r="AA58490" s="8"/>
    </row>
    <row r="58491" spans="19:27" x14ac:dyDescent="0.25">
      <c r="S58491" s="8"/>
      <c r="T58491" s="8"/>
      <c r="U58491" s="8"/>
      <c r="V58491" s="8"/>
      <c r="W58491" s="8"/>
      <c r="X58491" s="8"/>
      <c r="Y58491" s="8"/>
      <c r="Z58491" s="8"/>
      <c r="AA58491" s="8"/>
    </row>
    <row r="58492" spans="19:27" x14ac:dyDescent="0.25">
      <c r="S58492" s="8"/>
      <c r="T58492" s="8"/>
      <c r="U58492" s="8"/>
      <c r="V58492" s="8"/>
      <c r="W58492" s="8"/>
      <c r="X58492" s="8"/>
      <c r="Y58492" s="8"/>
      <c r="Z58492" s="8"/>
      <c r="AA58492" s="8"/>
    </row>
    <row r="58493" spans="19:27" x14ac:dyDescent="0.25">
      <c r="S58493" s="8"/>
      <c r="T58493" s="8"/>
      <c r="U58493" s="8"/>
      <c r="V58493" s="8"/>
      <c r="W58493" s="8"/>
      <c r="X58493" s="8"/>
      <c r="Y58493" s="8"/>
      <c r="Z58493" s="8"/>
      <c r="AA58493" s="8"/>
    </row>
    <row r="58494" spans="19:27" x14ac:dyDescent="0.25">
      <c r="S58494" s="8"/>
      <c r="T58494" s="8"/>
      <c r="U58494" s="8"/>
      <c r="V58494" s="8"/>
      <c r="W58494" s="8"/>
      <c r="X58494" s="8"/>
      <c r="Y58494" s="8"/>
      <c r="Z58494" s="8"/>
      <c r="AA58494" s="8"/>
    </row>
    <row r="58495" spans="19:27" x14ac:dyDescent="0.25">
      <c r="S58495" s="8"/>
      <c r="T58495" s="8"/>
      <c r="U58495" s="8"/>
      <c r="V58495" s="8"/>
      <c r="W58495" s="8"/>
      <c r="X58495" s="8"/>
      <c r="Y58495" s="8"/>
      <c r="Z58495" s="8"/>
      <c r="AA58495" s="8"/>
    </row>
    <row r="58496" spans="19:27" x14ac:dyDescent="0.25">
      <c r="S58496" s="8"/>
      <c r="T58496" s="8"/>
      <c r="U58496" s="8"/>
      <c r="V58496" s="8"/>
      <c r="W58496" s="8"/>
      <c r="X58496" s="8"/>
      <c r="Y58496" s="8"/>
      <c r="Z58496" s="8"/>
      <c r="AA58496" s="8"/>
    </row>
    <row r="58497" spans="19:27" x14ac:dyDescent="0.25">
      <c r="S58497" s="8"/>
      <c r="T58497" s="8"/>
      <c r="U58497" s="8"/>
      <c r="V58497" s="8"/>
      <c r="W58497" s="8"/>
      <c r="X58497" s="8"/>
      <c r="Y58497" s="8"/>
      <c r="Z58497" s="8"/>
      <c r="AA58497" s="8"/>
    </row>
    <row r="58498" spans="19:27" x14ac:dyDescent="0.25">
      <c r="S58498" s="8"/>
      <c r="T58498" s="8"/>
      <c r="U58498" s="8"/>
      <c r="V58498" s="8"/>
      <c r="W58498" s="8"/>
      <c r="X58498" s="8"/>
      <c r="Y58498" s="8"/>
      <c r="Z58498" s="8"/>
      <c r="AA58498" s="8"/>
    </row>
    <row r="58499" spans="19:27" x14ac:dyDescent="0.25">
      <c r="S58499" s="8"/>
      <c r="T58499" s="8"/>
      <c r="U58499" s="8"/>
      <c r="V58499" s="8"/>
      <c r="W58499" s="8"/>
      <c r="X58499" s="8"/>
      <c r="Y58499" s="8"/>
      <c r="Z58499" s="8"/>
      <c r="AA58499" s="8"/>
    </row>
    <row r="58500" spans="19:27" x14ac:dyDescent="0.25">
      <c r="S58500" s="8"/>
      <c r="T58500" s="8"/>
      <c r="U58500" s="8"/>
      <c r="V58500" s="8"/>
      <c r="W58500" s="8"/>
      <c r="X58500" s="8"/>
      <c r="Y58500" s="8"/>
      <c r="Z58500" s="8"/>
      <c r="AA58500" s="8"/>
    </row>
    <row r="58501" spans="19:27" x14ac:dyDescent="0.25">
      <c r="S58501" s="8"/>
      <c r="T58501" s="8"/>
      <c r="U58501" s="8"/>
      <c r="V58501" s="8"/>
      <c r="W58501" s="8"/>
      <c r="X58501" s="8"/>
      <c r="Y58501" s="8"/>
      <c r="Z58501" s="8"/>
      <c r="AA58501" s="8"/>
    </row>
    <row r="58502" spans="19:27" x14ac:dyDescent="0.25">
      <c r="S58502" s="8"/>
      <c r="T58502" s="8"/>
      <c r="U58502" s="8"/>
      <c r="V58502" s="8"/>
      <c r="W58502" s="8"/>
      <c r="X58502" s="8"/>
      <c r="Y58502" s="8"/>
      <c r="Z58502" s="8"/>
      <c r="AA58502" s="8"/>
    </row>
    <row r="58503" spans="19:27" x14ac:dyDescent="0.25">
      <c r="S58503" s="8"/>
      <c r="T58503" s="8"/>
      <c r="U58503" s="8"/>
      <c r="V58503" s="8"/>
      <c r="W58503" s="8"/>
      <c r="X58503" s="8"/>
      <c r="Y58503" s="8"/>
      <c r="Z58503" s="8"/>
      <c r="AA58503" s="8"/>
    </row>
    <row r="58504" spans="19:27" x14ac:dyDescent="0.25">
      <c r="S58504" s="8"/>
      <c r="T58504" s="8"/>
      <c r="U58504" s="8"/>
      <c r="V58504" s="8"/>
      <c r="W58504" s="8"/>
      <c r="X58504" s="8"/>
      <c r="Y58504" s="8"/>
      <c r="Z58504" s="8"/>
      <c r="AA58504" s="8"/>
    </row>
    <row r="58505" spans="19:27" x14ac:dyDescent="0.25">
      <c r="S58505" s="8"/>
      <c r="T58505" s="8"/>
      <c r="U58505" s="8"/>
      <c r="V58505" s="8"/>
      <c r="W58505" s="8"/>
      <c r="X58505" s="8"/>
      <c r="Y58505" s="8"/>
      <c r="Z58505" s="8"/>
      <c r="AA58505" s="8"/>
    </row>
    <row r="58506" spans="19:27" x14ac:dyDescent="0.25">
      <c r="S58506" s="8"/>
      <c r="T58506" s="8"/>
      <c r="U58506" s="8"/>
      <c r="V58506" s="8"/>
      <c r="W58506" s="8"/>
      <c r="X58506" s="8"/>
      <c r="Y58506" s="8"/>
      <c r="Z58506" s="8"/>
      <c r="AA58506" s="8"/>
    </row>
    <row r="58507" spans="19:27" x14ac:dyDescent="0.25">
      <c r="S58507" s="8"/>
      <c r="T58507" s="8"/>
      <c r="U58507" s="8"/>
      <c r="V58507" s="8"/>
      <c r="W58507" s="8"/>
      <c r="X58507" s="8"/>
      <c r="Y58507" s="8"/>
      <c r="Z58507" s="8"/>
      <c r="AA58507" s="8"/>
    </row>
    <row r="58508" spans="19:27" x14ac:dyDescent="0.25">
      <c r="S58508" s="8"/>
      <c r="T58508" s="8"/>
      <c r="U58508" s="8"/>
      <c r="V58508" s="8"/>
      <c r="W58508" s="8"/>
      <c r="X58508" s="8"/>
      <c r="Y58508" s="8"/>
      <c r="Z58508" s="8"/>
      <c r="AA58508" s="8"/>
    </row>
    <row r="58509" spans="19:27" x14ac:dyDescent="0.25">
      <c r="S58509" s="8"/>
      <c r="T58509" s="8"/>
      <c r="U58509" s="8"/>
      <c r="V58509" s="8"/>
      <c r="W58509" s="8"/>
      <c r="X58509" s="8"/>
      <c r="Y58509" s="8"/>
      <c r="Z58509" s="8"/>
      <c r="AA58509" s="8"/>
    </row>
    <row r="58510" spans="19:27" x14ac:dyDescent="0.25">
      <c r="S58510" s="8"/>
      <c r="T58510" s="8"/>
      <c r="U58510" s="8"/>
      <c r="V58510" s="8"/>
      <c r="W58510" s="8"/>
      <c r="X58510" s="8"/>
      <c r="Y58510" s="8"/>
      <c r="Z58510" s="8"/>
      <c r="AA58510" s="8"/>
    </row>
    <row r="58511" spans="19:27" x14ac:dyDescent="0.25">
      <c r="S58511" s="8"/>
      <c r="T58511" s="8"/>
      <c r="U58511" s="8"/>
      <c r="V58511" s="8"/>
      <c r="W58511" s="8"/>
      <c r="X58511" s="8"/>
      <c r="Y58511" s="8"/>
      <c r="Z58511" s="8"/>
      <c r="AA58511" s="8"/>
    </row>
    <row r="58512" spans="19:27" x14ac:dyDescent="0.25">
      <c r="S58512" s="8"/>
      <c r="T58512" s="8"/>
      <c r="U58512" s="8"/>
      <c r="V58512" s="8"/>
      <c r="W58512" s="8"/>
      <c r="X58512" s="8"/>
      <c r="Y58512" s="8"/>
      <c r="Z58512" s="8"/>
      <c r="AA58512" s="8"/>
    </row>
    <row r="58513" spans="19:27" x14ac:dyDescent="0.25">
      <c r="S58513" s="8"/>
      <c r="T58513" s="8"/>
      <c r="U58513" s="8"/>
      <c r="V58513" s="8"/>
      <c r="W58513" s="8"/>
      <c r="X58513" s="8"/>
      <c r="Y58513" s="8"/>
      <c r="Z58513" s="8"/>
      <c r="AA58513" s="8"/>
    </row>
    <row r="58514" spans="19:27" x14ac:dyDescent="0.25">
      <c r="S58514" s="8"/>
      <c r="T58514" s="8"/>
      <c r="U58514" s="8"/>
      <c r="V58514" s="8"/>
      <c r="W58514" s="8"/>
      <c r="X58514" s="8"/>
      <c r="Y58514" s="8"/>
      <c r="Z58514" s="8"/>
      <c r="AA58514" s="8"/>
    </row>
    <row r="58515" spans="19:27" x14ac:dyDescent="0.25">
      <c r="S58515" s="8"/>
      <c r="T58515" s="8"/>
      <c r="U58515" s="8"/>
      <c r="V58515" s="8"/>
      <c r="W58515" s="8"/>
      <c r="X58515" s="8"/>
      <c r="Y58515" s="8"/>
      <c r="Z58515" s="8"/>
      <c r="AA58515" s="8"/>
    </row>
    <row r="58516" spans="19:27" x14ac:dyDescent="0.25">
      <c r="S58516" s="8"/>
      <c r="T58516" s="8"/>
      <c r="U58516" s="8"/>
      <c r="V58516" s="8"/>
      <c r="W58516" s="8"/>
      <c r="X58516" s="8"/>
      <c r="Y58516" s="8"/>
      <c r="Z58516" s="8"/>
      <c r="AA58516" s="8"/>
    </row>
    <row r="58517" spans="19:27" x14ac:dyDescent="0.25">
      <c r="S58517" s="8"/>
      <c r="T58517" s="8"/>
      <c r="U58517" s="8"/>
      <c r="V58517" s="8"/>
      <c r="W58517" s="8"/>
      <c r="X58517" s="8"/>
      <c r="Y58517" s="8"/>
      <c r="Z58517" s="8"/>
      <c r="AA58517" s="8"/>
    </row>
    <row r="58518" spans="19:27" x14ac:dyDescent="0.25">
      <c r="S58518" s="8"/>
      <c r="T58518" s="8"/>
      <c r="U58518" s="8"/>
      <c r="V58518" s="8"/>
      <c r="W58518" s="8"/>
      <c r="X58518" s="8"/>
      <c r="Y58518" s="8"/>
      <c r="Z58518" s="8"/>
      <c r="AA58518" s="8"/>
    </row>
    <row r="58519" spans="19:27" x14ac:dyDescent="0.25">
      <c r="S58519" s="8"/>
      <c r="T58519" s="8"/>
      <c r="U58519" s="8"/>
      <c r="V58519" s="8"/>
      <c r="W58519" s="8"/>
      <c r="X58519" s="8"/>
      <c r="Y58519" s="8"/>
      <c r="Z58519" s="8"/>
      <c r="AA58519" s="8"/>
    </row>
    <row r="58520" spans="19:27" x14ac:dyDescent="0.25">
      <c r="S58520" s="8"/>
      <c r="T58520" s="8"/>
      <c r="U58520" s="8"/>
      <c r="V58520" s="8"/>
      <c r="W58520" s="8"/>
      <c r="X58520" s="8"/>
      <c r="Y58520" s="8"/>
      <c r="Z58520" s="8"/>
      <c r="AA58520" s="8"/>
    </row>
    <row r="58521" spans="19:27" x14ac:dyDescent="0.25">
      <c r="S58521" s="8"/>
      <c r="T58521" s="8"/>
      <c r="U58521" s="8"/>
      <c r="V58521" s="8"/>
      <c r="W58521" s="8"/>
      <c r="X58521" s="8"/>
      <c r="Y58521" s="8"/>
      <c r="Z58521" s="8"/>
      <c r="AA58521" s="8"/>
    </row>
    <row r="58522" spans="19:27" x14ac:dyDescent="0.25">
      <c r="S58522" s="8"/>
      <c r="T58522" s="8"/>
      <c r="U58522" s="8"/>
      <c r="V58522" s="8"/>
      <c r="W58522" s="8"/>
      <c r="X58522" s="8"/>
      <c r="Y58522" s="8"/>
      <c r="Z58522" s="8"/>
      <c r="AA58522" s="8"/>
    </row>
    <row r="58523" spans="19:27" x14ac:dyDescent="0.25">
      <c r="S58523" s="8"/>
      <c r="T58523" s="8"/>
      <c r="U58523" s="8"/>
      <c r="V58523" s="8"/>
      <c r="W58523" s="8"/>
      <c r="X58523" s="8"/>
      <c r="Y58523" s="8"/>
      <c r="Z58523" s="8"/>
      <c r="AA58523" s="8"/>
    </row>
    <row r="58524" spans="19:27" x14ac:dyDescent="0.25">
      <c r="S58524" s="8"/>
      <c r="T58524" s="8"/>
      <c r="U58524" s="8"/>
      <c r="V58524" s="8"/>
      <c r="W58524" s="8"/>
      <c r="X58524" s="8"/>
      <c r="Y58524" s="8"/>
      <c r="Z58524" s="8"/>
      <c r="AA58524" s="8"/>
    </row>
    <row r="58525" spans="19:27" x14ac:dyDescent="0.25">
      <c r="S58525" s="8"/>
      <c r="T58525" s="8"/>
      <c r="U58525" s="8"/>
      <c r="V58525" s="8"/>
      <c r="W58525" s="8"/>
      <c r="X58525" s="8"/>
      <c r="Y58525" s="8"/>
      <c r="Z58525" s="8"/>
      <c r="AA58525" s="8"/>
    </row>
    <row r="58526" spans="19:27" x14ac:dyDescent="0.25">
      <c r="S58526" s="8"/>
      <c r="T58526" s="8"/>
      <c r="U58526" s="8"/>
      <c r="V58526" s="8"/>
      <c r="W58526" s="8"/>
      <c r="X58526" s="8"/>
      <c r="Y58526" s="8"/>
      <c r="Z58526" s="8"/>
      <c r="AA58526" s="8"/>
    </row>
    <row r="58527" spans="19:27" x14ac:dyDescent="0.25">
      <c r="S58527" s="8"/>
      <c r="T58527" s="8"/>
      <c r="U58527" s="8"/>
      <c r="V58527" s="8"/>
      <c r="W58527" s="8"/>
      <c r="X58527" s="8"/>
      <c r="Y58527" s="8"/>
      <c r="Z58527" s="8"/>
      <c r="AA58527" s="8"/>
    </row>
    <row r="58528" spans="19:27" x14ac:dyDescent="0.25">
      <c r="S58528" s="8"/>
      <c r="T58528" s="8"/>
      <c r="U58528" s="8"/>
      <c r="V58528" s="8"/>
      <c r="W58528" s="8"/>
      <c r="X58528" s="8"/>
      <c r="Y58528" s="8"/>
      <c r="Z58528" s="8"/>
      <c r="AA58528" s="8"/>
    </row>
    <row r="58529" spans="19:27" x14ac:dyDescent="0.25">
      <c r="S58529" s="8"/>
      <c r="T58529" s="8"/>
      <c r="U58529" s="8"/>
      <c r="V58529" s="8"/>
      <c r="W58529" s="8"/>
      <c r="X58529" s="8"/>
      <c r="Y58529" s="8"/>
      <c r="Z58529" s="8"/>
      <c r="AA58529" s="8"/>
    </row>
    <row r="58530" spans="19:27" x14ac:dyDescent="0.25">
      <c r="S58530" s="8"/>
      <c r="T58530" s="8"/>
      <c r="U58530" s="8"/>
      <c r="V58530" s="8"/>
      <c r="W58530" s="8"/>
      <c r="X58530" s="8"/>
      <c r="Y58530" s="8"/>
      <c r="Z58530" s="8"/>
      <c r="AA58530" s="8"/>
    </row>
    <row r="58531" spans="19:27" x14ac:dyDescent="0.25">
      <c r="S58531" s="8"/>
      <c r="T58531" s="8"/>
      <c r="U58531" s="8"/>
      <c r="V58531" s="8"/>
      <c r="W58531" s="8"/>
      <c r="X58531" s="8"/>
      <c r="Y58531" s="8"/>
      <c r="Z58531" s="8"/>
      <c r="AA58531" s="8"/>
    </row>
    <row r="58532" spans="19:27" x14ac:dyDescent="0.25">
      <c r="S58532" s="8"/>
      <c r="T58532" s="8"/>
      <c r="U58532" s="8"/>
      <c r="V58532" s="8"/>
      <c r="W58532" s="8"/>
      <c r="X58532" s="8"/>
      <c r="Y58532" s="8"/>
      <c r="Z58532" s="8"/>
      <c r="AA58532" s="8"/>
    </row>
    <row r="58533" spans="19:27" x14ac:dyDescent="0.25">
      <c r="S58533" s="8"/>
      <c r="T58533" s="8"/>
      <c r="U58533" s="8"/>
      <c r="V58533" s="8"/>
      <c r="W58533" s="8"/>
      <c r="X58533" s="8"/>
      <c r="Y58533" s="8"/>
      <c r="Z58533" s="8"/>
      <c r="AA58533" s="8"/>
    </row>
    <row r="58534" spans="19:27" x14ac:dyDescent="0.25">
      <c r="S58534" s="8"/>
      <c r="T58534" s="8"/>
      <c r="U58534" s="8"/>
      <c r="V58534" s="8"/>
      <c r="W58534" s="8"/>
      <c r="X58534" s="8"/>
      <c r="Y58534" s="8"/>
      <c r="Z58534" s="8"/>
      <c r="AA58534" s="8"/>
    </row>
    <row r="58535" spans="19:27" x14ac:dyDescent="0.25">
      <c r="S58535" s="8"/>
      <c r="T58535" s="8"/>
      <c r="U58535" s="8"/>
      <c r="V58535" s="8"/>
      <c r="W58535" s="8"/>
      <c r="X58535" s="8"/>
      <c r="Y58535" s="8"/>
      <c r="Z58535" s="8"/>
      <c r="AA58535" s="8"/>
    </row>
    <row r="58536" spans="19:27" x14ac:dyDescent="0.25">
      <c r="S58536" s="8"/>
      <c r="T58536" s="8"/>
      <c r="U58536" s="8"/>
      <c r="V58536" s="8"/>
      <c r="W58536" s="8"/>
      <c r="X58536" s="8"/>
      <c r="Y58536" s="8"/>
      <c r="Z58536" s="8"/>
      <c r="AA58536" s="8"/>
    </row>
    <row r="58537" spans="19:27" x14ac:dyDescent="0.25">
      <c r="S58537" s="8"/>
      <c r="T58537" s="8"/>
      <c r="U58537" s="8"/>
      <c r="V58537" s="8"/>
      <c r="W58537" s="8"/>
      <c r="X58537" s="8"/>
      <c r="Y58537" s="8"/>
      <c r="Z58537" s="8"/>
      <c r="AA58537" s="8"/>
    </row>
    <row r="58538" spans="19:27" x14ac:dyDescent="0.25">
      <c r="S58538" s="8"/>
      <c r="T58538" s="8"/>
      <c r="U58538" s="8"/>
      <c r="V58538" s="8"/>
      <c r="W58538" s="8"/>
      <c r="X58538" s="8"/>
      <c r="Y58538" s="8"/>
      <c r="Z58538" s="8"/>
      <c r="AA58538" s="8"/>
    </row>
    <row r="58539" spans="19:27" x14ac:dyDescent="0.25">
      <c r="S58539" s="8"/>
      <c r="T58539" s="8"/>
      <c r="U58539" s="8"/>
      <c r="V58539" s="8"/>
      <c r="W58539" s="8"/>
      <c r="X58539" s="8"/>
      <c r="Y58539" s="8"/>
      <c r="Z58539" s="8"/>
      <c r="AA58539" s="8"/>
    </row>
    <row r="58540" spans="19:27" x14ac:dyDescent="0.25">
      <c r="S58540" s="8"/>
      <c r="T58540" s="8"/>
      <c r="U58540" s="8"/>
      <c r="V58540" s="8"/>
      <c r="W58540" s="8"/>
      <c r="X58540" s="8"/>
      <c r="Y58540" s="8"/>
      <c r="Z58540" s="8"/>
      <c r="AA58540" s="8"/>
    </row>
    <row r="58541" spans="19:27" x14ac:dyDescent="0.25">
      <c r="S58541" s="8"/>
      <c r="T58541" s="8"/>
      <c r="U58541" s="8"/>
      <c r="V58541" s="8"/>
      <c r="W58541" s="8"/>
      <c r="X58541" s="8"/>
      <c r="Y58541" s="8"/>
      <c r="Z58541" s="8"/>
      <c r="AA58541" s="8"/>
    </row>
    <row r="58542" spans="19:27" x14ac:dyDescent="0.25">
      <c r="S58542" s="8"/>
      <c r="T58542" s="8"/>
      <c r="U58542" s="8"/>
      <c r="V58542" s="8"/>
      <c r="W58542" s="8"/>
      <c r="X58542" s="8"/>
      <c r="Y58542" s="8"/>
      <c r="Z58542" s="8"/>
      <c r="AA58542" s="8"/>
    </row>
    <row r="58543" spans="19:27" x14ac:dyDescent="0.25">
      <c r="S58543" s="8"/>
      <c r="T58543" s="8"/>
      <c r="U58543" s="8"/>
      <c r="V58543" s="8"/>
      <c r="W58543" s="8"/>
      <c r="X58543" s="8"/>
      <c r="Y58543" s="8"/>
      <c r="Z58543" s="8"/>
      <c r="AA58543" s="8"/>
    </row>
    <row r="58544" spans="19:27" x14ac:dyDescent="0.25">
      <c r="S58544" s="8"/>
      <c r="T58544" s="8"/>
      <c r="U58544" s="8"/>
      <c r="V58544" s="8"/>
      <c r="W58544" s="8"/>
      <c r="X58544" s="8"/>
      <c r="Y58544" s="8"/>
      <c r="Z58544" s="8"/>
      <c r="AA58544" s="8"/>
    </row>
    <row r="58545" spans="1:27" x14ac:dyDescent="0.25">
      <c r="S58545" s="8"/>
      <c r="T58545" s="8"/>
      <c r="U58545" s="8"/>
      <c r="V58545" s="8"/>
      <c r="W58545" s="8"/>
      <c r="X58545" s="8"/>
      <c r="Y58545" s="8"/>
      <c r="Z58545" s="8"/>
      <c r="AA58545" s="8"/>
    </row>
    <row r="58546" spans="1:27" x14ac:dyDescent="0.25">
      <c r="S58546" s="8"/>
      <c r="T58546" s="8"/>
      <c r="U58546" s="8"/>
      <c r="V58546" s="8"/>
      <c r="W58546" s="8"/>
      <c r="X58546" s="8"/>
      <c r="Y58546" s="8"/>
      <c r="Z58546" s="8"/>
      <c r="AA58546" s="8"/>
    </row>
    <row r="58547" spans="1:27" x14ac:dyDescent="0.25">
      <c r="S58547" s="8"/>
      <c r="T58547" s="8"/>
      <c r="U58547" s="8"/>
      <c r="V58547" s="8"/>
      <c r="W58547" s="8"/>
      <c r="X58547" s="8"/>
      <c r="Y58547" s="8"/>
      <c r="Z58547" s="8"/>
      <c r="AA58547" s="8"/>
    </row>
    <row r="58548" spans="1:27" x14ac:dyDescent="0.25">
      <c r="S58548" s="8"/>
      <c r="T58548" s="8"/>
      <c r="U58548" s="8"/>
      <c r="V58548" s="8"/>
      <c r="W58548" s="8"/>
      <c r="X58548" s="8"/>
      <c r="Y58548" s="8"/>
      <c r="Z58548" s="8"/>
      <c r="AA58548" s="8"/>
    </row>
    <row r="58549" spans="1:27" x14ac:dyDescent="0.25">
      <c r="S58549" s="8"/>
      <c r="T58549" s="8"/>
      <c r="U58549" s="8"/>
      <c r="V58549" s="8"/>
      <c r="W58549" s="8"/>
      <c r="X58549" s="8"/>
      <c r="Y58549" s="8"/>
      <c r="Z58549" s="8"/>
      <c r="AA58549" s="8"/>
    </row>
    <row r="58550" spans="1:27" x14ac:dyDescent="0.25">
      <c r="A58550" s="8"/>
      <c r="B58550" s="8"/>
      <c r="C58550" s="60"/>
      <c r="D58550" s="8"/>
      <c r="E58550" s="8"/>
      <c r="F58550" s="8"/>
      <c r="G58550" s="8"/>
      <c r="H58550" s="8"/>
      <c r="I58550" s="63"/>
      <c r="J58550" s="8"/>
      <c r="K58550" s="8"/>
      <c r="L58550" s="8"/>
      <c r="M58550" s="8"/>
      <c r="N58550" s="8"/>
      <c r="O58550" s="8"/>
      <c r="P58550" s="8"/>
      <c r="Q58550" s="8"/>
      <c r="R58550" s="64"/>
      <c r="S58550" s="8"/>
      <c r="T58550" s="8"/>
      <c r="U58550" s="8"/>
      <c r="V58550" s="8"/>
      <c r="W58550" s="8"/>
      <c r="X58550" s="8"/>
      <c r="Y58550" s="8"/>
      <c r="Z58550" s="8"/>
      <c r="AA58550" s="8"/>
    </row>
    <row r="58551" spans="1:27" x14ac:dyDescent="0.25">
      <c r="A58551" s="8"/>
      <c r="B58551" s="8"/>
      <c r="C58551" s="60"/>
      <c r="D58551" s="8"/>
      <c r="E58551" s="8"/>
      <c r="F58551" s="8"/>
      <c r="G58551" s="8"/>
      <c r="H58551" s="8"/>
      <c r="I58551" s="63"/>
      <c r="J58551" s="8"/>
      <c r="K58551" s="8"/>
      <c r="L58551" s="8"/>
      <c r="M58551" s="8"/>
      <c r="N58551" s="8"/>
      <c r="O58551" s="8"/>
      <c r="P58551" s="8"/>
      <c r="Q58551" s="8"/>
      <c r="R58551" s="64"/>
      <c r="S58551" s="8"/>
      <c r="T58551" s="8"/>
      <c r="U58551" s="8"/>
      <c r="V58551" s="8"/>
      <c r="W58551" s="8"/>
      <c r="X58551" s="8"/>
      <c r="Y58551" s="8"/>
      <c r="Z58551" s="8"/>
      <c r="AA58551" s="8"/>
    </row>
    <row r="58552" spans="1:27" x14ac:dyDescent="0.25">
      <c r="A58552" s="8"/>
      <c r="B58552" s="8"/>
      <c r="C58552" s="60"/>
      <c r="D58552" s="8"/>
      <c r="E58552" s="8"/>
      <c r="F58552" s="8"/>
      <c r="G58552" s="8"/>
      <c r="H58552" s="8"/>
      <c r="I58552" s="63"/>
      <c r="J58552" s="8"/>
      <c r="K58552" s="8"/>
      <c r="L58552" s="8"/>
      <c r="M58552" s="8"/>
      <c r="N58552" s="8"/>
      <c r="O58552" s="8"/>
      <c r="P58552" s="8"/>
      <c r="Q58552" s="8"/>
      <c r="R58552" s="64"/>
      <c r="S58552" s="8"/>
      <c r="T58552" s="8"/>
      <c r="U58552" s="8"/>
      <c r="V58552" s="8"/>
      <c r="W58552" s="8"/>
      <c r="X58552" s="8"/>
      <c r="Y58552" s="8"/>
      <c r="Z58552" s="8"/>
      <c r="AA58552" s="8"/>
    </row>
    <row r="58553" spans="1:27" x14ac:dyDescent="0.25">
      <c r="A58553" s="8"/>
      <c r="B58553" s="8"/>
      <c r="C58553" s="60"/>
      <c r="D58553" s="8"/>
      <c r="E58553" s="8"/>
      <c r="F58553" s="8"/>
      <c r="G58553" s="8"/>
      <c r="H58553" s="8"/>
      <c r="I58553" s="63"/>
      <c r="J58553" s="8"/>
      <c r="K58553" s="8"/>
      <c r="L58553" s="8"/>
      <c r="M58553" s="8"/>
      <c r="N58553" s="8"/>
      <c r="O58553" s="8"/>
      <c r="P58553" s="8"/>
      <c r="Q58553" s="8"/>
      <c r="R58553" s="64"/>
      <c r="S58553" s="8"/>
      <c r="T58553" s="8"/>
      <c r="U58553" s="8"/>
      <c r="V58553" s="8"/>
      <c r="W58553" s="8"/>
      <c r="X58553" s="8"/>
      <c r="Y58553" s="8"/>
      <c r="Z58553" s="8"/>
      <c r="AA58553" s="8"/>
    </row>
    <row r="58554" spans="1:27" x14ac:dyDescent="0.25">
      <c r="A58554" s="8"/>
      <c r="B58554" s="8"/>
      <c r="C58554" s="60"/>
      <c r="D58554" s="8"/>
      <c r="E58554" s="8"/>
      <c r="F58554" s="8"/>
      <c r="G58554" s="8"/>
      <c r="H58554" s="8"/>
      <c r="I58554" s="63"/>
      <c r="J58554" s="8"/>
      <c r="K58554" s="8"/>
      <c r="L58554" s="8"/>
      <c r="M58554" s="8"/>
      <c r="N58554" s="8"/>
      <c r="O58554" s="8"/>
      <c r="P58554" s="8"/>
      <c r="Q58554" s="8"/>
      <c r="R58554" s="64"/>
      <c r="S58554" s="8"/>
      <c r="T58554" s="8"/>
      <c r="U58554" s="8"/>
      <c r="V58554" s="8"/>
      <c r="W58554" s="8"/>
      <c r="X58554" s="8"/>
      <c r="Y58554" s="8"/>
      <c r="Z58554" s="8"/>
      <c r="AA58554" s="8"/>
    </row>
    <row r="58555" spans="1:27" x14ac:dyDescent="0.25">
      <c r="A58555" s="8"/>
      <c r="B58555" s="8"/>
      <c r="C58555" s="60"/>
      <c r="D58555" s="8"/>
      <c r="E58555" s="8"/>
      <c r="F58555" s="8"/>
      <c r="G58555" s="8"/>
      <c r="H58555" s="8"/>
      <c r="I58555" s="63"/>
      <c r="J58555" s="8"/>
      <c r="K58555" s="8"/>
      <c r="L58555" s="8"/>
      <c r="M58555" s="8"/>
      <c r="N58555" s="8"/>
      <c r="O58555" s="8"/>
      <c r="P58555" s="8"/>
      <c r="Q58555" s="8"/>
      <c r="R58555" s="64"/>
      <c r="S58555" s="8"/>
      <c r="T58555" s="8"/>
      <c r="U58555" s="8"/>
      <c r="V58555" s="8"/>
      <c r="W58555" s="8"/>
      <c r="X58555" s="8"/>
      <c r="Y58555" s="8"/>
      <c r="Z58555" s="8"/>
      <c r="AA58555" s="8"/>
    </row>
    <row r="58556" spans="1:27" x14ac:dyDescent="0.25">
      <c r="A58556" s="8"/>
      <c r="B58556" s="8"/>
      <c r="C58556" s="60"/>
      <c r="D58556" s="8"/>
      <c r="E58556" s="8"/>
      <c r="F58556" s="8"/>
      <c r="G58556" s="8"/>
      <c r="H58556" s="8"/>
      <c r="I58556" s="63"/>
      <c r="J58556" s="8"/>
      <c r="K58556" s="8"/>
      <c r="L58556" s="8"/>
      <c r="M58556" s="8"/>
      <c r="N58556" s="8"/>
      <c r="O58556" s="8"/>
      <c r="P58556" s="8"/>
      <c r="Q58556" s="8"/>
      <c r="R58556" s="64"/>
      <c r="S58556" s="8"/>
      <c r="T58556" s="8"/>
      <c r="U58556" s="8"/>
      <c r="V58556" s="8"/>
      <c r="W58556" s="8"/>
      <c r="X58556" s="8"/>
      <c r="Y58556" s="8"/>
      <c r="Z58556" s="8"/>
      <c r="AA58556" s="8"/>
    </row>
    <row r="58557" spans="1:27" x14ac:dyDescent="0.25">
      <c r="A58557" s="8"/>
      <c r="B58557" s="8"/>
      <c r="C58557" s="60"/>
      <c r="D58557" s="8"/>
      <c r="E58557" s="8"/>
      <c r="F58557" s="8"/>
      <c r="G58557" s="8"/>
      <c r="H58557" s="8"/>
      <c r="I58557" s="63"/>
      <c r="J58557" s="8"/>
      <c r="K58557" s="8"/>
      <c r="L58557" s="8"/>
      <c r="M58557" s="8"/>
      <c r="N58557" s="8"/>
      <c r="O58557" s="8"/>
      <c r="P58557" s="8"/>
      <c r="Q58557" s="8"/>
      <c r="R58557" s="64"/>
      <c r="S58557" s="8"/>
      <c r="T58557" s="8"/>
      <c r="U58557" s="8"/>
      <c r="V58557" s="8"/>
      <c r="W58557" s="8"/>
      <c r="X58557" s="8"/>
      <c r="Y58557" s="8"/>
      <c r="Z58557" s="8"/>
      <c r="AA58557" s="8"/>
    </row>
    <row r="58558" spans="1:27" x14ac:dyDescent="0.25">
      <c r="A58558" s="8"/>
      <c r="B58558" s="8"/>
      <c r="C58558" s="60"/>
      <c r="D58558" s="8"/>
      <c r="E58558" s="8"/>
      <c r="F58558" s="8"/>
      <c r="G58558" s="8"/>
      <c r="H58558" s="8"/>
      <c r="I58558" s="63"/>
      <c r="J58558" s="8"/>
      <c r="K58558" s="8"/>
      <c r="L58558" s="8"/>
      <c r="M58558" s="8"/>
      <c r="N58558" s="8"/>
      <c r="O58558" s="8"/>
      <c r="P58558" s="8"/>
      <c r="Q58558" s="8"/>
      <c r="R58558" s="64"/>
      <c r="S58558" s="8"/>
      <c r="T58558" s="8"/>
      <c r="U58558" s="8"/>
      <c r="V58558" s="8"/>
      <c r="W58558" s="8"/>
      <c r="X58558" s="8"/>
      <c r="Y58558" s="8"/>
      <c r="Z58558" s="8"/>
      <c r="AA58558" s="8"/>
    </row>
    <row r="58559" spans="1:27" x14ac:dyDescent="0.25">
      <c r="A58559" s="8"/>
      <c r="B58559" s="8"/>
      <c r="C58559" s="60"/>
      <c r="D58559" s="8"/>
      <c r="E58559" s="8"/>
      <c r="F58559" s="8"/>
      <c r="G58559" s="8"/>
      <c r="H58559" s="8"/>
      <c r="I58559" s="63"/>
      <c r="J58559" s="8"/>
      <c r="K58559" s="8"/>
      <c r="L58559" s="8"/>
      <c r="M58559" s="8"/>
      <c r="N58559" s="8"/>
      <c r="O58559" s="8"/>
      <c r="P58559" s="8"/>
      <c r="Q58559" s="8"/>
      <c r="R58559" s="64"/>
      <c r="S58559" s="8"/>
      <c r="T58559" s="8"/>
      <c r="U58559" s="8"/>
      <c r="V58559" s="8"/>
      <c r="W58559" s="8"/>
      <c r="X58559" s="8"/>
      <c r="Y58559" s="8"/>
      <c r="Z58559" s="8"/>
      <c r="AA58559" s="8"/>
    </row>
    <row r="58560" spans="1:27" x14ac:dyDescent="0.25">
      <c r="A58560" s="8"/>
      <c r="B58560" s="8"/>
      <c r="C58560" s="60"/>
      <c r="D58560" s="8"/>
      <c r="E58560" s="8"/>
      <c r="F58560" s="8"/>
      <c r="G58560" s="8"/>
      <c r="H58560" s="8"/>
      <c r="I58560" s="63"/>
      <c r="J58560" s="8"/>
      <c r="K58560" s="8"/>
      <c r="L58560" s="8"/>
      <c r="M58560" s="8"/>
      <c r="N58560" s="8"/>
      <c r="O58560" s="8"/>
      <c r="P58560" s="8"/>
      <c r="Q58560" s="8"/>
      <c r="R58560" s="64"/>
      <c r="S58560" s="8"/>
      <c r="T58560" s="8"/>
      <c r="U58560" s="8"/>
      <c r="V58560" s="8"/>
      <c r="W58560" s="8"/>
      <c r="X58560" s="8"/>
      <c r="Y58560" s="8"/>
      <c r="Z58560" s="8"/>
      <c r="AA58560" s="8"/>
    </row>
    <row r="58561" spans="3:18" s="8" customFormat="1" x14ac:dyDescent="0.25">
      <c r="C58561" s="60"/>
      <c r="I58561" s="63"/>
      <c r="R58561" s="64"/>
    </row>
    <row r="58562" spans="3:18" s="8" customFormat="1" x14ac:dyDescent="0.25">
      <c r="C58562" s="60"/>
      <c r="I58562" s="63"/>
      <c r="R58562" s="64"/>
    </row>
    <row r="58563" spans="3:18" s="8" customFormat="1" x14ac:dyDescent="0.25">
      <c r="C58563" s="60"/>
      <c r="I58563" s="63"/>
      <c r="R58563" s="64"/>
    </row>
    <row r="58564" spans="3:18" s="8" customFormat="1" x14ac:dyDescent="0.25">
      <c r="C58564" s="60"/>
      <c r="I58564" s="63"/>
      <c r="R58564" s="64"/>
    </row>
    <row r="58565" spans="3:18" s="8" customFormat="1" x14ac:dyDescent="0.25">
      <c r="C58565" s="60"/>
      <c r="I58565" s="63"/>
      <c r="R58565" s="64"/>
    </row>
    <row r="58566" spans="3:18" s="8" customFormat="1" x14ac:dyDescent="0.25">
      <c r="C58566" s="60"/>
      <c r="I58566" s="63"/>
      <c r="R58566" s="64"/>
    </row>
    <row r="58567" spans="3:18" s="8" customFormat="1" x14ac:dyDescent="0.25">
      <c r="C58567" s="60"/>
      <c r="I58567" s="63"/>
      <c r="R58567" s="64"/>
    </row>
    <row r="58568" spans="3:18" s="8" customFormat="1" x14ac:dyDescent="0.25">
      <c r="C58568" s="60"/>
      <c r="I58568" s="63"/>
      <c r="R58568" s="64"/>
    </row>
    <row r="58569" spans="3:18" s="8" customFormat="1" x14ac:dyDescent="0.25">
      <c r="C58569" s="60"/>
      <c r="I58569" s="63"/>
      <c r="R58569" s="64"/>
    </row>
    <row r="58570" spans="3:18" s="8" customFormat="1" x14ac:dyDescent="0.25">
      <c r="C58570" s="60"/>
      <c r="I58570" s="63"/>
      <c r="R58570" s="64"/>
    </row>
    <row r="58571" spans="3:18" s="8" customFormat="1" x14ac:dyDescent="0.25">
      <c r="C58571" s="60"/>
      <c r="I58571" s="63"/>
      <c r="R58571" s="64"/>
    </row>
    <row r="58572" spans="3:18" s="8" customFormat="1" x14ac:dyDescent="0.25">
      <c r="C58572" s="60"/>
      <c r="I58572" s="63"/>
      <c r="R58572" s="64"/>
    </row>
    <row r="58573" spans="3:18" s="8" customFormat="1" x14ac:dyDescent="0.25">
      <c r="C58573" s="60"/>
      <c r="I58573" s="63"/>
      <c r="R58573" s="64"/>
    </row>
    <row r="58574" spans="3:18" s="8" customFormat="1" x14ac:dyDescent="0.25">
      <c r="C58574" s="60"/>
      <c r="I58574" s="63"/>
      <c r="R58574" s="64"/>
    </row>
    <row r="58575" spans="3:18" s="8" customFormat="1" x14ac:dyDescent="0.25">
      <c r="C58575" s="60"/>
      <c r="I58575" s="63"/>
      <c r="R58575" s="64"/>
    </row>
    <row r="58576" spans="3:18" s="8" customFormat="1" x14ac:dyDescent="0.25">
      <c r="C58576" s="60"/>
      <c r="I58576" s="63"/>
      <c r="R58576" s="64"/>
    </row>
    <row r="58577" spans="3:18" s="8" customFormat="1" x14ac:dyDescent="0.25">
      <c r="C58577" s="60"/>
      <c r="I58577" s="63"/>
      <c r="R58577" s="64"/>
    </row>
    <row r="58578" spans="3:18" s="8" customFormat="1" x14ac:dyDescent="0.25">
      <c r="C58578" s="60"/>
      <c r="I58578" s="63"/>
      <c r="R58578" s="64"/>
    </row>
    <row r="58579" spans="3:18" s="8" customFormat="1" x14ac:dyDescent="0.25">
      <c r="C58579" s="60"/>
      <c r="I58579" s="63"/>
      <c r="R58579" s="64"/>
    </row>
    <row r="58580" spans="3:18" s="8" customFormat="1" x14ac:dyDescent="0.25">
      <c r="C58580" s="60"/>
      <c r="I58580" s="63"/>
      <c r="R58580" s="64"/>
    </row>
    <row r="58581" spans="3:18" s="8" customFormat="1" x14ac:dyDescent="0.25">
      <c r="C58581" s="60"/>
      <c r="I58581" s="63"/>
      <c r="R58581" s="64"/>
    </row>
    <row r="58582" spans="3:18" s="8" customFormat="1" x14ac:dyDescent="0.25">
      <c r="C58582" s="60"/>
      <c r="I58582" s="63"/>
      <c r="R58582" s="64"/>
    </row>
    <row r="58583" spans="3:18" s="8" customFormat="1" x14ac:dyDescent="0.25">
      <c r="C58583" s="60"/>
      <c r="I58583" s="63"/>
      <c r="R58583" s="64"/>
    </row>
    <row r="58584" spans="3:18" s="8" customFormat="1" x14ac:dyDescent="0.25">
      <c r="C58584" s="60"/>
      <c r="I58584" s="63"/>
      <c r="R58584" s="64"/>
    </row>
    <row r="58585" spans="3:18" s="8" customFormat="1" x14ac:dyDescent="0.25">
      <c r="C58585" s="60"/>
      <c r="I58585" s="63"/>
      <c r="R58585" s="64"/>
    </row>
    <row r="58586" spans="3:18" s="8" customFormat="1" x14ac:dyDescent="0.25">
      <c r="C58586" s="60"/>
      <c r="I58586" s="63"/>
      <c r="R58586" s="64"/>
    </row>
    <row r="58587" spans="3:18" s="8" customFormat="1" x14ac:dyDescent="0.25">
      <c r="C58587" s="60"/>
      <c r="I58587" s="63"/>
      <c r="R58587" s="64"/>
    </row>
    <row r="58588" spans="3:18" s="8" customFormat="1" x14ac:dyDescent="0.25">
      <c r="C58588" s="60"/>
      <c r="I58588" s="63"/>
      <c r="R58588" s="64"/>
    </row>
    <row r="58589" spans="3:18" s="8" customFormat="1" x14ac:dyDescent="0.25">
      <c r="C58589" s="60"/>
      <c r="I58589" s="63"/>
      <c r="R58589" s="64"/>
    </row>
    <row r="58590" spans="3:18" s="8" customFormat="1" x14ac:dyDescent="0.25">
      <c r="C58590" s="60"/>
      <c r="I58590" s="63"/>
      <c r="R58590" s="64"/>
    </row>
    <row r="58591" spans="3:18" s="8" customFormat="1" x14ac:dyDescent="0.25">
      <c r="C58591" s="60"/>
      <c r="I58591" s="63"/>
      <c r="R58591" s="64"/>
    </row>
    <row r="58592" spans="3:18" s="8" customFormat="1" x14ac:dyDescent="0.25">
      <c r="C58592" s="60"/>
      <c r="I58592" s="63"/>
      <c r="R58592" s="64"/>
    </row>
    <row r="58593" spans="3:18" s="8" customFormat="1" x14ac:dyDescent="0.25">
      <c r="C58593" s="60"/>
      <c r="I58593" s="63"/>
      <c r="R58593" s="64"/>
    </row>
    <row r="58594" spans="3:18" s="8" customFormat="1" x14ac:dyDescent="0.25">
      <c r="C58594" s="60"/>
      <c r="I58594" s="63"/>
      <c r="R58594" s="64"/>
    </row>
    <row r="58595" spans="3:18" s="8" customFormat="1" x14ac:dyDescent="0.25">
      <c r="C58595" s="60"/>
      <c r="I58595" s="63"/>
      <c r="R58595" s="64"/>
    </row>
    <row r="58596" spans="3:18" s="8" customFormat="1" x14ac:dyDescent="0.25">
      <c r="C58596" s="60"/>
      <c r="I58596" s="63"/>
      <c r="R58596" s="64"/>
    </row>
    <row r="58597" spans="3:18" s="8" customFormat="1" x14ac:dyDescent="0.25">
      <c r="C58597" s="60"/>
      <c r="I58597" s="63"/>
      <c r="R58597" s="64"/>
    </row>
    <row r="58598" spans="3:18" s="8" customFormat="1" x14ac:dyDescent="0.25">
      <c r="C58598" s="60"/>
      <c r="I58598" s="63"/>
      <c r="R58598" s="64"/>
    </row>
    <row r="58599" spans="3:18" s="8" customFormat="1" x14ac:dyDescent="0.25">
      <c r="C58599" s="60"/>
      <c r="I58599" s="63"/>
      <c r="R58599" s="64"/>
    </row>
    <row r="58600" spans="3:18" s="8" customFormat="1" x14ac:dyDescent="0.25">
      <c r="C58600" s="60"/>
      <c r="I58600" s="63"/>
      <c r="R58600" s="64"/>
    </row>
    <row r="58601" spans="3:18" s="8" customFormat="1" x14ac:dyDescent="0.25">
      <c r="C58601" s="60"/>
      <c r="I58601" s="63"/>
      <c r="R58601" s="64"/>
    </row>
    <row r="58602" spans="3:18" s="8" customFormat="1" x14ac:dyDescent="0.25">
      <c r="C58602" s="60"/>
      <c r="I58602" s="63"/>
      <c r="R58602" s="64"/>
    </row>
    <row r="58603" spans="3:18" s="8" customFormat="1" x14ac:dyDescent="0.25">
      <c r="C58603" s="60"/>
      <c r="I58603" s="63"/>
      <c r="R58603" s="64"/>
    </row>
    <row r="58604" spans="3:18" s="8" customFormat="1" x14ac:dyDescent="0.25">
      <c r="C58604" s="60"/>
      <c r="I58604" s="63"/>
      <c r="R58604" s="64"/>
    </row>
    <row r="58605" spans="3:18" s="8" customFormat="1" x14ac:dyDescent="0.25">
      <c r="C58605" s="60"/>
      <c r="I58605" s="63"/>
      <c r="R58605" s="64"/>
    </row>
    <row r="58606" spans="3:18" s="8" customFormat="1" x14ac:dyDescent="0.25">
      <c r="C58606" s="60"/>
      <c r="I58606" s="63"/>
      <c r="R58606" s="64"/>
    </row>
    <row r="58607" spans="3:18" s="8" customFormat="1" x14ac:dyDescent="0.25">
      <c r="C58607" s="60"/>
      <c r="I58607" s="63"/>
      <c r="R58607" s="64"/>
    </row>
    <row r="58608" spans="3:18" s="8" customFormat="1" x14ac:dyDescent="0.25">
      <c r="C58608" s="60"/>
      <c r="I58608" s="63"/>
      <c r="R58608" s="64"/>
    </row>
    <row r="58609" spans="3:18" s="8" customFormat="1" x14ac:dyDescent="0.25">
      <c r="C58609" s="60"/>
      <c r="I58609" s="63"/>
      <c r="R58609" s="64"/>
    </row>
    <row r="58610" spans="3:18" s="8" customFormat="1" x14ac:dyDescent="0.25">
      <c r="C58610" s="60"/>
      <c r="I58610" s="63"/>
      <c r="R58610" s="64"/>
    </row>
    <row r="58611" spans="3:18" s="8" customFormat="1" x14ac:dyDescent="0.25">
      <c r="C58611" s="60"/>
      <c r="I58611" s="63"/>
      <c r="R58611" s="64"/>
    </row>
    <row r="58612" spans="3:18" s="8" customFormat="1" x14ac:dyDescent="0.25">
      <c r="C58612" s="60"/>
      <c r="I58612" s="63"/>
      <c r="R58612" s="64"/>
    </row>
    <row r="58613" spans="3:18" s="8" customFormat="1" x14ac:dyDescent="0.25">
      <c r="C58613" s="60"/>
      <c r="I58613" s="63"/>
      <c r="R58613" s="64"/>
    </row>
    <row r="58614" spans="3:18" s="8" customFormat="1" x14ac:dyDescent="0.25">
      <c r="C58614" s="60"/>
      <c r="I58614" s="63"/>
      <c r="R58614" s="64"/>
    </row>
    <row r="58615" spans="3:18" s="8" customFormat="1" x14ac:dyDescent="0.25">
      <c r="C58615" s="60"/>
      <c r="I58615" s="63"/>
      <c r="R58615" s="64"/>
    </row>
    <row r="58616" spans="3:18" s="8" customFormat="1" x14ac:dyDescent="0.25">
      <c r="C58616" s="60"/>
      <c r="I58616" s="63"/>
      <c r="R58616" s="64"/>
    </row>
    <row r="58617" spans="3:18" s="8" customFormat="1" x14ac:dyDescent="0.25">
      <c r="C58617" s="60"/>
      <c r="I58617" s="63"/>
      <c r="R58617" s="64"/>
    </row>
    <row r="58618" spans="3:18" s="8" customFormat="1" x14ac:dyDescent="0.25">
      <c r="C58618" s="60"/>
      <c r="I58618" s="63"/>
      <c r="R58618" s="64"/>
    </row>
    <row r="58619" spans="3:18" s="8" customFormat="1" x14ac:dyDescent="0.25">
      <c r="C58619" s="60"/>
      <c r="I58619" s="63"/>
      <c r="R58619" s="64"/>
    </row>
    <row r="58620" spans="3:18" s="8" customFormat="1" x14ac:dyDescent="0.25">
      <c r="C58620" s="60"/>
      <c r="I58620" s="63"/>
      <c r="R58620" s="64"/>
    </row>
    <row r="58621" spans="3:18" s="8" customFormat="1" x14ac:dyDescent="0.25">
      <c r="C58621" s="60"/>
      <c r="I58621" s="63"/>
      <c r="R58621" s="64"/>
    </row>
    <row r="58622" spans="3:18" s="8" customFormat="1" x14ac:dyDescent="0.25">
      <c r="C58622" s="60"/>
      <c r="I58622" s="63"/>
      <c r="R58622" s="64"/>
    </row>
    <row r="58623" spans="3:18" s="8" customFormat="1" x14ac:dyDescent="0.25">
      <c r="C58623" s="60"/>
      <c r="I58623" s="63"/>
      <c r="R58623" s="64"/>
    </row>
    <row r="58624" spans="3:18" s="8" customFormat="1" x14ac:dyDescent="0.25">
      <c r="C58624" s="60"/>
      <c r="I58624" s="63"/>
      <c r="R58624" s="64"/>
    </row>
    <row r="58625" spans="3:18" s="8" customFormat="1" x14ac:dyDescent="0.25">
      <c r="C58625" s="60"/>
      <c r="I58625" s="63"/>
      <c r="R58625" s="64"/>
    </row>
    <row r="58626" spans="3:18" s="8" customFormat="1" x14ac:dyDescent="0.25">
      <c r="C58626" s="60"/>
      <c r="I58626" s="63"/>
      <c r="R58626" s="64"/>
    </row>
    <row r="58627" spans="3:18" s="8" customFormat="1" x14ac:dyDescent="0.25">
      <c r="C58627" s="60"/>
      <c r="I58627" s="63"/>
      <c r="R58627" s="64"/>
    </row>
    <row r="58628" spans="3:18" s="8" customFormat="1" x14ac:dyDescent="0.25">
      <c r="C58628" s="60"/>
      <c r="I58628" s="63"/>
      <c r="R58628" s="64"/>
    </row>
    <row r="58629" spans="3:18" s="8" customFormat="1" x14ac:dyDescent="0.25">
      <c r="C58629" s="60"/>
      <c r="I58629" s="63"/>
      <c r="R58629" s="64"/>
    </row>
    <row r="58630" spans="3:18" s="8" customFormat="1" x14ac:dyDescent="0.25">
      <c r="C58630" s="60"/>
      <c r="I58630" s="63"/>
      <c r="R58630" s="64"/>
    </row>
    <row r="58631" spans="3:18" s="8" customFormat="1" x14ac:dyDescent="0.25">
      <c r="C58631" s="60"/>
      <c r="I58631" s="63"/>
      <c r="R58631" s="64"/>
    </row>
    <row r="58632" spans="3:18" s="8" customFormat="1" x14ac:dyDescent="0.25">
      <c r="C58632" s="60"/>
      <c r="I58632" s="63"/>
      <c r="R58632" s="64"/>
    </row>
    <row r="58633" spans="3:18" s="8" customFormat="1" x14ac:dyDescent="0.25">
      <c r="C58633" s="60"/>
      <c r="I58633" s="63"/>
      <c r="R58633" s="64"/>
    </row>
    <row r="58634" spans="3:18" s="8" customFormat="1" x14ac:dyDescent="0.25">
      <c r="C58634" s="60"/>
      <c r="I58634" s="63"/>
      <c r="R58634" s="64"/>
    </row>
    <row r="58635" spans="3:18" s="8" customFormat="1" x14ac:dyDescent="0.25">
      <c r="C58635" s="60"/>
      <c r="I58635" s="63"/>
      <c r="R58635" s="64"/>
    </row>
    <row r="58636" spans="3:18" s="8" customFormat="1" x14ac:dyDescent="0.25">
      <c r="C58636" s="60"/>
      <c r="I58636" s="63"/>
      <c r="R58636" s="64"/>
    </row>
    <row r="58637" spans="3:18" s="8" customFormat="1" x14ac:dyDescent="0.25">
      <c r="C58637" s="60"/>
      <c r="I58637" s="63"/>
      <c r="R58637" s="64"/>
    </row>
    <row r="58638" spans="3:18" s="8" customFormat="1" x14ac:dyDescent="0.25">
      <c r="C58638" s="60"/>
      <c r="I58638" s="63"/>
      <c r="R58638" s="64"/>
    </row>
    <row r="58639" spans="3:18" s="8" customFormat="1" x14ac:dyDescent="0.25">
      <c r="C58639" s="60"/>
      <c r="I58639" s="63"/>
      <c r="R58639" s="64"/>
    </row>
    <row r="58640" spans="3:18" s="8" customFormat="1" x14ac:dyDescent="0.25">
      <c r="C58640" s="60"/>
      <c r="I58640" s="63"/>
      <c r="R58640" s="64"/>
    </row>
    <row r="58641" spans="3:18" s="8" customFormat="1" x14ac:dyDescent="0.25">
      <c r="C58641" s="60"/>
      <c r="I58641" s="63"/>
      <c r="R58641" s="64"/>
    </row>
    <row r="58642" spans="3:18" s="8" customFormat="1" x14ac:dyDescent="0.25">
      <c r="C58642" s="60"/>
      <c r="I58642" s="63"/>
      <c r="R58642" s="64"/>
    </row>
    <row r="58643" spans="3:18" s="8" customFormat="1" x14ac:dyDescent="0.25">
      <c r="C58643" s="60"/>
      <c r="I58643" s="63"/>
      <c r="R58643" s="64"/>
    </row>
    <row r="58644" spans="3:18" s="8" customFormat="1" x14ac:dyDescent="0.25">
      <c r="C58644" s="60"/>
      <c r="I58644" s="63"/>
      <c r="R58644" s="64"/>
    </row>
    <row r="58645" spans="3:18" s="8" customFormat="1" x14ac:dyDescent="0.25">
      <c r="C58645" s="60"/>
      <c r="I58645" s="63"/>
      <c r="R58645" s="64"/>
    </row>
    <row r="58646" spans="3:18" s="8" customFormat="1" x14ac:dyDescent="0.25">
      <c r="C58646" s="60"/>
      <c r="I58646" s="63"/>
      <c r="R58646" s="64"/>
    </row>
    <row r="58647" spans="3:18" s="8" customFormat="1" x14ac:dyDescent="0.25">
      <c r="C58647" s="60"/>
      <c r="I58647" s="63"/>
      <c r="R58647" s="64"/>
    </row>
    <row r="58648" spans="3:18" s="8" customFormat="1" x14ac:dyDescent="0.25">
      <c r="C58648" s="60"/>
      <c r="I58648" s="63"/>
      <c r="R58648" s="64"/>
    </row>
    <row r="58649" spans="3:18" s="8" customFormat="1" x14ac:dyDescent="0.25">
      <c r="C58649" s="60"/>
      <c r="I58649" s="63"/>
      <c r="R58649" s="64"/>
    </row>
    <row r="58650" spans="3:18" s="8" customFormat="1" x14ac:dyDescent="0.25">
      <c r="C58650" s="60"/>
      <c r="I58650" s="63"/>
      <c r="R58650" s="64"/>
    </row>
    <row r="58651" spans="3:18" s="8" customFormat="1" x14ac:dyDescent="0.25">
      <c r="C58651" s="60"/>
      <c r="I58651" s="63"/>
      <c r="R58651" s="64"/>
    </row>
    <row r="58652" spans="3:18" s="8" customFormat="1" x14ac:dyDescent="0.25">
      <c r="C58652" s="60"/>
      <c r="I58652" s="63"/>
      <c r="R58652" s="64"/>
    </row>
    <row r="58653" spans="3:18" s="8" customFormat="1" x14ac:dyDescent="0.25">
      <c r="C58653" s="60"/>
      <c r="I58653" s="63"/>
      <c r="R58653" s="64"/>
    </row>
    <row r="58654" spans="3:18" s="8" customFormat="1" x14ac:dyDescent="0.25">
      <c r="C58654" s="60"/>
      <c r="I58654" s="63"/>
      <c r="R58654" s="64"/>
    </row>
    <row r="58655" spans="3:18" s="8" customFormat="1" x14ac:dyDescent="0.25">
      <c r="C58655" s="60"/>
      <c r="I58655" s="63"/>
      <c r="R58655" s="64"/>
    </row>
    <row r="58656" spans="3:18" s="8" customFormat="1" x14ac:dyDescent="0.25">
      <c r="C58656" s="60"/>
      <c r="I58656" s="63"/>
      <c r="R58656" s="64"/>
    </row>
    <row r="58657" spans="3:18" s="8" customFormat="1" x14ac:dyDescent="0.25">
      <c r="C58657" s="60"/>
      <c r="I58657" s="63"/>
      <c r="R58657" s="64"/>
    </row>
    <row r="58658" spans="3:18" s="8" customFormat="1" x14ac:dyDescent="0.25">
      <c r="C58658" s="60"/>
      <c r="I58658" s="63"/>
      <c r="R58658" s="64"/>
    </row>
    <row r="58659" spans="3:18" s="8" customFormat="1" x14ac:dyDescent="0.25">
      <c r="C58659" s="60"/>
      <c r="I58659" s="63"/>
      <c r="R58659" s="64"/>
    </row>
    <row r="58660" spans="3:18" s="8" customFormat="1" x14ac:dyDescent="0.25">
      <c r="C58660" s="60"/>
      <c r="I58660" s="63"/>
      <c r="R58660" s="64"/>
    </row>
    <row r="58661" spans="3:18" s="8" customFormat="1" x14ac:dyDescent="0.25">
      <c r="C58661" s="60"/>
      <c r="I58661" s="63"/>
      <c r="R58661" s="64"/>
    </row>
    <row r="58662" spans="3:18" s="8" customFormat="1" x14ac:dyDescent="0.25">
      <c r="C58662" s="60"/>
      <c r="I58662" s="63"/>
      <c r="R58662" s="64"/>
    </row>
    <row r="58663" spans="3:18" s="8" customFormat="1" x14ac:dyDescent="0.25">
      <c r="C58663" s="60"/>
      <c r="I58663" s="63"/>
      <c r="R58663" s="64"/>
    </row>
    <row r="58664" spans="3:18" s="8" customFormat="1" x14ac:dyDescent="0.25">
      <c r="C58664" s="60"/>
      <c r="I58664" s="63"/>
      <c r="R58664" s="64"/>
    </row>
    <row r="58665" spans="3:18" s="8" customFormat="1" x14ac:dyDescent="0.25">
      <c r="C58665" s="60"/>
      <c r="I58665" s="63"/>
      <c r="R58665" s="64"/>
    </row>
    <row r="58666" spans="3:18" s="8" customFormat="1" x14ac:dyDescent="0.25">
      <c r="C58666" s="60"/>
      <c r="I58666" s="63"/>
      <c r="R58666" s="64"/>
    </row>
    <row r="58667" spans="3:18" s="8" customFormat="1" x14ac:dyDescent="0.25">
      <c r="C58667" s="60"/>
      <c r="I58667" s="63"/>
      <c r="R58667" s="64"/>
    </row>
    <row r="58668" spans="3:18" s="8" customFormat="1" x14ac:dyDescent="0.25">
      <c r="C58668" s="60"/>
      <c r="I58668" s="63"/>
      <c r="R58668" s="64"/>
    </row>
    <row r="58669" spans="3:18" s="8" customFormat="1" x14ac:dyDescent="0.25">
      <c r="C58669" s="60"/>
      <c r="I58669" s="63"/>
      <c r="R58669" s="64"/>
    </row>
    <row r="58670" spans="3:18" s="8" customFormat="1" x14ac:dyDescent="0.25">
      <c r="C58670" s="60"/>
      <c r="I58670" s="63"/>
      <c r="R58670" s="64"/>
    </row>
    <row r="58671" spans="3:18" s="8" customFormat="1" x14ac:dyDescent="0.25">
      <c r="C58671" s="60"/>
      <c r="I58671" s="63"/>
      <c r="R58671" s="64"/>
    </row>
    <row r="58672" spans="3:18" s="8" customFormat="1" x14ac:dyDescent="0.25">
      <c r="C58672" s="60"/>
      <c r="I58672" s="63"/>
      <c r="R58672" s="64"/>
    </row>
    <row r="58673" spans="3:18" s="8" customFormat="1" x14ac:dyDescent="0.25">
      <c r="C58673" s="60"/>
      <c r="I58673" s="63"/>
      <c r="R58673" s="64"/>
    </row>
    <row r="58674" spans="3:18" s="8" customFormat="1" x14ac:dyDescent="0.25">
      <c r="C58674" s="60"/>
      <c r="I58674" s="63"/>
      <c r="R58674" s="64"/>
    </row>
    <row r="58675" spans="3:18" s="8" customFormat="1" x14ac:dyDescent="0.25">
      <c r="C58675" s="60"/>
      <c r="I58675" s="63"/>
      <c r="R58675" s="64"/>
    </row>
    <row r="58676" spans="3:18" s="8" customFormat="1" x14ac:dyDescent="0.25">
      <c r="C58676" s="60"/>
      <c r="I58676" s="63"/>
      <c r="R58676" s="64"/>
    </row>
    <row r="58677" spans="3:18" s="8" customFormat="1" x14ac:dyDescent="0.25">
      <c r="C58677" s="60"/>
      <c r="I58677" s="63"/>
      <c r="R58677" s="64"/>
    </row>
    <row r="58678" spans="3:18" s="8" customFormat="1" x14ac:dyDescent="0.25">
      <c r="C58678" s="60"/>
      <c r="I58678" s="63"/>
      <c r="R58678" s="64"/>
    </row>
    <row r="58679" spans="3:18" s="8" customFormat="1" x14ac:dyDescent="0.25">
      <c r="C58679" s="60"/>
      <c r="I58679" s="63"/>
      <c r="R58679" s="64"/>
    </row>
    <row r="58680" spans="3:18" s="8" customFormat="1" x14ac:dyDescent="0.25">
      <c r="C58680" s="60"/>
      <c r="I58680" s="63"/>
      <c r="R58680" s="64"/>
    </row>
    <row r="58681" spans="3:18" s="8" customFormat="1" x14ac:dyDescent="0.25">
      <c r="C58681" s="60"/>
      <c r="I58681" s="63"/>
      <c r="R58681" s="64"/>
    </row>
    <row r="58682" spans="3:18" s="8" customFormat="1" x14ac:dyDescent="0.25">
      <c r="C58682" s="60"/>
      <c r="I58682" s="63"/>
      <c r="R58682" s="64"/>
    </row>
    <row r="58683" spans="3:18" s="8" customFormat="1" x14ac:dyDescent="0.25">
      <c r="C58683" s="60"/>
      <c r="I58683" s="63"/>
      <c r="R58683" s="64"/>
    </row>
    <row r="58684" spans="3:18" s="8" customFormat="1" x14ac:dyDescent="0.25">
      <c r="C58684" s="60"/>
      <c r="I58684" s="63"/>
      <c r="R58684" s="64"/>
    </row>
    <row r="58685" spans="3:18" s="8" customFormat="1" x14ac:dyDescent="0.25">
      <c r="C58685" s="60"/>
      <c r="I58685" s="63"/>
      <c r="R58685" s="64"/>
    </row>
    <row r="58686" spans="3:18" s="8" customFormat="1" x14ac:dyDescent="0.25">
      <c r="C58686" s="60"/>
      <c r="I58686" s="63"/>
      <c r="R58686" s="64"/>
    </row>
    <row r="58687" spans="3:18" s="8" customFormat="1" x14ac:dyDescent="0.25">
      <c r="C58687" s="60"/>
      <c r="I58687" s="63"/>
      <c r="R58687" s="64"/>
    </row>
    <row r="58688" spans="3:18" s="8" customFormat="1" x14ac:dyDescent="0.25">
      <c r="C58688" s="60"/>
      <c r="I58688" s="63"/>
      <c r="R58688" s="64"/>
    </row>
    <row r="58689" spans="3:18" s="8" customFormat="1" x14ac:dyDescent="0.25">
      <c r="C58689" s="60"/>
      <c r="I58689" s="63"/>
      <c r="R58689" s="64"/>
    </row>
    <row r="58690" spans="3:18" s="8" customFormat="1" x14ac:dyDescent="0.25">
      <c r="C58690" s="60"/>
      <c r="I58690" s="63"/>
      <c r="R58690" s="64"/>
    </row>
    <row r="58691" spans="3:18" s="8" customFormat="1" x14ac:dyDescent="0.25">
      <c r="C58691" s="60"/>
      <c r="I58691" s="63"/>
      <c r="R58691" s="64"/>
    </row>
    <row r="58692" spans="3:18" s="8" customFormat="1" x14ac:dyDescent="0.25">
      <c r="C58692" s="60"/>
      <c r="I58692" s="63"/>
      <c r="R58692" s="64"/>
    </row>
    <row r="58693" spans="3:18" s="8" customFormat="1" x14ac:dyDescent="0.25">
      <c r="C58693" s="60"/>
      <c r="I58693" s="63"/>
      <c r="R58693" s="64"/>
    </row>
    <row r="58694" spans="3:18" s="8" customFormat="1" x14ac:dyDescent="0.25">
      <c r="C58694" s="60"/>
      <c r="I58694" s="63"/>
      <c r="R58694" s="64"/>
    </row>
    <row r="58695" spans="3:18" s="8" customFormat="1" x14ac:dyDescent="0.25">
      <c r="C58695" s="60"/>
      <c r="I58695" s="63"/>
      <c r="R58695" s="64"/>
    </row>
    <row r="58696" spans="3:18" s="8" customFormat="1" x14ac:dyDescent="0.25">
      <c r="C58696" s="60"/>
      <c r="I58696" s="63"/>
      <c r="R58696" s="64"/>
    </row>
    <row r="58697" spans="3:18" s="8" customFormat="1" x14ac:dyDescent="0.25">
      <c r="C58697" s="60"/>
      <c r="I58697" s="63"/>
      <c r="R58697" s="64"/>
    </row>
    <row r="58698" spans="3:18" s="8" customFormat="1" x14ac:dyDescent="0.25">
      <c r="C58698" s="60"/>
      <c r="I58698" s="63"/>
      <c r="R58698" s="64"/>
    </row>
    <row r="58699" spans="3:18" s="8" customFormat="1" x14ac:dyDescent="0.25">
      <c r="C58699" s="60"/>
      <c r="I58699" s="63"/>
      <c r="R58699" s="64"/>
    </row>
    <row r="58700" spans="3:18" s="8" customFormat="1" x14ac:dyDescent="0.25">
      <c r="C58700" s="60"/>
      <c r="I58700" s="63"/>
      <c r="R58700" s="64"/>
    </row>
    <row r="58701" spans="3:18" s="8" customFormat="1" x14ac:dyDescent="0.25">
      <c r="C58701" s="60"/>
      <c r="I58701" s="63"/>
      <c r="R58701" s="64"/>
    </row>
    <row r="58702" spans="3:18" s="8" customFormat="1" x14ac:dyDescent="0.25">
      <c r="C58702" s="60"/>
      <c r="I58702" s="63"/>
      <c r="R58702" s="64"/>
    </row>
    <row r="58703" spans="3:18" s="8" customFormat="1" x14ac:dyDescent="0.25">
      <c r="C58703" s="60"/>
      <c r="I58703" s="63"/>
      <c r="R58703" s="64"/>
    </row>
    <row r="58704" spans="3:18" s="8" customFormat="1" x14ac:dyDescent="0.25">
      <c r="C58704" s="60"/>
      <c r="I58704" s="63"/>
      <c r="R58704" s="64"/>
    </row>
    <row r="58705" spans="3:18" s="8" customFormat="1" x14ac:dyDescent="0.25">
      <c r="C58705" s="60"/>
      <c r="I58705" s="63"/>
      <c r="R58705" s="64"/>
    </row>
    <row r="58706" spans="3:18" s="8" customFormat="1" x14ac:dyDescent="0.25">
      <c r="C58706" s="60"/>
      <c r="I58706" s="63"/>
      <c r="R58706" s="64"/>
    </row>
    <row r="58707" spans="3:18" s="8" customFormat="1" x14ac:dyDescent="0.25">
      <c r="C58707" s="60"/>
      <c r="I58707" s="63"/>
      <c r="R58707" s="64"/>
    </row>
    <row r="58708" spans="3:18" s="8" customFormat="1" x14ac:dyDescent="0.25">
      <c r="C58708" s="60"/>
      <c r="I58708" s="63"/>
      <c r="R58708" s="64"/>
    </row>
    <row r="58709" spans="3:18" s="8" customFormat="1" x14ac:dyDescent="0.25">
      <c r="C58709" s="60"/>
      <c r="I58709" s="63"/>
      <c r="R58709" s="64"/>
    </row>
    <row r="58710" spans="3:18" s="8" customFormat="1" x14ac:dyDescent="0.25">
      <c r="C58710" s="60"/>
      <c r="I58710" s="63"/>
      <c r="R58710" s="64"/>
    </row>
    <row r="58711" spans="3:18" s="8" customFormat="1" x14ac:dyDescent="0.25">
      <c r="C58711" s="60"/>
      <c r="I58711" s="63"/>
      <c r="R58711" s="64"/>
    </row>
    <row r="58712" spans="3:18" s="8" customFormat="1" x14ac:dyDescent="0.25">
      <c r="C58712" s="60"/>
      <c r="I58712" s="63"/>
      <c r="R58712" s="64"/>
    </row>
    <row r="58713" spans="3:18" s="8" customFormat="1" x14ac:dyDescent="0.25">
      <c r="C58713" s="60"/>
      <c r="I58713" s="63"/>
      <c r="R58713" s="64"/>
    </row>
    <row r="58714" spans="3:18" s="8" customFormat="1" x14ac:dyDescent="0.25">
      <c r="C58714" s="60"/>
      <c r="I58714" s="63"/>
      <c r="R58714" s="64"/>
    </row>
    <row r="58715" spans="3:18" s="8" customFormat="1" x14ac:dyDescent="0.25">
      <c r="C58715" s="60"/>
      <c r="I58715" s="63"/>
      <c r="R58715" s="64"/>
    </row>
    <row r="58716" spans="3:18" s="8" customFormat="1" x14ac:dyDescent="0.25">
      <c r="C58716" s="60"/>
      <c r="I58716" s="63"/>
      <c r="R58716" s="64"/>
    </row>
    <row r="58717" spans="3:18" s="8" customFormat="1" x14ac:dyDescent="0.25">
      <c r="C58717" s="60"/>
      <c r="I58717" s="63"/>
      <c r="R58717" s="64"/>
    </row>
    <row r="58718" spans="3:18" s="8" customFormat="1" x14ac:dyDescent="0.25">
      <c r="C58718" s="60"/>
      <c r="I58718" s="63"/>
      <c r="R58718" s="64"/>
    </row>
    <row r="58719" spans="3:18" s="8" customFormat="1" x14ac:dyDescent="0.25">
      <c r="C58719" s="60"/>
      <c r="I58719" s="63"/>
      <c r="R58719" s="64"/>
    </row>
    <row r="58720" spans="3:18" s="8" customFormat="1" x14ac:dyDescent="0.25">
      <c r="C58720" s="60"/>
      <c r="I58720" s="63"/>
      <c r="R58720" s="64"/>
    </row>
    <row r="58721" spans="3:18" s="8" customFormat="1" x14ac:dyDescent="0.25">
      <c r="C58721" s="60"/>
      <c r="I58721" s="63"/>
      <c r="R58721" s="64"/>
    </row>
    <row r="58722" spans="3:18" s="8" customFormat="1" x14ac:dyDescent="0.25">
      <c r="C58722" s="60"/>
      <c r="I58722" s="63"/>
      <c r="R58722" s="64"/>
    </row>
    <row r="58723" spans="3:18" s="8" customFormat="1" x14ac:dyDescent="0.25">
      <c r="C58723" s="60"/>
      <c r="I58723" s="63"/>
      <c r="R58723" s="64"/>
    </row>
    <row r="58724" spans="3:18" s="8" customFormat="1" x14ac:dyDescent="0.25">
      <c r="C58724" s="60"/>
      <c r="I58724" s="63"/>
      <c r="R58724" s="64"/>
    </row>
    <row r="58725" spans="3:18" s="8" customFormat="1" x14ac:dyDescent="0.25">
      <c r="C58725" s="60"/>
      <c r="I58725" s="63"/>
      <c r="R58725" s="64"/>
    </row>
    <row r="58726" spans="3:18" s="8" customFormat="1" x14ac:dyDescent="0.25">
      <c r="C58726" s="60"/>
      <c r="I58726" s="63"/>
      <c r="R58726" s="64"/>
    </row>
    <row r="58727" spans="3:18" s="8" customFormat="1" x14ac:dyDescent="0.25">
      <c r="C58727" s="60"/>
      <c r="I58727" s="63"/>
      <c r="R58727" s="64"/>
    </row>
    <row r="58728" spans="3:18" s="8" customFormat="1" x14ac:dyDescent="0.25">
      <c r="C58728" s="60"/>
      <c r="I58728" s="63"/>
      <c r="R58728" s="64"/>
    </row>
    <row r="58729" spans="3:18" s="8" customFormat="1" x14ac:dyDescent="0.25">
      <c r="C58729" s="60"/>
      <c r="I58729" s="63"/>
      <c r="R58729" s="64"/>
    </row>
    <row r="58730" spans="3:18" s="8" customFormat="1" x14ac:dyDescent="0.25">
      <c r="C58730" s="60"/>
      <c r="I58730" s="63"/>
      <c r="R58730" s="64"/>
    </row>
    <row r="58731" spans="3:18" s="8" customFormat="1" x14ac:dyDescent="0.25">
      <c r="C58731" s="60"/>
      <c r="I58731" s="63"/>
      <c r="R58731" s="64"/>
    </row>
    <row r="58732" spans="3:18" s="8" customFormat="1" x14ac:dyDescent="0.25">
      <c r="C58732" s="60"/>
      <c r="I58732" s="63"/>
      <c r="R58732" s="64"/>
    </row>
    <row r="58733" spans="3:18" s="8" customFormat="1" x14ac:dyDescent="0.25">
      <c r="C58733" s="60"/>
      <c r="I58733" s="63"/>
      <c r="R58733" s="64"/>
    </row>
    <row r="58734" spans="3:18" s="8" customFormat="1" x14ac:dyDescent="0.25">
      <c r="C58734" s="60"/>
      <c r="I58734" s="63"/>
      <c r="R58734" s="64"/>
    </row>
    <row r="58735" spans="3:18" s="8" customFormat="1" x14ac:dyDescent="0.25">
      <c r="C58735" s="60"/>
      <c r="I58735" s="63"/>
      <c r="R58735" s="64"/>
    </row>
    <row r="58736" spans="3:18" s="8" customFormat="1" x14ac:dyDescent="0.25">
      <c r="C58736" s="60"/>
      <c r="I58736" s="63"/>
      <c r="R58736" s="64"/>
    </row>
    <row r="58737" spans="3:18" s="8" customFormat="1" x14ac:dyDescent="0.25">
      <c r="C58737" s="60"/>
      <c r="I58737" s="63"/>
      <c r="R58737" s="64"/>
    </row>
    <row r="58738" spans="3:18" s="8" customFormat="1" x14ac:dyDescent="0.25">
      <c r="C58738" s="60"/>
      <c r="I58738" s="63"/>
      <c r="R58738" s="64"/>
    </row>
    <row r="58739" spans="3:18" s="8" customFormat="1" x14ac:dyDescent="0.25">
      <c r="C58739" s="60"/>
      <c r="I58739" s="63"/>
      <c r="R58739" s="64"/>
    </row>
    <row r="58740" spans="3:18" s="8" customFormat="1" x14ac:dyDescent="0.25">
      <c r="C58740" s="60"/>
      <c r="I58740" s="63"/>
      <c r="R58740" s="64"/>
    </row>
    <row r="58741" spans="3:18" s="8" customFormat="1" x14ac:dyDescent="0.25">
      <c r="C58741" s="60"/>
      <c r="I58741" s="63"/>
      <c r="R58741" s="64"/>
    </row>
    <row r="58742" spans="3:18" s="8" customFormat="1" x14ac:dyDescent="0.25">
      <c r="C58742" s="60"/>
      <c r="I58742" s="63"/>
      <c r="R58742" s="64"/>
    </row>
    <row r="58743" spans="3:18" s="8" customFormat="1" x14ac:dyDescent="0.25">
      <c r="C58743" s="60"/>
      <c r="I58743" s="63"/>
      <c r="R58743" s="64"/>
    </row>
    <row r="58744" spans="3:18" s="8" customFormat="1" x14ac:dyDescent="0.25">
      <c r="C58744" s="60"/>
      <c r="I58744" s="63"/>
      <c r="R58744" s="64"/>
    </row>
    <row r="58745" spans="3:18" s="8" customFormat="1" x14ac:dyDescent="0.25">
      <c r="C58745" s="60"/>
      <c r="I58745" s="63"/>
      <c r="R58745" s="64"/>
    </row>
    <row r="58746" spans="3:18" s="8" customFormat="1" x14ac:dyDescent="0.25">
      <c r="C58746" s="60"/>
      <c r="I58746" s="63"/>
      <c r="R58746" s="64"/>
    </row>
    <row r="58747" spans="3:18" s="8" customFormat="1" x14ac:dyDescent="0.25">
      <c r="C58747" s="60"/>
      <c r="I58747" s="63"/>
      <c r="R58747" s="64"/>
    </row>
    <row r="58748" spans="3:18" s="8" customFormat="1" x14ac:dyDescent="0.25">
      <c r="C58748" s="60"/>
      <c r="I58748" s="63"/>
      <c r="R58748" s="64"/>
    </row>
    <row r="58749" spans="3:18" s="8" customFormat="1" x14ac:dyDescent="0.25">
      <c r="C58749" s="60"/>
      <c r="I58749" s="63"/>
      <c r="R58749" s="64"/>
    </row>
    <row r="58750" spans="3:18" s="8" customFormat="1" x14ac:dyDescent="0.25">
      <c r="C58750" s="60"/>
      <c r="I58750" s="63"/>
      <c r="R58750" s="64"/>
    </row>
    <row r="58751" spans="3:18" s="8" customFormat="1" x14ac:dyDescent="0.25">
      <c r="C58751" s="60"/>
      <c r="I58751" s="63"/>
      <c r="R58751" s="64"/>
    </row>
    <row r="58752" spans="3:18" s="8" customFormat="1" x14ac:dyDescent="0.25">
      <c r="C58752" s="60"/>
      <c r="I58752" s="63"/>
      <c r="R58752" s="64"/>
    </row>
    <row r="58753" spans="3:18" s="8" customFormat="1" x14ac:dyDescent="0.25">
      <c r="C58753" s="60"/>
      <c r="I58753" s="63"/>
      <c r="R58753" s="64"/>
    </row>
    <row r="58754" spans="3:18" s="8" customFormat="1" x14ac:dyDescent="0.25">
      <c r="C58754" s="60"/>
      <c r="I58754" s="63"/>
      <c r="R58754" s="64"/>
    </row>
    <row r="58755" spans="3:18" s="8" customFormat="1" x14ac:dyDescent="0.25">
      <c r="C58755" s="60"/>
      <c r="I58755" s="63"/>
      <c r="R58755" s="64"/>
    </row>
    <row r="58756" spans="3:18" s="8" customFormat="1" x14ac:dyDescent="0.25">
      <c r="C58756" s="60"/>
      <c r="I58756" s="63"/>
      <c r="R58756" s="64"/>
    </row>
    <row r="58757" spans="3:18" s="8" customFormat="1" x14ac:dyDescent="0.25">
      <c r="C58757" s="60"/>
      <c r="I58757" s="63"/>
      <c r="R58757" s="64"/>
    </row>
    <row r="58758" spans="3:18" s="8" customFormat="1" x14ac:dyDescent="0.25">
      <c r="C58758" s="60"/>
      <c r="I58758" s="63"/>
      <c r="R58758" s="64"/>
    </row>
    <row r="58759" spans="3:18" s="8" customFormat="1" x14ac:dyDescent="0.25">
      <c r="C58759" s="60"/>
      <c r="I58759" s="63"/>
      <c r="R58759" s="64"/>
    </row>
    <row r="58760" spans="3:18" s="8" customFormat="1" x14ac:dyDescent="0.25">
      <c r="C58760" s="60"/>
      <c r="I58760" s="63"/>
      <c r="R58760" s="64"/>
    </row>
    <row r="58761" spans="3:18" s="8" customFormat="1" x14ac:dyDescent="0.25">
      <c r="C58761" s="60"/>
      <c r="I58761" s="63"/>
      <c r="R58761" s="64"/>
    </row>
    <row r="58762" spans="3:18" s="8" customFormat="1" x14ac:dyDescent="0.25">
      <c r="C58762" s="60"/>
      <c r="I58762" s="63"/>
      <c r="R58762" s="64"/>
    </row>
    <row r="58763" spans="3:18" s="8" customFormat="1" x14ac:dyDescent="0.25">
      <c r="C58763" s="60"/>
      <c r="I58763" s="63"/>
      <c r="R58763" s="64"/>
    </row>
    <row r="58764" spans="3:18" s="8" customFormat="1" x14ac:dyDescent="0.25">
      <c r="C58764" s="60"/>
      <c r="I58764" s="63"/>
      <c r="R58764" s="64"/>
    </row>
    <row r="58765" spans="3:18" s="8" customFormat="1" x14ac:dyDescent="0.25">
      <c r="C58765" s="60"/>
      <c r="I58765" s="63"/>
      <c r="R58765" s="64"/>
    </row>
    <row r="58766" spans="3:18" s="8" customFormat="1" x14ac:dyDescent="0.25">
      <c r="C58766" s="60"/>
      <c r="I58766" s="63"/>
      <c r="R58766" s="64"/>
    </row>
    <row r="58767" spans="3:18" s="8" customFormat="1" x14ac:dyDescent="0.25">
      <c r="C58767" s="60"/>
      <c r="I58767" s="63"/>
      <c r="R58767" s="64"/>
    </row>
    <row r="58768" spans="3:18" s="8" customFormat="1" x14ac:dyDescent="0.25">
      <c r="C58768" s="60"/>
      <c r="I58768" s="63"/>
      <c r="R58768" s="64"/>
    </row>
    <row r="58769" spans="3:18" s="8" customFormat="1" x14ac:dyDescent="0.25">
      <c r="C58769" s="60"/>
      <c r="I58769" s="63"/>
      <c r="R58769" s="64"/>
    </row>
    <row r="58770" spans="3:18" s="8" customFormat="1" x14ac:dyDescent="0.25">
      <c r="C58770" s="60"/>
      <c r="I58770" s="63"/>
      <c r="R58770" s="64"/>
    </row>
    <row r="58771" spans="3:18" s="8" customFormat="1" x14ac:dyDescent="0.25">
      <c r="C58771" s="60"/>
      <c r="I58771" s="63"/>
      <c r="R58771" s="64"/>
    </row>
    <row r="58772" spans="3:18" s="8" customFormat="1" x14ac:dyDescent="0.25">
      <c r="C58772" s="60"/>
      <c r="I58772" s="63"/>
      <c r="R58772" s="64"/>
    </row>
    <row r="58773" spans="3:18" s="8" customFormat="1" x14ac:dyDescent="0.25">
      <c r="C58773" s="60"/>
      <c r="I58773" s="63"/>
      <c r="R58773" s="64"/>
    </row>
    <row r="58774" spans="3:18" s="8" customFormat="1" x14ac:dyDescent="0.25">
      <c r="C58774" s="60"/>
      <c r="I58774" s="63"/>
      <c r="R58774" s="64"/>
    </row>
    <row r="58775" spans="3:18" s="8" customFormat="1" x14ac:dyDescent="0.25">
      <c r="C58775" s="60"/>
      <c r="I58775" s="63"/>
      <c r="R58775" s="64"/>
    </row>
    <row r="58776" spans="3:18" s="8" customFormat="1" x14ac:dyDescent="0.25">
      <c r="C58776" s="60"/>
      <c r="I58776" s="63"/>
      <c r="R58776" s="64"/>
    </row>
    <row r="58777" spans="3:18" s="8" customFormat="1" x14ac:dyDescent="0.25">
      <c r="C58777" s="60"/>
      <c r="I58777" s="63"/>
      <c r="R58777" s="64"/>
    </row>
    <row r="58778" spans="3:18" s="8" customFormat="1" x14ac:dyDescent="0.25">
      <c r="C58778" s="60"/>
      <c r="I58778" s="63"/>
      <c r="R58778" s="64"/>
    </row>
    <row r="58779" spans="3:18" s="8" customFormat="1" x14ac:dyDescent="0.25">
      <c r="C58779" s="60"/>
      <c r="I58779" s="63"/>
      <c r="R58779" s="64"/>
    </row>
    <row r="58780" spans="3:18" s="8" customFormat="1" x14ac:dyDescent="0.25">
      <c r="C58780" s="60"/>
      <c r="I58780" s="63"/>
      <c r="R58780" s="64"/>
    </row>
    <row r="58781" spans="3:18" s="8" customFormat="1" x14ac:dyDescent="0.25">
      <c r="C58781" s="60"/>
      <c r="I58781" s="63"/>
      <c r="R58781" s="64"/>
    </row>
    <row r="58782" spans="3:18" s="8" customFormat="1" x14ac:dyDescent="0.25">
      <c r="C58782" s="60"/>
      <c r="I58782" s="63"/>
      <c r="R58782" s="64"/>
    </row>
    <row r="58783" spans="3:18" s="8" customFormat="1" x14ac:dyDescent="0.25">
      <c r="C58783" s="60"/>
      <c r="I58783" s="63"/>
      <c r="R58783" s="64"/>
    </row>
    <row r="58784" spans="3:18" s="8" customFormat="1" x14ac:dyDescent="0.25">
      <c r="C58784" s="60"/>
      <c r="I58784" s="63"/>
      <c r="R58784" s="64"/>
    </row>
    <row r="58785" spans="3:18" s="8" customFormat="1" x14ac:dyDescent="0.25">
      <c r="C58785" s="60"/>
      <c r="I58785" s="63"/>
      <c r="R58785" s="64"/>
    </row>
    <row r="58786" spans="3:18" s="8" customFormat="1" x14ac:dyDescent="0.25">
      <c r="C58786" s="60"/>
      <c r="I58786" s="63"/>
      <c r="R58786" s="64"/>
    </row>
    <row r="58787" spans="3:18" s="8" customFormat="1" x14ac:dyDescent="0.25">
      <c r="C58787" s="60"/>
      <c r="I58787" s="63"/>
      <c r="R58787" s="64"/>
    </row>
    <row r="58788" spans="3:18" s="8" customFormat="1" x14ac:dyDescent="0.25">
      <c r="C58788" s="60"/>
      <c r="I58788" s="63"/>
      <c r="R58788" s="64"/>
    </row>
    <row r="58789" spans="3:18" s="8" customFormat="1" x14ac:dyDescent="0.25">
      <c r="C58789" s="60"/>
      <c r="I58789" s="63"/>
      <c r="R58789" s="64"/>
    </row>
    <row r="58790" spans="3:18" s="8" customFormat="1" x14ac:dyDescent="0.25">
      <c r="C58790" s="60"/>
      <c r="I58790" s="63"/>
      <c r="R58790" s="64"/>
    </row>
    <row r="58791" spans="3:18" s="8" customFormat="1" x14ac:dyDescent="0.25">
      <c r="C58791" s="60"/>
      <c r="I58791" s="63"/>
      <c r="R58791" s="64"/>
    </row>
    <row r="58792" spans="3:18" s="8" customFormat="1" x14ac:dyDescent="0.25">
      <c r="C58792" s="60"/>
      <c r="I58792" s="63"/>
      <c r="R58792" s="64"/>
    </row>
    <row r="58793" spans="3:18" s="8" customFormat="1" x14ac:dyDescent="0.25">
      <c r="C58793" s="60"/>
      <c r="I58793" s="63"/>
      <c r="R58793" s="64"/>
    </row>
    <row r="58794" spans="3:18" s="8" customFormat="1" x14ac:dyDescent="0.25">
      <c r="C58794" s="60"/>
      <c r="I58794" s="63"/>
      <c r="R58794" s="64"/>
    </row>
    <row r="58795" spans="3:18" s="8" customFormat="1" x14ac:dyDescent="0.25">
      <c r="C58795" s="60"/>
      <c r="I58795" s="63"/>
      <c r="R58795" s="64"/>
    </row>
    <row r="58796" spans="3:18" s="8" customFormat="1" x14ac:dyDescent="0.25">
      <c r="C58796" s="60"/>
      <c r="I58796" s="63"/>
      <c r="R58796" s="64"/>
    </row>
    <row r="58797" spans="3:18" s="8" customFormat="1" x14ac:dyDescent="0.25">
      <c r="C58797" s="60"/>
      <c r="I58797" s="63"/>
      <c r="R58797" s="64"/>
    </row>
    <row r="58798" spans="3:18" s="8" customFormat="1" x14ac:dyDescent="0.25">
      <c r="C58798" s="60"/>
      <c r="I58798" s="63"/>
      <c r="R58798" s="64"/>
    </row>
    <row r="58799" spans="3:18" s="8" customFormat="1" x14ac:dyDescent="0.25">
      <c r="C58799" s="60"/>
      <c r="I58799" s="63"/>
      <c r="R58799" s="64"/>
    </row>
    <row r="58800" spans="3:18" s="8" customFormat="1" x14ac:dyDescent="0.25">
      <c r="C58800" s="60"/>
      <c r="I58800" s="63"/>
      <c r="R58800" s="64"/>
    </row>
    <row r="58801" spans="3:18" s="8" customFormat="1" x14ac:dyDescent="0.25">
      <c r="C58801" s="60"/>
      <c r="I58801" s="63"/>
      <c r="R58801" s="64"/>
    </row>
    <row r="58802" spans="3:18" s="8" customFormat="1" x14ac:dyDescent="0.25">
      <c r="C58802" s="60"/>
      <c r="I58802" s="63"/>
      <c r="R58802" s="64"/>
    </row>
    <row r="58803" spans="3:18" s="8" customFormat="1" x14ac:dyDescent="0.25">
      <c r="C58803" s="60"/>
      <c r="I58803" s="63"/>
      <c r="R58803" s="64"/>
    </row>
    <row r="58804" spans="3:18" s="8" customFormat="1" x14ac:dyDescent="0.25">
      <c r="C58804" s="60"/>
      <c r="I58804" s="63"/>
      <c r="R58804" s="64"/>
    </row>
    <row r="58805" spans="3:18" s="8" customFormat="1" x14ac:dyDescent="0.25">
      <c r="C58805" s="60"/>
      <c r="I58805" s="63"/>
      <c r="R58805" s="64"/>
    </row>
    <row r="58806" spans="3:18" s="8" customFormat="1" x14ac:dyDescent="0.25">
      <c r="C58806" s="60"/>
      <c r="I58806" s="63"/>
      <c r="R58806" s="64"/>
    </row>
    <row r="58807" spans="3:18" s="8" customFormat="1" x14ac:dyDescent="0.25">
      <c r="C58807" s="60"/>
      <c r="I58807" s="63"/>
      <c r="R58807" s="64"/>
    </row>
    <row r="58808" spans="3:18" s="8" customFormat="1" x14ac:dyDescent="0.25">
      <c r="C58808" s="60"/>
      <c r="I58808" s="63"/>
      <c r="R58808" s="64"/>
    </row>
    <row r="58809" spans="3:18" s="8" customFormat="1" x14ac:dyDescent="0.25">
      <c r="C58809" s="60"/>
      <c r="I58809" s="63"/>
      <c r="R58809" s="64"/>
    </row>
    <row r="58810" spans="3:18" s="8" customFormat="1" x14ac:dyDescent="0.25">
      <c r="C58810" s="60"/>
      <c r="I58810" s="63"/>
      <c r="R58810" s="64"/>
    </row>
    <row r="58811" spans="3:18" s="8" customFormat="1" x14ac:dyDescent="0.25">
      <c r="C58811" s="60"/>
      <c r="I58811" s="63"/>
      <c r="R58811" s="64"/>
    </row>
    <row r="58812" spans="3:18" s="8" customFormat="1" x14ac:dyDescent="0.25">
      <c r="C58812" s="60"/>
      <c r="I58812" s="63"/>
      <c r="R58812" s="64"/>
    </row>
    <row r="58813" spans="3:18" s="8" customFormat="1" x14ac:dyDescent="0.25">
      <c r="C58813" s="60"/>
      <c r="I58813" s="63"/>
      <c r="R58813" s="64"/>
    </row>
    <row r="58814" spans="3:18" s="8" customFormat="1" x14ac:dyDescent="0.25">
      <c r="C58814" s="60"/>
      <c r="I58814" s="63"/>
      <c r="R58814" s="64"/>
    </row>
    <row r="58815" spans="3:18" s="8" customFormat="1" x14ac:dyDescent="0.25">
      <c r="C58815" s="60"/>
      <c r="I58815" s="63"/>
      <c r="R58815" s="64"/>
    </row>
    <row r="58816" spans="3:18" s="8" customFormat="1" x14ac:dyDescent="0.25">
      <c r="C58816" s="60"/>
      <c r="I58816" s="63"/>
      <c r="R58816" s="64"/>
    </row>
    <row r="58817" spans="3:18" s="8" customFormat="1" x14ac:dyDescent="0.25">
      <c r="C58817" s="60"/>
      <c r="I58817" s="63"/>
      <c r="R58817" s="64"/>
    </row>
    <row r="58818" spans="3:18" s="8" customFormat="1" x14ac:dyDescent="0.25">
      <c r="C58818" s="60"/>
      <c r="I58818" s="63"/>
      <c r="R58818" s="64"/>
    </row>
    <row r="58819" spans="3:18" s="8" customFormat="1" x14ac:dyDescent="0.25">
      <c r="C58819" s="60"/>
      <c r="I58819" s="63"/>
      <c r="R58819" s="64"/>
    </row>
    <row r="58820" spans="3:18" s="8" customFormat="1" x14ac:dyDescent="0.25">
      <c r="C58820" s="60"/>
      <c r="I58820" s="63"/>
      <c r="R58820" s="64"/>
    </row>
    <row r="58821" spans="3:18" s="8" customFormat="1" x14ac:dyDescent="0.25">
      <c r="C58821" s="60"/>
      <c r="I58821" s="63"/>
      <c r="R58821" s="64"/>
    </row>
    <row r="58822" spans="3:18" s="8" customFormat="1" x14ac:dyDescent="0.25">
      <c r="C58822" s="60"/>
      <c r="I58822" s="63"/>
      <c r="R58822" s="64"/>
    </row>
    <row r="58823" spans="3:18" s="8" customFormat="1" x14ac:dyDescent="0.25">
      <c r="C58823" s="60"/>
      <c r="I58823" s="63"/>
      <c r="R58823" s="64"/>
    </row>
    <row r="58824" spans="3:18" s="8" customFormat="1" x14ac:dyDescent="0.25">
      <c r="C58824" s="60"/>
      <c r="I58824" s="63"/>
      <c r="R58824" s="64"/>
    </row>
    <row r="58825" spans="3:18" s="8" customFormat="1" x14ac:dyDescent="0.25">
      <c r="C58825" s="60"/>
      <c r="I58825" s="63"/>
      <c r="R58825" s="64"/>
    </row>
    <row r="58826" spans="3:18" s="8" customFormat="1" x14ac:dyDescent="0.25">
      <c r="C58826" s="60"/>
      <c r="I58826" s="63"/>
      <c r="R58826" s="64"/>
    </row>
    <row r="58827" spans="3:18" s="8" customFormat="1" x14ac:dyDescent="0.25">
      <c r="C58827" s="60"/>
      <c r="I58827" s="63"/>
      <c r="R58827" s="64"/>
    </row>
    <row r="58828" spans="3:18" s="8" customFormat="1" x14ac:dyDescent="0.25">
      <c r="C58828" s="60"/>
      <c r="I58828" s="63"/>
      <c r="R58828" s="64"/>
    </row>
    <row r="58829" spans="3:18" s="8" customFormat="1" x14ac:dyDescent="0.25">
      <c r="C58829" s="60"/>
      <c r="I58829" s="63"/>
      <c r="R58829" s="64"/>
    </row>
    <row r="58830" spans="3:18" s="8" customFormat="1" x14ac:dyDescent="0.25">
      <c r="C58830" s="60"/>
      <c r="I58830" s="63"/>
      <c r="R58830" s="64"/>
    </row>
    <row r="58831" spans="3:18" s="8" customFormat="1" x14ac:dyDescent="0.25">
      <c r="C58831" s="60"/>
      <c r="I58831" s="63"/>
      <c r="R58831" s="64"/>
    </row>
    <row r="58832" spans="3:18" s="8" customFormat="1" x14ac:dyDescent="0.25">
      <c r="C58832" s="60"/>
      <c r="I58832" s="63"/>
      <c r="R58832" s="64"/>
    </row>
    <row r="58833" spans="3:18" s="8" customFormat="1" x14ac:dyDescent="0.25">
      <c r="C58833" s="60"/>
      <c r="I58833" s="63"/>
      <c r="R58833" s="64"/>
    </row>
    <row r="58834" spans="3:18" s="8" customFormat="1" x14ac:dyDescent="0.25">
      <c r="C58834" s="60"/>
      <c r="I58834" s="63"/>
      <c r="R58834" s="64"/>
    </row>
    <row r="58835" spans="3:18" s="8" customFormat="1" x14ac:dyDescent="0.25">
      <c r="C58835" s="60"/>
      <c r="I58835" s="63"/>
      <c r="R58835" s="64"/>
    </row>
    <row r="58836" spans="3:18" s="8" customFormat="1" x14ac:dyDescent="0.25">
      <c r="C58836" s="60"/>
      <c r="I58836" s="63"/>
      <c r="R58836" s="64"/>
    </row>
    <row r="58837" spans="3:18" s="8" customFormat="1" x14ac:dyDescent="0.25">
      <c r="C58837" s="60"/>
      <c r="I58837" s="63"/>
      <c r="R58837" s="64"/>
    </row>
    <row r="58838" spans="3:18" s="8" customFormat="1" x14ac:dyDescent="0.25">
      <c r="C58838" s="60"/>
      <c r="I58838" s="63"/>
      <c r="R58838" s="64"/>
    </row>
    <row r="58839" spans="3:18" s="8" customFormat="1" x14ac:dyDescent="0.25">
      <c r="C58839" s="60"/>
      <c r="I58839" s="63"/>
      <c r="R58839" s="64"/>
    </row>
    <row r="58840" spans="3:18" s="8" customFormat="1" x14ac:dyDescent="0.25">
      <c r="C58840" s="60"/>
      <c r="I58840" s="63"/>
      <c r="R58840" s="64"/>
    </row>
    <row r="58841" spans="3:18" s="8" customFormat="1" x14ac:dyDescent="0.25">
      <c r="C58841" s="60"/>
      <c r="I58841" s="63"/>
      <c r="R58841" s="64"/>
    </row>
    <row r="58842" spans="3:18" s="8" customFormat="1" x14ac:dyDescent="0.25">
      <c r="C58842" s="60"/>
      <c r="I58842" s="63"/>
      <c r="R58842" s="64"/>
    </row>
    <row r="58843" spans="3:18" s="8" customFormat="1" x14ac:dyDescent="0.25">
      <c r="C58843" s="60"/>
      <c r="I58843" s="63"/>
      <c r="R58843" s="64"/>
    </row>
    <row r="58844" spans="3:18" s="8" customFormat="1" x14ac:dyDescent="0.25">
      <c r="C58844" s="60"/>
      <c r="I58844" s="63"/>
      <c r="R58844" s="64"/>
    </row>
    <row r="58845" spans="3:18" s="8" customFormat="1" x14ac:dyDescent="0.25">
      <c r="C58845" s="60"/>
      <c r="I58845" s="63"/>
      <c r="R58845" s="64"/>
    </row>
    <row r="58846" spans="3:18" s="8" customFormat="1" x14ac:dyDescent="0.25">
      <c r="C58846" s="60"/>
      <c r="I58846" s="63"/>
      <c r="R58846" s="64"/>
    </row>
    <row r="58847" spans="3:18" s="8" customFormat="1" x14ac:dyDescent="0.25">
      <c r="C58847" s="60"/>
      <c r="I58847" s="63"/>
      <c r="R58847" s="64"/>
    </row>
    <row r="58848" spans="3:18" s="8" customFormat="1" x14ac:dyDescent="0.25">
      <c r="C58848" s="60"/>
      <c r="I58848" s="63"/>
      <c r="R58848" s="64"/>
    </row>
    <row r="58849" spans="3:18" s="8" customFormat="1" x14ac:dyDescent="0.25">
      <c r="C58849" s="60"/>
      <c r="I58849" s="63"/>
      <c r="R58849" s="64"/>
    </row>
    <row r="58850" spans="3:18" s="8" customFormat="1" x14ac:dyDescent="0.25">
      <c r="C58850" s="60"/>
      <c r="I58850" s="63"/>
      <c r="R58850" s="64"/>
    </row>
    <row r="58851" spans="3:18" s="8" customFormat="1" x14ac:dyDescent="0.25">
      <c r="C58851" s="60"/>
      <c r="I58851" s="63"/>
      <c r="R58851" s="64"/>
    </row>
    <row r="58852" spans="3:18" s="8" customFormat="1" x14ac:dyDescent="0.25">
      <c r="C58852" s="60"/>
      <c r="I58852" s="63"/>
      <c r="R58852" s="64"/>
    </row>
    <row r="58853" spans="3:18" s="8" customFormat="1" x14ac:dyDescent="0.25">
      <c r="C58853" s="60"/>
      <c r="I58853" s="63"/>
      <c r="R58853" s="64"/>
    </row>
    <row r="58854" spans="3:18" s="8" customFormat="1" x14ac:dyDescent="0.25">
      <c r="C58854" s="60"/>
      <c r="I58854" s="63"/>
      <c r="R58854" s="64"/>
    </row>
    <row r="58855" spans="3:18" s="8" customFormat="1" x14ac:dyDescent="0.25">
      <c r="C58855" s="60"/>
      <c r="I58855" s="63"/>
      <c r="R58855" s="64"/>
    </row>
    <row r="58856" spans="3:18" s="8" customFormat="1" x14ac:dyDescent="0.25">
      <c r="C58856" s="60"/>
      <c r="I58856" s="63"/>
      <c r="R58856" s="64"/>
    </row>
    <row r="58857" spans="3:18" s="8" customFormat="1" x14ac:dyDescent="0.25">
      <c r="C58857" s="60"/>
      <c r="I58857" s="63"/>
      <c r="R58857" s="64"/>
    </row>
    <row r="58858" spans="3:18" s="8" customFormat="1" x14ac:dyDescent="0.25">
      <c r="C58858" s="60"/>
      <c r="I58858" s="63"/>
      <c r="R58858" s="64"/>
    </row>
    <row r="58859" spans="3:18" s="8" customFormat="1" x14ac:dyDescent="0.25">
      <c r="C58859" s="60"/>
      <c r="I58859" s="63"/>
      <c r="R58859" s="64"/>
    </row>
    <row r="58860" spans="3:18" s="8" customFormat="1" x14ac:dyDescent="0.25">
      <c r="C58860" s="60"/>
      <c r="I58860" s="63"/>
      <c r="R58860" s="64"/>
    </row>
    <row r="58861" spans="3:18" s="8" customFormat="1" x14ac:dyDescent="0.25">
      <c r="C58861" s="60"/>
      <c r="I58861" s="63"/>
      <c r="R58861" s="64"/>
    </row>
    <row r="58862" spans="3:18" s="8" customFormat="1" x14ac:dyDescent="0.25">
      <c r="C58862" s="60"/>
      <c r="I58862" s="63"/>
      <c r="R58862" s="64"/>
    </row>
    <row r="58863" spans="3:18" s="8" customFormat="1" x14ac:dyDescent="0.25">
      <c r="C58863" s="60"/>
      <c r="I58863" s="63"/>
      <c r="R58863" s="64"/>
    </row>
    <row r="58864" spans="3:18" s="8" customFormat="1" x14ac:dyDescent="0.25">
      <c r="C58864" s="60"/>
      <c r="I58864" s="63"/>
      <c r="R58864" s="64"/>
    </row>
    <row r="58865" spans="3:18" s="8" customFormat="1" x14ac:dyDescent="0.25">
      <c r="C58865" s="60"/>
      <c r="I58865" s="63"/>
      <c r="R58865" s="64"/>
    </row>
    <row r="58866" spans="3:18" s="8" customFormat="1" x14ac:dyDescent="0.25">
      <c r="C58866" s="60"/>
      <c r="I58866" s="63"/>
      <c r="R58866" s="64"/>
    </row>
    <row r="58867" spans="3:18" s="8" customFormat="1" x14ac:dyDescent="0.25">
      <c r="C58867" s="60"/>
      <c r="I58867" s="63"/>
      <c r="R58867" s="64"/>
    </row>
    <row r="58868" spans="3:18" s="8" customFormat="1" x14ac:dyDescent="0.25">
      <c r="C58868" s="60"/>
      <c r="I58868" s="63"/>
      <c r="R58868" s="64"/>
    </row>
    <row r="58869" spans="3:18" s="8" customFormat="1" x14ac:dyDescent="0.25">
      <c r="C58869" s="60"/>
      <c r="I58869" s="63"/>
      <c r="R58869" s="64"/>
    </row>
    <row r="58870" spans="3:18" s="8" customFormat="1" x14ac:dyDescent="0.25">
      <c r="C58870" s="60"/>
      <c r="I58870" s="63"/>
      <c r="R58870" s="64"/>
    </row>
    <row r="58871" spans="3:18" s="8" customFormat="1" x14ac:dyDescent="0.25">
      <c r="C58871" s="60"/>
      <c r="I58871" s="63"/>
      <c r="R58871" s="64"/>
    </row>
    <row r="58872" spans="3:18" s="8" customFormat="1" x14ac:dyDescent="0.25">
      <c r="C58872" s="60"/>
      <c r="I58872" s="63"/>
      <c r="R58872" s="64"/>
    </row>
    <row r="58873" spans="3:18" s="8" customFormat="1" x14ac:dyDescent="0.25">
      <c r="C58873" s="60"/>
      <c r="I58873" s="63"/>
      <c r="R58873" s="64"/>
    </row>
    <row r="58874" spans="3:18" s="8" customFormat="1" x14ac:dyDescent="0.25">
      <c r="C58874" s="60"/>
      <c r="I58874" s="63"/>
      <c r="R58874" s="64"/>
    </row>
    <row r="58875" spans="3:18" s="8" customFormat="1" x14ac:dyDescent="0.25">
      <c r="C58875" s="60"/>
      <c r="I58875" s="63"/>
      <c r="R58875" s="64"/>
    </row>
    <row r="58876" spans="3:18" s="8" customFormat="1" x14ac:dyDescent="0.25">
      <c r="C58876" s="60"/>
      <c r="I58876" s="63"/>
      <c r="R58876" s="64"/>
    </row>
    <row r="58877" spans="3:18" s="8" customFormat="1" x14ac:dyDescent="0.25">
      <c r="C58877" s="60"/>
      <c r="I58877" s="63"/>
      <c r="R58877" s="64"/>
    </row>
    <row r="58878" spans="3:18" s="8" customFormat="1" x14ac:dyDescent="0.25">
      <c r="C58878" s="60"/>
      <c r="I58878" s="63"/>
      <c r="R58878" s="64"/>
    </row>
    <row r="58879" spans="3:18" s="8" customFormat="1" x14ac:dyDescent="0.25">
      <c r="C58879" s="60"/>
      <c r="I58879" s="63"/>
      <c r="R58879" s="64"/>
    </row>
    <row r="58880" spans="3:18" s="8" customFormat="1" x14ac:dyDescent="0.25">
      <c r="C58880" s="60"/>
      <c r="I58880" s="63"/>
      <c r="R58880" s="64"/>
    </row>
    <row r="58881" spans="3:18" s="8" customFormat="1" x14ac:dyDescent="0.25">
      <c r="C58881" s="60"/>
      <c r="I58881" s="63"/>
      <c r="R58881" s="64"/>
    </row>
    <row r="58882" spans="3:18" s="8" customFormat="1" x14ac:dyDescent="0.25">
      <c r="C58882" s="60"/>
      <c r="I58882" s="63"/>
      <c r="R58882" s="64"/>
    </row>
    <row r="58883" spans="3:18" s="8" customFormat="1" x14ac:dyDescent="0.25">
      <c r="C58883" s="60"/>
      <c r="I58883" s="63"/>
      <c r="R58883" s="64"/>
    </row>
    <row r="58884" spans="3:18" s="8" customFormat="1" x14ac:dyDescent="0.25">
      <c r="C58884" s="60"/>
      <c r="I58884" s="63"/>
      <c r="R58884" s="64"/>
    </row>
    <row r="58885" spans="3:18" s="8" customFormat="1" x14ac:dyDescent="0.25">
      <c r="C58885" s="60"/>
      <c r="I58885" s="63"/>
      <c r="R58885" s="64"/>
    </row>
    <row r="58886" spans="3:18" s="8" customFormat="1" x14ac:dyDescent="0.25">
      <c r="C58886" s="60"/>
      <c r="I58886" s="63"/>
      <c r="R58886" s="64"/>
    </row>
    <row r="58887" spans="3:18" s="8" customFormat="1" x14ac:dyDescent="0.25">
      <c r="C58887" s="60"/>
      <c r="I58887" s="63"/>
      <c r="R58887" s="64"/>
    </row>
    <row r="58888" spans="3:18" s="8" customFormat="1" x14ac:dyDescent="0.25">
      <c r="C58888" s="60"/>
      <c r="I58888" s="63"/>
      <c r="R58888" s="64"/>
    </row>
    <row r="58889" spans="3:18" s="8" customFormat="1" x14ac:dyDescent="0.25">
      <c r="C58889" s="60"/>
      <c r="I58889" s="63"/>
      <c r="R58889" s="64"/>
    </row>
    <row r="58890" spans="3:18" s="8" customFormat="1" x14ac:dyDescent="0.25">
      <c r="C58890" s="60"/>
      <c r="I58890" s="63"/>
      <c r="R58890" s="64"/>
    </row>
    <row r="58891" spans="3:18" s="8" customFormat="1" x14ac:dyDescent="0.25">
      <c r="C58891" s="60"/>
      <c r="I58891" s="63"/>
      <c r="R58891" s="64"/>
    </row>
    <row r="58892" spans="3:18" s="8" customFormat="1" x14ac:dyDescent="0.25">
      <c r="C58892" s="60"/>
      <c r="I58892" s="63"/>
      <c r="R58892" s="64"/>
    </row>
    <row r="58893" spans="3:18" s="8" customFormat="1" x14ac:dyDescent="0.25">
      <c r="C58893" s="60"/>
      <c r="I58893" s="63"/>
      <c r="R58893" s="64"/>
    </row>
    <row r="58894" spans="3:18" s="8" customFormat="1" x14ac:dyDescent="0.25">
      <c r="C58894" s="60"/>
      <c r="I58894" s="63"/>
      <c r="R58894" s="64"/>
    </row>
    <row r="58895" spans="3:18" s="8" customFormat="1" x14ac:dyDescent="0.25">
      <c r="C58895" s="60"/>
      <c r="I58895" s="63"/>
      <c r="R58895" s="64"/>
    </row>
    <row r="58896" spans="3:18" s="8" customFormat="1" x14ac:dyDescent="0.25">
      <c r="C58896" s="60"/>
      <c r="I58896" s="63"/>
      <c r="R58896" s="64"/>
    </row>
    <row r="58897" spans="3:18" s="8" customFormat="1" x14ac:dyDescent="0.25">
      <c r="C58897" s="60"/>
      <c r="I58897" s="63"/>
      <c r="R58897" s="64"/>
    </row>
    <row r="58898" spans="3:18" s="8" customFormat="1" x14ac:dyDescent="0.25">
      <c r="C58898" s="60"/>
      <c r="I58898" s="63"/>
      <c r="R58898" s="64"/>
    </row>
    <row r="58899" spans="3:18" s="8" customFormat="1" x14ac:dyDescent="0.25">
      <c r="C58899" s="60"/>
      <c r="I58899" s="63"/>
      <c r="R58899" s="64"/>
    </row>
    <row r="58900" spans="3:18" s="8" customFormat="1" x14ac:dyDescent="0.25">
      <c r="C58900" s="60"/>
      <c r="I58900" s="63"/>
      <c r="R58900" s="64"/>
    </row>
    <row r="58901" spans="3:18" s="8" customFormat="1" x14ac:dyDescent="0.25">
      <c r="C58901" s="60"/>
      <c r="I58901" s="63"/>
      <c r="R58901" s="64"/>
    </row>
    <row r="58902" spans="3:18" s="8" customFormat="1" x14ac:dyDescent="0.25">
      <c r="C58902" s="60"/>
      <c r="I58902" s="63"/>
      <c r="R58902" s="64"/>
    </row>
    <row r="58903" spans="3:18" s="8" customFormat="1" x14ac:dyDescent="0.25">
      <c r="C58903" s="60"/>
      <c r="I58903" s="63"/>
      <c r="R58903" s="64"/>
    </row>
    <row r="58904" spans="3:18" s="8" customFormat="1" x14ac:dyDescent="0.25">
      <c r="C58904" s="60"/>
      <c r="I58904" s="63"/>
      <c r="R58904" s="64"/>
    </row>
    <row r="58905" spans="3:18" s="8" customFormat="1" x14ac:dyDescent="0.25">
      <c r="C58905" s="60"/>
      <c r="I58905" s="63"/>
      <c r="R58905" s="64"/>
    </row>
    <row r="58906" spans="3:18" s="8" customFormat="1" x14ac:dyDescent="0.25">
      <c r="C58906" s="60"/>
      <c r="I58906" s="63"/>
      <c r="R58906" s="64"/>
    </row>
    <row r="58907" spans="3:18" s="8" customFormat="1" x14ac:dyDescent="0.25">
      <c r="C58907" s="60"/>
      <c r="I58907" s="63"/>
      <c r="R58907" s="64"/>
    </row>
    <row r="58908" spans="3:18" s="8" customFormat="1" x14ac:dyDescent="0.25">
      <c r="C58908" s="60"/>
      <c r="I58908" s="63"/>
      <c r="R58908" s="64"/>
    </row>
    <row r="58909" spans="3:18" s="8" customFormat="1" x14ac:dyDescent="0.25">
      <c r="C58909" s="60"/>
      <c r="I58909" s="63"/>
      <c r="R58909" s="64"/>
    </row>
    <row r="58910" spans="3:18" s="8" customFormat="1" x14ac:dyDescent="0.25">
      <c r="C58910" s="60"/>
      <c r="I58910" s="63"/>
      <c r="R58910" s="64"/>
    </row>
    <row r="58911" spans="3:18" s="8" customFormat="1" x14ac:dyDescent="0.25">
      <c r="C58911" s="60"/>
      <c r="I58911" s="63"/>
      <c r="R58911" s="64"/>
    </row>
    <row r="58912" spans="3:18" s="8" customFormat="1" x14ac:dyDescent="0.25">
      <c r="C58912" s="60"/>
      <c r="I58912" s="63"/>
      <c r="R58912" s="64"/>
    </row>
    <row r="58913" spans="3:18" s="8" customFormat="1" x14ac:dyDescent="0.25">
      <c r="C58913" s="60"/>
      <c r="I58913" s="63"/>
      <c r="R58913" s="64"/>
    </row>
    <row r="58914" spans="3:18" s="8" customFormat="1" x14ac:dyDescent="0.25">
      <c r="C58914" s="60"/>
      <c r="I58914" s="63"/>
      <c r="R58914" s="64"/>
    </row>
    <row r="58915" spans="3:18" s="8" customFormat="1" x14ac:dyDescent="0.25">
      <c r="C58915" s="60"/>
      <c r="I58915" s="63"/>
      <c r="R58915" s="64"/>
    </row>
    <row r="58916" spans="3:18" s="8" customFormat="1" x14ac:dyDescent="0.25">
      <c r="C58916" s="60"/>
      <c r="I58916" s="63"/>
      <c r="R58916" s="64"/>
    </row>
    <row r="58917" spans="3:18" s="8" customFormat="1" x14ac:dyDescent="0.25">
      <c r="C58917" s="60"/>
      <c r="I58917" s="63"/>
      <c r="R58917" s="64"/>
    </row>
    <row r="58918" spans="3:18" s="8" customFormat="1" x14ac:dyDescent="0.25">
      <c r="C58918" s="60"/>
      <c r="I58918" s="63"/>
      <c r="R58918" s="64"/>
    </row>
    <row r="58919" spans="3:18" s="8" customFormat="1" x14ac:dyDescent="0.25">
      <c r="C58919" s="60"/>
      <c r="I58919" s="63"/>
      <c r="R58919" s="64"/>
    </row>
    <row r="58920" spans="3:18" s="8" customFormat="1" x14ac:dyDescent="0.25">
      <c r="C58920" s="60"/>
      <c r="I58920" s="63"/>
      <c r="R58920" s="64"/>
    </row>
    <row r="58921" spans="3:18" s="8" customFormat="1" x14ac:dyDescent="0.25">
      <c r="C58921" s="60"/>
      <c r="I58921" s="63"/>
      <c r="R58921" s="64"/>
    </row>
    <row r="58922" spans="3:18" s="8" customFormat="1" x14ac:dyDescent="0.25">
      <c r="C58922" s="60"/>
      <c r="I58922" s="63"/>
      <c r="R58922" s="64"/>
    </row>
    <row r="58923" spans="3:18" s="8" customFormat="1" x14ac:dyDescent="0.25">
      <c r="C58923" s="60"/>
      <c r="I58923" s="63"/>
      <c r="R58923" s="64"/>
    </row>
    <row r="58924" spans="3:18" s="8" customFormat="1" x14ac:dyDescent="0.25">
      <c r="C58924" s="60"/>
      <c r="I58924" s="63"/>
      <c r="R58924" s="64"/>
    </row>
    <row r="58925" spans="3:18" s="8" customFormat="1" x14ac:dyDescent="0.25">
      <c r="C58925" s="60"/>
      <c r="I58925" s="63"/>
      <c r="R58925" s="64"/>
    </row>
    <row r="58926" spans="3:18" s="8" customFormat="1" x14ac:dyDescent="0.25">
      <c r="C58926" s="60"/>
      <c r="I58926" s="63"/>
      <c r="R58926" s="64"/>
    </row>
    <row r="58927" spans="3:18" s="8" customFormat="1" x14ac:dyDescent="0.25">
      <c r="C58927" s="60"/>
      <c r="I58927" s="63"/>
      <c r="R58927" s="64"/>
    </row>
    <row r="58928" spans="3:18" s="8" customFormat="1" x14ac:dyDescent="0.25">
      <c r="C58928" s="60"/>
      <c r="I58928" s="63"/>
      <c r="R58928" s="64"/>
    </row>
    <row r="58929" spans="3:18" s="8" customFormat="1" x14ac:dyDescent="0.25">
      <c r="C58929" s="60"/>
      <c r="I58929" s="63"/>
      <c r="R58929" s="64"/>
    </row>
    <row r="58930" spans="3:18" s="8" customFormat="1" x14ac:dyDescent="0.25">
      <c r="C58930" s="60"/>
      <c r="I58930" s="63"/>
      <c r="R58930" s="64"/>
    </row>
    <row r="58931" spans="3:18" s="8" customFormat="1" x14ac:dyDescent="0.25">
      <c r="C58931" s="60"/>
      <c r="I58931" s="63"/>
      <c r="R58931" s="64"/>
    </row>
    <row r="58932" spans="3:18" s="8" customFormat="1" x14ac:dyDescent="0.25">
      <c r="C58932" s="60"/>
      <c r="I58932" s="63"/>
      <c r="R58932" s="64"/>
    </row>
    <row r="58933" spans="3:18" s="8" customFormat="1" x14ac:dyDescent="0.25">
      <c r="C58933" s="60"/>
      <c r="I58933" s="63"/>
      <c r="R58933" s="64"/>
    </row>
    <row r="58934" spans="3:18" s="8" customFormat="1" x14ac:dyDescent="0.25">
      <c r="C58934" s="60"/>
      <c r="I58934" s="63"/>
      <c r="R58934" s="64"/>
    </row>
    <row r="58935" spans="3:18" s="8" customFormat="1" x14ac:dyDescent="0.25">
      <c r="C58935" s="60"/>
      <c r="I58935" s="63"/>
      <c r="R58935" s="64"/>
    </row>
    <row r="58936" spans="3:18" s="8" customFormat="1" x14ac:dyDescent="0.25">
      <c r="C58936" s="60"/>
      <c r="I58936" s="63"/>
      <c r="R58936" s="64"/>
    </row>
    <row r="58937" spans="3:18" s="8" customFormat="1" x14ac:dyDescent="0.25">
      <c r="C58937" s="60"/>
      <c r="I58937" s="63"/>
      <c r="R58937" s="64"/>
    </row>
    <row r="58938" spans="3:18" s="8" customFormat="1" x14ac:dyDescent="0.25">
      <c r="C58938" s="60"/>
      <c r="I58938" s="63"/>
      <c r="R58938" s="64"/>
    </row>
    <row r="58939" spans="3:18" s="8" customFormat="1" x14ac:dyDescent="0.25">
      <c r="C58939" s="60"/>
      <c r="I58939" s="63"/>
      <c r="R58939" s="64"/>
    </row>
    <row r="58940" spans="3:18" s="8" customFormat="1" x14ac:dyDescent="0.25">
      <c r="C58940" s="60"/>
      <c r="I58940" s="63"/>
      <c r="R58940" s="64"/>
    </row>
    <row r="58941" spans="3:18" s="8" customFormat="1" x14ac:dyDescent="0.25">
      <c r="C58941" s="60"/>
      <c r="I58941" s="63"/>
      <c r="R58941" s="64"/>
    </row>
    <row r="58942" spans="3:18" s="8" customFormat="1" x14ac:dyDescent="0.25">
      <c r="C58942" s="60"/>
      <c r="I58942" s="63"/>
      <c r="R58942" s="64"/>
    </row>
    <row r="58943" spans="3:18" s="8" customFormat="1" x14ac:dyDescent="0.25">
      <c r="C58943" s="60"/>
      <c r="I58943" s="63"/>
      <c r="R58943" s="64"/>
    </row>
    <row r="58944" spans="3:18" s="8" customFormat="1" x14ac:dyDescent="0.25">
      <c r="C58944" s="60"/>
      <c r="I58944" s="63"/>
      <c r="R58944" s="64"/>
    </row>
    <row r="58945" spans="3:18" s="8" customFormat="1" x14ac:dyDescent="0.25">
      <c r="C58945" s="60"/>
      <c r="I58945" s="63"/>
      <c r="R58945" s="64"/>
    </row>
    <row r="58946" spans="3:18" s="8" customFormat="1" x14ac:dyDescent="0.25">
      <c r="C58946" s="60"/>
      <c r="I58946" s="63"/>
      <c r="R58946" s="64"/>
    </row>
    <row r="58947" spans="3:18" s="8" customFormat="1" x14ac:dyDescent="0.25">
      <c r="C58947" s="60"/>
      <c r="I58947" s="63"/>
      <c r="R58947" s="64"/>
    </row>
    <row r="58948" spans="3:18" s="8" customFormat="1" x14ac:dyDescent="0.25">
      <c r="C58948" s="60"/>
      <c r="I58948" s="63"/>
      <c r="R58948" s="64"/>
    </row>
    <row r="58949" spans="3:18" s="8" customFormat="1" x14ac:dyDescent="0.25">
      <c r="C58949" s="60"/>
      <c r="I58949" s="63"/>
      <c r="R58949" s="64"/>
    </row>
    <row r="58950" spans="3:18" s="8" customFormat="1" x14ac:dyDescent="0.25">
      <c r="C58950" s="60"/>
      <c r="I58950" s="63"/>
      <c r="R58950" s="64"/>
    </row>
    <row r="58951" spans="3:18" s="8" customFormat="1" x14ac:dyDescent="0.25">
      <c r="C58951" s="60"/>
      <c r="I58951" s="63"/>
      <c r="R58951" s="64"/>
    </row>
    <row r="58952" spans="3:18" s="8" customFormat="1" x14ac:dyDescent="0.25">
      <c r="C58952" s="60"/>
      <c r="I58952" s="63"/>
      <c r="R58952" s="64"/>
    </row>
    <row r="58953" spans="3:18" s="8" customFormat="1" x14ac:dyDescent="0.25">
      <c r="C58953" s="60"/>
      <c r="I58953" s="63"/>
      <c r="R58953" s="64"/>
    </row>
    <row r="58954" spans="3:18" s="8" customFormat="1" x14ac:dyDescent="0.25">
      <c r="C58954" s="60"/>
      <c r="I58954" s="63"/>
      <c r="R58954" s="64"/>
    </row>
    <row r="58955" spans="3:18" s="8" customFormat="1" x14ac:dyDescent="0.25">
      <c r="C58955" s="60"/>
      <c r="I58955" s="63"/>
      <c r="R58955" s="64"/>
    </row>
    <row r="58956" spans="3:18" s="8" customFormat="1" x14ac:dyDescent="0.25">
      <c r="C58956" s="60"/>
      <c r="I58956" s="63"/>
      <c r="R58956" s="64"/>
    </row>
    <row r="58957" spans="3:18" s="8" customFormat="1" x14ac:dyDescent="0.25">
      <c r="C58957" s="60"/>
      <c r="I58957" s="63"/>
      <c r="R58957" s="64"/>
    </row>
    <row r="58958" spans="3:18" s="8" customFormat="1" x14ac:dyDescent="0.25">
      <c r="C58958" s="60"/>
      <c r="I58958" s="63"/>
      <c r="R58958" s="64"/>
    </row>
    <row r="58959" spans="3:18" s="8" customFormat="1" x14ac:dyDescent="0.25">
      <c r="C58959" s="60"/>
      <c r="I58959" s="63"/>
      <c r="R58959" s="64"/>
    </row>
    <row r="58960" spans="3:18" s="8" customFormat="1" x14ac:dyDescent="0.25">
      <c r="C58960" s="60"/>
      <c r="I58960" s="63"/>
      <c r="R58960" s="64"/>
    </row>
    <row r="58961" spans="3:18" s="8" customFormat="1" x14ac:dyDescent="0.25">
      <c r="C58961" s="60"/>
      <c r="I58961" s="63"/>
      <c r="R58961" s="64"/>
    </row>
    <row r="58962" spans="3:18" s="8" customFormat="1" x14ac:dyDescent="0.25">
      <c r="C58962" s="60"/>
      <c r="I58962" s="63"/>
      <c r="R58962" s="64"/>
    </row>
    <row r="58963" spans="3:18" s="8" customFormat="1" x14ac:dyDescent="0.25">
      <c r="C58963" s="60"/>
      <c r="I58963" s="63"/>
      <c r="R58963" s="64"/>
    </row>
    <row r="58964" spans="3:18" s="8" customFormat="1" x14ac:dyDescent="0.25">
      <c r="C58964" s="60"/>
      <c r="I58964" s="63"/>
      <c r="R58964" s="64"/>
    </row>
    <row r="58965" spans="3:18" s="8" customFormat="1" x14ac:dyDescent="0.25">
      <c r="C58965" s="60"/>
      <c r="I58965" s="63"/>
      <c r="R58965" s="64"/>
    </row>
    <row r="58966" spans="3:18" s="8" customFormat="1" x14ac:dyDescent="0.25">
      <c r="C58966" s="60"/>
      <c r="I58966" s="63"/>
      <c r="R58966" s="64"/>
    </row>
    <row r="58967" spans="3:18" s="8" customFormat="1" x14ac:dyDescent="0.25">
      <c r="C58967" s="60"/>
      <c r="I58967" s="63"/>
      <c r="R58967" s="64"/>
    </row>
    <row r="58968" spans="3:18" s="8" customFormat="1" x14ac:dyDescent="0.25">
      <c r="C58968" s="60"/>
      <c r="I58968" s="63"/>
      <c r="R58968" s="64"/>
    </row>
    <row r="58969" spans="3:18" s="8" customFormat="1" x14ac:dyDescent="0.25">
      <c r="C58969" s="60"/>
      <c r="I58969" s="63"/>
      <c r="R58969" s="64"/>
    </row>
    <row r="58970" spans="3:18" s="8" customFormat="1" x14ac:dyDescent="0.25">
      <c r="C58970" s="60"/>
      <c r="I58970" s="63"/>
      <c r="R58970" s="64"/>
    </row>
    <row r="58971" spans="3:18" s="8" customFormat="1" x14ac:dyDescent="0.25">
      <c r="C58971" s="60"/>
      <c r="I58971" s="63"/>
      <c r="R58971" s="64"/>
    </row>
    <row r="58972" spans="3:18" s="8" customFormat="1" x14ac:dyDescent="0.25">
      <c r="C58972" s="60"/>
      <c r="I58972" s="63"/>
      <c r="R58972" s="64"/>
    </row>
    <row r="58973" spans="3:18" s="8" customFormat="1" x14ac:dyDescent="0.25">
      <c r="C58973" s="60"/>
      <c r="I58973" s="63"/>
      <c r="R58973" s="64"/>
    </row>
    <row r="58974" spans="3:18" s="8" customFormat="1" x14ac:dyDescent="0.25">
      <c r="C58974" s="60"/>
      <c r="I58974" s="63"/>
      <c r="R58974" s="64"/>
    </row>
    <row r="58975" spans="3:18" s="8" customFormat="1" x14ac:dyDescent="0.25">
      <c r="C58975" s="60"/>
      <c r="I58975" s="63"/>
      <c r="R58975" s="64"/>
    </row>
    <row r="58976" spans="3:18" s="8" customFormat="1" x14ac:dyDescent="0.25">
      <c r="C58976" s="60"/>
      <c r="I58976" s="63"/>
      <c r="R58976" s="64"/>
    </row>
    <row r="58977" spans="3:18" s="8" customFormat="1" x14ac:dyDescent="0.25">
      <c r="C58977" s="60"/>
      <c r="I58977" s="63"/>
      <c r="R58977" s="64"/>
    </row>
    <row r="58978" spans="3:18" s="8" customFormat="1" x14ac:dyDescent="0.25">
      <c r="C58978" s="60"/>
      <c r="I58978" s="63"/>
      <c r="R58978" s="64"/>
    </row>
    <row r="58979" spans="3:18" s="8" customFormat="1" x14ac:dyDescent="0.25">
      <c r="C58979" s="60"/>
      <c r="I58979" s="63"/>
      <c r="R58979" s="64"/>
    </row>
    <row r="58980" spans="3:18" s="8" customFormat="1" x14ac:dyDescent="0.25">
      <c r="C58980" s="60"/>
      <c r="I58980" s="63"/>
      <c r="R58980" s="64"/>
    </row>
    <row r="58981" spans="3:18" s="8" customFormat="1" x14ac:dyDescent="0.25">
      <c r="C58981" s="60"/>
      <c r="I58981" s="63"/>
      <c r="R58981" s="64"/>
    </row>
    <row r="58982" spans="3:18" s="8" customFormat="1" x14ac:dyDescent="0.25">
      <c r="C58982" s="60"/>
      <c r="I58982" s="63"/>
      <c r="R58982" s="64"/>
    </row>
    <row r="58983" spans="3:18" s="8" customFormat="1" x14ac:dyDescent="0.25">
      <c r="C58983" s="60"/>
      <c r="I58983" s="63"/>
      <c r="R58983" s="64"/>
    </row>
    <row r="58984" spans="3:18" s="8" customFormat="1" x14ac:dyDescent="0.25">
      <c r="C58984" s="60"/>
      <c r="I58984" s="63"/>
      <c r="R58984" s="64"/>
    </row>
    <row r="58985" spans="3:18" s="8" customFormat="1" x14ac:dyDescent="0.25">
      <c r="C58985" s="60"/>
      <c r="I58985" s="63"/>
      <c r="R58985" s="64"/>
    </row>
    <row r="58986" spans="3:18" s="8" customFormat="1" x14ac:dyDescent="0.25">
      <c r="C58986" s="60"/>
      <c r="I58986" s="63"/>
      <c r="R58986" s="64"/>
    </row>
    <row r="58987" spans="3:18" s="8" customFormat="1" x14ac:dyDescent="0.25">
      <c r="C58987" s="60"/>
      <c r="I58987" s="63"/>
      <c r="R58987" s="64"/>
    </row>
    <row r="58988" spans="3:18" s="8" customFormat="1" x14ac:dyDescent="0.25">
      <c r="C58988" s="60"/>
      <c r="I58988" s="63"/>
      <c r="R58988" s="64"/>
    </row>
    <row r="58989" spans="3:18" s="8" customFormat="1" x14ac:dyDescent="0.25">
      <c r="C58989" s="60"/>
      <c r="I58989" s="63"/>
      <c r="R58989" s="64"/>
    </row>
    <row r="58990" spans="3:18" s="8" customFormat="1" x14ac:dyDescent="0.25">
      <c r="C58990" s="60"/>
      <c r="I58990" s="63"/>
      <c r="R58990" s="64"/>
    </row>
    <row r="58991" spans="3:18" s="8" customFormat="1" x14ac:dyDescent="0.25">
      <c r="C58991" s="60"/>
      <c r="I58991" s="63"/>
      <c r="R58991" s="64"/>
    </row>
    <row r="58992" spans="3:18" s="8" customFormat="1" x14ac:dyDescent="0.25">
      <c r="C58992" s="60"/>
      <c r="I58992" s="63"/>
      <c r="R58992" s="64"/>
    </row>
    <row r="58993" spans="3:18" s="8" customFormat="1" x14ac:dyDescent="0.25">
      <c r="C58993" s="60"/>
      <c r="I58993" s="63"/>
      <c r="R58993" s="64"/>
    </row>
    <row r="58994" spans="3:18" s="8" customFormat="1" x14ac:dyDescent="0.25">
      <c r="C58994" s="60"/>
      <c r="I58994" s="63"/>
      <c r="R58994" s="64"/>
    </row>
    <row r="58995" spans="3:18" s="8" customFormat="1" x14ac:dyDescent="0.25">
      <c r="C58995" s="60"/>
      <c r="I58995" s="63"/>
      <c r="R58995" s="64"/>
    </row>
    <row r="58996" spans="3:18" s="8" customFormat="1" x14ac:dyDescent="0.25">
      <c r="C58996" s="60"/>
      <c r="I58996" s="63"/>
      <c r="R58996" s="64"/>
    </row>
    <row r="58997" spans="3:18" s="8" customFormat="1" x14ac:dyDescent="0.25">
      <c r="C58997" s="60"/>
      <c r="I58997" s="63"/>
      <c r="R58997" s="64"/>
    </row>
    <row r="58998" spans="3:18" s="8" customFormat="1" x14ac:dyDescent="0.25">
      <c r="C58998" s="60"/>
      <c r="I58998" s="63"/>
      <c r="R58998" s="64"/>
    </row>
    <row r="58999" spans="3:18" s="8" customFormat="1" x14ac:dyDescent="0.25">
      <c r="C58999" s="60"/>
      <c r="I58999" s="63"/>
      <c r="R58999" s="64"/>
    </row>
    <row r="59000" spans="3:18" s="8" customFormat="1" x14ac:dyDescent="0.25">
      <c r="C59000" s="60"/>
      <c r="I59000" s="63"/>
      <c r="R59000" s="64"/>
    </row>
    <row r="59001" spans="3:18" s="8" customFormat="1" x14ac:dyDescent="0.25">
      <c r="C59001" s="60"/>
      <c r="I59001" s="63"/>
      <c r="R59001" s="64"/>
    </row>
    <row r="59002" spans="3:18" s="8" customFormat="1" x14ac:dyDescent="0.25">
      <c r="C59002" s="60"/>
      <c r="I59002" s="63"/>
      <c r="R59002" s="64"/>
    </row>
    <row r="59003" spans="3:18" s="8" customFormat="1" x14ac:dyDescent="0.25">
      <c r="C59003" s="60"/>
      <c r="I59003" s="63"/>
      <c r="R59003" s="64"/>
    </row>
    <row r="59004" spans="3:18" s="8" customFormat="1" x14ac:dyDescent="0.25">
      <c r="C59004" s="60"/>
      <c r="I59004" s="63"/>
      <c r="R59004" s="64"/>
    </row>
    <row r="59005" spans="3:18" s="8" customFormat="1" x14ac:dyDescent="0.25">
      <c r="C59005" s="60"/>
      <c r="I59005" s="63"/>
      <c r="R59005" s="64"/>
    </row>
    <row r="59006" spans="3:18" s="8" customFormat="1" x14ac:dyDescent="0.25">
      <c r="C59006" s="60"/>
      <c r="I59006" s="63"/>
      <c r="R59006" s="64"/>
    </row>
    <row r="59007" spans="3:18" s="8" customFormat="1" x14ac:dyDescent="0.25">
      <c r="C59007" s="60"/>
      <c r="I59007" s="63"/>
      <c r="R59007" s="64"/>
    </row>
    <row r="59008" spans="3:18" s="8" customFormat="1" x14ac:dyDescent="0.25">
      <c r="C59008" s="60"/>
      <c r="I59008" s="63"/>
      <c r="R59008" s="64"/>
    </row>
    <row r="59009" spans="3:18" s="8" customFormat="1" x14ac:dyDescent="0.25">
      <c r="C59009" s="60"/>
      <c r="I59009" s="63"/>
      <c r="R59009" s="64"/>
    </row>
    <row r="59010" spans="3:18" s="8" customFormat="1" x14ac:dyDescent="0.25">
      <c r="C59010" s="60"/>
      <c r="I59010" s="63"/>
      <c r="R59010" s="64"/>
    </row>
    <row r="59011" spans="3:18" s="8" customFormat="1" x14ac:dyDescent="0.25">
      <c r="C59011" s="60"/>
      <c r="I59011" s="63"/>
      <c r="R59011" s="64"/>
    </row>
    <row r="59012" spans="3:18" s="8" customFormat="1" x14ac:dyDescent="0.25">
      <c r="C59012" s="60"/>
      <c r="I59012" s="63"/>
      <c r="R59012" s="64"/>
    </row>
    <row r="59013" spans="3:18" s="8" customFormat="1" x14ac:dyDescent="0.25">
      <c r="C59013" s="60"/>
      <c r="I59013" s="63"/>
      <c r="R59013" s="64"/>
    </row>
    <row r="59014" spans="3:18" s="8" customFormat="1" x14ac:dyDescent="0.25">
      <c r="C59014" s="60"/>
      <c r="I59014" s="63"/>
      <c r="R59014" s="64"/>
    </row>
    <row r="59015" spans="3:18" s="8" customFormat="1" x14ac:dyDescent="0.25">
      <c r="C59015" s="60"/>
      <c r="I59015" s="63"/>
      <c r="R59015" s="64"/>
    </row>
    <row r="59016" spans="3:18" s="8" customFormat="1" x14ac:dyDescent="0.25">
      <c r="C59016" s="60"/>
      <c r="I59016" s="63"/>
      <c r="R59016" s="64"/>
    </row>
    <row r="59017" spans="3:18" s="8" customFormat="1" x14ac:dyDescent="0.25">
      <c r="C59017" s="60"/>
      <c r="I59017" s="63"/>
      <c r="R59017" s="64"/>
    </row>
    <row r="59018" spans="3:18" s="8" customFormat="1" x14ac:dyDescent="0.25">
      <c r="C59018" s="60"/>
      <c r="I59018" s="63"/>
      <c r="R59018" s="64"/>
    </row>
    <row r="59019" spans="3:18" s="8" customFormat="1" x14ac:dyDescent="0.25">
      <c r="C59019" s="60"/>
      <c r="I59019" s="63"/>
      <c r="R59019" s="64"/>
    </row>
    <row r="59020" spans="3:18" s="8" customFormat="1" x14ac:dyDescent="0.25">
      <c r="C59020" s="60"/>
      <c r="I59020" s="63"/>
      <c r="R59020" s="64"/>
    </row>
    <row r="59021" spans="3:18" s="8" customFormat="1" x14ac:dyDescent="0.25">
      <c r="C59021" s="60"/>
      <c r="I59021" s="63"/>
      <c r="R59021" s="64"/>
    </row>
    <row r="59022" spans="3:18" s="8" customFormat="1" x14ac:dyDescent="0.25">
      <c r="C59022" s="60"/>
      <c r="I59022" s="63"/>
      <c r="R59022" s="64"/>
    </row>
    <row r="59023" spans="3:18" s="8" customFormat="1" x14ac:dyDescent="0.25">
      <c r="C59023" s="60"/>
      <c r="I59023" s="63"/>
      <c r="R59023" s="64"/>
    </row>
    <row r="59024" spans="3:18" s="8" customFormat="1" x14ac:dyDescent="0.25">
      <c r="C59024" s="60"/>
      <c r="I59024" s="63"/>
      <c r="R59024" s="64"/>
    </row>
    <row r="59025" spans="3:18" s="8" customFormat="1" x14ac:dyDescent="0.25">
      <c r="C59025" s="60"/>
      <c r="I59025" s="63"/>
      <c r="R59025" s="64"/>
    </row>
    <row r="59026" spans="3:18" s="8" customFormat="1" x14ac:dyDescent="0.25">
      <c r="C59026" s="60"/>
      <c r="I59026" s="63"/>
      <c r="R59026" s="64"/>
    </row>
    <row r="59027" spans="3:18" s="8" customFormat="1" x14ac:dyDescent="0.25">
      <c r="C59027" s="60"/>
      <c r="I59027" s="63"/>
      <c r="R59027" s="64"/>
    </row>
    <row r="59028" spans="3:18" s="8" customFormat="1" x14ac:dyDescent="0.25">
      <c r="C59028" s="60"/>
      <c r="I59028" s="63"/>
      <c r="R59028" s="64"/>
    </row>
    <row r="59029" spans="3:18" s="8" customFormat="1" x14ac:dyDescent="0.25">
      <c r="C59029" s="60"/>
      <c r="I59029" s="63"/>
      <c r="R59029" s="64"/>
    </row>
    <row r="59030" spans="3:18" s="8" customFormat="1" x14ac:dyDescent="0.25">
      <c r="C59030" s="60"/>
      <c r="I59030" s="63"/>
      <c r="R59030" s="64"/>
    </row>
    <row r="59031" spans="3:18" s="8" customFormat="1" x14ac:dyDescent="0.25">
      <c r="C59031" s="60"/>
      <c r="I59031" s="63"/>
      <c r="R59031" s="64"/>
    </row>
    <row r="59032" spans="3:18" s="8" customFormat="1" x14ac:dyDescent="0.25">
      <c r="C59032" s="60"/>
      <c r="I59032" s="63"/>
      <c r="R59032" s="64"/>
    </row>
    <row r="59033" spans="3:18" s="8" customFormat="1" x14ac:dyDescent="0.25">
      <c r="C59033" s="60"/>
      <c r="I59033" s="63"/>
      <c r="R59033" s="64"/>
    </row>
    <row r="59034" spans="3:18" s="8" customFormat="1" x14ac:dyDescent="0.25">
      <c r="C59034" s="60"/>
      <c r="I59034" s="63"/>
      <c r="R59034" s="64"/>
    </row>
    <row r="59035" spans="3:18" s="8" customFormat="1" x14ac:dyDescent="0.25">
      <c r="C59035" s="60"/>
      <c r="I59035" s="63"/>
      <c r="R59035" s="64"/>
    </row>
    <row r="59036" spans="3:18" s="8" customFormat="1" x14ac:dyDescent="0.25">
      <c r="C59036" s="60"/>
      <c r="I59036" s="63"/>
      <c r="R59036" s="64"/>
    </row>
    <row r="59037" spans="3:18" s="8" customFormat="1" x14ac:dyDescent="0.25">
      <c r="C59037" s="60"/>
      <c r="I59037" s="63"/>
      <c r="R59037" s="64"/>
    </row>
    <row r="59038" spans="3:18" s="8" customFormat="1" x14ac:dyDescent="0.25">
      <c r="C59038" s="60"/>
      <c r="I59038" s="63"/>
      <c r="R59038" s="64"/>
    </row>
    <row r="59039" spans="3:18" s="8" customFormat="1" x14ac:dyDescent="0.25">
      <c r="C59039" s="60"/>
      <c r="I59039" s="63"/>
      <c r="R59039" s="64"/>
    </row>
    <row r="59040" spans="3:18" s="8" customFormat="1" x14ac:dyDescent="0.25">
      <c r="C59040" s="60"/>
      <c r="I59040" s="63"/>
      <c r="R59040" s="64"/>
    </row>
    <row r="59041" spans="3:18" s="8" customFormat="1" x14ac:dyDescent="0.25">
      <c r="C59041" s="60"/>
      <c r="I59041" s="63"/>
      <c r="R59041" s="64"/>
    </row>
    <row r="59042" spans="3:18" s="8" customFormat="1" x14ac:dyDescent="0.25">
      <c r="C59042" s="60"/>
      <c r="I59042" s="63"/>
      <c r="R59042" s="64"/>
    </row>
    <row r="59043" spans="3:18" s="8" customFormat="1" x14ac:dyDescent="0.25">
      <c r="C59043" s="60"/>
      <c r="I59043" s="63"/>
      <c r="R59043" s="64"/>
    </row>
    <row r="59044" spans="3:18" s="8" customFormat="1" x14ac:dyDescent="0.25">
      <c r="C59044" s="60"/>
      <c r="I59044" s="63"/>
      <c r="R59044" s="64"/>
    </row>
    <row r="59045" spans="3:18" s="8" customFormat="1" x14ac:dyDescent="0.25">
      <c r="C59045" s="60"/>
      <c r="I59045" s="63"/>
      <c r="R59045" s="64"/>
    </row>
    <row r="59046" spans="3:18" s="8" customFormat="1" x14ac:dyDescent="0.25">
      <c r="C59046" s="60"/>
      <c r="I59046" s="63"/>
      <c r="R59046" s="64"/>
    </row>
    <row r="59047" spans="3:18" s="8" customFormat="1" x14ac:dyDescent="0.25">
      <c r="C59047" s="60"/>
      <c r="I59047" s="63"/>
      <c r="R59047" s="64"/>
    </row>
    <row r="59048" spans="3:18" s="8" customFormat="1" x14ac:dyDescent="0.25">
      <c r="C59048" s="60"/>
      <c r="I59048" s="63"/>
      <c r="R59048" s="64"/>
    </row>
    <row r="59049" spans="3:18" s="8" customFormat="1" x14ac:dyDescent="0.25">
      <c r="C59049" s="60"/>
      <c r="I59049" s="63"/>
      <c r="R59049" s="64"/>
    </row>
    <row r="59050" spans="3:18" s="8" customFormat="1" x14ac:dyDescent="0.25">
      <c r="C59050" s="60"/>
      <c r="I59050" s="63"/>
      <c r="R59050" s="64"/>
    </row>
    <row r="59051" spans="3:18" s="8" customFormat="1" x14ac:dyDescent="0.25">
      <c r="C59051" s="60"/>
      <c r="I59051" s="63"/>
      <c r="R59051" s="64"/>
    </row>
    <row r="59052" spans="3:18" s="8" customFormat="1" x14ac:dyDescent="0.25">
      <c r="C59052" s="60"/>
      <c r="I59052" s="63"/>
      <c r="R59052" s="64"/>
    </row>
    <row r="59053" spans="3:18" s="8" customFormat="1" x14ac:dyDescent="0.25">
      <c r="C59053" s="60"/>
      <c r="I59053" s="63"/>
      <c r="R59053" s="64"/>
    </row>
    <row r="59054" spans="3:18" s="8" customFormat="1" x14ac:dyDescent="0.25">
      <c r="C59054" s="60"/>
      <c r="I59054" s="63"/>
      <c r="R59054" s="64"/>
    </row>
    <row r="59055" spans="3:18" s="8" customFormat="1" x14ac:dyDescent="0.25">
      <c r="C59055" s="60"/>
      <c r="I59055" s="63"/>
      <c r="R59055" s="64"/>
    </row>
    <row r="59056" spans="3:18" s="8" customFormat="1" x14ac:dyDescent="0.25">
      <c r="C59056" s="60"/>
      <c r="I59056" s="63"/>
      <c r="R59056" s="64"/>
    </row>
    <row r="59057" spans="3:18" s="8" customFormat="1" x14ac:dyDescent="0.25">
      <c r="C59057" s="60"/>
      <c r="I59057" s="63"/>
      <c r="R59057" s="64"/>
    </row>
    <row r="59058" spans="3:18" s="8" customFormat="1" x14ac:dyDescent="0.25">
      <c r="C59058" s="60"/>
      <c r="I59058" s="63"/>
      <c r="R59058" s="64"/>
    </row>
    <row r="59059" spans="3:18" s="8" customFormat="1" x14ac:dyDescent="0.25">
      <c r="C59059" s="60"/>
      <c r="I59059" s="63"/>
      <c r="R59059" s="64"/>
    </row>
    <row r="59060" spans="3:18" s="8" customFormat="1" x14ac:dyDescent="0.25">
      <c r="C59060" s="60"/>
      <c r="I59060" s="63"/>
      <c r="R59060" s="64"/>
    </row>
    <row r="59061" spans="3:18" s="8" customFormat="1" x14ac:dyDescent="0.25">
      <c r="C59061" s="60"/>
      <c r="I59061" s="63"/>
      <c r="R59061" s="64"/>
    </row>
    <row r="59062" spans="3:18" s="8" customFormat="1" x14ac:dyDescent="0.25">
      <c r="C59062" s="60"/>
      <c r="I59062" s="63"/>
      <c r="R59062" s="64"/>
    </row>
    <row r="59063" spans="3:18" s="8" customFormat="1" x14ac:dyDescent="0.25">
      <c r="C59063" s="60"/>
      <c r="I59063" s="63"/>
      <c r="R59063" s="64"/>
    </row>
    <row r="59064" spans="3:18" s="8" customFormat="1" x14ac:dyDescent="0.25">
      <c r="C59064" s="60"/>
      <c r="I59064" s="63"/>
      <c r="R59064" s="64"/>
    </row>
    <row r="59065" spans="3:18" s="8" customFormat="1" x14ac:dyDescent="0.25">
      <c r="C59065" s="60"/>
      <c r="I59065" s="63"/>
      <c r="R59065" s="64"/>
    </row>
    <row r="59066" spans="3:18" s="8" customFormat="1" x14ac:dyDescent="0.25">
      <c r="C59066" s="60"/>
      <c r="I59066" s="63"/>
      <c r="R59066" s="64"/>
    </row>
    <row r="59067" spans="3:18" s="8" customFormat="1" x14ac:dyDescent="0.25">
      <c r="C59067" s="60"/>
      <c r="I59067" s="63"/>
      <c r="R59067" s="64"/>
    </row>
    <row r="59068" spans="3:18" s="8" customFormat="1" x14ac:dyDescent="0.25">
      <c r="C59068" s="60"/>
      <c r="I59068" s="63"/>
      <c r="R59068" s="64"/>
    </row>
    <row r="59069" spans="3:18" s="8" customFormat="1" x14ac:dyDescent="0.25">
      <c r="C59069" s="60"/>
      <c r="I59069" s="63"/>
      <c r="R59069" s="64"/>
    </row>
    <row r="59070" spans="3:18" s="8" customFormat="1" x14ac:dyDescent="0.25">
      <c r="C59070" s="60"/>
      <c r="I59070" s="63"/>
      <c r="R59070" s="64"/>
    </row>
    <row r="59071" spans="3:18" s="8" customFormat="1" x14ac:dyDescent="0.25">
      <c r="C59071" s="60"/>
      <c r="I59071" s="63"/>
      <c r="R59071" s="64"/>
    </row>
    <row r="59072" spans="3:18" s="8" customFormat="1" x14ac:dyDescent="0.25">
      <c r="C59072" s="60"/>
      <c r="I59072" s="63"/>
      <c r="R59072" s="64"/>
    </row>
    <row r="59073" spans="3:18" s="8" customFormat="1" x14ac:dyDescent="0.25">
      <c r="C59073" s="60"/>
      <c r="I59073" s="63"/>
      <c r="R59073" s="64"/>
    </row>
    <row r="59074" spans="3:18" s="8" customFormat="1" x14ac:dyDescent="0.25">
      <c r="C59074" s="60"/>
      <c r="I59074" s="63"/>
      <c r="R59074" s="64"/>
    </row>
    <row r="59075" spans="3:18" s="8" customFormat="1" x14ac:dyDescent="0.25">
      <c r="C59075" s="60"/>
      <c r="I59075" s="63"/>
      <c r="R59075" s="64"/>
    </row>
    <row r="59076" spans="3:18" s="8" customFormat="1" x14ac:dyDescent="0.25">
      <c r="C59076" s="60"/>
      <c r="I59076" s="63"/>
      <c r="R59076" s="64"/>
    </row>
    <row r="59077" spans="3:18" s="8" customFormat="1" x14ac:dyDescent="0.25">
      <c r="C59077" s="60"/>
      <c r="I59077" s="63"/>
      <c r="R59077" s="64"/>
    </row>
    <row r="59078" spans="3:18" s="8" customFormat="1" x14ac:dyDescent="0.25">
      <c r="C59078" s="60"/>
      <c r="I59078" s="63"/>
      <c r="R59078" s="64"/>
    </row>
    <row r="59079" spans="3:18" s="8" customFormat="1" x14ac:dyDescent="0.25">
      <c r="C59079" s="60"/>
      <c r="I59079" s="63"/>
      <c r="R59079" s="64"/>
    </row>
    <row r="59080" spans="3:18" s="8" customFormat="1" x14ac:dyDescent="0.25">
      <c r="C59080" s="60"/>
      <c r="I59080" s="63"/>
      <c r="R59080" s="64"/>
    </row>
    <row r="59081" spans="3:18" s="8" customFormat="1" x14ac:dyDescent="0.25">
      <c r="C59081" s="60"/>
      <c r="I59081" s="63"/>
      <c r="R59081" s="64"/>
    </row>
    <row r="59082" spans="3:18" s="8" customFormat="1" x14ac:dyDescent="0.25">
      <c r="C59082" s="60"/>
      <c r="I59082" s="63"/>
      <c r="R59082" s="64"/>
    </row>
    <row r="59083" spans="3:18" s="8" customFormat="1" x14ac:dyDescent="0.25">
      <c r="C59083" s="60"/>
      <c r="I59083" s="63"/>
      <c r="R59083" s="64"/>
    </row>
    <row r="59084" spans="3:18" s="8" customFormat="1" x14ac:dyDescent="0.25">
      <c r="C59084" s="60"/>
      <c r="I59084" s="63"/>
      <c r="R59084" s="64"/>
    </row>
    <row r="59085" spans="3:18" s="8" customFormat="1" x14ac:dyDescent="0.25">
      <c r="C59085" s="60"/>
      <c r="I59085" s="63"/>
      <c r="R59085" s="64"/>
    </row>
    <row r="59086" spans="3:18" s="8" customFormat="1" x14ac:dyDescent="0.25">
      <c r="C59086" s="60"/>
      <c r="I59086" s="63"/>
      <c r="R59086" s="64"/>
    </row>
    <row r="59087" spans="3:18" s="8" customFormat="1" x14ac:dyDescent="0.25">
      <c r="C59087" s="60"/>
      <c r="I59087" s="63"/>
      <c r="R59087" s="64"/>
    </row>
    <row r="59088" spans="3:18" s="8" customFormat="1" x14ac:dyDescent="0.25">
      <c r="C59088" s="60"/>
      <c r="I59088" s="63"/>
      <c r="R59088" s="64"/>
    </row>
    <row r="59089" spans="3:18" s="8" customFormat="1" x14ac:dyDescent="0.25">
      <c r="C59089" s="60"/>
      <c r="I59089" s="63"/>
      <c r="R59089" s="64"/>
    </row>
    <row r="59090" spans="3:18" s="8" customFormat="1" x14ac:dyDescent="0.25">
      <c r="C59090" s="60"/>
      <c r="I59090" s="63"/>
      <c r="R59090" s="64"/>
    </row>
    <row r="59091" spans="3:18" s="8" customFormat="1" x14ac:dyDescent="0.25">
      <c r="C59091" s="60"/>
      <c r="I59091" s="63"/>
      <c r="R59091" s="64"/>
    </row>
    <row r="59092" spans="3:18" s="8" customFormat="1" x14ac:dyDescent="0.25">
      <c r="C59092" s="60"/>
      <c r="I59092" s="63"/>
      <c r="R59092" s="64"/>
    </row>
    <row r="59093" spans="3:18" s="8" customFormat="1" x14ac:dyDescent="0.25">
      <c r="C59093" s="60"/>
      <c r="I59093" s="63"/>
      <c r="R59093" s="64"/>
    </row>
    <row r="59094" spans="3:18" s="8" customFormat="1" x14ac:dyDescent="0.25">
      <c r="C59094" s="60"/>
      <c r="I59094" s="63"/>
      <c r="R59094" s="64"/>
    </row>
    <row r="59095" spans="3:18" s="8" customFormat="1" x14ac:dyDescent="0.25">
      <c r="C59095" s="60"/>
      <c r="I59095" s="63"/>
      <c r="R59095" s="64"/>
    </row>
    <row r="59096" spans="3:18" s="8" customFormat="1" x14ac:dyDescent="0.25">
      <c r="C59096" s="60"/>
      <c r="I59096" s="63"/>
      <c r="R59096" s="64"/>
    </row>
    <row r="59097" spans="3:18" s="8" customFormat="1" x14ac:dyDescent="0.25">
      <c r="C59097" s="60"/>
      <c r="I59097" s="63"/>
      <c r="R59097" s="64"/>
    </row>
    <row r="59098" spans="3:18" s="8" customFormat="1" x14ac:dyDescent="0.25">
      <c r="C59098" s="60"/>
      <c r="I59098" s="63"/>
      <c r="R59098" s="64"/>
    </row>
    <row r="59099" spans="3:18" s="8" customFormat="1" x14ac:dyDescent="0.25">
      <c r="C59099" s="60"/>
      <c r="I59099" s="63"/>
      <c r="R59099" s="64"/>
    </row>
    <row r="59100" spans="3:18" s="8" customFormat="1" x14ac:dyDescent="0.25">
      <c r="C59100" s="60"/>
      <c r="I59100" s="63"/>
      <c r="R59100" s="64"/>
    </row>
    <row r="59101" spans="3:18" s="8" customFormat="1" x14ac:dyDescent="0.25">
      <c r="C59101" s="60"/>
      <c r="I59101" s="63"/>
      <c r="R59101" s="64"/>
    </row>
    <row r="59102" spans="3:18" s="8" customFormat="1" x14ac:dyDescent="0.25">
      <c r="C59102" s="60"/>
      <c r="I59102" s="63"/>
      <c r="R59102" s="64"/>
    </row>
    <row r="59103" spans="3:18" s="8" customFormat="1" x14ac:dyDescent="0.25">
      <c r="C59103" s="60"/>
      <c r="I59103" s="63"/>
      <c r="R59103" s="64"/>
    </row>
    <row r="59104" spans="3:18" s="8" customFormat="1" x14ac:dyDescent="0.25">
      <c r="C59104" s="60"/>
      <c r="I59104" s="63"/>
      <c r="R59104" s="64"/>
    </row>
    <row r="59105" spans="3:18" s="8" customFormat="1" x14ac:dyDescent="0.25">
      <c r="C59105" s="60"/>
      <c r="I59105" s="63"/>
      <c r="R59105" s="64"/>
    </row>
    <row r="59106" spans="3:18" s="8" customFormat="1" x14ac:dyDescent="0.25">
      <c r="C59106" s="60"/>
      <c r="I59106" s="63"/>
      <c r="R59106" s="64"/>
    </row>
    <row r="59107" spans="3:18" s="8" customFormat="1" x14ac:dyDescent="0.25">
      <c r="C59107" s="60"/>
      <c r="I59107" s="63"/>
      <c r="R59107" s="64"/>
    </row>
    <row r="59108" spans="3:18" s="8" customFormat="1" x14ac:dyDescent="0.25">
      <c r="C59108" s="60"/>
      <c r="I59108" s="63"/>
      <c r="R59108" s="64"/>
    </row>
    <row r="59109" spans="3:18" s="8" customFormat="1" x14ac:dyDescent="0.25">
      <c r="C59109" s="60"/>
      <c r="I59109" s="63"/>
      <c r="R59109" s="64"/>
    </row>
    <row r="59110" spans="3:18" s="8" customFormat="1" x14ac:dyDescent="0.25">
      <c r="C59110" s="60"/>
      <c r="I59110" s="63"/>
      <c r="R59110" s="64"/>
    </row>
    <row r="59111" spans="3:18" s="8" customFormat="1" x14ac:dyDescent="0.25">
      <c r="C59111" s="60"/>
      <c r="I59111" s="63"/>
      <c r="R59111" s="64"/>
    </row>
    <row r="59112" spans="3:18" s="8" customFormat="1" x14ac:dyDescent="0.25">
      <c r="C59112" s="60"/>
      <c r="I59112" s="63"/>
      <c r="R59112" s="64"/>
    </row>
    <row r="59113" spans="3:18" s="8" customFormat="1" x14ac:dyDescent="0.25">
      <c r="C59113" s="60"/>
      <c r="I59113" s="63"/>
      <c r="R59113" s="64"/>
    </row>
    <row r="59114" spans="3:18" s="8" customFormat="1" x14ac:dyDescent="0.25">
      <c r="C59114" s="60"/>
      <c r="I59114" s="63"/>
      <c r="R59114" s="64"/>
    </row>
    <row r="59115" spans="3:18" s="8" customFormat="1" x14ac:dyDescent="0.25">
      <c r="C59115" s="60"/>
      <c r="I59115" s="63"/>
      <c r="R59115" s="64"/>
    </row>
    <row r="59116" spans="3:18" s="8" customFormat="1" x14ac:dyDescent="0.25">
      <c r="C59116" s="60"/>
      <c r="I59116" s="63"/>
      <c r="R59116" s="64"/>
    </row>
    <row r="59117" spans="3:18" s="8" customFormat="1" x14ac:dyDescent="0.25">
      <c r="C59117" s="60"/>
      <c r="I59117" s="63"/>
      <c r="R59117" s="64"/>
    </row>
    <row r="59118" spans="3:18" s="8" customFormat="1" x14ac:dyDescent="0.25">
      <c r="C59118" s="60"/>
      <c r="I59118" s="63"/>
      <c r="R59118" s="64"/>
    </row>
    <row r="59119" spans="3:18" s="8" customFormat="1" x14ac:dyDescent="0.25">
      <c r="C59119" s="60"/>
      <c r="I59119" s="63"/>
      <c r="R59119" s="64"/>
    </row>
    <row r="59120" spans="3:18" s="8" customFormat="1" x14ac:dyDescent="0.25">
      <c r="C59120" s="60"/>
      <c r="I59120" s="63"/>
      <c r="R59120" s="64"/>
    </row>
    <row r="59121" spans="3:18" s="8" customFormat="1" x14ac:dyDescent="0.25">
      <c r="C59121" s="60"/>
      <c r="I59121" s="63"/>
      <c r="R59121" s="64"/>
    </row>
    <row r="59122" spans="3:18" s="8" customFormat="1" x14ac:dyDescent="0.25">
      <c r="C59122" s="60"/>
      <c r="I59122" s="63"/>
      <c r="R59122" s="64"/>
    </row>
    <row r="59123" spans="3:18" s="8" customFormat="1" x14ac:dyDescent="0.25">
      <c r="C59123" s="60"/>
      <c r="I59123" s="63"/>
      <c r="R59123" s="64"/>
    </row>
    <row r="59124" spans="3:18" s="8" customFormat="1" x14ac:dyDescent="0.25">
      <c r="C59124" s="60"/>
      <c r="I59124" s="63"/>
      <c r="R59124" s="64"/>
    </row>
    <row r="59125" spans="3:18" s="8" customFormat="1" x14ac:dyDescent="0.25">
      <c r="C59125" s="60"/>
      <c r="I59125" s="63"/>
      <c r="R59125" s="64"/>
    </row>
    <row r="59126" spans="3:18" s="8" customFormat="1" x14ac:dyDescent="0.25">
      <c r="C59126" s="60"/>
      <c r="I59126" s="63"/>
      <c r="R59126" s="64"/>
    </row>
    <row r="59127" spans="3:18" s="8" customFormat="1" x14ac:dyDescent="0.25">
      <c r="C59127" s="60"/>
      <c r="I59127" s="63"/>
      <c r="R59127" s="64"/>
    </row>
    <row r="59128" spans="3:18" s="8" customFormat="1" x14ac:dyDescent="0.25">
      <c r="C59128" s="60"/>
      <c r="I59128" s="63"/>
      <c r="R59128" s="64"/>
    </row>
    <row r="59129" spans="3:18" s="8" customFormat="1" x14ac:dyDescent="0.25">
      <c r="C59129" s="60"/>
      <c r="I59129" s="63"/>
      <c r="R59129" s="64"/>
    </row>
    <row r="59130" spans="3:18" s="8" customFormat="1" x14ac:dyDescent="0.25">
      <c r="C59130" s="60"/>
      <c r="I59130" s="63"/>
      <c r="R59130" s="64"/>
    </row>
    <row r="59131" spans="3:18" s="8" customFormat="1" x14ac:dyDescent="0.25">
      <c r="C59131" s="60"/>
      <c r="I59131" s="63"/>
      <c r="R59131" s="64"/>
    </row>
    <row r="59132" spans="3:18" s="8" customFormat="1" x14ac:dyDescent="0.25">
      <c r="C59132" s="60"/>
      <c r="I59132" s="63"/>
      <c r="R59132" s="64"/>
    </row>
    <row r="59133" spans="3:18" s="8" customFormat="1" x14ac:dyDescent="0.25">
      <c r="C59133" s="60"/>
      <c r="I59133" s="63"/>
      <c r="R59133" s="64"/>
    </row>
    <row r="59134" spans="3:18" s="8" customFormat="1" x14ac:dyDescent="0.25">
      <c r="C59134" s="60"/>
      <c r="I59134" s="63"/>
      <c r="R59134" s="64"/>
    </row>
    <row r="59135" spans="3:18" s="8" customFormat="1" x14ac:dyDescent="0.25">
      <c r="C59135" s="60"/>
      <c r="I59135" s="63"/>
      <c r="R59135" s="64"/>
    </row>
    <row r="59136" spans="3:18" s="8" customFormat="1" x14ac:dyDescent="0.25">
      <c r="C59136" s="60"/>
      <c r="I59136" s="63"/>
      <c r="R59136" s="64"/>
    </row>
    <row r="59137" spans="3:18" s="8" customFormat="1" x14ac:dyDescent="0.25">
      <c r="C59137" s="60"/>
      <c r="I59137" s="63"/>
      <c r="R59137" s="64"/>
    </row>
    <row r="59138" spans="3:18" s="8" customFormat="1" x14ac:dyDescent="0.25">
      <c r="C59138" s="60"/>
      <c r="I59138" s="63"/>
      <c r="R59138" s="64"/>
    </row>
    <row r="59139" spans="3:18" s="8" customFormat="1" x14ac:dyDescent="0.25">
      <c r="C59139" s="60"/>
      <c r="I59139" s="63"/>
      <c r="R59139" s="64"/>
    </row>
    <row r="59140" spans="3:18" s="8" customFormat="1" x14ac:dyDescent="0.25">
      <c r="C59140" s="60"/>
      <c r="I59140" s="63"/>
      <c r="R59140" s="64"/>
    </row>
    <row r="59141" spans="3:18" s="8" customFormat="1" x14ac:dyDescent="0.25">
      <c r="C59141" s="60"/>
      <c r="I59141" s="63"/>
      <c r="R59141" s="64"/>
    </row>
    <row r="59142" spans="3:18" s="8" customFormat="1" x14ac:dyDescent="0.25">
      <c r="C59142" s="60"/>
      <c r="I59142" s="63"/>
      <c r="R59142" s="64"/>
    </row>
    <row r="59143" spans="3:18" s="8" customFormat="1" x14ac:dyDescent="0.25">
      <c r="C59143" s="60"/>
      <c r="I59143" s="63"/>
      <c r="R59143" s="64"/>
    </row>
    <row r="59144" spans="3:18" s="8" customFormat="1" x14ac:dyDescent="0.25">
      <c r="C59144" s="60"/>
      <c r="I59144" s="63"/>
      <c r="R59144" s="64"/>
    </row>
    <row r="59145" spans="3:18" s="8" customFormat="1" x14ac:dyDescent="0.25">
      <c r="C59145" s="60"/>
      <c r="I59145" s="63"/>
      <c r="R59145" s="64"/>
    </row>
    <row r="59146" spans="3:18" s="8" customFormat="1" x14ac:dyDescent="0.25">
      <c r="C59146" s="60"/>
      <c r="I59146" s="63"/>
      <c r="R59146" s="64"/>
    </row>
    <row r="59147" spans="3:18" s="8" customFormat="1" x14ac:dyDescent="0.25">
      <c r="C59147" s="60"/>
      <c r="I59147" s="63"/>
      <c r="R59147" s="64"/>
    </row>
    <row r="59148" spans="3:18" s="8" customFormat="1" x14ac:dyDescent="0.25">
      <c r="C59148" s="60"/>
      <c r="I59148" s="63"/>
      <c r="R59148" s="64"/>
    </row>
    <row r="59149" spans="3:18" s="8" customFormat="1" x14ac:dyDescent="0.25">
      <c r="C59149" s="60"/>
      <c r="I59149" s="63"/>
      <c r="R59149" s="64"/>
    </row>
    <row r="59150" spans="3:18" s="8" customFormat="1" x14ac:dyDescent="0.25">
      <c r="C59150" s="60"/>
      <c r="I59150" s="63"/>
      <c r="R59150" s="64"/>
    </row>
    <row r="59151" spans="3:18" s="8" customFormat="1" x14ac:dyDescent="0.25">
      <c r="C59151" s="60"/>
      <c r="I59151" s="63"/>
      <c r="R59151" s="64"/>
    </row>
    <row r="59152" spans="3:18" s="8" customFormat="1" x14ac:dyDescent="0.25">
      <c r="C59152" s="60"/>
      <c r="I59152" s="63"/>
      <c r="R59152" s="64"/>
    </row>
    <row r="59153" spans="3:18" s="8" customFormat="1" x14ac:dyDescent="0.25">
      <c r="C59153" s="60"/>
      <c r="I59153" s="63"/>
      <c r="R59153" s="64"/>
    </row>
    <row r="59154" spans="3:18" s="8" customFormat="1" x14ac:dyDescent="0.25">
      <c r="C59154" s="60"/>
      <c r="I59154" s="63"/>
      <c r="R59154" s="64"/>
    </row>
    <row r="59155" spans="3:18" s="8" customFormat="1" x14ac:dyDescent="0.25">
      <c r="C59155" s="60"/>
      <c r="I59155" s="63"/>
      <c r="R59155" s="64"/>
    </row>
    <row r="59156" spans="3:18" s="8" customFormat="1" x14ac:dyDescent="0.25">
      <c r="C59156" s="60"/>
      <c r="I59156" s="63"/>
      <c r="R59156" s="64"/>
    </row>
    <row r="59157" spans="3:18" s="8" customFormat="1" x14ac:dyDescent="0.25">
      <c r="C59157" s="60"/>
      <c r="I59157" s="63"/>
      <c r="R59157" s="64"/>
    </row>
    <row r="59158" spans="3:18" s="8" customFormat="1" x14ac:dyDescent="0.25">
      <c r="C59158" s="60"/>
      <c r="I59158" s="63"/>
      <c r="R59158" s="64"/>
    </row>
    <row r="59159" spans="3:18" s="8" customFormat="1" x14ac:dyDescent="0.25">
      <c r="C59159" s="60"/>
      <c r="I59159" s="63"/>
      <c r="R59159" s="64"/>
    </row>
    <row r="59160" spans="3:18" s="8" customFormat="1" x14ac:dyDescent="0.25">
      <c r="C59160" s="60"/>
      <c r="I59160" s="63"/>
      <c r="R59160" s="64"/>
    </row>
    <row r="59161" spans="3:18" s="8" customFormat="1" x14ac:dyDescent="0.25">
      <c r="C59161" s="60"/>
      <c r="I59161" s="63"/>
      <c r="R59161" s="64"/>
    </row>
    <row r="59162" spans="3:18" s="8" customFormat="1" x14ac:dyDescent="0.25">
      <c r="C59162" s="60"/>
      <c r="I59162" s="63"/>
      <c r="R59162" s="64"/>
    </row>
    <row r="59163" spans="3:18" s="8" customFormat="1" x14ac:dyDescent="0.25">
      <c r="C59163" s="60"/>
      <c r="I59163" s="63"/>
      <c r="R59163" s="64"/>
    </row>
    <row r="59164" spans="3:18" s="8" customFormat="1" x14ac:dyDescent="0.25">
      <c r="C59164" s="60"/>
      <c r="I59164" s="63"/>
      <c r="R59164" s="64"/>
    </row>
    <row r="59165" spans="3:18" s="8" customFormat="1" x14ac:dyDescent="0.25">
      <c r="C59165" s="60"/>
      <c r="I59165" s="63"/>
      <c r="R59165" s="64"/>
    </row>
    <row r="59166" spans="3:18" s="8" customFormat="1" x14ac:dyDescent="0.25">
      <c r="C59166" s="60"/>
      <c r="I59166" s="63"/>
      <c r="R59166" s="64"/>
    </row>
    <row r="59167" spans="3:18" s="8" customFormat="1" x14ac:dyDescent="0.25">
      <c r="C59167" s="60"/>
      <c r="I59167" s="63"/>
      <c r="R59167" s="64"/>
    </row>
    <row r="59168" spans="3:18" s="8" customFormat="1" x14ac:dyDescent="0.25">
      <c r="C59168" s="60"/>
      <c r="I59168" s="63"/>
      <c r="R59168" s="64"/>
    </row>
    <row r="59169" spans="3:18" s="8" customFormat="1" x14ac:dyDescent="0.25">
      <c r="C59169" s="60"/>
      <c r="I59169" s="63"/>
      <c r="R59169" s="64"/>
    </row>
    <row r="59170" spans="3:18" s="8" customFormat="1" x14ac:dyDescent="0.25">
      <c r="C59170" s="60"/>
      <c r="I59170" s="63"/>
      <c r="R59170" s="64"/>
    </row>
    <row r="59171" spans="3:18" s="8" customFormat="1" x14ac:dyDescent="0.25">
      <c r="C59171" s="60"/>
      <c r="I59171" s="63"/>
      <c r="R59171" s="64"/>
    </row>
    <row r="59172" spans="3:18" s="8" customFormat="1" x14ac:dyDescent="0.25">
      <c r="C59172" s="60"/>
      <c r="I59172" s="63"/>
      <c r="R59172" s="64"/>
    </row>
    <row r="59173" spans="3:18" s="8" customFormat="1" x14ac:dyDescent="0.25">
      <c r="C59173" s="60"/>
      <c r="I59173" s="63"/>
      <c r="R59173" s="64"/>
    </row>
    <row r="59174" spans="3:18" s="8" customFormat="1" x14ac:dyDescent="0.25">
      <c r="C59174" s="60"/>
      <c r="I59174" s="63"/>
      <c r="R59174" s="64"/>
    </row>
    <row r="59175" spans="3:18" s="8" customFormat="1" x14ac:dyDescent="0.25">
      <c r="C59175" s="60"/>
      <c r="I59175" s="63"/>
      <c r="R59175" s="64"/>
    </row>
    <row r="59176" spans="3:18" s="8" customFormat="1" x14ac:dyDescent="0.25">
      <c r="C59176" s="60"/>
      <c r="I59176" s="63"/>
      <c r="R59176" s="64"/>
    </row>
    <row r="59177" spans="3:18" s="8" customFormat="1" x14ac:dyDescent="0.25">
      <c r="C59177" s="60"/>
      <c r="I59177" s="63"/>
      <c r="R59177" s="64"/>
    </row>
    <row r="59178" spans="3:18" s="8" customFormat="1" x14ac:dyDescent="0.25">
      <c r="C59178" s="60"/>
      <c r="I59178" s="63"/>
      <c r="R59178" s="64"/>
    </row>
    <row r="59179" spans="3:18" s="8" customFormat="1" x14ac:dyDescent="0.25">
      <c r="C59179" s="60"/>
      <c r="I59179" s="63"/>
      <c r="R59179" s="64"/>
    </row>
    <row r="59180" spans="3:18" s="8" customFormat="1" x14ac:dyDescent="0.25">
      <c r="C59180" s="60"/>
      <c r="I59180" s="63"/>
      <c r="R59180" s="64"/>
    </row>
    <row r="59181" spans="3:18" s="8" customFormat="1" x14ac:dyDescent="0.25">
      <c r="C59181" s="60"/>
      <c r="I59181" s="63"/>
      <c r="R59181" s="64"/>
    </row>
    <row r="59182" spans="3:18" s="8" customFormat="1" x14ac:dyDescent="0.25">
      <c r="C59182" s="60"/>
      <c r="I59182" s="63"/>
      <c r="R59182" s="64"/>
    </row>
    <row r="59183" spans="3:18" s="8" customFormat="1" x14ac:dyDescent="0.25">
      <c r="C59183" s="60"/>
      <c r="I59183" s="63"/>
      <c r="R59183" s="64"/>
    </row>
    <row r="59184" spans="3:18" s="8" customFormat="1" x14ac:dyDescent="0.25">
      <c r="C59184" s="60"/>
      <c r="I59184" s="63"/>
      <c r="R59184" s="64"/>
    </row>
    <row r="59185" spans="3:18" s="8" customFormat="1" x14ac:dyDescent="0.25">
      <c r="C59185" s="60"/>
      <c r="I59185" s="63"/>
      <c r="R59185" s="64"/>
    </row>
    <row r="59186" spans="3:18" s="8" customFormat="1" x14ac:dyDescent="0.25">
      <c r="C59186" s="60"/>
      <c r="I59186" s="63"/>
      <c r="R59186" s="64"/>
    </row>
    <row r="59187" spans="3:18" s="8" customFormat="1" x14ac:dyDescent="0.25">
      <c r="C59187" s="60"/>
      <c r="I59187" s="63"/>
      <c r="R59187" s="64"/>
    </row>
    <row r="59188" spans="3:18" s="8" customFormat="1" x14ac:dyDescent="0.25">
      <c r="C59188" s="60"/>
      <c r="I59188" s="63"/>
      <c r="R59188" s="64"/>
    </row>
    <row r="59189" spans="3:18" s="8" customFormat="1" x14ac:dyDescent="0.25">
      <c r="C59189" s="60"/>
      <c r="I59189" s="63"/>
      <c r="R59189" s="64"/>
    </row>
    <row r="59190" spans="3:18" s="8" customFormat="1" x14ac:dyDescent="0.25">
      <c r="C59190" s="60"/>
      <c r="I59190" s="63"/>
      <c r="R59190" s="64"/>
    </row>
    <row r="59191" spans="3:18" s="8" customFormat="1" x14ac:dyDescent="0.25">
      <c r="C59191" s="60"/>
      <c r="I59191" s="63"/>
      <c r="R59191" s="64"/>
    </row>
    <row r="59192" spans="3:18" s="8" customFormat="1" x14ac:dyDescent="0.25">
      <c r="C59192" s="60"/>
      <c r="I59192" s="63"/>
      <c r="R59192" s="64"/>
    </row>
    <row r="59193" spans="3:18" s="8" customFormat="1" x14ac:dyDescent="0.25">
      <c r="C59193" s="60"/>
      <c r="I59193" s="63"/>
      <c r="R59193" s="64"/>
    </row>
    <row r="59194" spans="3:18" s="8" customFormat="1" x14ac:dyDescent="0.25">
      <c r="C59194" s="60"/>
      <c r="I59194" s="63"/>
      <c r="R59194" s="64"/>
    </row>
    <row r="59195" spans="3:18" s="8" customFormat="1" x14ac:dyDescent="0.25">
      <c r="C59195" s="60"/>
      <c r="I59195" s="63"/>
      <c r="R59195" s="64"/>
    </row>
    <row r="59196" spans="3:18" s="8" customFormat="1" x14ac:dyDescent="0.25">
      <c r="C59196" s="60"/>
      <c r="I59196" s="63"/>
      <c r="R59196" s="64"/>
    </row>
    <row r="59197" spans="3:18" s="8" customFormat="1" x14ac:dyDescent="0.25">
      <c r="C59197" s="60"/>
      <c r="I59197" s="63"/>
      <c r="R59197" s="64"/>
    </row>
    <row r="59198" spans="3:18" s="8" customFormat="1" x14ac:dyDescent="0.25">
      <c r="C59198" s="60"/>
      <c r="I59198" s="63"/>
      <c r="R59198" s="64"/>
    </row>
    <row r="59199" spans="3:18" s="8" customFormat="1" x14ac:dyDescent="0.25">
      <c r="C59199" s="60"/>
      <c r="I59199" s="63"/>
      <c r="R59199" s="64"/>
    </row>
    <row r="59200" spans="3:18" s="8" customFormat="1" x14ac:dyDescent="0.25">
      <c r="C59200" s="60"/>
      <c r="I59200" s="63"/>
      <c r="R59200" s="64"/>
    </row>
    <row r="59201" spans="3:18" s="8" customFormat="1" x14ac:dyDescent="0.25">
      <c r="C59201" s="60"/>
      <c r="I59201" s="63"/>
      <c r="R59201" s="64"/>
    </row>
    <row r="59202" spans="3:18" s="8" customFormat="1" x14ac:dyDescent="0.25">
      <c r="C59202" s="60"/>
      <c r="I59202" s="63"/>
      <c r="R59202" s="64"/>
    </row>
    <row r="59203" spans="3:18" s="8" customFormat="1" x14ac:dyDescent="0.25">
      <c r="C59203" s="60"/>
      <c r="I59203" s="63"/>
      <c r="R59203" s="64"/>
    </row>
    <row r="59204" spans="3:18" s="8" customFormat="1" x14ac:dyDescent="0.25">
      <c r="C59204" s="60"/>
      <c r="I59204" s="63"/>
      <c r="R59204" s="64"/>
    </row>
    <row r="59205" spans="3:18" s="8" customFormat="1" x14ac:dyDescent="0.25">
      <c r="C59205" s="60"/>
      <c r="I59205" s="63"/>
      <c r="R59205" s="64"/>
    </row>
    <row r="59206" spans="3:18" s="8" customFormat="1" x14ac:dyDescent="0.25">
      <c r="C59206" s="60"/>
      <c r="I59206" s="63"/>
      <c r="R59206" s="64"/>
    </row>
    <row r="59207" spans="3:18" s="8" customFormat="1" x14ac:dyDescent="0.25">
      <c r="C59207" s="60"/>
      <c r="I59207" s="63"/>
      <c r="R59207" s="64"/>
    </row>
    <row r="59208" spans="3:18" s="8" customFormat="1" x14ac:dyDescent="0.25">
      <c r="C59208" s="60"/>
      <c r="I59208" s="63"/>
      <c r="R59208" s="64"/>
    </row>
    <row r="59209" spans="3:18" s="8" customFormat="1" x14ac:dyDescent="0.25">
      <c r="C59209" s="60"/>
      <c r="I59209" s="63"/>
      <c r="R59209" s="64"/>
    </row>
    <row r="59210" spans="3:18" s="8" customFormat="1" x14ac:dyDescent="0.25">
      <c r="C59210" s="60"/>
      <c r="I59210" s="63"/>
      <c r="R59210" s="64"/>
    </row>
    <row r="59211" spans="3:18" s="8" customFormat="1" x14ac:dyDescent="0.25">
      <c r="C59211" s="60"/>
      <c r="I59211" s="63"/>
      <c r="R59211" s="64"/>
    </row>
    <row r="59212" spans="3:18" s="8" customFormat="1" x14ac:dyDescent="0.25">
      <c r="C59212" s="60"/>
      <c r="I59212" s="63"/>
      <c r="R59212" s="64"/>
    </row>
    <row r="59213" spans="3:18" s="8" customFormat="1" x14ac:dyDescent="0.25">
      <c r="C59213" s="60"/>
      <c r="I59213" s="63"/>
      <c r="R59213" s="64"/>
    </row>
    <row r="59214" spans="3:18" s="8" customFormat="1" x14ac:dyDescent="0.25">
      <c r="C59214" s="60"/>
      <c r="I59214" s="63"/>
      <c r="R59214" s="64"/>
    </row>
    <row r="59215" spans="3:18" s="8" customFormat="1" x14ac:dyDescent="0.25">
      <c r="C59215" s="60"/>
      <c r="I59215" s="63"/>
      <c r="R59215" s="64"/>
    </row>
    <row r="59216" spans="3:18" s="8" customFormat="1" x14ac:dyDescent="0.25">
      <c r="C59216" s="60"/>
      <c r="I59216" s="63"/>
      <c r="R59216" s="64"/>
    </row>
    <row r="59217" spans="3:18" s="8" customFormat="1" x14ac:dyDescent="0.25">
      <c r="C59217" s="60"/>
      <c r="I59217" s="63"/>
      <c r="R59217" s="64"/>
    </row>
    <row r="59218" spans="3:18" s="8" customFormat="1" x14ac:dyDescent="0.25">
      <c r="C59218" s="60"/>
      <c r="I59218" s="63"/>
      <c r="R59218" s="64"/>
    </row>
    <row r="59219" spans="3:18" s="8" customFormat="1" x14ac:dyDescent="0.25">
      <c r="C59219" s="60"/>
      <c r="I59219" s="63"/>
      <c r="R59219" s="64"/>
    </row>
    <row r="59220" spans="3:18" s="8" customFormat="1" x14ac:dyDescent="0.25">
      <c r="C59220" s="60"/>
      <c r="I59220" s="63"/>
      <c r="R59220" s="64"/>
    </row>
    <row r="59221" spans="3:18" s="8" customFormat="1" x14ac:dyDescent="0.25">
      <c r="C59221" s="60"/>
      <c r="I59221" s="63"/>
      <c r="R59221" s="64"/>
    </row>
    <row r="59222" spans="3:18" s="8" customFormat="1" x14ac:dyDescent="0.25">
      <c r="C59222" s="60"/>
      <c r="I59222" s="63"/>
      <c r="R59222" s="64"/>
    </row>
    <row r="59223" spans="3:18" s="8" customFormat="1" x14ac:dyDescent="0.25">
      <c r="C59223" s="60"/>
      <c r="I59223" s="63"/>
      <c r="R59223" s="64"/>
    </row>
    <row r="59224" spans="3:18" s="8" customFormat="1" x14ac:dyDescent="0.25">
      <c r="C59224" s="60"/>
      <c r="I59224" s="63"/>
      <c r="R59224" s="64"/>
    </row>
    <row r="59225" spans="3:18" s="8" customFormat="1" x14ac:dyDescent="0.25">
      <c r="C59225" s="60"/>
      <c r="I59225" s="63"/>
      <c r="R59225" s="64"/>
    </row>
    <row r="59226" spans="3:18" s="8" customFormat="1" x14ac:dyDescent="0.25">
      <c r="C59226" s="60"/>
      <c r="I59226" s="63"/>
      <c r="R59226" s="64"/>
    </row>
    <row r="59227" spans="3:18" s="8" customFormat="1" x14ac:dyDescent="0.25">
      <c r="C59227" s="60"/>
      <c r="I59227" s="63"/>
      <c r="R59227" s="64"/>
    </row>
    <row r="59228" spans="3:18" s="8" customFormat="1" x14ac:dyDescent="0.25">
      <c r="C59228" s="60"/>
      <c r="I59228" s="63"/>
      <c r="R59228" s="64"/>
    </row>
    <row r="59229" spans="3:18" s="8" customFormat="1" x14ac:dyDescent="0.25">
      <c r="C59229" s="60"/>
      <c r="I59229" s="63"/>
      <c r="R59229" s="64"/>
    </row>
    <row r="59230" spans="3:18" s="8" customFormat="1" x14ac:dyDescent="0.25">
      <c r="C59230" s="60"/>
      <c r="I59230" s="63"/>
      <c r="R59230" s="64"/>
    </row>
    <row r="59231" spans="3:18" s="8" customFormat="1" x14ac:dyDescent="0.25">
      <c r="C59231" s="60"/>
      <c r="I59231" s="63"/>
      <c r="R59231" s="64"/>
    </row>
    <row r="59232" spans="3:18" s="8" customFormat="1" x14ac:dyDescent="0.25">
      <c r="C59232" s="60"/>
      <c r="I59232" s="63"/>
      <c r="R59232" s="64"/>
    </row>
    <row r="59233" spans="3:18" s="8" customFormat="1" x14ac:dyDescent="0.25">
      <c r="C59233" s="60"/>
      <c r="I59233" s="63"/>
      <c r="R59233" s="64"/>
    </row>
    <row r="59234" spans="3:18" s="8" customFormat="1" x14ac:dyDescent="0.25">
      <c r="C59234" s="60"/>
      <c r="I59234" s="63"/>
      <c r="R59234" s="64"/>
    </row>
    <row r="59235" spans="3:18" s="8" customFormat="1" x14ac:dyDescent="0.25">
      <c r="C59235" s="60"/>
      <c r="I59235" s="63"/>
      <c r="R59235" s="64"/>
    </row>
    <row r="59236" spans="3:18" s="8" customFormat="1" x14ac:dyDescent="0.25">
      <c r="C59236" s="60"/>
      <c r="I59236" s="63"/>
      <c r="R59236" s="64"/>
    </row>
    <row r="59237" spans="3:18" s="8" customFormat="1" x14ac:dyDescent="0.25">
      <c r="C59237" s="60"/>
      <c r="I59237" s="63"/>
      <c r="R59237" s="64"/>
    </row>
    <row r="59238" spans="3:18" s="8" customFormat="1" x14ac:dyDescent="0.25">
      <c r="C59238" s="60"/>
      <c r="I59238" s="63"/>
      <c r="R59238" s="64"/>
    </row>
    <row r="59239" spans="3:18" s="8" customFormat="1" x14ac:dyDescent="0.25">
      <c r="C59239" s="60"/>
      <c r="I59239" s="63"/>
      <c r="R59239" s="64"/>
    </row>
    <row r="59240" spans="3:18" s="8" customFormat="1" x14ac:dyDescent="0.25">
      <c r="C59240" s="60"/>
      <c r="I59240" s="63"/>
      <c r="R59240" s="64"/>
    </row>
    <row r="59241" spans="3:18" s="8" customFormat="1" x14ac:dyDescent="0.25">
      <c r="C59241" s="60"/>
      <c r="I59241" s="63"/>
      <c r="R59241" s="64"/>
    </row>
    <row r="59242" spans="3:18" s="8" customFormat="1" x14ac:dyDescent="0.25">
      <c r="C59242" s="60"/>
      <c r="I59242" s="63"/>
      <c r="R59242" s="64"/>
    </row>
    <row r="59243" spans="3:18" s="8" customFormat="1" x14ac:dyDescent="0.25">
      <c r="C59243" s="60"/>
      <c r="I59243" s="63"/>
      <c r="R59243" s="64"/>
    </row>
    <row r="59244" spans="3:18" s="8" customFormat="1" x14ac:dyDescent="0.25">
      <c r="C59244" s="60"/>
      <c r="I59244" s="63"/>
      <c r="R59244" s="64"/>
    </row>
    <row r="59245" spans="3:18" s="8" customFormat="1" x14ac:dyDescent="0.25">
      <c r="C59245" s="60"/>
      <c r="I59245" s="63"/>
      <c r="R59245" s="64"/>
    </row>
    <row r="59246" spans="3:18" s="8" customFormat="1" x14ac:dyDescent="0.25">
      <c r="C59246" s="60"/>
      <c r="I59246" s="63"/>
      <c r="R59246" s="64"/>
    </row>
    <row r="59247" spans="3:18" s="8" customFormat="1" x14ac:dyDescent="0.25">
      <c r="C59247" s="60"/>
      <c r="I59247" s="63"/>
      <c r="R59247" s="64"/>
    </row>
    <row r="59248" spans="3:18" s="8" customFormat="1" x14ac:dyDescent="0.25">
      <c r="C59248" s="60"/>
      <c r="I59248" s="63"/>
      <c r="R59248" s="64"/>
    </row>
    <row r="59249" spans="3:18" s="8" customFormat="1" x14ac:dyDescent="0.25">
      <c r="C59249" s="60"/>
      <c r="I59249" s="63"/>
      <c r="R59249" s="64"/>
    </row>
    <row r="59250" spans="3:18" s="8" customFormat="1" x14ac:dyDescent="0.25">
      <c r="C59250" s="60"/>
      <c r="I59250" s="63"/>
      <c r="R59250" s="64"/>
    </row>
    <row r="59251" spans="3:18" s="8" customFormat="1" x14ac:dyDescent="0.25">
      <c r="C59251" s="60"/>
      <c r="I59251" s="63"/>
      <c r="R59251" s="64"/>
    </row>
    <row r="59252" spans="3:18" s="8" customFormat="1" x14ac:dyDescent="0.25">
      <c r="C59252" s="60"/>
      <c r="I59252" s="63"/>
      <c r="R59252" s="64"/>
    </row>
    <row r="59253" spans="3:18" s="8" customFormat="1" x14ac:dyDescent="0.25">
      <c r="C59253" s="60"/>
      <c r="I59253" s="63"/>
      <c r="R59253" s="64"/>
    </row>
    <row r="59254" spans="3:18" s="8" customFormat="1" x14ac:dyDescent="0.25">
      <c r="C59254" s="60"/>
      <c r="I59254" s="63"/>
      <c r="R59254" s="64"/>
    </row>
    <row r="59255" spans="3:18" s="8" customFormat="1" x14ac:dyDescent="0.25">
      <c r="C59255" s="60"/>
      <c r="I59255" s="63"/>
      <c r="R59255" s="64"/>
    </row>
    <row r="59256" spans="3:18" s="8" customFormat="1" x14ac:dyDescent="0.25">
      <c r="C59256" s="60"/>
      <c r="I59256" s="63"/>
      <c r="R59256" s="64"/>
    </row>
    <row r="59257" spans="3:18" s="8" customFormat="1" x14ac:dyDescent="0.25">
      <c r="C59257" s="60"/>
      <c r="I59257" s="63"/>
      <c r="R59257" s="64"/>
    </row>
    <row r="59258" spans="3:18" s="8" customFormat="1" x14ac:dyDescent="0.25">
      <c r="C59258" s="60"/>
      <c r="I59258" s="63"/>
      <c r="R59258" s="64"/>
    </row>
    <row r="59259" spans="3:18" s="8" customFormat="1" x14ac:dyDescent="0.25">
      <c r="C59259" s="60"/>
      <c r="I59259" s="63"/>
      <c r="R59259" s="64"/>
    </row>
    <row r="59260" spans="3:18" s="8" customFormat="1" x14ac:dyDescent="0.25">
      <c r="C59260" s="60"/>
      <c r="I59260" s="63"/>
      <c r="R59260" s="64"/>
    </row>
    <row r="59261" spans="3:18" s="8" customFormat="1" x14ac:dyDescent="0.25">
      <c r="C59261" s="60"/>
      <c r="I59261" s="63"/>
      <c r="R59261" s="64"/>
    </row>
    <row r="59262" spans="3:18" s="8" customFormat="1" x14ac:dyDescent="0.25">
      <c r="C59262" s="60"/>
      <c r="I59262" s="63"/>
      <c r="R59262" s="64"/>
    </row>
    <row r="59263" spans="3:18" s="8" customFormat="1" x14ac:dyDescent="0.25">
      <c r="C59263" s="60"/>
      <c r="I59263" s="63"/>
      <c r="R59263" s="64"/>
    </row>
    <row r="59264" spans="3:18" s="8" customFormat="1" x14ac:dyDescent="0.25">
      <c r="C59264" s="60"/>
      <c r="I59264" s="63"/>
      <c r="R59264" s="64"/>
    </row>
    <row r="59265" spans="3:18" s="8" customFormat="1" x14ac:dyDescent="0.25">
      <c r="C59265" s="60"/>
      <c r="I59265" s="63"/>
      <c r="R59265" s="64"/>
    </row>
    <row r="59266" spans="3:18" s="8" customFormat="1" x14ac:dyDescent="0.25">
      <c r="C59266" s="60"/>
      <c r="I59266" s="63"/>
      <c r="R59266" s="64"/>
    </row>
    <row r="59267" spans="3:18" s="8" customFormat="1" x14ac:dyDescent="0.25">
      <c r="C59267" s="60"/>
      <c r="I59267" s="63"/>
      <c r="R59267" s="64"/>
    </row>
    <row r="59268" spans="3:18" s="8" customFormat="1" x14ac:dyDescent="0.25">
      <c r="C59268" s="60"/>
      <c r="I59268" s="63"/>
      <c r="R59268" s="64"/>
    </row>
    <row r="59269" spans="3:18" s="8" customFormat="1" x14ac:dyDescent="0.25">
      <c r="C59269" s="60"/>
      <c r="I59269" s="63"/>
      <c r="R59269" s="64"/>
    </row>
    <row r="59270" spans="3:18" s="8" customFormat="1" x14ac:dyDescent="0.25">
      <c r="C59270" s="60"/>
      <c r="I59270" s="63"/>
      <c r="R59270" s="64"/>
    </row>
    <row r="59271" spans="3:18" s="8" customFormat="1" x14ac:dyDescent="0.25">
      <c r="C59271" s="60"/>
      <c r="I59271" s="63"/>
      <c r="R59271" s="64"/>
    </row>
    <row r="59272" spans="3:18" s="8" customFormat="1" x14ac:dyDescent="0.25">
      <c r="C59272" s="60"/>
      <c r="I59272" s="63"/>
      <c r="R59272" s="64"/>
    </row>
    <row r="59273" spans="3:18" s="8" customFormat="1" x14ac:dyDescent="0.25">
      <c r="C59273" s="60"/>
      <c r="I59273" s="63"/>
      <c r="R59273" s="64"/>
    </row>
    <row r="59274" spans="3:18" s="8" customFormat="1" x14ac:dyDescent="0.25">
      <c r="C59274" s="60"/>
      <c r="I59274" s="63"/>
      <c r="R59274" s="64"/>
    </row>
    <row r="59275" spans="3:18" s="8" customFormat="1" x14ac:dyDescent="0.25">
      <c r="C59275" s="60"/>
      <c r="I59275" s="63"/>
      <c r="R59275" s="64"/>
    </row>
    <row r="59276" spans="3:18" s="8" customFormat="1" x14ac:dyDescent="0.25">
      <c r="C59276" s="60"/>
      <c r="I59276" s="63"/>
      <c r="R59276" s="64"/>
    </row>
    <row r="59277" spans="3:18" s="8" customFormat="1" x14ac:dyDescent="0.25">
      <c r="C59277" s="60"/>
      <c r="I59277" s="63"/>
      <c r="R59277" s="64"/>
    </row>
    <row r="59278" spans="3:18" s="8" customFormat="1" x14ac:dyDescent="0.25">
      <c r="C59278" s="60"/>
      <c r="I59278" s="63"/>
      <c r="R59278" s="64"/>
    </row>
    <row r="59279" spans="3:18" s="8" customFormat="1" x14ac:dyDescent="0.25">
      <c r="C59279" s="60"/>
      <c r="I59279" s="63"/>
      <c r="R59279" s="64"/>
    </row>
    <row r="59280" spans="3:18" s="8" customFormat="1" x14ac:dyDescent="0.25">
      <c r="C59280" s="60"/>
      <c r="I59280" s="63"/>
      <c r="R59280" s="64"/>
    </row>
    <row r="59281" spans="3:18" s="8" customFormat="1" x14ac:dyDescent="0.25">
      <c r="C59281" s="60"/>
      <c r="I59281" s="63"/>
      <c r="R59281" s="64"/>
    </row>
    <row r="59282" spans="3:18" s="8" customFormat="1" x14ac:dyDescent="0.25">
      <c r="C59282" s="60"/>
      <c r="I59282" s="63"/>
      <c r="R59282" s="64"/>
    </row>
    <row r="59283" spans="3:18" s="8" customFormat="1" x14ac:dyDescent="0.25">
      <c r="C59283" s="60"/>
      <c r="I59283" s="63"/>
      <c r="R59283" s="64"/>
    </row>
    <row r="59284" spans="3:18" s="8" customFormat="1" x14ac:dyDescent="0.25">
      <c r="C59284" s="60"/>
      <c r="I59284" s="63"/>
      <c r="R59284" s="64"/>
    </row>
    <row r="59285" spans="3:18" s="8" customFormat="1" x14ac:dyDescent="0.25">
      <c r="C59285" s="60"/>
      <c r="I59285" s="63"/>
      <c r="R59285" s="64"/>
    </row>
    <row r="59286" spans="3:18" s="8" customFormat="1" x14ac:dyDescent="0.25">
      <c r="C59286" s="60"/>
      <c r="I59286" s="63"/>
      <c r="R59286" s="64"/>
    </row>
    <row r="59287" spans="3:18" s="8" customFormat="1" x14ac:dyDescent="0.25">
      <c r="C59287" s="60"/>
      <c r="I59287" s="63"/>
      <c r="R59287" s="64"/>
    </row>
    <row r="59288" spans="3:18" s="8" customFormat="1" x14ac:dyDescent="0.25">
      <c r="C59288" s="60"/>
      <c r="I59288" s="63"/>
      <c r="R59288" s="64"/>
    </row>
    <row r="59289" spans="3:18" s="8" customFormat="1" x14ac:dyDescent="0.25">
      <c r="C59289" s="60"/>
      <c r="I59289" s="63"/>
      <c r="R59289" s="64"/>
    </row>
    <row r="59290" spans="3:18" s="8" customFormat="1" x14ac:dyDescent="0.25">
      <c r="C59290" s="60"/>
      <c r="I59290" s="63"/>
      <c r="R59290" s="64"/>
    </row>
    <row r="59291" spans="3:18" s="8" customFormat="1" x14ac:dyDescent="0.25">
      <c r="C59291" s="60"/>
      <c r="I59291" s="63"/>
      <c r="R59291" s="64"/>
    </row>
    <row r="59292" spans="3:18" s="8" customFormat="1" x14ac:dyDescent="0.25">
      <c r="C59292" s="60"/>
      <c r="I59292" s="63"/>
      <c r="R59292" s="64"/>
    </row>
    <row r="59293" spans="3:18" s="8" customFormat="1" x14ac:dyDescent="0.25">
      <c r="C59293" s="60"/>
      <c r="I59293" s="63"/>
      <c r="R59293" s="64"/>
    </row>
    <row r="59294" spans="3:18" s="8" customFormat="1" x14ac:dyDescent="0.25">
      <c r="C59294" s="60"/>
      <c r="I59294" s="63"/>
      <c r="R59294" s="64"/>
    </row>
    <row r="59295" spans="3:18" s="8" customFormat="1" x14ac:dyDescent="0.25">
      <c r="C59295" s="60"/>
      <c r="I59295" s="63"/>
      <c r="R59295" s="64"/>
    </row>
    <row r="59296" spans="3:18" s="8" customFormat="1" x14ac:dyDescent="0.25">
      <c r="C59296" s="60"/>
      <c r="I59296" s="63"/>
      <c r="R59296" s="64"/>
    </row>
    <row r="59297" spans="3:18" s="8" customFormat="1" x14ac:dyDescent="0.25">
      <c r="C59297" s="60"/>
      <c r="I59297" s="63"/>
      <c r="R59297" s="64"/>
    </row>
    <row r="59298" spans="3:18" s="8" customFormat="1" x14ac:dyDescent="0.25">
      <c r="C59298" s="60"/>
      <c r="I59298" s="63"/>
      <c r="R59298" s="64"/>
    </row>
    <row r="59299" spans="3:18" s="8" customFormat="1" x14ac:dyDescent="0.25">
      <c r="C59299" s="60"/>
      <c r="I59299" s="63"/>
      <c r="R59299" s="64"/>
    </row>
    <row r="59300" spans="3:18" s="8" customFormat="1" x14ac:dyDescent="0.25">
      <c r="C59300" s="60"/>
      <c r="I59300" s="63"/>
      <c r="R59300" s="64"/>
    </row>
    <row r="59301" spans="3:18" s="8" customFormat="1" x14ac:dyDescent="0.25">
      <c r="C59301" s="60"/>
      <c r="I59301" s="63"/>
      <c r="R59301" s="64"/>
    </row>
    <row r="59302" spans="3:18" s="8" customFormat="1" x14ac:dyDescent="0.25">
      <c r="C59302" s="60"/>
      <c r="I59302" s="63"/>
      <c r="R59302" s="64"/>
    </row>
    <row r="59303" spans="3:18" s="8" customFormat="1" x14ac:dyDescent="0.25">
      <c r="C59303" s="60"/>
      <c r="I59303" s="63"/>
      <c r="R59303" s="64"/>
    </row>
    <row r="59304" spans="3:18" s="8" customFormat="1" x14ac:dyDescent="0.25">
      <c r="C59304" s="60"/>
      <c r="I59304" s="63"/>
      <c r="R59304" s="64"/>
    </row>
    <row r="59305" spans="3:18" s="8" customFormat="1" x14ac:dyDescent="0.25">
      <c r="C59305" s="60"/>
      <c r="I59305" s="63"/>
      <c r="R59305" s="64"/>
    </row>
    <row r="59306" spans="3:18" s="8" customFormat="1" x14ac:dyDescent="0.25">
      <c r="C59306" s="60"/>
      <c r="I59306" s="63"/>
      <c r="R59306" s="64"/>
    </row>
    <row r="59307" spans="3:18" s="8" customFormat="1" x14ac:dyDescent="0.25">
      <c r="C59307" s="60"/>
      <c r="I59307" s="63"/>
      <c r="R59307" s="64"/>
    </row>
    <row r="59308" spans="3:18" s="8" customFormat="1" x14ac:dyDescent="0.25">
      <c r="C59308" s="60"/>
      <c r="I59308" s="63"/>
      <c r="R59308" s="64"/>
    </row>
    <row r="59309" spans="3:18" s="8" customFormat="1" x14ac:dyDescent="0.25">
      <c r="C59309" s="60"/>
      <c r="I59309" s="63"/>
      <c r="R59309" s="64"/>
    </row>
    <row r="59310" spans="3:18" s="8" customFormat="1" x14ac:dyDescent="0.25">
      <c r="C59310" s="60"/>
      <c r="I59310" s="63"/>
      <c r="R59310" s="64"/>
    </row>
    <row r="59311" spans="3:18" s="8" customFormat="1" x14ac:dyDescent="0.25">
      <c r="C59311" s="60"/>
      <c r="I59311" s="63"/>
      <c r="R59311" s="64"/>
    </row>
    <row r="59312" spans="3:18" s="8" customFormat="1" x14ac:dyDescent="0.25">
      <c r="C59312" s="60"/>
      <c r="I59312" s="63"/>
      <c r="R59312" s="64"/>
    </row>
    <row r="59313" spans="3:18" s="8" customFormat="1" x14ac:dyDescent="0.25">
      <c r="C59313" s="60"/>
      <c r="I59313" s="63"/>
      <c r="R59313" s="64"/>
    </row>
    <row r="59314" spans="3:18" s="8" customFormat="1" x14ac:dyDescent="0.25">
      <c r="C59314" s="60"/>
      <c r="I59314" s="63"/>
      <c r="R59314" s="64"/>
    </row>
    <row r="59315" spans="3:18" s="8" customFormat="1" x14ac:dyDescent="0.25">
      <c r="C59315" s="60"/>
      <c r="I59315" s="63"/>
      <c r="R59315" s="64"/>
    </row>
    <row r="59316" spans="3:18" s="8" customFormat="1" x14ac:dyDescent="0.25">
      <c r="C59316" s="60"/>
      <c r="I59316" s="63"/>
      <c r="R59316" s="64"/>
    </row>
    <row r="59317" spans="3:18" s="8" customFormat="1" x14ac:dyDescent="0.25">
      <c r="C59317" s="60"/>
      <c r="I59317" s="63"/>
      <c r="R59317" s="64"/>
    </row>
    <row r="59318" spans="3:18" s="8" customFormat="1" x14ac:dyDescent="0.25">
      <c r="C59318" s="60"/>
      <c r="I59318" s="63"/>
      <c r="R59318" s="64"/>
    </row>
    <row r="59319" spans="3:18" s="8" customFormat="1" x14ac:dyDescent="0.25">
      <c r="C59319" s="60"/>
      <c r="I59319" s="63"/>
      <c r="R59319" s="64"/>
    </row>
    <row r="59320" spans="3:18" s="8" customFormat="1" x14ac:dyDescent="0.25">
      <c r="C59320" s="60"/>
      <c r="I59320" s="63"/>
      <c r="R59320" s="64"/>
    </row>
    <row r="59321" spans="3:18" s="8" customFormat="1" x14ac:dyDescent="0.25">
      <c r="C59321" s="60"/>
      <c r="I59321" s="63"/>
      <c r="R59321" s="64"/>
    </row>
    <row r="59322" spans="3:18" s="8" customFormat="1" x14ac:dyDescent="0.25">
      <c r="C59322" s="60"/>
      <c r="I59322" s="63"/>
      <c r="R59322" s="64"/>
    </row>
    <row r="59323" spans="3:18" s="8" customFormat="1" x14ac:dyDescent="0.25">
      <c r="C59323" s="60"/>
      <c r="I59323" s="63"/>
      <c r="R59323" s="64"/>
    </row>
    <row r="59324" spans="3:18" s="8" customFormat="1" x14ac:dyDescent="0.25">
      <c r="C59324" s="60"/>
      <c r="I59324" s="63"/>
      <c r="R59324" s="64"/>
    </row>
    <row r="59325" spans="3:18" s="8" customFormat="1" x14ac:dyDescent="0.25">
      <c r="C59325" s="60"/>
      <c r="I59325" s="63"/>
      <c r="R59325" s="64"/>
    </row>
    <row r="59326" spans="3:18" s="8" customFormat="1" x14ac:dyDescent="0.25">
      <c r="C59326" s="60"/>
      <c r="I59326" s="63"/>
      <c r="R59326" s="64"/>
    </row>
    <row r="59327" spans="3:18" s="8" customFormat="1" x14ac:dyDescent="0.25">
      <c r="C59327" s="60"/>
      <c r="I59327" s="63"/>
      <c r="R59327" s="64"/>
    </row>
    <row r="59328" spans="3:18" s="8" customFormat="1" x14ac:dyDescent="0.25">
      <c r="C59328" s="60"/>
      <c r="I59328" s="63"/>
      <c r="R59328" s="64"/>
    </row>
    <row r="59329" spans="3:18" s="8" customFormat="1" x14ac:dyDescent="0.25">
      <c r="C59329" s="60"/>
      <c r="I59329" s="63"/>
      <c r="R59329" s="64"/>
    </row>
    <row r="59330" spans="3:18" s="8" customFormat="1" x14ac:dyDescent="0.25">
      <c r="C59330" s="60"/>
      <c r="I59330" s="63"/>
      <c r="R59330" s="64"/>
    </row>
    <row r="59331" spans="3:18" s="8" customFormat="1" x14ac:dyDescent="0.25">
      <c r="C59331" s="60"/>
      <c r="I59331" s="63"/>
      <c r="R59331" s="64"/>
    </row>
    <row r="59332" spans="3:18" s="8" customFormat="1" x14ac:dyDescent="0.25">
      <c r="C59332" s="60"/>
      <c r="I59332" s="63"/>
      <c r="R59332" s="64"/>
    </row>
    <row r="59333" spans="3:18" s="8" customFormat="1" x14ac:dyDescent="0.25">
      <c r="C59333" s="60"/>
      <c r="I59333" s="63"/>
      <c r="R59333" s="64"/>
    </row>
    <row r="59334" spans="3:18" s="8" customFormat="1" x14ac:dyDescent="0.25">
      <c r="C59334" s="60"/>
      <c r="I59334" s="63"/>
      <c r="R59334" s="64"/>
    </row>
    <row r="59335" spans="3:18" s="8" customFormat="1" x14ac:dyDescent="0.25">
      <c r="C59335" s="60"/>
      <c r="I59335" s="63"/>
      <c r="R59335" s="64"/>
    </row>
    <row r="59336" spans="3:18" s="8" customFormat="1" x14ac:dyDescent="0.25">
      <c r="C59336" s="60"/>
      <c r="I59336" s="63"/>
      <c r="R59336" s="64"/>
    </row>
    <row r="59337" spans="3:18" s="8" customFormat="1" x14ac:dyDescent="0.25">
      <c r="C59337" s="60"/>
      <c r="I59337" s="63"/>
      <c r="R59337" s="64"/>
    </row>
    <row r="59338" spans="3:18" s="8" customFormat="1" x14ac:dyDescent="0.25">
      <c r="C59338" s="60"/>
      <c r="I59338" s="63"/>
      <c r="R59338" s="64"/>
    </row>
    <row r="59339" spans="3:18" s="8" customFormat="1" x14ac:dyDescent="0.25">
      <c r="C59339" s="60"/>
      <c r="I59339" s="63"/>
      <c r="R59339" s="64"/>
    </row>
    <row r="59340" spans="3:18" s="8" customFormat="1" x14ac:dyDescent="0.25">
      <c r="C59340" s="60"/>
      <c r="I59340" s="63"/>
      <c r="R59340" s="64"/>
    </row>
    <row r="59341" spans="3:18" s="8" customFormat="1" x14ac:dyDescent="0.25">
      <c r="C59341" s="60"/>
      <c r="I59341" s="63"/>
      <c r="R59341" s="64"/>
    </row>
    <row r="59342" spans="3:18" s="8" customFormat="1" x14ac:dyDescent="0.25">
      <c r="C59342" s="60"/>
      <c r="I59342" s="63"/>
      <c r="R59342" s="64"/>
    </row>
    <row r="59343" spans="3:18" s="8" customFormat="1" x14ac:dyDescent="0.25">
      <c r="C59343" s="60"/>
      <c r="I59343" s="63"/>
      <c r="R59343" s="64"/>
    </row>
    <row r="59344" spans="3:18" s="8" customFormat="1" x14ac:dyDescent="0.25">
      <c r="C59344" s="60"/>
      <c r="I59344" s="63"/>
      <c r="R59344" s="64"/>
    </row>
    <row r="59345" spans="3:18" s="8" customFormat="1" x14ac:dyDescent="0.25">
      <c r="C59345" s="60"/>
      <c r="I59345" s="63"/>
      <c r="R59345" s="64"/>
    </row>
    <row r="59346" spans="3:18" s="8" customFormat="1" x14ac:dyDescent="0.25">
      <c r="C59346" s="60"/>
      <c r="I59346" s="63"/>
      <c r="R59346" s="64"/>
    </row>
    <row r="59347" spans="3:18" s="8" customFormat="1" x14ac:dyDescent="0.25">
      <c r="C59347" s="60"/>
      <c r="I59347" s="63"/>
      <c r="R59347" s="64"/>
    </row>
    <row r="59348" spans="3:18" s="8" customFormat="1" x14ac:dyDescent="0.25">
      <c r="C59348" s="60"/>
      <c r="I59348" s="63"/>
      <c r="R59348" s="64"/>
    </row>
    <row r="59349" spans="3:18" s="8" customFormat="1" x14ac:dyDescent="0.25">
      <c r="C59349" s="60"/>
      <c r="I59349" s="63"/>
      <c r="R59349" s="64"/>
    </row>
    <row r="59350" spans="3:18" s="8" customFormat="1" x14ac:dyDescent="0.25">
      <c r="C59350" s="60"/>
      <c r="I59350" s="63"/>
      <c r="R59350" s="64"/>
    </row>
    <row r="59351" spans="3:18" s="8" customFormat="1" x14ac:dyDescent="0.25">
      <c r="C59351" s="60"/>
      <c r="I59351" s="63"/>
      <c r="R59351" s="64"/>
    </row>
    <row r="59352" spans="3:18" s="8" customFormat="1" x14ac:dyDescent="0.25">
      <c r="C59352" s="60"/>
      <c r="I59352" s="63"/>
      <c r="R59352" s="64"/>
    </row>
    <row r="59353" spans="3:18" s="8" customFormat="1" x14ac:dyDescent="0.25">
      <c r="C59353" s="60"/>
      <c r="I59353" s="63"/>
      <c r="R59353" s="64"/>
    </row>
    <row r="59354" spans="3:18" s="8" customFormat="1" x14ac:dyDescent="0.25">
      <c r="C59354" s="60"/>
      <c r="I59354" s="63"/>
      <c r="R59354" s="64"/>
    </row>
    <row r="59355" spans="3:18" s="8" customFormat="1" x14ac:dyDescent="0.25">
      <c r="C59355" s="60"/>
      <c r="I59355" s="63"/>
      <c r="R59355" s="64"/>
    </row>
    <row r="59356" spans="3:18" s="8" customFormat="1" x14ac:dyDescent="0.25">
      <c r="C59356" s="60"/>
      <c r="I59356" s="63"/>
      <c r="R59356" s="64"/>
    </row>
    <row r="59357" spans="3:18" s="8" customFormat="1" x14ac:dyDescent="0.25">
      <c r="C59357" s="60"/>
      <c r="I59357" s="63"/>
      <c r="R59357" s="64"/>
    </row>
    <row r="59358" spans="3:18" s="8" customFormat="1" x14ac:dyDescent="0.25">
      <c r="C59358" s="60"/>
      <c r="I59358" s="63"/>
      <c r="R59358" s="64"/>
    </row>
    <row r="59359" spans="3:18" s="8" customFormat="1" x14ac:dyDescent="0.25">
      <c r="C59359" s="60"/>
      <c r="I59359" s="63"/>
      <c r="R59359" s="64"/>
    </row>
    <row r="59360" spans="3:18" s="8" customFormat="1" x14ac:dyDescent="0.25">
      <c r="C59360" s="60"/>
      <c r="I59360" s="63"/>
      <c r="R59360" s="64"/>
    </row>
    <row r="59361" spans="3:18" s="8" customFormat="1" x14ac:dyDescent="0.25">
      <c r="C59361" s="60"/>
      <c r="I59361" s="63"/>
      <c r="R59361" s="64"/>
    </row>
    <row r="59362" spans="3:18" s="8" customFormat="1" x14ac:dyDescent="0.25">
      <c r="C59362" s="60"/>
      <c r="I59362" s="63"/>
      <c r="R59362" s="64"/>
    </row>
    <row r="59363" spans="3:18" s="8" customFormat="1" x14ac:dyDescent="0.25">
      <c r="C59363" s="60"/>
      <c r="I59363" s="63"/>
      <c r="R59363" s="64"/>
    </row>
    <row r="59364" spans="3:18" s="8" customFormat="1" x14ac:dyDescent="0.25">
      <c r="C59364" s="60"/>
      <c r="I59364" s="63"/>
      <c r="R59364" s="64"/>
    </row>
    <row r="59365" spans="3:18" s="8" customFormat="1" x14ac:dyDescent="0.25">
      <c r="C59365" s="60"/>
      <c r="I59365" s="63"/>
      <c r="R59365" s="64"/>
    </row>
    <row r="59366" spans="3:18" s="8" customFormat="1" x14ac:dyDescent="0.25">
      <c r="C59366" s="60"/>
      <c r="I59366" s="63"/>
      <c r="R59366" s="64"/>
    </row>
    <row r="59367" spans="3:18" s="8" customFormat="1" x14ac:dyDescent="0.25">
      <c r="C59367" s="60"/>
      <c r="I59367" s="63"/>
      <c r="R59367" s="64"/>
    </row>
    <row r="59368" spans="3:18" s="8" customFormat="1" x14ac:dyDescent="0.25">
      <c r="C59368" s="60"/>
      <c r="I59368" s="63"/>
      <c r="R59368" s="64"/>
    </row>
    <row r="59369" spans="3:18" s="8" customFormat="1" x14ac:dyDescent="0.25">
      <c r="C59369" s="60"/>
      <c r="I59369" s="63"/>
      <c r="R59369" s="64"/>
    </row>
    <row r="59370" spans="3:18" s="8" customFormat="1" x14ac:dyDescent="0.25">
      <c r="C59370" s="60"/>
      <c r="I59370" s="63"/>
      <c r="R59370" s="64"/>
    </row>
    <row r="59371" spans="3:18" s="8" customFormat="1" x14ac:dyDescent="0.25">
      <c r="C59371" s="60"/>
      <c r="I59371" s="63"/>
      <c r="R59371" s="64"/>
    </row>
    <row r="59372" spans="3:18" s="8" customFormat="1" x14ac:dyDescent="0.25">
      <c r="C59372" s="60"/>
      <c r="I59372" s="63"/>
      <c r="R59372" s="64"/>
    </row>
    <row r="59373" spans="3:18" s="8" customFormat="1" x14ac:dyDescent="0.25">
      <c r="C59373" s="60"/>
      <c r="I59373" s="63"/>
      <c r="R59373" s="64"/>
    </row>
    <row r="59374" spans="3:18" s="8" customFormat="1" x14ac:dyDescent="0.25">
      <c r="C59374" s="60"/>
      <c r="I59374" s="63"/>
      <c r="R59374" s="64"/>
    </row>
    <row r="59375" spans="3:18" s="8" customFormat="1" x14ac:dyDescent="0.25">
      <c r="C59375" s="60"/>
      <c r="I59375" s="63"/>
      <c r="R59375" s="64"/>
    </row>
    <row r="59376" spans="3:18" s="8" customFormat="1" x14ac:dyDescent="0.25">
      <c r="C59376" s="60"/>
      <c r="I59376" s="63"/>
      <c r="R59376" s="64"/>
    </row>
    <row r="59377" spans="3:18" s="8" customFormat="1" x14ac:dyDescent="0.25">
      <c r="C59377" s="60"/>
      <c r="I59377" s="63"/>
      <c r="R59377" s="64"/>
    </row>
    <row r="59378" spans="3:18" s="8" customFormat="1" x14ac:dyDescent="0.25">
      <c r="C59378" s="60"/>
      <c r="I59378" s="63"/>
      <c r="R59378" s="64"/>
    </row>
    <row r="59379" spans="3:18" s="8" customFormat="1" x14ac:dyDescent="0.25">
      <c r="C59379" s="60"/>
      <c r="I59379" s="63"/>
      <c r="R59379" s="64"/>
    </row>
    <row r="59380" spans="3:18" s="8" customFormat="1" x14ac:dyDescent="0.25">
      <c r="C59380" s="60"/>
      <c r="I59380" s="63"/>
      <c r="R59380" s="64"/>
    </row>
    <row r="59381" spans="3:18" s="8" customFormat="1" x14ac:dyDescent="0.25">
      <c r="C59381" s="60"/>
      <c r="I59381" s="63"/>
      <c r="R59381" s="64"/>
    </row>
    <row r="59382" spans="3:18" s="8" customFormat="1" x14ac:dyDescent="0.25">
      <c r="C59382" s="60"/>
      <c r="I59382" s="63"/>
      <c r="R59382" s="64"/>
    </row>
    <row r="59383" spans="3:18" s="8" customFormat="1" x14ac:dyDescent="0.25">
      <c r="C59383" s="60"/>
      <c r="I59383" s="63"/>
      <c r="R59383" s="64"/>
    </row>
    <row r="59384" spans="3:18" s="8" customFormat="1" x14ac:dyDescent="0.25">
      <c r="C59384" s="60"/>
      <c r="I59384" s="63"/>
      <c r="R59384" s="64"/>
    </row>
    <row r="59385" spans="3:18" s="8" customFormat="1" x14ac:dyDescent="0.25">
      <c r="C59385" s="60"/>
      <c r="I59385" s="63"/>
      <c r="R59385" s="64"/>
    </row>
    <row r="59386" spans="3:18" s="8" customFormat="1" x14ac:dyDescent="0.25">
      <c r="C59386" s="60"/>
      <c r="I59386" s="63"/>
      <c r="R59386" s="64"/>
    </row>
    <row r="59387" spans="3:18" s="8" customFormat="1" x14ac:dyDescent="0.25">
      <c r="C59387" s="60"/>
      <c r="I59387" s="63"/>
      <c r="R59387" s="64"/>
    </row>
    <row r="59388" spans="3:18" s="8" customFormat="1" x14ac:dyDescent="0.25">
      <c r="C59388" s="60"/>
      <c r="I59388" s="63"/>
      <c r="R59388" s="64"/>
    </row>
    <row r="59389" spans="3:18" s="8" customFormat="1" x14ac:dyDescent="0.25">
      <c r="C59389" s="60"/>
      <c r="I59389" s="63"/>
      <c r="R59389" s="64"/>
    </row>
    <row r="59390" spans="3:18" s="8" customFormat="1" x14ac:dyDescent="0.25">
      <c r="C59390" s="60"/>
      <c r="I59390" s="63"/>
      <c r="R59390" s="64"/>
    </row>
    <row r="59391" spans="3:18" s="8" customFormat="1" x14ac:dyDescent="0.25">
      <c r="C59391" s="60"/>
      <c r="I59391" s="63"/>
      <c r="R59391" s="64"/>
    </row>
    <row r="59392" spans="3:18" s="8" customFormat="1" x14ac:dyDescent="0.25">
      <c r="C59392" s="60"/>
      <c r="I59392" s="63"/>
      <c r="R59392" s="64"/>
    </row>
    <row r="59393" spans="3:18" s="8" customFormat="1" x14ac:dyDescent="0.25">
      <c r="C59393" s="60"/>
      <c r="I59393" s="63"/>
      <c r="R59393" s="64"/>
    </row>
    <row r="59394" spans="3:18" s="8" customFormat="1" x14ac:dyDescent="0.25">
      <c r="C59394" s="60"/>
      <c r="I59394" s="63"/>
      <c r="R59394" s="64"/>
    </row>
    <row r="59395" spans="3:18" s="8" customFormat="1" x14ac:dyDescent="0.25">
      <c r="C59395" s="60"/>
      <c r="I59395" s="63"/>
      <c r="R59395" s="64"/>
    </row>
    <row r="59396" spans="3:18" s="8" customFormat="1" x14ac:dyDescent="0.25">
      <c r="C59396" s="60"/>
      <c r="I59396" s="63"/>
      <c r="R59396" s="64"/>
    </row>
    <row r="59397" spans="3:18" s="8" customFormat="1" x14ac:dyDescent="0.25">
      <c r="C59397" s="60"/>
      <c r="I59397" s="63"/>
      <c r="R59397" s="64"/>
    </row>
    <row r="59398" spans="3:18" s="8" customFormat="1" x14ac:dyDescent="0.25">
      <c r="C59398" s="60"/>
      <c r="I59398" s="63"/>
      <c r="R59398" s="64"/>
    </row>
    <row r="59399" spans="3:18" s="8" customFormat="1" x14ac:dyDescent="0.25">
      <c r="C59399" s="60"/>
      <c r="I59399" s="63"/>
      <c r="R59399" s="64"/>
    </row>
    <row r="59400" spans="3:18" s="8" customFormat="1" x14ac:dyDescent="0.25">
      <c r="C59400" s="60"/>
      <c r="I59400" s="63"/>
      <c r="R59400" s="64"/>
    </row>
    <row r="59401" spans="3:18" s="8" customFormat="1" x14ac:dyDescent="0.25">
      <c r="C59401" s="60"/>
      <c r="I59401" s="63"/>
      <c r="R59401" s="64"/>
    </row>
    <row r="59402" spans="3:18" s="8" customFormat="1" x14ac:dyDescent="0.25">
      <c r="C59402" s="60"/>
      <c r="I59402" s="63"/>
      <c r="R59402" s="64"/>
    </row>
    <row r="59403" spans="3:18" s="8" customFormat="1" x14ac:dyDescent="0.25">
      <c r="C59403" s="60"/>
      <c r="I59403" s="63"/>
      <c r="R59403" s="64"/>
    </row>
    <row r="59404" spans="3:18" s="8" customFormat="1" x14ac:dyDescent="0.25">
      <c r="C59404" s="60"/>
      <c r="I59404" s="63"/>
      <c r="R59404" s="64"/>
    </row>
    <row r="59405" spans="3:18" s="8" customFormat="1" x14ac:dyDescent="0.25">
      <c r="C59405" s="60"/>
      <c r="I59405" s="63"/>
      <c r="R59405" s="64"/>
    </row>
    <row r="59406" spans="3:18" s="8" customFormat="1" x14ac:dyDescent="0.25">
      <c r="C59406" s="60"/>
      <c r="I59406" s="63"/>
      <c r="R59406" s="64"/>
    </row>
    <row r="59407" spans="3:18" s="8" customFormat="1" x14ac:dyDescent="0.25">
      <c r="C59407" s="60"/>
      <c r="I59407" s="63"/>
      <c r="R59407" s="64"/>
    </row>
    <row r="59408" spans="3:18" s="8" customFormat="1" x14ac:dyDescent="0.25">
      <c r="C59408" s="60"/>
      <c r="I59408" s="63"/>
      <c r="R59408" s="64"/>
    </row>
    <row r="59409" spans="3:18" s="8" customFormat="1" x14ac:dyDescent="0.25">
      <c r="C59409" s="60"/>
      <c r="I59409" s="63"/>
      <c r="R59409" s="64"/>
    </row>
    <row r="59410" spans="3:18" s="8" customFormat="1" x14ac:dyDescent="0.25">
      <c r="C59410" s="60"/>
      <c r="I59410" s="63"/>
      <c r="R59410" s="64"/>
    </row>
    <row r="59411" spans="3:18" s="8" customFormat="1" x14ac:dyDescent="0.25">
      <c r="C59411" s="60"/>
      <c r="I59411" s="63"/>
      <c r="R59411" s="64"/>
    </row>
    <row r="59412" spans="3:18" s="8" customFormat="1" x14ac:dyDescent="0.25">
      <c r="C59412" s="60"/>
      <c r="I59412" s="63"/>
      <c r="R59412" s="64"/>
    </row>
    <row r="59413" spans="3:18" s="8" customFormat="1" x14ac:dyDescent="0.25">
      <c r="C59413" s="60"/>
      <c r="I59413" s="63"/>
      <c r="R59413" s="64"/>
    </row>
    <row r="59414" spans="3:18" s="8" customFormat="1" x14ac:dyDescent="0.25">
      <c r="C59414" s="60"/>
      <c r="I59414" s="63"/>
      <c r="R59414" s="64"/>
    </row>
    <row r="59415" spans="3:18" s="8" customFormat="1" x14ac:dyDescent="0.25">
      <c r="C59415" s="60"/>
      <c r="I59415" s="63"/>
      <c r="R59415" s="64"/>
    </row>
    <row r="59416" spans="3:18" s="8" customFormat="1" x14ac:dyDescent="0.25">
      <c r="C59416" s="60"/>
      <c r="I59416" s="63"/>
      <c r="R59416" s="64"/>
    </row>
    <row r="59417" spans="3:18" s="8" customFormat="1" x14ac:dyDescent="0.25">
      <c r="C59417" s="60"/>
      <c r="I59417" s="63"/>
      <c r="R59417" s="64"/>
    </row>
    <row r="59418" spans="3:18" s="8" customFormat="1" x14ac:dyDescent="0.25">
      <c r="C59418" s="60"/>
      <c r="I59418" s="63"/>
      <c r="R59418" s="64"/>
    </row>
    <row r="59419" spans="3:18" s="8" customFormat="1" x14ac:dyDescent="0.25">
      <c r="C59419" s="60"/>
      <c r="I59419" s="63"/>
      <c r="R59419" s="64"/>
    </row>
    <row r="59420" spans="3:18" s="8" customFormat="1" x14ac:dyDescent="0.25">
      <c r="C59420" s="60"/>
      <c r="I59420" s="63"/>
      <c r="R59420" s="64"/>
    </row>
    <row r="59421" spans="3:18" s="8" customFormat="1" x14ac:dyDescent="0.25">
      <c r="C59421" s="60"/>
      <c r="I59421" s="63"/>
      <c r="R59421" s="64"/>
    </row>
    <row r="59422" spans="3:18" s="8" customFormat="1" x14ac:dyDescent="0.25">
      <c r="C59422" s="60"/>
      <c r="I59422" s="63"/>
      <c r="R59422" s="64"/>
    </row>
    <row r="59423" spans="3:18" s="8" customFormat="1" x14ac:dyDescent="0.25">
      <c r="C59423" s="60"/>
      <c r="I59423" s="63"/>
      <c r="R59423" s="64"/>
    </row>
    <row r="59424" spans="3:18" s="8" customFormat="1" x14ac:dyDescent="0.25">
      <c r="C59424" s="60"/>
      <c r="I59424" s="63"/>
      <c r="R59424" s="64"/>
    </row>
    <row r="59425" spans="3:18" s="8" customFormat="1" x14ac:dyDescent="0.25">
      <c r="C59425" s="60"/>
      <c r="I59425" s="63"/>
      <c r="R59425" s="64"/>
    </row>
    <row r="59426" spans="3:18" s="8" customFormat="1" x14ac:dyDescent="0.25">
      <c r="C59426" s="60"/>
      <c r="I59426" s="63"/>
      <c r="R59426" s="64"/>
    </row>
    <row r="59427" spans="3:18" s="8" customFormat="1" x14ac:dyDescent="0.25">
      <c r="C59427" s="60"/>
      <c r="I59427" s="63"/>
      <c r="R59427" s="64"/>
    </row>
    <row r="59428" spans="3:18" s="8" customFormat="1" x14ac:dyDescent="0.25">
      <c r="C59428" s="60"/>
      <c r="I59428" s="63"/>
      <c r="R59428" s="64"/>
    </row>
    <row r="59429" spans="3:18" s="8" customFormat="1" x14ac:dyDescent="0.25">
      <c r="C59429" s="60"/>
      <c r="I59429" s="63"/>
      <c r="R59429" s="64"/>
    </row>
    <row r="59430" spans="3:18" s="8" customFormat="1" x14ac:dyDescent="0.25">
      <c r="C59430" s="60"/>
      <c r="I59430" s="63"/>
      <c r="R59430" s="64"/>
    </row>
    <row r="59431" spans="3:18" s="8" customFormat="1" x14ac:dyDescent="0.25">
      <c r="C59431" s="60"/>
      <c r="I59431" s="63"/>
      <c r="R59431" s="64"/>
    </row>
    <row r="59432" spans="3:18" s="8" customFormat="1" x14ac:dyDescent="0.25">
      <c r="C59432" s="60"/>
      <c r="I59432" s="63"/>
      <c r="R59432" s="64"/>
    </row>
    <row r="59433" spans="3:18" s="8" customFormat="1" x14ac:dyDescent="0.25">
      <c r="C59433" s="60"/>
      <c r="I59433" s="63"/>
      <c r="R59433" s="64"/>
    </row>
    <row r="59434" spans="3:18" s="8" customFormat="1" x14ac:dyDescent="0.25">
      <c r="C59434" s="60"/>
      <c r="I59434" s="63"/>
      <c r="R59434" s="64"/>
    </row>
    <row r="59435" spans="3:18" s="8" customFormat="1" x14ac:dyDescent="0.25">
      <c r="C59435" s="60"/>
      <c r="I59435" s="63"/>
      <c r="R59435" s="64"/>
    </row>
    <row r="59436" spans="3:18" s="8" customFormat="1" x14ac:dyDescent="0.25">
      <c r="C59436" s="60"/>
      <c r="I59436" s="63"/>
      <c r="R59436" s="64"/>
    </row>
    <row r="59437" spans="3:18" s="8" customFormat="1" x14ac:dyDescent="0.25">
      <c r="C59437" s="60"/>
      <c r="I59437" s="63"/>
      <c r="R59437" s="64"/>
    </row>
    <row r="59438" spans="3:18" s="8" customFormat="1" x14ac:dyDescent="0.25">
      <c r="C59438" s="60"/>
      <c r="I59438" s="63"/>
      <c r="R59438" s="64"/>
    </row>
    <row r="59439" spans="3:18" s="8" customFormat="1" x14ac:dyDescent="0.25">
      <c r="C59439" s="60"/>
      <c r="I59439" s="63"/>
      <c r="R59439" s="64"/>
    </row>
    <row r="59440" spans="3:18" s="8" customFormat="1" x14ac:dyDescent="0.25">
      <c r="C59440" s="60"/>
      <c r="I59440" s="63"/>
      <c r="R59440" s="64"/>
    </row>
    <row r="59441" spans="3:18" s="8" customFormat="1" x14ac:dyDescent="0.25">
      <c r="C59441" s="60"/>
      <c r="I59441" s="63"/>
      <c r="R59441" s="64"/>
    </row>
    <row r="59442" spans="3:18" s="8" customFormat="1" x14ac:dyDescent="0.25">
      <c r="C59442" s="60"/>
      <c r="I59442" s="63"/>
      <c r="R59442" s="64"/>
    </row>
    <row r="59443" spans="3:18" s="8" customFormat="1" x14ac:dyDescent="0.25">
      <c r="C59443" s="60"/>
      <c r="I59443" s="63"/>
      <c r="R59443" s="64"/>
    </row>
    <row r="59444" spans="3:18" s="8" customFormat="1" x14ac:dyDescent="0.25">
      <c r="C59444" s="60"/>
      <c r="I59444" s="63"/>
      <c r="R59444" s="64"/>
    </row>
    <row r="59445" spans="3:18" s="8" customFormat="1" x14ac:dyDescent="0.25">
      <c r="C59445" s="60"/>
      <c r="I59445" s="63"/>
      <c r="R59445" s="64"/>
    </row>
    <row r="59446" spans="3:18" s="8" customFormat="1" x14ac:dyDescent="0.25">
      <c r="C59446" s="60"/>
      <c r="I59446" s="63"/>
      <c r="R59446" s="64"/>
    </row>
    <row r="59447" spans="3:18" s="8" customFormat="1" x14ac:dyDescent="0.25">
      <c r="C59447" s="60"/>
      <c r="I59447" s="63"/>
      <c r="R59447" s="64"/>
    </row>
    <row r="59448" spans="3:18" s="8" customFormat="1" x14ac:dyDescent="0.25">
      <c r="C59448" s="60"/>
      <c r="I59448" s="63"/>
      <c r="R59448" s="64"/>
    </row>
    <row r="59449" spans="3:18" s="8" customFormat="1" x14ac:dyDescent="0.25">
      <c r="C59449" s="60"/>
      <c r="I59449" s="63"/>
      <c r="R59449" s="64"/>
    </row>
    <row r="59450" spans="3:18" s="8" customFormat="1" x14ac:dyDescent="0.25">
      <c r="C59450" s="60"/>
      <c r="I59450" s="63"/>
      <c r="R59450" s="64"/>
    </row>
    <row r="59451" spans="3:18" s="8" customFormat="1" x14ac:dyDescent="0.25">
      <c r="C59451" s="60"/>
      <c r="I59451" s="63"/>
      <c r="R59451" s="64"/>
    </row>
    <row r="59452" spans="3:18" s="8" customFormat="1" x14ac:dyDescent="0.25">
      <c r="C59452" s="60"/>
      <c r="I59452" s="63"/>
      <c r="R59452" s="64"/>
    </row>
    <row r="59453" spans="3:18" s="8" customFormat="1" x14ac:dyDescent="0.25">
      <c r="C59453" s="60"/>
      <c r="I59453" s="63"/>
      <c r="R59453" s="64"/>
    </row>
    <row r="59454" spans="3:18" s="8" customFormat="1" x14ac:dyDescent="0.25">
      <c r="C59454" s="60"/>
      <c r="I59454" s="63"/>
      <c r="R59454" s="64"/>
    </row>
    <row r="59455" spans="3:18" s="8" customFormat="1" x14ac:dyDescent="0.25">
      <c r="C59455" s="60"/>
      <c r="I59455" s="63"/>
      <c r="R59455" s="64"/>
    </row>
    <row r="59456" spans="3:18" s="8" customFormat="1" x14ac:dyDescent="0.25">
      <c r="C59456" s="60"/>
      <c r="I59456" s="63"/>
      <c r="R59456" s="64"/>
    </row>
    <row r="59457" spans="3:18" s="8" customFormat="1" x14ac:dyDescent="0.25">
      <c r="C59457" s="60"/>
      <c r="I59457" s="63"/>
      <c r="R59457" s="64"/>
    </row>
    <row r="59458" spans="3:18" s="8" customFormat="1" x14ac:dyDescent="0.25">
      <c r="C59458" s="60"/>
      <c r="I59458" s="63"/>
      <c r="R59458" s="64"/>
    </row>
    <row r="59459" spans="3:18" s="8" customFormat="1" x14ac:dyDescent="0.25">
      <c r="C59459" s="60"/>
      <c r="I59459" s="63"/>
      <c r="R59459" s="64"/>
    </row>
    <row r="59460" spans="3:18" s="8" customFormat="1" x14ac:dyDescent="0.25">
      <c r="C59460" s="60"/>
      <c r="I59460" s="63"/>
      <c r="R59460" s="64"/>
    </row>
    <row r="59461" spans="3:18" s="8" customFormat="1" x14ac:dyDescent="0.25">
      <c r="C59461" s="60"/>
      <c r="I59461" s="63"/>
      <c r="R59461" s="64"/>
    </row>
    <row r="59462" spans="3:18" s="8" customFormat="1" x14ac:dyDescent="0.25">
      <c r="C59462" s="60"/>
      <c r="I59462" s="63"/>
      <c r="R59462" s="64"/>
    </row>
    <row r="59463" spans="3:18" s="8" customFormat="1" x14ac:dyDescent="0.25">
      <c r="C59463" s="60"/>
      <c r="I59463" s="63"/>
      <c r="R59463" s="64"/>
    </row>
    <row r="59464" spans="3:18" s="8" customFormat="1" x14ac:dyDescent="0.25">
      <c r="C59464" s="60"/>
      <c r="I59464" s="63"/>
      <c r="R59464" s="64"/>
    </row>
    <row r="59465" spans="3:18" s="8" customFormat="1" x14ac:dyDescent="0.25">
      <c r="C59465" s="60"/>
      <c r="I59465" s="63"/>
      <c r="R59465" s="64"/>
    </row>
    <row r="59466" spans="3:18" s="8" customFormat="1" x14ac:dyDescent="0.25">
      <c r="C59466" s="60"/>
      <c r="I59466" s="63"/>
      <c r="R59466" s="64"/>
    </row>
    <row r="59467" spans="3:18" s="8" customFormat="1" x14ac:dyDescent="0.25">
      <c r="C59467" s="60"/>
      <c r="I59467" s="63"/>
      <c r="R59467" s="64"/>
    </row>
    <row r="59468" spans="3:18" s="8" customFormat="1" x14ac:dyDescent="0.25">
      <c r="C59468" s="60"/>
      <c r="I59468" s="63"/>
      <c r="R59468" s="64"/>
    </row>
    <row r="59469" spans="3:18" s="8" customFormat="1" x14ac:dyDescent="0.25">
      <c r="C59469" s="60"/>
      <c r="I59469" s="63"/>
      <c r="R59469" s="64"/>
    </row>
    <row r="59470" spans="3:18" s="8" customFormat="1" x14ac:dyDescent="0.25">
      <c r="C59470" s="60"/>
      <c r="I59470" s="63"/>
      <c r="R59470" s="64"/>
    </row>
    <row r="59471" spans="3:18" s="8" customFormat="1" x14ac:dyDescent="0.25">
      <c r="C59471" s="60"/>
      <c r="I59471" s="63"/>
      <c r="R59471" s="64"/>
    </row>
    <row r="59472" spans="3:18" s="8" customFormat="1" x14ac:dyDescent="0.25">
      <c r="C59472" s="60"/>
      <c r="I59472" s="63"/>
      <c r="R59472" s="64"/>
    </row>
    <row r="59473" spans="3:18" s="8" customFormat="1" x14ac:dyDescent="0.25">
      <c r="C59473" s="60"/>
      <c r="I59473" s="63"/>
      <c r="R59473" s="64"/>
    </row>
    <row r="59474" spans="3:18" s="8" customFormat="1" x14ac:dyDescent="0.25">
      <c r="C59474" s="60"/>
      <c r="I59474" s="63"/>
      <c r="R59474" s="64"/>
    </row>
    <row r="59475" spans="3:18" s="8" customFormat="1" x14ac:dyDescent="0.25">
      <c r="C59475" s="60"/>
      <c r="I59475" s="63"/>
      <c r="R59475" s="64"/>
    </row>
    <row r="59476" spans="3:18" s="8" customFormat="1" x14ac:dyDescent="0.25">
      <c r="C59476" s="60"/>
      <c r="I59476" s="63"/>
      <c r="R59476" s="64"/>
    </row>
    <row r="59477" spans="3:18" s="8" customFormat="1" x14ac:dyDescent="0.25">
      <c r="C59477" s="60"/>
      <c r="I59477" s="63"/>
      <c r="R59477" s="64"/>
    </row>
    <row r="59478" spans="3:18" s="8" customFormat="1" x14ac:dyDescent="0.25">
      <c r="C59478" s="60"/>
      <c r="I59478" s="63"/>
      <c r="R59478" s="64"/>
    </row>
    <row r="59479" spans="3:18" s="8" customFormat="1" x14ac:dyDescent="0.25">
      <c r="C59479" s="60"/>
      <c r="I59479" s="63"/>
      <c r="R59479" s="64"/>
    </row>
    <row r="59480" spans="3:18" s="8" customFormat="1" x14ac:dyDescent="0.25">
      <c r="C59480" s="60"/>
      <c r="I59480" s="63"/>
      <c r="R59480" s="64"/>
    </row>
    <row r="59481" spans="3:18" s="8" customFormat="1" x14ac:dyDescent="0.25">
      <c r="C59481" s="60"/>
      <c r="I59481" s="63"/>
      <c r="R59481" s="64"/>
    </row>
    <row r="59482" spans="3:18" s="8" customFormat="1" x14ac:dyDescent="0.25">
      <c r="C59482" s="60"/>
      <c r="I59482" s="63"/>
      <c r="R59482" s="64"/>
    </row>
    <row r="59483" spans="3:18" s="8" customFormat="1" x14ac:dyDescent="0.25">
      <c r="C59483" s="60"/>
      <c r="I59483" s="63"/>
      <c r="R59483" s="64"/>
    </row>
    <row r="59484" spans="3:18" s="8" customFormat="1" x14ac:dyDescent="0.25">
      <c r="C59484" s="60"/>
      <c r="I59484" s="63"/>
      <c r="R59484" s="64"/>
    </row>
    <row r="59485" spans="3:18" s="8" customFormat="1" x14ac:dyDescent="0.25">
      <c r="C59485" s="60"/>
      <c r="I59485" s="63"/>
      <c r="R59485" s="64"/>
    </row>
    <row r="59486" spans="3:18" s="8" customFormat="1" x14ac:dyDescent="0.25">
      <c r="C59486" s="60"/>
      <c r="I59486" s="63"/>
      <c r="R59486" s="64"/>
    </row>
    <row r="59487" spans="3:18" s="8" customFormat="1" x14ac:dyDescent="0.25">
      <c r="C59487" s="60"/>
      <c r="I59487" s="63"/>
      <c r="R59487" s="64"/>
    </row>
    <row r="59488" spans="3:18" s="8" customFormat="1" x14ac:dyDescent="0.25">
      <c r="C59488" s="60"/>
      <c r="I59488" s="63"/>
      <c r="R59488" s="64"/>
    </row>
    <row r="59489" spans="3:18" s="8" customFormat="1" x14ac:dyDescent="0.25">
      <c r="C59489" s="60"/>
      <c r="I59489" s="63"/>
      <c r="R59489" s="64"/>
    </row>
    <row r="59490" spans="3:18" s="8" customFormat="1" x14ac:dyDescent="0.25">
      <c r="C59490" s="60"/>
      <c r="I59490" s="63"/>
      <c r="R59490" s="64"/>
    </row>
    <row r="59491" spans="3:18" s="8" customFormat="1" x14ac:dyDescent="0.25">
      <c r="C59491" s="60"/>
      <c r="I59491" s="63"/>
      <c r="R59491" s="64"/>
    </row>
    <row r="59492" spans="3:18" s="8" customFormat="1" x14ac:dyDescent="0.25">
      <c r="C59492" s="60"/>
      <c r="I59492" s="63"/>
      <c r="R59492" s="64"/>
    </row>
    <row r="59493" spans="3:18" s="8" customFormat="1" x14ac:dyDescent="0.25">
      <c r="C59493" s="60"/>
      <c r="I59493" s="63"/>
      <c r="R59493" s="64"/>
    </row>
    <row r="59494" spans="3:18" s="8" customFormat="1" x14ac:dyDescent="0.25">
      <c r="C59494" s="60"/>
      <c r="I59494" s="63"/>
      <c r="R59494" s="64"/>
    </row>
    <row r="59495" spans="3:18" s="8" customFormat="1" x14ac:dyDescent="0.25">
      <c r="C59495" s="60"/>
      <c r="I59495" s="63"/>
      <c r="R59495" s="64"/>
    </row>
    <row r="59496" spans="3:18" s="8" customFormat="1" x14ac:dyDescent="0.25">
      <c r="C59496" s="60"/>
      <c r="I59496" s="63"/>
      <c r="R59496" s="64"/>
    </row>
    <row r="59497" spans="3:18" s="8" customFormat="1" x14ac:dyDescent="0.25">
      <c r="C59497" s="60"/>
      <c r="I59497" s="63"/>
      <c r="R59497" s="64"/>
    </row>
    <row r="59498" spans="3:18" s="8" customFormat="1" x14ac:dyDescent="0.25">
      <c r="C59498" s="60"/>
      <c r="I59498" s="63"/>
      <c r="R59498" s="64"/>
    </row>
    <row r="59499" spans="3:18" s="8" customFormat="1" x14ac:dyDescent="0.25">
      <c r="C59499" s="60"/>
      <c r="I59499" s="63"/>
      <c r="R59499" s="64"/>
    </row>
    <row r="59500" spans="3:18" s="8" customFormat="1" x14ac:dyDescent="0.25">
      <c r="C59500" s="60"/>
      <c r="I59500" s="63"/>
      <c r="R59500" s="64"/>
    </row>
    <row r="59501" spans="3:18" s="8" customFormat="1" x14ac:dyDescent="0.25">
      <c r="C59501" s="60"/>
      <c r="I59501" s="63"/>
      <c r="R59501" s="64"/>
    </row>
    <row r="59502" spans="3:18" s="8" customFormat="1" x14ac:dyDescent="0.25">
      <c r="C59502" s="60"/>
      <c r="I59502" s="63"/>
      <c r="R59502" s="64"/>
    </row>
    <row r="59503" spans="3:18" s="8" customFormat="1" x14ac:dyDescent="0.25">
      <c r="C59503" s="60"/>
      <c r="I59503" s="63"/>
      <c r="R59503" s="64"/>
    </row>
    <row r="59504" spans="3:18" s="8" customFormat="1" x14ac:dyDescent="0.25">
      <c r="C59504" s="60"/>
      <c r="I59504" s="63"/>
      <c r="R59504" s="64"/>
    </row>
    <row r="59505" spans="3:18" s="8" customFormat="1" x14ac:dyDescent="0.25">
      <c r="C59505" s="60"/>
      <c r="I59505" s="63"/>
      <c r="R59505" s="64"/>
    </row>
    <row r="59506" spans="3:18" s="8" customFormat="1" x14ac:dyDescent="0.25">
      <c r="C59506" s="60"/>
      <c r="I59506" s="63"/>
      <c r="R59506" s="64"/>
    </row>
    <row r="59507" spans="3:18" s="8" customFormat="1" x14ac:dyDescent="0.25">
      <c r="C59507" s="60"/>
      <c r="I59507" s="63"/>
      <c r="R59507" s="64"/>
    </row>
    <row r="59508" spans="3:18" s="8" customFormat="1" x14ac:dyDescent="0.25">
      <c r="C59508" s="60"/>
      <c r="I59508" s="63"/>
      <c r="R59508" s="64"/>
    </row>
    <row r="59509" spans="3:18" s="8" customFormat="1" x14ac:dyDescent="0.25">
      <c r="C59509" s="60"/>
      <c r="I59509" s="63"/>
      <c r="R59509" s="64"/>
    </row>
    <row r="59510" spans="3:18" s="8" customFormat="1" x14ac:dyDescent="0.25">
      <c r="C59510" s="60"/>
      <c r="I59510" s="63"/>
      <c r="R59510" s="64"/>
    </row>
    <row r="59511" spans="3:18" s="8" customFormat="1" x14ac:dyDescent="0.25">
      <c r="C59511" s="60"/>
      <c r="I59511" s="63"/>
      <c r="R59511" s="64"/>
    </row>
    <row r="59512" spans="3:18" s="8" customFormat="1" x14ac:dyDescent="0.25">
      <c r="C59512" s="60"/>
      <c r="I59512" s="63"/>
      <c r="R59512" s="64"/>
    </row>
    <row r="59513" spans="3:18" s="8" customFormat="1" x14ac:dyDescent="0.25">
      <c r="C59513" s="60"/>
      <c r="I59513" s="63"/>
      <c r="R59513" s="64"/>
    </row>
    <row r="59514" spans="3:18" s="8" customFormat="1" x14ac:dyDescent="0.25">
      <c r="C59514" s="60"/>
      <c r="I59514" s="63"/>
      <c r="R59514" s="64"/>
    </row>
    <row r="59515" spans="3:18" s="8" customFormat="1" x14ac:dyDescent="0.25">
      <c r="C59515" s="60"/>
      <c r="I59515" s="63"/>
      <c r="R59515" s="64"/>
    </row>
    <row r="59516" spans="3:18" s="8" customFormat="1" x14ac:dyDescent="0.25">
      <c r="C59516" s="60"/>
      <c r="I59516" s="63"/>
      <c r="R59516" s="64"/>
    </row>
    <row r="59517" spans="3:18" s="8" customFormat="1" x14ac:dyDescent="0.25">
      <c r="C59517" s="60"/>
      <c r="I59517" s="63"/>
      <c r="R59517" s="64"/>
    </row>
    <row r="59518" spans="3:18" s="8" customFormat="1" x14ac:dyDescent="0.25">
      <c r="C59518" s="60"/>
      <c r="I59518" s="63"/>
      <c r="R59518" s="64"/>
    </row>
    <row r="59519" spans="3:18" s="8" customFormat="1" x14ac:dyDescent="0.25">
      <c r="C59519" s="60"/>
      <c r="I59519" s="63"/>
      <c r="R59519" s="64"/>
    </row>
    <row r="59520" spans="3:18" s="8" customFormat="1" x14ac:dyDescent="0.25">
      <c r="C59520" s="60"/>
      <c r="I59520" s="63"/>
      <c r="R59520" s="64"/>
    </row>
    <row r="59521" spans="3:18" s="8" customFormat="1" x14ac:dyDescent="0.25">
      <c r="C59521" s="60"/>
      <c r="I59521" s="63"/>
      <c r="R59521" s="64"/>
    </row>
    <row r="59522" spans="3:18" s="8" customFormat="1" x14ac:dyDescent="0.25">
      <c r="C59522" s="60"/>
      <c r="I59522" s="63"/>
      <c r="R59522" s="64"/>
    </row>
    <row r="59523" spans="3:18" s="8" customFormat="1" x14ac:dyDescent="0.25">
      <c r="C59523" s="60"/>
      <c r="I59523" s="63"/>
      <c r="R59523" s="64"/>
    </row>
    <row r="59524" spans="3:18" s="8" customFormat="1" x14ac:dyDescent="0.25">
      <c r="C59524" s="60"/>
      <c r="I59524" s="63"/>
      <c r="R59524" s="64"/>
    </row>
    <row r="59525" spans="3:18" s="8" customFormat="1" x14ac:dyDescent="0.25">
      <c r="C59525" s="60"/>
      <c r="I59525" s="63"/>
      <c r="R59525" s="64"/>
    </row>
    <row r="59526" spans="3:18" s="8" customFormat="1" x14ac:dyDescent="0.25">
      <c r="C59526" s="60"/>
      <c r="I59526" s="63"/>
      <c r="R59526" s="64"/>
    </row>
    <row r="59527" spans="3:18" s="8" customFormat="1" x14ac:dyDescent="0.25">
      <c r="C59527" s="60"/>
      <c r="I59527" s="63"/>
      <c r="R59527" s="64"/>
    </row>
    <row r="59528" spans="3:18" s="8" customFormat="1" x14ac:dyDescent="0.25">
      <c r="C59528" s="60"/>
      <c r="I59528" s="63"/>
      <c r="R59528" s="64"/>
    </row>
    <row r="59529" spans="3:18" s="8" customFormat="1" x14ac:dyDescent="0.25">
      <c r="C59529" s="60"/>
      <c r="I59529" s="63"/>
      <c r="R59529" s="64"/>
    </row>
    <row r="59530" spans="3:18" s="8" customFormat="1" x14ac:dyDescent="0.25">
      <c r="C59530" s="60"/>
      <c r="I59530" s="63"/>
      <c r="R59530" s="64"/>
    </row>
    <row r="59531" spans="3:18" s="8" customFormat="1" x14ac:dyDescent="0.25">
      <c r="C59531" s="60"/>
      <c r="I59531" s="63"/>
      <c r="R59531" s="64"/>
    </row>
    <row r="59532" spans="3:18" s="8" customFormat="1" x14ac:dyDescent="0.25">
      <c r="C59532" s="60"/>
      <c r="I59532" s="63"/>
      <c r="R59532" s="64"/>
    </row>
    <row r="59533" spans="3:18" s="8" customFormat="1" x14ac:dyDescent="0.25">
      <c r="C59533" s="60"/>
      <c r="I59533" s="63"/>
      <c r="R59533" s="64"/>
    </row>
    <row r="59534" spans="3:18" s="8" customFormat="1" x14ac:dyDescent="0.25">
      <c r="C59534" s="60"/>
      <c r="I59534" s="63"/>
      <c r="R59534" s="64"/>
    </row>
    <row r="59535" spans="3:18" s="8" customFormat="1" x14ac:dyDescent="0.25">
      <c r="C59535" s="60"/>
      <c r="I59535" s="63"/>
      <c r="R59535" s="64"/>
    </row>
    <row r="59536" spans="3:18" s="8" customFormat="1" x14ac:dyDescent="0.25">
      <c r="C59536" s="60"/>
      <c r="I59536" s="63"/>
      <c r="R59536" s="64"/>
    </row>
    <row r="59537" spans="3:18" s="8" customFormat="1" x14ac:dyDescent="0.25">
      <c r="C59537" s="60"/>
      <c r="I59537" s="63"/>
      <c r="R59537" s="64"/>
    </row>
    <row r="59538" spans="3:18" s="8" customFormat="1" x14ac:dyDescent="0.25">
      <c r="C59538" s="60"/>
      <c r="I59538" s="63"/>
      <c r="R59538" s="64"/>
    </row>
    <row r="59539" spans="3:18" s="8" customFormat="1" x14ac:dyDescent="0.25">
      <c r="C59539" s="60"/>
      <c r="I59539" s="63"/>
      <c r="R59539" s="64"/>
    </row>
    <row r="59540" spans="3:18" s="8" customFormat="1" x14ac:dyDescent="0.25">
      <c r="C59540" s="60"/>
      <c r="I59540" s="63"/>
      <c r="R59540" s="64"/>
    </row>
    <row r="59541" spans="3:18" s="8" customFormat="1" x14ac:dyDescent="0.25">
      <c r="C59541" s="60"/>
      <c r="I59541" s="63"/>
      <c r="R59541" s="64"/>
    </row>
    <row r="59542" spans="3:18" s="8" customFormat="1" x14ac:dyDescent="0.25">
      <c r="C59542" s="60"/>
      <c r="I59542" s="63"/>
      <c r="R59542" s="64"/>
    </row>
    <row r="59543" spans="3:18" s="8" customFormat="1" x14ac:dyDescent="0.25">
      <c r="C59543" s="60"/>
      <c r="I59543" s="63"/>
      <c r="R59543" s="64"/>
    </row>
    <row r="59544" spans="3:18" s="8" customFormat="1" x14ac:dyDescent="0.25">
      <c r="C59544" s="60"/>
      <c r="I59544" s="63"/>
      <c r="R59544" s="64"/>
    </row>
    <row r="59545" spans="3:18" s="8" customFormat="1" x14ac:dyDescent="0.25">
      <c r="C59545" s="60"/>
      <c r="I59545" s="63"/>
      <c r="R59545" s="64"/>
    </row>
    <row r="59546" spans="3:18" s="8" customFormat="1" x14ac:dyDescent="0.25">
      <c r="C59546" s="60"/>
      <c r="I59546" s="63"/>
      <c r="R59546" s="64"/>
    </row>
    <row r="59547" spans="3:18" s="8" customFormat="1" x14ac:dyDescent="0.25">
      <c r="C59547" s="60"/>
      <c r="I59547" s="63"/>
      <c r="R59547" s="64"/>
    </row>
    <row r="59548" spans="3:18" s="8" customFormat="1" x14ac:dyDescent="0.25">
      <c r="C59548" s="60"/>
      <c r="I59548" s="63"/>
      <c r="R59548" s="64"/>
    </row>
    <row r="59549" spans="3:18" s="8" customFormat="1" x14ac:dyDescent="0.25">
      <c r="C59549" s="60"/>
      <c r="I59549" s="63"/>
      <c r="R59549" s="64"/>
    </row>
    <row r="59550" spans="3:18" s="8" customFormat="1" x14ac:dyDescent="0.25">
      <c r="C59550" s="60"/>
      <c r="I59550" s="63"/>
      <c r="R59550" s="64"/>
    </row>
    <row r="59551" spans="3:18" s="8" customFormat="1" x14ac:dyDescent="0.25">
      <c r="C59551" s="60"/>
      <c r="I59551" s="63"/>
      <c r="R59551" s="64"/>
    </row>
    <row r="59552" spans="3:18" s="8" customFormat="1" x14ac:dyDescent="0.25">
      <c r="C59552" s="60"/>
      <c r="I59552" s="63"/>
      <c r="R59552" s="64"/>
    </row>
    <row r="59553" spans="3:18" s="8" customFormat="1" x14ac:dyDescent="0.25">
      <c r="C59553" s="60"/>
      <c r="I59553" s="63"/>
      <c r="R59553" s="64"/>
    </row>
    <row r="59554" spans="3:18" s="8" customFormat="1" x14ac:dyDescent="0.25">
      <c r="C59554" s="60"/>
      <c r="I59554" s="63"/>
      <c r="R59554" s="64"/>
    </row>
    <row r="59555" spans="3:18" s="8" customFormat="1" x14ac:dyDescent="0.25">
      <c r="C59555" s="60"/>
      <c r="I59555" s="63"/>
      <c r="R59555" s="64"/>
    </row>
    <row r="59556" spans="3:18" s="8" customFormat="1" x14ac:dyDescent="0.25">
      <c r="C59556" s="60"/>
      <c r="I59556" s="63"/>
      <c r="R59556" s="64"/>
    </row>
    <row r="59557" spans="3:18" s="8" customFormat="1" x14ac:dyDescent="0.25">
      <c r="C59557" s="60"/>
      <c r="I59557" s="63"/>
      <c r="R59557" s="64"/>
    </row>
    <row r="59558" spans="3:18" s="8" customFormat="1" x14ac:dyDescent="0.25">
      <c r="C59558" s="60"/>
      <c r="I59558" s="63"/>
      <c r="R59558" s="64"/>
    </row>
    <row r="59559" spans="3:18" s="8" customFormat="1" x14ac:dyDescent="0.25">
      <c r="C59559" s="60"/>
      <c r="I59559" s="63"/>
      <c r="R59559" s="64"/>
    </row>
    <row r="59560" spans="3:18" s="8" customFormat="1" x14ac:dyDescent="0.25">
      <c r="C59560" s="60"/>
      <c r="I59560" s="63"/>
      <c r="R59560" s="64"/>
    </row>
    <row r="59561" spans="3:18" s="8" customFormat="1" x14ac:dyDescent="0.25">
      <c r="C59561" s="60"/>
      <c r="I59561" s="63"/>
      <c r="R59561" s="64"/>
    </row>
    <row r="59562" spans="3:18" s="8" customFormat="1" x14ac:dyDescent="0.25">
      <c r="C59562" s="60"/>
      <c r="I59562" s="63"/>
      <c r="R59562" s="64"/>
    </row>
    <row r="59563" spans="3:18" s="8" customFormat="1" x14ac:dyDescent="0.25">
      <c r="C59563" s="60"/>
      <c r="I59563" s="63"/>
      <c r="R59563" s="64"/>
    </row>
    <row r="59564" spans="3:18" s="8" customFormat="1" x14ac:dyDescent="0.25">
      <c r="C59564" s="60"/>
      <c r="I59564" s="63"/>
      <c r="R59564" s="64"/>
    </row>
    <row r="59565" spans="3:18" s="8" customFormat="1" x14ac:dyDescent="0.25">
      <c r="C59565" s="60"/>
      <c r="I59565" s="63"/>
      <c r="R59565" s="64"/>
    </row>
    <row r="59566" spans="3:18" s="8" customFormat="1" x14ac:dyDescent="0.25">
      <c r="C59566" s="60"/>
      <c r="I59566" s="63"/>
      <c r="R59566" s="64"/>
    </row>
    <row r="59567" spans="3:18" s="8" customFormat="1" x14ac:dyDescent="0.25">
      <c r="C59567" s="60"/>
      <c r="I59567" s="63"/>
      <c r="R59567" s="64"/>
    </row>
    <row r="59568" spans="3:18" s="8" customFormat="1" x14ac:dyDescent="0.25">
      <c r="C59568" s="60"/>
      <c r="I59568" s="63"/>
      <c r="R59568" s="64"/>
    </row>
    <row r="59569" spans="3:18" s="8" customFormat="1" x14ac:dyDescent="0.25">
      <c r="C59569" s="60"/>
      <c r="I59569" s="63"/>
      <c r="R59569" s="64"/>
    </row>
    <row r="59570" spans="3:18" s="8" customFormat="1" x14ac:dyDescent="0.25">
      <c r="C59570" s="60"/>
      <c r="I59570" s="63"/>
      <c r="R59570" s="64"/>
    </row>
    <row r="59571" spans="3:18" s="8" customFormat="1" x14ac:dyDescent="0.25">
      <c r="C59571" s="60"/>
      <c r="I59571" s="63"/>
      <c r="R59571" s="64"/>
    </row>
    <row r="59572" spans="3:18" s="8" customFormat="1" x14ac:dyDescent="0.25">
      <c r="C59572" s="60"/>
      <c r="I59572" s="63"/>
      <c r="R59572" s="64"/>
    </row>
    <row r="59573" spans="3:18" s="8" customFormat="1" x14ac:dyDescent="0.25">
      <c r="C59573" s="60"/>
      <c r="I59573" s="63"/>
      <c r="R59573" s="64"/>
    </row>
    <row r="59574" spans="3:18" s="8" customFormat="1" x14ac:dyDescent="0.25">
      <c r="C59574" s="60"/>
      <c r="I59574" s="63"/>
      <c r="R59574" s="64"/>
    </row>
    <row r="59575" spans="3:18" s="8" customFormat="1" x14ac:dyDescent="0.25">
      <c r="C59575" s="60"/>
      <c r="I59575" s="63"/>
      <c r="R59575" s="64"/>
    </row>
    <row r="59576" spans="3:18" s="8" customFormat="1" x14ac:dyDescent="0.25">
      <c r="C59576" s="60"/>
      <c r="I59576" s="63"/>
      <c r="R59576" s="64"/>
    </row>
    <row r="59577" spans="3:18" s="8" customFormat="1" x14ac:dyDescent="0.25">
      <c r="C59577" s="60"/>
      <c r="I59577" s="63"/>
      <c r="R59577" s="64"/>
    </row>
    <row r="59578" spans="3:18" s="8" customFormat="1" x14ac:dyDescent="0.25">
      <c r="C59578" s="60"/>
      <c r="I59578" s="63"/>
      <c r="R59578" s="64"/>
    </row>
    <row r="59579" spans="3:18" s="8" customFormat="1" x14ac:dyDescent="0.25">
      <c r="C59579" s="60"/>
      <c r="I59579" s="63"/>
      <c r="R59579" s="64"/>
    </row>
    <row r="59580" spans="3:18" s="8" customFormat="1" x14ac:dyDescent="0.25">
      <c r="C59580" s="60"/>
      <c r="I59580" s="63"/>
      <c r="R59580" s="64"/>
    </row>
    <row r="59581" spans="3:18" s="8" customFormat="1" x14ac:dyDescent="0.25">
      <c r="C59581" s="60"/>
      <c r="I59581" s="63"/>
      <c r="R59581" s="64"/>
    </row>
    <row r="59582" spans="3:18" s="8" customFormat="1" x14ac:dyDescent="0.25">
      <c r="C59582" s="60"/>
      <c r="I59582" s="63"/>
      <c r="R59582" s="64"/>
    </row>
    <row r="59583" spans="3:18" s="8" customFormat="1" x14ac:dyDescent="0.25">
      <c r="C59583" s="60"/>
      <c r="I59583" s="63"/>
      <c r="R59583" s="64"/>
    </row>
    <row r="59584" spans="3:18" s="8" customFormat="1" x14ac:dyDescent="0.25">
      <c r="C59584" s="60"/>
      <c r="I59584" s="63"/>
      <c r="R59584" s="64"/>
    </row>
    <row r="59585" spans="3:18" s="8" customFormat="1" x14ac:dyDescent="0.25">
      <c r="C59585" s="60"/>
      <c r="I59585" s="63"/>
      <c r="R59585" s="64"/>
    </row>
    <row r="59586" spans="3:18" s="8" customFormat="1" x14ac:dyDescent="0.25">
      <c r="C59586" s="60"/>
      <c r="I59586" s="63"/>
      <c r="R59586" s="64"/>
    </row>
    <row r="59587" spans="3:18" s="8" customFormat="1" x14ac:dyDescent="0.25">
      <c r="C59587" s="60"/>
      <c r="I59587" s="63"/>
      <c r="R59587" s="64"/>
    </row>
    <row r="59588" spans="3:18" s="8" customFormat="1" x14ac:dyDescent="0.25">
      <c r="C59588" s="60"/>
      <c r="I59588" s="63"/>
      <c r="R59588" s="64"/>
    </row>
    <row r="59589" spans="3:18" s="8" customFormat="1" x14ac:dyDescent="0.25">
      <c r="C59589" s="60"/>
      <c r="I59589" s="63"/>
      <c r="R59589" s="64"/>
    </row>
    <row r="59590" spans="3:18" s="8" customFormat="1" x14ac:dyDescent="0.25">
      <c r="C59590" s="60"/>
      <c r="I59590" s="63"/>
      <c r="R59590" s="64"/>
    </row>
    <row r="59591" spans="3:18" s="8" customFormat="1" x14ac:dyDescent="0.25">
      <c r="C59591" s="60"/>
      <c r="I59591" s="63"/>
      <c r="R59591" s="64"/>
    </row>
    <row r="59592" spans="3:18" s="8" customFormat="1" x14ac:dyDescent="0.25">
      <c r="C59592" s="60"/>
      <c r="I59592" s="63"/>
      <c r="R59592" s="64"/>
    </row>
    <row r="59593" spans="3:18" s="8" customFormat="1" x14ac:dyDescent="0.25">
      <c r="C59593" s="60"/>
      <c r="I59593" s="63"/>
      <c r="R59593" s="64"/>
    </row>
    <row r="59594" spans="3:18" s="8" customFormat="1" x14ac:dyDescent="0.25">
      <c r="C59594" s="60"/>
      <c r="I59594" s="63"/>
      <c r="R59594" s="64"/>
    </row>
    <row r="59595" spans="3:18" s="8" customFormat="1" x14ac:dyDescent="0.25">
      <c r="C59595" s="60"/>
      <c r="I59595" s="63"/>
      <c r="R59595" s="64"/>
    </row>
    <row r="59596" spans="3:18" s="8" customFormat="1" x14ac:dyDescent="0.25">
      <c r="C59596" s="60"/>
      <c r="I59596" s="63"/>
      <c r="R59596" s="64"/>
    </row>
    <row r="59597" spans="3:18" s="8" customFormat="1" x14ac:dyDescent="0.25">
      <c r="C59597" s="60"/>
      <c r="I59597" s="63"/>
      <c r="R59597" s="64"/>
    </row>
    <row r="59598" spans="3:18" s="8" customFormat="1" x14ac:dyDescent="0.25">
      <c r="C59598" s="60"/>
      <c r="I59598" s="63"/>
      <c r="R59598" s="64"/>
    </row>
    <row r="59599" spans="3:18" s="8" customFormat="1" x14ac:dyDescent="0.25">
      <c r="C59599" s="60"/>
      <c r="I59599" s="63"/>
      <c r="R59599" s="64"/>
    </row>
    <row r="59600" spans="3:18" s="8" customFormat="1" x14ac:dyDescent="0.25">
      <c r="C59600" s="60"/>
      <c r="I59600" s="63"/>
      <c r="R59600" s="64"/>
    </row>
    <row r="59601" spans="3:18" s="8" customFormat="1" x14ac:dyDescent="0.25">
      <c r="C59601" s="60"/>
      <c r="I59601" s="63"/>
      <c r="R59601" s="64"/>
    </row>
    <row r="59602" spans="3:18" s="8" customFormat="1" x14ac:dyDescent="0.25">
      <c r="C59602" s="60"/>
      <c r="I59602" s="63"/>
      <c r="R59602" s="64"/>
    </row>
    <row r="59603" spans="3:18" s="8" customFormat="1" x14ac:dyDescent="0.25">
      <c r="C59603" s="60"/>
      <c r="I59603" s="63"/>
      <c r="R59603" s="64"/>
    </row>
    <row r="59604" spans="3:18" s="8" customFormat="1" x14ac:dyDescent="0.25">
      <c r="C59604" s="60"/>
      <c r="I59604" s="63"/>
      <c r="R59604" s="64"/>
    </row>
    <row r="59605" spans="3:18" s="8" customFormat="1" x14ac:dyDescent="0.25">
      <c r="C59605" s="60"/>
      <c r="I59605" s="63"/>
      <c r="R59605" s="64"/>
    </row>
    <row r="59606" spans="3:18" s="8" customFormat="1" x14ac:dyDescent="0.25">
      <c r="C59606" s="60"/>
      <c r="I59606" s="63"/>
      <c r="R59606" s="64"/>
    </row>
    <row r="59607" spans="3:18" s="8" customFormat="1" x14ac:dyDescent="0.25">
      <c r="C59607" s="60"/>
      <c r="I59607" s="63"/>
      <c r="R59607" s="64"/>
    </row>
    <row r="59608" spans="3:18" s="8" customFormat="1" x14ac:dyDescent="0.25">
      <c r="C59608" s="60"/>
      <c r="I59608" s="63"/>
      <c r="R59608" s="64"/>
    </row>
    <row r="59609" spans="3:18" s="8" customFormat="1" x14ac:dyDescent="0.25">
      <c r="C59609" s="60"/>
      <c r="I59609" s="63"/>
      <c r="R59609" s="64"/>
    </row>
    <row r="59610" spans="3:18" s="8" customFormat="1" x14ac:dyDescent="0.25">
      <c r="C59610" s="60"/>
      <c r="I59610" s="63"/>
      <c r="R59610" s="64"/>
    </row>
    <row r="59611" spans="3:18" s="8" customFormat="1" x14ac:dyDescent="0.25">
      <c r="C59611" s="60"/>
      <c r="I59611" s="63"/>
      <c r="R59611" s="64"/>
    </row>
    <row r="59612" spans="3:18" s="8" customFormat="1" x14ac:dyDescent="0.25">
      <c r="C59612" s="60"/>
      <c r="I59612" s="63"/>
      <c r="R59612" s="64"/>
    </row>
    <row r="59613" spans="3:18" s="8" customFormat="1" x14ac:dyDescent="0.25">
      <c r="C59613" s="60"/>
      <c r="I59613" s="63"/>
      <c r="R59613" s="64"/>
    </row>
    <row r="59614" spans="3:18" s="8" customFormat="1" x14ac:dyDescent="0.25">
      <c r="C59614" s="60"/>
      <c r="I59614" s="63"/>
      <c r="R59614" s="64"/>
    </row>
    <row r="59615" spans="3:18" s="8" customFormat="1" x14ac:dyDescent="0.25">
      <c r="C59615" s="60"/>
      <c r="I59615" s="63"/>
      <c r="R59615" s="64"/>
    </row>
    <row r="59616" spans="3:18" s="8" customFormat="1" x14ac:dyDescent="0.25">
      <c r="C59616" s="60"/>
      <c r="I59616" s="63"/>
      <c r="R59616" s="64"/>
    </row>
    <row r="59617" spans="3:18" s="8" customFormat="1" x14ac:dyDescent="0.25">
      <c r="C59617" s="60"/>
      <c r="I59617" s="63"/>
      <c r="R59617" s="64"/>
    </row>
    <row r="59618" spans="3:18" s="8" customFormat="1" x14ac:dyDescent="0.25">
      <c r="C59618" s="60"/>
      <c r="I59618" s="63"/>
      <c r="R59618" s="64"/>
    </row>
    <row r="59619" spans="3:18" s="8" customFormat="1" x14ac:dyDescent="0.25">
      <c r="C59619" s="60"/>
      <c r="I59619" s="63"/>
      <c r="R59619" s="64"/>
    </row>
    <row r="59620" spans="3:18" s="8" customFormat="1" x14ac:dyDescent="0.25">
      <c r="C59620" s="60"/>
      <c r="I59620" s="63"/>
      <c r="R59620" s="64"/>
    </row>
    <row r="59621" spans="3:18" s="8" customFormat="1" x14ac:dyDescent="0.25">
      <c r="C59621" s="60"/>
      <c r="I59621" s="63"/>
      <c r="R59621" s="64"/>
    </row>
    <row r="59622" spans="3:18" s="8" customFormat="1" x14ac:dyDescent="0.25">
      <c r="C59622" s="60"/>
      <c r="I59622" s="63"/>
      <c r="R59622" s="64"/>
    </row>
    <row r="59623" spans="3:18" s="8" customFormat="1" x14ac:dyDescent="0.25">
      <c r="C59623" s="60"/>
      <c r="I59623" s="63"/>
      <c r="R59623" s="64"/>
    </row>
    <row r="59624" spans="3:18" s="8" customFormat="1" x14ac:dyDescent="0.25">
      <c r="C59624" s="60"/>
      <c r="I59624" s="63"/>
      <c r="R59624" s="64"/>
    </row>
    <row r="59625" spans="3:18" s="8" customFormat="1" x14ac:dyDescent="0.25">
      <c r="C59625" s="60"/>
      <c r="I59625" s="63"/>
      <c r="R59625" s="64"/>
    </row>
    <row r="59626" spans="3:18" s="8" customFormat="1" x14ac:dyDescent="0.25">
      <c r="C59626" s="60"/>
      <c r="I59626" s="63"/>
      <c r="R59626" s="64"/>
    </row>
    <row r="59627" spans="3:18" s="8" customFormat="1" x14ac:dyDescent="0.25">
      <c r="C59627" s="60"/>
      <c r="I59627" s="63"/>
      <c r="R59627" s="64"/>
    </row>
    <row r="59628" spans="3:18" s="8" customFormat="1" x14ac:dyDescent="0.25">
      <c r="C59628" s="60"/>
      <c r="I59628" s="63"/>
      <c r="R59628" s="64"/>
    </row>
    <row r="59629" spans="3:18" s="8" customFormat="1" x14ac:dyDescent="0.25">
      <c r="C59629" s="60"/>
      <c r="I59629" s="63"/>
      <c r="R59629" s="64"/>
    </row>
    <row r="59630" spans="3:18" s="8" customFormat="1" x14ac:dyDescent="0.25">
      <c r="C59630" s="60"/>
      <c r="I59630" s="63"/>
      <c r="R59630" s="64"/>
    </row>
    <row r="59631" spans="3:18" s="8" customFormat="1" x14ac:dyDescent="0.25">
      <c r="C59631" s="60"/>
      <c r="I59631" s="63"/>
      <c r="R59631" s="64"/>
    </row>
    <row r="59632" spans="3:18" s="8" customFormat="1" x14ac:dyDescent="0.25">
      <c r="C59632" s="60"/>
      <c r="I59632" s="63"/>
      <c r="R59632" s="64"/>
    </row>
    <row r="59633" spans="3:18" s="8" customFormat="1" x14ac:dyDescent="0.25">
      <c r="C59633" s="60"/>
      <c r="I59633" s="63"/>
      <c r="R59633" s="64"/>
    </row>
    <row r="59634" spans="3:18" s="8" customFormat="1" x14ac:dyDescent="0.25">
      <c r="C59634" s="60"/>
      <c r="I59634" s="63"/>
      <c r="R59634" s="64"/>
    </row>
    <row r="59635" spans="3:18" s="8" customFormat="1" x14ac:dyDescent="0.25">
      <c r="C59635" s="60"/>
      <c r="I59635" s="63"/>
      <c r="R59635" s="64"/>
    </row>
    <row r="59636" spans="3:18" s="8" customFormat="1" x14ac:dyDescent="0.25">
      <c r="C59636" s="60"/>
      <c r="I59636" s="63"/>
      <c r="R59636" s="64"/>
    </row>
    <row r="59637" spans="3:18" s="8" customFormat="1" x14ac:dyDescent="0.25">
      <c r="C59637" s="60"/>
      <c r="I59637" s="63"/>
      <c r="R59637" s="64"/>
    </row>
    <row r="59638" spans="3:18" s="8" customFormat="1" x14ac:dyDescent="0.25">
      <c r="C59638" s="60"/>
      <c r="I59638" s="63"/>
      <c r="R59638" s="64"/>
    </row>
    <row r="59639" spans="3:18" s="8" customFormat="1" x14ac:dyDescent="0.25">
      <c r="C59639" s="60"/>
      <c r="I59639" s="63"/>
      <c r="R59639" s="64"/>
    </row>
    <row r="59640" spans="3:18" s="8" customFormat="1" x14ac:dyDescent="0.25">
      <c r="C59640" s="60"/>
      <c r="I59640" s="63"/>
      <c r="R59640" s="64"/>
    </row>
    <row r="59641" spans="3:18" s="8" customFormat="1" x14ac:dyDescent="0.25">
      <c r="C59641" s="60"/>
      <c r="I59641" s="63"/>
      <c r="R59641" s="64"/>
    </row>
    <row r="59642" spans="3:18" s="8" customFormat="1" x14ac:dyDescent="0.25">
      <c r="C59642" s="60"/>
      <c r="I59642" s="63"/>
      <c r="R59642" s="64"/>
    </row>
    <row r="59643" spans="3:18" s="8" customFormat="1" x14ac:dyDescent="0.25">
      <c r="C59643" s="60"/>
      <c r="I59643" s="63"/>
      <c r="R59643" s="64"/>
    </row>
    <row r="59644" spans="3:18" s="8" customFormat="1" x14ac:dyDescent="0.25">
      <c r="C59644" s="60"/>
      <c r="I59644" s="63"/>
      <c r="R59644" s="64"/>
    </row>
    <row r="59645" spans="3:18" s="8" customFormat="1" x14ac:dyDescent="0.25">
      <c r="C59645" s="60"/>
      <c r="I59645" s="63"/>
      <c r="R59645" s="64"/>
    </row>
    <row r="59646" spans="3:18" s="8" customFormat="1" x14ac:dyDescent="0.25">
      <c r="C59646" s="60"/>
      <c r="I59646" s="63"/>
      <c r="R59646" s="64"/>
    </row>
    <row r="59647" spans="3:18" s="8" customFormat="1" x14ac:dyDescent="0.25">
      <c r="C59647" s="60"/>
      <c r="I59647" s="63"/>
      <c r="R59647" s="64"/>
    </row>
    <row r="59648" spans="3:18" s="8" customFormat="1" x14ac:dyDescent="0.25">
      <c r="C59648" s="60"/>
      <c r="I59648" s="63"/>
      <c r="R59648" s="64"/>
    </row>
    <row r="59649" spans="3:18" s="8" customFormat="1" x14ac:dyDescent="0.25">
      <c r="C59649" s="60"/>
      <c r="I59649" s="63"/>
      <c r="R59649" s="64"/>
    </row>
    <row r="59650" spans="3:18" s="8" customFormat="1" x14ac:dyDescent="0.25">
      <c r="C59650" s="60"/>
      <c r="I59650" s="63"/>
      <c r="R59650" s="64"/>
    </row>
    <row r="59651" spans="3:18" s="8" customFormat="1" x14ac:dyDescent="0.25">
      <c r="C59651" s="60"/>
      <c r="I59651" s="63"/>
      <c r="R59651" s="64"/>
    </row>
    <row r="59652" spans="3:18" s="8" customFormat="1" x14ac:dyDescent="0.25">
      <c r="C59652" s="60"/>
      <c r="I59652" s="63"/>
      <c r="R59652" s="64"/>
    </row>
    <row r="59653" spans="3:18" s="8" customFormat="1" x14ac:dyDescent="0.25">
      <c r="C59653" s="60"/>
      <c r="I59653" s="63"/>
      <c r="R59653" s="64"/>
    </row>
    <row r="59654" spans="3:18" s="8" customFormat="1" x14ac:dyDescent="0.25">
      <c r="C59654" s="60"/>
      <c r="I59654" s="63"/>
      <c r="R59654" s="64"/>
    </row>
    <row r="59655" spans="3:18" s="8" customFormat="1" x14ac:dyDescent="0.25">
      <c r="C59655" s="60"/>
      <c r="I59655" s="63"/>
      <c r="R59655" s="64"/>
    </row>
    <row r="59656" spans="3:18" s="8" customFormat="1" x14ac:dyDescent="0.25">
      <c r="C59656" s="60"/>
      <c r="I59656" s="63"/>
      <c r="R59656" s="64"/>
    </row>
    <row r="59657" spans="3:18" s="8" customFormat="1" x14ac:dyDescent="0.25">
      <c r="C59657" s="60"/>
      <c r="I59657" s="63"/>
      <c r="R59657" s="64"/>
    </row>
    <row r="59658" spans="3:18" s="8" customFormat="1" x14ac:dyDescent="0.25">
      <c r="C59658" s="60"/>
      <c r="I59658" s="63"/>
      <c r="R59658" s="64"/>
    </row>
    <row r="59659" spans="3:18" s="8" customFormat="1" x14ac:dyDescent="0.25">
      <c r="C59659" s="60"/>
      <c r="I59659" s="63"/>
      <c r="R59659" s="64"/>
    </row>
    <row r="59660" spans="3:18" s="8" customFormat="1" x14ac:dyDescent="0.25">
      <c r="C59660" s="60"/>
      <c r="I59660" s="63"/>
      <c r="R59660" s="64"/>
    </row>
    <row r="59661" spans="3:18" s="8" customFormat="1" x14ac:dyDescent="0.25">
      <c r="C59661" s="60"/>
      <c r="I59661" s="63"/>
      <c r="R59661" s="64"/>
    </row>
    <row r="59662" spans="3:18" s="8" customFormat="1" x14ac:dyDescent="0.25">
      <c r="C59662" s="60"/>
      <c r="I59662" s="63"/>
      <c r="R59662" s="64"/>
    </row>
    <row r="59663" spans="3:18" s="8" customFormat="1" x14ac:dyDescent="0.25">
      <c r="C59663" s="60"/>
      <c r="I59663" s="63"/>
      <c r="R59663" s="64"/>
    </row>
    <row r="59664" spans="3:18" s="8" customFormat="1" x14ac:dyDescent="0.25">
      <c r="C59664" s="60"/>
      <c r="I59664" s="63"/>
      <c r="R59664" s="64"/>
    </row>
    <row r="59665" spans="3:18" s="8" customFormat="1" x14ac:dyDescent="0.25">
      <c r="C59665" s="60"/>
      <c r="I59665" s="63"/>
      <c r="R59665" s="64"/>
    </row>
    <row r="59666" spans="3:18" s="8" customFormat="1" x14ac:dyDescent="0.25">
      <c r="C59666" s="60"/>
      <c r="I59666" s="63"/>
      <c r="R59666" s="64"/>
    </row>
    <row r="59667" spans="3:18" s="8" customFormat="1" x14ac:dyDescent="0.25">
      <c r="C59667" s="60"/>
      <c r="I59667" s="63"/>
      <c r="R59667" s="64"/>
    </row>
    <row r="59668" spans="3:18" s="8" customFormat="1" x14ac:dyDescent="0.25">
      <c r="C59668" s="60"/>
      <c r="I59668" s="63"/>
      <c r="R59668" s="64"/>
    </row>
    <row r="59669" spans="3:18" s="8" customFormat="1" x14ac:dyDescent="0.25">
      <c r="C59669" s="60"/>
      <c r="I59669" s="63"/>
      <c r="R59669" s="64"/>
    </row>
    <row r="59670" spans="3:18" s="8" customFormat="1" x14ac:dyDescent="0.25">
      <c r="C59670" s="60"/>
      <c r="I59670" s="63"/>
      <c r="R59670" s="64"/>
    </row>
    <row r="59671" spans="3:18" s="8" customFormat="1" x14ac:dyDescent="0.25">
      <c r="C59671" s="60"/>
      <c r="I59671" s="63"/>
      <c r="R59671" s="64"/>
    </row>
    <row r="59672" spans="3:18" s="8" customFormat="1" x14ac:dyDescent="0.25">
      <c r="C59672" s="60"/>
      <c r="I59672" s="63"/>
      <c r="R59672" s="64"/>
    </row>
    <row r="59673" spans="3:18" s="8" customFormat="1" x14ac:dyDescent="0.25">
      <c r="C59673" s="60"/>
      <c r="I59673" s="63"/>
      <c r="R59673" s="64"/>
    </row>
    <row r="59674" spans="3:18" s="8" customFormat="1" x14ac:dyDescent="0.25">
      <c r="C59674" s="60"/>
      <c r="I59674" s="63"/>
      <c r="R59674" s="64"/>
    </row>
    <row r="59675" spans="3:18" s="8" customFormat="1" x14ac:dyDescent="0.25">
      <c r="C59675" s="60"/>
      <c r="I59675" s="63"/>
      <c r="R59675" s="64"/>
    </row>
    <row r="59676" spans="3:18" s="8" customFormat="1" x14ac:dyDescent="0.25">
      <c r="C59676" s="60"/>
      <c r="I59676" s="63"/>
      <c r="R59676" s="64"/>
    </row>
    <row r="59677" spans="3:18" s="8" customFormat="1" x14ac:dyDescent="0.25">
      <c r="C59677" s="60"/>
      <c r="I59677" s="63"/>
      <c r="R59677" s="64"/>
    </row>
    <row r="59678" spans="3:18" s="8" customFormat="1" x14ac:dyDescent="0.25">
      <c r="C59678" s="60"/>
      <c r="I59678" s="63"/>
      <c r="R59678" s="64"/>
    </row>
    <row r="59679" spans="3:18" s="8" customFormat="1" x14ac:dyDescent="0.25">
      <c r="C59679" s="60"/>
      <c r="I59679" s="63"/>
      <c r="R59679" s="64"/>
    </row>
    <row r="59680" spans="3:18" s="8" customFormat="1" x14ac:dyDescent="0.25">
      <c r="C59680" s="60"/>
      <c r="I59680" s="63"/>
      <c r="R59680" s="64"/>
    </row>
    <row r="59681" spans="3:18" s="8" customFormat="1" x14ac:dyDescent="0.25">
      <c r="C59681" s="60"/>
      <c r="I59681" s="63"/>
      <c r="R59681" s="64"/>
    </row>
    <row r="59682" spans="3:18" s="8" customFormat="1" x14ac:dyDescent="0.25">
      <c r="C59682" s="60"/>
      <c r="I59682" s="63"/>
      <c r="R59682" s="64"/>
    </row>
    <row r="59683" spans="3:18" s="8" customFormat="1" x14ac:dyDescent="0.25">
      <c r="C59683" s="60"/>
      <c r="I59683" s="63"/>
      <c r="R59683" s="64"/>
    </row>
    <row r="59684" spans="3:18" s="8" customFormat="1" x14ac:dyDescent="0.25">
      <c r="C59684" s="60"/>
      <c r="I59684" s="63"/>
      <c r="R59684" s="64"/>
    </row>
    <row r="59685" spans="3:18" s="8" customFormat="1" x14ac:dyDescent="0.25">
      <c r="C59685" s="60"/>
      <c r="I59685" s="63"/>
      <c r="R59685" s="64"/>
    </row>
    <row r="59686" spans="3:18" s="8" customFormat="1" x14ac:dyDescent="0.25">
      <c r="C59686" s="60"/>
      <c r="I59686" s="63"/>
      <c r="R59686" s="64"/>
    </row>
    <row r="59687" spans="3:18" s="8" customFormat="1" x14ac:dyDescent="0.25">
      <c r="C59687" s="60"/>
      <c r="I59687" s="63"/>
      <c r="R59687" s="64"/>
    </row>
    <row r="59688" spans="3:18" s="8" customFormat="1" x14ac:dyDescent="0.25">
      <c r="C59688" s="60"/>
      <c r="I59688" s="63"/>
      <c r="R59688" s="64"/>
    </row>
    <row r="59689" spans="3:18" s="8" customFormat="1" x14ac:dyDescent="0.25">
      <c r="C59689" s="60"/>
      <c r="I59689" s="63"/>
      <c r="R59689" s="64"/>
    </row>
    <row r="59690" spans="3:18" s="8" customFormat="1" x14ac:dyDescent="0.25">
      <c r="C59690" s="60"/>
      <c r="I59690" s="63"/>
      <c r="R59690" s="64"/>
    </row>
    <row r="59691" spans="3:18" s="8" customFormat="1" x14ac:dyDescent="0.25">
      <c r="C59691" s="60"/>
      <c r="I59691" s="63"/>
      <c r="R59691" s="64"/>
    </row>
    <row r="59692" spans="3:18" s="8" customFormat="1" x14ac:dyDescent="0.25">
      <c r="C59692" s="60"/>
      <c r="I59692" s="63"/>
      <c r="R59692" s="64"/>
    </row>
    <row r="59693" spans="3:18" s="8" customFormat="1" x14ac:dyDescent="0.25">
      <c r="C59693" s="60"/>
      <c r="I59693" s="63"/>
      <c r="R59693" s="64"/>
    </row>
    <row r="59694" spans="3:18" s="8" customFormat="1" x14ac:dyDescent="0.25">
      <c r="C59694" s="60"/>
      <c r="I59694" s="63"/>
      <c r="R59694" s="64"/>
    </row>
    <row r="59695" spans="3:18" s="8" customFormat="1" x14ac:dyDescent="0.25">
      <c r="C59695" s="60"/>
      <c r="I59695" s="63"/>
      <c r="R59695" s="64"/>
    </row>
    <row r="59696" spans="3:18" s="8" customFormat="1" x14ac:dyDescent="0.25">
      <c r="C59696" s="60"/>
      <c r="I59696" s="63"/>
      <c r="R59696" s="64"/>
    </row>
    <row r="59697" spans="3:18" s="8" customFormat="1" x14ac:dyDescent="0.25">
      <c r="C59697" s="60"/>
      <c r="I59697" s="63"/>
      <c r="R59697" s="64"/>
    </row>
    <row r="59698" spans="3:18" s="8" customFormat="1" x14ac:dyDescent="0.25">
      <c r="C59698" s="60"/>
      <c r="I59698" s="63"/>
      <c r="R59698" s="64"/>
    </row>
    <row r="59699" spans="3:18" s="8" customFormat="1" x14ac:dyDescent="0.25">
      <c r="C59699" s="60"/>
      <c r="I59699" s="63"/>
      <c r="R59699" s="64"/>
    </row>
    <row r="59700" spans="3:18" s="8" customFormat="1" x14ac:dyDescent="0.25">
      <c r="C59700" s="60"/>
      <c r="I59700" s="63"/>
      <c r="R59700" s="64"/>
    </row>
    <row r="59701" spans="3:18" s="8" customFormat="1" x14ac:dyDescent="0.25">
      <c r="C59701" s="60"/>
      <c r="I59701" s="63"/>
      <c r="R59701" s="64"/>
    </row>
    <row r="59702" spans="3:18" s="8" customFormat="1" x14ac:dyDescent="0.25">
      <c r="C59702" s="60"/>
      <c r="I59702" s="63"/>
      <c r="R59702" s="64"/>
    </row>
    <row r="59703" spans="3:18" s="8" customFormat="1" x14ac:dyDescent="0.25">
      <c r="C59703" s="60"/>
      <c r="I59703" s="63"/>
      <c r="R59703" s="64"/>
    </row>
    <row r="59704" spans="3:18" s="8" customFormat="1" x14ac:dyDescent="0.25">
      <c r="C59704" s="60"/>
      <c r="I59704" s="63"/>
      <c r="R59704" s="64"/>
    </row>
    <row r="59705" spans="3:18" s="8" customFormat="1" x14ac:dyDescent="0.25">
      <c r="C59705" s="60"/>
      <c r="I59705" s="63"/>
      <c r="R59705" s="64"/>
    </row>
    <row r="59706" spans="3:18" s="8" customFormat="1" x14ac:dyDescent="0.25">
      <c r="C59706" s="60"/>
      <c r="I59706" s="63"/>
      <c r="R59706" s="64"/>
    </row>
    <row r="59707" spans="3:18" s="8" customFormat="1" x14ac:dyDescent="0.25">
      <c r="C59707" s="60"/>
      <c r="I59707" s="63"/>
      <c r="R59707" s="64"/>
    </row>
    <row r="59708" spans="3:18" s="8" customFormat="1" x14ac:dyDescent="0.25">
      <c r="C59708" s="60"/>
      <c r="I59708" s="63"/>
      <c r="R59708" s="64"/>
    </row>
    <row r="59709" spans="3:18" s="8" customFormat="1" x14ac:dyDescent="0.25">
      <c r="C59709" s="60"/>
      <c r="I59709" s="63"/>
      <c r="R59709" s="64"/>
    </row>
    <row r="59710" spans="3:18" s="8" customFormat="1" x14ac:dyDescent="0.25">
      <c r="C59710" s="60"/>
      <c r="I59710" s="63"/>
      <c r="R59710" s="64"/>
    </row>
    <row r="59711" spans="3:18" s="8" customFormat="1" x14ac:dyDescent="0.25">
      <c r="C59711" s="60"/>
      <c r="I59711" s="63"/>
      <c r="R59711" s="64"/>
    </row>
    <row r="59712" spans="3:18" s="8" customFormat="1" x14ac:dyDescent="0.25">
      <c r="C59712" s="60"/>
      <c r="I59712" s="63"/>
      <c r="R59712" s="64"/>
    </row>
    <row r="59713" spans="3:18" s="8" customFormat="1" x14ac:dyDescent="0.25">
      <c r="C59713" s="60"/>
      <c r="I59713" s="63"/>
      <c r="R59713" s="64"/>
    </row>
    <row r="59714" spans="3:18" s="8" customFormat="1" x14ac:dyDescent="0.25">
      <c r="C59714" s="60"/>
      <c r="I59714" s="63"/>
      <c r="R59714" s="64"/>
    </row>
    <row r="59715" spans="3:18" s="8" customFormat="1" x14ac:dyDescent="0.25">
      <c r="C59715" s="60"/>
      <c r="I59715" s="63"/>
      <c r="R59715" s="64"/>
    </row>
    <row r="59716" spans="3:18" s="8" customFormat="1" x14ac:dyDescent="0.25">
      <c r="C59716" s="60"/>
      <c r="I59716" s="63"/>
      <c r="R59716" s="64"/>
    </row>
    <row r="59717" spans="3:18" s="8" customFormat="1" x14ac:dyDescent="0.25">
      <c r="C59717" s="60"/>
      <c r="I59717" s="63"/>
      <c r="R59717" s="64"/>
    </row>
    <row r="59718" spans="3:18" s="8" customFormat="1" x14ac:dyDescent="0.25">
      <c r="C59718" s="60"/>
      <c r="I59718" s="63"/>
      <c r="R59718" s="64"/>
    </row>
    <row r="59719" spans="3:18" s="8" customFormat="1" x14ac:dyDescent="0.25">
      <c r="C59719" s="60"/>
      <c r="I59719" s="63"/>
      <c r="R59719" s="64"/>
    </row>
    <row r="59720" spans="3:18" s="8" customFormat="1" x14ac:dyDescent="0.25">
      <c r="C59720" s="60"/>
      <c r="I59720" s="63"/>
      <c r="R59720" s="64"/>
    </row>
    <row r="59721" spans="3:18" s="8" customFormat="1" x14ac:dyDescent="0.25">
      <c r="C59721" s="60"/>
      <c r="I59721" s="63"/>
      <c r="R59721" s="64"/>
    </row>
    <row r="59722" spans="3:18" s="8" customFormat="1" x14ac:dyDescent="0.25">
      <c r="C59722" s="60"/>
      <c r="I59722" s="63"/>
      <c r="R59722" s="64"/>
    </row>
    <row r="59723" spans="3:18" s="8" customFormat="1" x14ac:dyDescent="0.25">
      <c r="C59723" s="60"/>
      <c r="I59723" s="63"/>
      <c r="R59723" s="64"/>
    </row>
    <row r="59724" spans="3:18" s="8" customFormat="1" x14ac:dyDescent="0.25">
      <c r="C59724" s="60"/>
      <c r="I59724" s="63"/>
      <c r="R59724" s="64"/>
    </row>
    <row r="59725" spans="3:18" s="8" customFormat="1" x14ac:dyDescent="0.25">
      <c r="C59725" s="60"/>
      <c r="I59725" s="63"/>
      <c r="R59725" s="64"/>
    </row>
    <row r="59726" spans="3:18" s="8" customFormat="1" x14ac:dyDescent="0.25">
      <c r="C59726" s="60"/>
      <c r="I59726" s="63"/>
      <c r="R59726" s="64"/>
    </row>
    <row r="59727" spans="3:18" s="8" customFormat="1" x14ac:dyDescent="0.25">
      <c r="C59727" s="60"/>
      <c r="I59727" s="63"/>
      <c r="R59727" s="64"/>
    </row>
    <row r="59728" spans="3:18" s="8" customFormat="1" x14ac:dyDescent="0.25">
      <c r="C59728" s="60"/>
      <c r="I59728" s="63"/>
      <c r="R59728" s="64"/>
    </row>
    <row r="59729" spans="3:18" s="8" customFormat="1" x14ac:dyDescent="0.25">
      <c r="C59729" s="60"/>
      <c r="I59729" s="63"/>
      <c r="R59729" s="64"/>
    </row>
    <row r="59730" spans="3:18" s="8" customFormat="1" x14ac:dyDescent="0.25">
      <c r="C59730" s="60"/>
      <c r="I59730" s="63"/>
      <c r="R59730" s="64"/>
    </row>
    <row r="59731" spans="3:18" s="8" customFormat="1" x14ac:dyDescent="0.25">
      <c r="C59731" s="60"/>
      <c r="I59731" s="63"/>
      <c r="R59731" s="64"/>
    </row>
    <row r="59732" spans="3:18" s="8" customFormat="1" x14ac:dyDescent="0.25">
      <c r="C59732" s="60"/>
      <c r="I59732" s="63"/>
      <c r="R59732" s="64"/>
    </row>
    <row r="59733" spans="3:18" s="8" customFormat="1" x14ac:dyDescent="0.25">
      <c r="C59733" s="60"/>
      <c r="I59733" s="63"/>
      <c r="R59733" s="64"/>
    </row>
    <row r="59734" spans="3:18" s="8" customFormat="1" x14ac:dyDescent="0.25">
      <c r="C59734" s="60"/>
      <c r="I59734" s="63"/>
      <c r="R59734" s="64"/>
    </row>
    <row r="59735" spans="3:18" s="8" customFormat="1" x14ac:dyDescent="0.25">
      <c r="C59735" s="60"/>
      <c r="I59735" s="63"/>
      <c r="R59735" s="64"/>
    </row>
    <row r="59736" spans="3:18" s="8" customFormat="1" x14ac:dyDescent="0.25">
      <c r="C59736" s="60"/>
      <c r="I59736" s="63"/>
      <c r="R59736" s="64"/>
    </row>
    <row r="59737" spans="3:18" s="8" customFormat="1" x14ac:dyDescent="0.25">
      <c r="C59737" s="60"/>
      <c r="I59737" s="63"/>
      <c r="R59737" s="64"/>
    </row>
    <row r="59738" spans="3:18" s="8" customFormat="1" x14ac:dyDescent="0.25">
      <c r="C59738" s="60"/>
      <c r="I59738" s="63"/>
      <c r="R59738" s="64"/>
    </row>
    <row r="59739" spans="3:18" s="8" customFormat="1" x14ac:dyDescent="0.25">
      <c r="C59739" s="60"/>
      <c r="I59739" s="63"/>
      <c r="R59739" s="64"/>
    </row>
    <row r="59740" spans="3:18" s="8" customFormat="1" x14ac:dyDescent="0.25">
      <c r="C59740" s="60"/>
      <c r="I59740" s="63"/>
      <c r="R59740" s="64"/>
    </row>
    <row r="59741" spans="3:18" s="8" customFormat="1" x14ac:dyDescent="0.25">
      <c r="C59741" s="60"/>
      <c r="I59741" s="63"/>
      <c r="R59741" s="64"/>
    </row>
    <row r="59742" spans="3:18" s="8" customFormat="1" x14ac:dyDescent="0.25">
      <c r="C59742" s="60"/>
      <c r="I59742" s="63"/>
      <c r="R59742" s="64"/>
    </row>
    <row r="59743" spans="3:18" s="8" customFormat="1" x14ac:dyDescent="0.25">
      <c r="C59743" s="60"/>
      <c r="I59743" s="63"/>
      <c r="R59743" s="64"/>
    </row>
    <row r="59744" spans="3:18" s="8" customFormat="1" x14ac:dyDescent="0.25">
      <c r="C59744" s="60"/>
      <c r="I59744" s="63"/>
      <c r="R59744" s="64"/>
    </row>
    <row r="59745" spans="3:18" s="8" customFormat="1" x14ac:dyDescent="0.25">
      <c r="C59745" s="60"/>
      <c r="I59745" s="63"/>
      <c r="R59745" s="64"/>
    </row>
    <row r="59746" spans="3:18" s="8" customFormat="1" x14ac:dyDescent="0.25">
      <c r="C59746" s="60"/>
      <c r="I59746" s="63"/>
      <c r="R59746" s="64"/>
    </row>
    <row r="59747" spans="3:18" s="8" customFormat="1" x14ac:dyDescent="0.25">
      <c r="C59747" s="60"/>
      <c r="I59747" s="63"/>
      <c r="R59747" s="64"/>
    </row>
    <row r="59748" spans="3:18" s="8" customFormat="1" x14ac:dyDescent="0.25">
      <c r="C59748" s="60"/>
      <c r="I59748" s="63"/>
      <c r="R59748" s="64"/>
    </row>
    <row r="59749" spans="3:18" s="8" customFormat="1" x14ac:dyDescent="0.25">
      <c r="C59749" s="60"/>
      <c r="I59749" s="63"/>
      <c r="R59749" s="64"/>
    </row>
    <row r="59750" spans="3:18" s="8" customFormat="1" x14ac:dyDescent="0.25">
      <c r="C59750" s="60"/>
      <c r="I59750" s="63"/>
      <c r="R59750" s="64"/>
    </row>
    <row r="59751" spans="3:18" s="8" customFormat="1" x14ac:dyDescent="0.25">
      <c r="C59751" s="60"/>
      <c r="I59751" s="63"/>
      <c r="R59751" s="64"/>
    </row>
    <row r="59752" spans="3:18" s="8" customFormat="1" x14ac:dyDescent="0.25">
      <c r="C59752" s="60"/>
      <c r="I59752" s="63"/>
      <c r="R59752" s="64"/>
    </row>
    <row r="59753" spans="3:18" s="8" customFormat="1" x14ac:dyDescent="0.25">
      <c r="C59753" s="60"/>
      <c r="I59753" s="63"/>
      <c r="R59753" s="64"/>
    </row>
    <row r="59754" spans="3:18" s="8" customFormat="1" x14ac:dyDescent="0.25">
      <c r="C59754" s="60"/>
      <c r="I59754" s="63"/>
      <c r="R59754" s="64"/>
    </row>
    <row r="59755" spans="3:18" s="8" customFormat="1" x14ac:dyDescent="0.25">
      <c r="C59755" s="60"/>
      <c r="I59755" s="63"/>
      <c r="R59755" s="64"/>
    </row>
    <row r="59756" spans="3:18" s="8" customFormat="1" x14ac:dyDescent="0.25">
      <c r="C59756" s="60"/>
      <c r="I59756" s="63"/>
      <c r="R59756" s="64"/>
    </row>
    <row r="59757" spans="3:18" s="8" customFormat="1" x14ac:dyDescent="0.25">
      <c r="C59757" s="60"/>
      <c r="I59757" s="63"/>
      <c r="R59757" s="64"/>
    </row>
    <row r="59758" spans="3:18" s="8" customFormat="1" x14ac:dyDescent="0.25">
      <c r="C59758" s="60"/>
      <c r="I59758" s="63"/>
      <c r="R59758" s="64"/>
    </row>
    <row r="59759" spans="3:18" s="8" customFormat="1" x14ac:dyDescent="0.25">
      <c r="C59759" s="60"/>
      <c r="I59759" s="63"/>
      <c r="R59759" s="64"/>
    </row>
    <row r="59760" spans="3:18" s="8" customFormat="1" x14ac:dyDescent="0.25">
      <c r="C59760" s="60"/>
      <c r="I59760" s="63"/>
      <c r="R59760" s="64"/>
    </row>
    <row r="59761" spans="3:18" s="8" customFormat="1" x14ac:dyDescent="0.25">
      <c r="C59761" s="60"/>
      <c r="I59761" s="63"/>
      <c r="R59761" s="64"/>
    </row>
    <row r="59762" spans="3:18" s="8" customFormat="1" x14ac:dyDescent="0.25">
      <c r="C59762" s="60"/>
      <c r="I59762" s="63"/>
      <c r="R59762" s="64"/>
    </row>
    <row r="59763" spans="3:18" s="8" customFormat="1" x14ac:dyDescent="0.25">
      <c r="C59763" s="60"/>
      <c r="I59763" s="63"/>
      <c r="R59763" s="64"/>
    </row>
    <row r="59764" spans="3:18" s="8" customFormat="1" x14ac:dyDescent="0.25">
      <c r="C59764" s="60"/>
      <c r="I59764" s="63"/>
      <c r="R59764" s="64"/>
    </row>
    <row r="59765" spans="3:18" s="8" customFormat="1" x14ac:dyDescent="0.25">
      <c r="C59765" s="60"/>
      <c r="I59765" s="63"/>
      <c r="R59765" s="64"/>
    </row>
    <row r="59766" spans="3:18" s="8" customFormat="1" x14ac:dyDescent="0.25">
      <c r="C59766" s="60"/>
      <c r="I59766" s="63"/>
      <c r="R59766" s="64"/>
    </row>
    <row r="59767" spans="3:18" s="8" customFormat="1" x14ac:dyDescent="0.25">
      <c r="C59767" s="60"/>
      <c r="I59767" s="63"/>
      <c r="R59767" s="64"/>
    </row>
    <row r="59768" spans="3:18" s="8" customFormat="1" x14ac:dyDescent="0.25">
      <c r="C59768" s="60"/>
      <c r="I59768" s="63"/>
      <c r="R59768" s="64"/>
    </row>
    <row r="59769" spans="3:18" s="8" customFormat="1" x14ac:dyDescent="0.25">
      <c r="C59769" s="60"/>
      <c r="I59769" s="63"/>
      <c r="R59769" s="64"/>
    </row>
    <row r="59770" spans="3:18" s="8" customFormat="1" x14ac:dyDescent="0.25">
      <c r="C59770" s="60"/>
      <c r="I59770" s="63"/>
      <c r="R59770" s="64"/>
    </row>
    <row r="59771" spans="3:18" s="8" customFormat="1" x14ac:dyDescent="0.25">
      <c r="C59771" s="60"/>
      <c r="I59771" s="63"/>
      <c r="R59771" s="64"/>
    </row>
    <row r="59772" spans="3:18" s="8" customFormat="1" x14ac:dyDescent="0.25">
      <c r="C59772" s="60"/>
      <c r="I59772" s="63"/>
      <c r="R59772" s="64"/>
    </row>
    <row r="59773" spans="3:18" s="8" customFormat="1" x14ac:dyDescent="0.25">
      <c r="C59773" s="60"/>
      <c r="I59773" s="63"/>
      <c r="R59773" s="64"/>
    </row>
    <row r="59774" spans="3:18" s="8" customFormat="1" x14ac:dyDescent="0.25">
      <c r="C59774" s="60"/>
      <c r="I59774" s="63"/>
      <c r="R59774" s="64"/>
    </row>
    <row r="59775" spans="3:18" s="8" customFormat="1" x14ac:dyDescent="0.25">
      <c r="C59775" s="60"/>
      <c r="I59775" s="63"/>
      <c r="R59775" s="64"/>
    </row>
    <row r="59776" spans="3:18" s="8" customFormat="1" x14ac:dyDescent="0.25">
      <c r="C59776" s="60"/>
      <c r="I59776" s="63"/>
      <c r="R59776" s="64"/>
    </row>
    <row r="59777" spans="3:18" s="8" customFormat="1" x14ac:dyDescent="0.25">
      <c r="C59777" s="60"/>
      <c r="I59777" s="63"/>
      <c r="R59777" s="64"/>
    </row>
    <row r="59778" spans="3:18" s="8" customFormat="1" x14ac:dyDescent="0.25">
      <c r="C59778" s="60"/>
      <c r="I59778" s="63"/>
      <c r="R59778" s="64"/>
    </row>
    <row r="59779" spans="3:18" s="8" customFormat="1" x14ac:dyDescent="0.25">
      <c r="C59779" s="60"/>
      <c r="I59779" s="63"/>
      <c r="R59779" s="64"/>
    </row>
    <row r="59780" spans="3:18" s="8" customFormat="1" x14ac:dyDescent="0.25">
      <c r="C59780" s="60"/>
      <c r="I59780" s="63"/>
      <c r="R59780" s="64"/>
    </row>
    <row r="59781" spans="3:18" s="8" customFormat="1" x14ac:dyDescent="0.25">
      <c r="C59781" s="60"/>
      <c r="I59781" s="63"/>
      <c r="R59781" s="64"/>
    </row>
    <row r="59782" spans="3:18" s="8" customFormat="1" x14ac:dyDescent="0.25">
      <c r="C59782" s="60"/>
      <c r="I59782" s="63"/>
      <c r="R59782" s="64"/>
    </row>
    <row r="59783" spans="3:18" s="8" customFormat="1" x14ac:dyDescent="0.25">
      <c r="C59783" s="60"/>
      <c r="I59783" s="63"/>
      <c r="R59783" s="64"/>
    </row>
    <row r="59784" spans="3:18" s="8" customFormat="1" x14ac:dyDescent="0.25">
      <c r="C59784" s="60"/>
      <c r="I59784" s="63"/>
      <c r="R59784" s="64"/>
    </row>
    <row r="59785" spans="3:18" s="8" customFormat="1" x14ac:dyDescent="0.25">
      <c r="C59785" s="60"/>
      <c r="I59785" s="63"/>
      <c r="R59785" s="64"/>
    </row>
    <row r="59786" spans="3:18" s="8" customFormat="1" x14ac:dyDescent="0.25">
      <c r="C59786" s="60"/>
      <c r="I59786" s="63"/>
      <c r="R59786" s="64"/>
    </row>
    <row r="59787" spans="3:18" s="8" customFormat="1" x14ac:dyDescent="0.25">
      <c r="C59787" s="60"/>
      <c r="I59787" s="63"/>
      <c r="R59787" s="64"/>
    </row>
    <row r="59788" spans="3:18" s="8" customFormat="1" x14ac:dyDescent="0.25">
      <c r="C59788" s="60"/>
      <c r="I59788" s="63"/>
      <c r="R59788" s="64"/>
    </row>
    <row r="59789" spans="3:18" s="8" customFormat="1" x14ac:dyDescent="0.25">
      <c r="C59789" s="60"/>
      <c r="I59789" s="63"/>
      <c r="R59789" s="64"/>
    </row>
    <row r="59790" spans="3:18" s="8" customFormat="1" x14ac:dyDescent="0.25">
      <c r="C59790" s="60"/>
      <c r="I59790" s="63"/>
      <c r="R59790" s="64"/>
    </row>
    <row r="59791" spans="3:18" s="8" customFormat="1" x14ac:dyDescent="0.25">
      <c r="C59791" s="60"/>
      <c r="I59791" s="63"/>
      <c r="R59791" s="64"/>
    </row>
    <row r="59792" spans="3:18" s="8" customFormat="1" x14ac:dyDescent="0.25">
      <c r="C59792" s="60"/>
      <c r="I59792" s="63"/>
      <c r="R59792" s="64"/>
    </row>
    <row r="59793" spans="3:18" s="8" customFormat="1" x14ac:dyDescent="0.25">
      <c r="C59793" s="60"/>
      <c r="I59793" s="63"/>
      <c r="R59793" s="64"/>
    </row>
    <row r="59794" spans="3:18" s="8" customFormat="1" x14ac:dyDescent="0.25">
      <c r="C59794" s="60"/>
      <c r="I59794" s="63"/>
      <c r="R59794" s="64"/>
    </row>
    <row r="59795" spans="3:18" s="8" customFormat="1" x14ac:dyDescent="0.25">
      <c r="C59795" s="60"/>
      <c r="I59795" s="63"/>
      <c r="R59795" s="64"/>
    </row>
    <row r="59796" spans="3:18" s="8" customFormat="1" x14ac:dyDescent="0.25">
      <c r="C59796" s="60"/>
      <c r="I59796" s="63"/>
      <c r="R59796" s="64"/>
    </row>
    <row r="59797" spans="3:18" s="8" customFormat="1" x14ac:dyDescent="0.25">
      <c r="C59797" s="60"/>
      <c r="I59797" s="63"/>
      <c r="R59797" s="64"/>
    </row>
    <row r="59798" spans="3:18" s="8" customFormat="1" x14ac:dyDescent="0.25">
      <c r="C59798" s="60"/>
      <c r="I59798" s="63"/>
      <c r="R59798" s="64"/>
    </row>
    <row r="59799" spans="3:18" s="8" customFormat="1" x14ac:dyDescent="0.25">
      <c r="C59799" s="60"/>
      <c r="I59799" s="63"/>
      <c r="R59799" s="64"/>
    </row>
    <row r="59800" spans="3:18" s="8" customFormat="1" x14ac:dyDescent="0.25">
      <c r="C59800" s="60"/>
      <c r="I59800" s="63"/>
      <c r="R59800" s="64"/>
    </row>
    <row r="59801" spans="3:18" s="8" customFormat="1" x14ac:dyDescent="0.25">
      <c r="C59801" s="60"/>
      <c r="I59801" s="63"/>
      <c r="R59801" s="64"/>
    </row>
    <row r="59802" spans="3:18" s="8" customFormat="1" x14ac:dyDescent="0.25">
      <c r="C59802" s="60"/>
      <c r="I59802" s="63"/>
      <c r="R59802" s="64"/>
    </row>
    <row r="59803" spans="3:18" s="8" customFormat="1" x14ac:dyDescent="0.25">
      <c r="C59803" s="60"/>
      <c r="I59803" s="63"/>
      <c r="R59803" s="64"/>
    </row>
    <row r="59804" spans="3:18" s="8" customFormat="1" x14ac:dyDescent="0.25">
      <c r="C59804" s="60"/>
      <c r="I59804" s="63"/>
      <c r="R59804" s="64"/>
    </row>
    <row r="59805" spans="3:18" s="8" customFormat="1" x14ac:dyDescent="0.25">
      <c r="C59805" s="60"/>
      <c r="I59805" s="63"/>
      <c r="R59805" s="64"/>
    </row>
    <row r="59806" spans="3:18" s="8" customFormat="1" x14ac:dyDescent="0.25">
      <c r="C59806" s="60"/>
      <c r="I59806" s="63"/>
      <c r="R59806" s="64"/>
    </row>
    <row r="59807" spans="3:18" s="8" customFormat="1" x14ac:dyDescent="0.25">
      <c r="C59807" s="60"/>
      <c r="I59807" s="63"/>
      <c r="R59807" s="64"/>
    </row>
    <row r="59808" spans="3:18" s="8" customFormat="1" x14ac:dyDescent="0.25">
      <c r="C59808" s="60"/>
      <c r="I59808" s="63"/>
      <c r="R59808" s="64"/>
    </row>
    <row r="59809" spans="3:18" s="8" customFormat="1" x14ac:dyDescent="0.25">
      <c r="C59809" s="60"/>
      <c r="I59809" s="63"/>
      <c r="R59809" s="64"/>
    </row>
    <row r="59810" spans="3:18" s="8" customFormat="1" x14ac:dyDescent="0.25">
      <c r="C59810" s="60"/>
      <c r="I59810" s="63"/>
      <c r="R59810" s="64"/>
    </row>
    <row r="59811" spans="3:18" s="8" customFormat="1" x14ac:dyDescent="0.25">
      <c r="C59811" s="60"/>
      <c r="I59811" s="63"/>
      <c r="R59811" s="64"/>
    </row>
    <row r="59812" spans="3:18" s="8" customFormat="1" x14ac:dyDescent="0.25">
      <c r="C59812" s="60"/>
      <c r="I59812" s="63"/>
      <c r="R59812" s="64"/>
    </row>
    <row r="59813" spans="3:18" s="8" customFormat="1" x14ac:dyDescent="0.25">
      <c r="C59813" s="60"/>
      <c r="I59813" s="63"/>
      <c r="R59813" s="64"/>
    </row>
    <row r="59814" spans="3:18" s="8" customFormat="1" x14ac:dyDescent="0.25">
      <c r="C59814" s="60"/>
      <c r="I59814" s="63"/>
      <c r="R59814" s="64"/>
    </row>
    <row r="59815" spans="3:18" s="8" customFormat="1" x14ac:dyDescent="0.25">
      <c r="C59815" s="60"/>
      <c r="I59815" s="63"/>
      <c r="R59815" s="64"/>
    </row>
    <row r="59816" spans="3:18" s="8" customFormat="1" x14ac:dyDescent="0.25">
      <c r="C59816" s="60"/>
      <c r="I59816" s="63"/>
      <c r="R59816" s="64"/>
    </row>
    <row r="59817" spans="3:18" s="8" customFormat="1" x14ac:dyDescent="0.25">
      <c r="C59817" s="60"/>
      <c r="I59817" s="63"/>
      <c r="R59817" s="64"/>
    </row>
    <row r="59818" spans="3:18" s="8" customFormat="1" x14ac:dyDescent="0.25">
      <c r="C59818" s="60"/>
      <c r="I59818" s="63"/>
      <c r="R59818" s="64"/>
    </row>
    <row r="59819" spans="3:18" s="8" customFormat="1" x14ac:dyDescent="0.25">
      <c r="C59819" s="60"/>
      <c r="I59819" s="63"/>
      <c r="R59819" s="64"/>
    </row>
    <row r="59820" spans="3:18" s="8" customFormat="1" x14ac:dyDescent="0.25">
      <c r="C59820" s="60"/>
      <c r="I59820" s="63"/>
      <c r="R59820" s="64"/>
    </row>
    <row r="59821" spans="3:18" s="8" customFormat="1" x14ac:dyDescent="0.25">
      <c r="C59821" s="60"/>
      <c r="I59821" s="63"/>
      <c r="R59821" s="64"/>
    </row>
    <row r="59822" spans="3:18" s="8" customFormat="1" x14ac:dyDescent="0.25">
      <c r="C59822" s="60"/>
      <c r="I59822" s="63"/>
      <c r="R59822" s="64"/>
    </row>
    <row r="59823" spans="3:18" s="8" customFormat="1" x14ac:dyDescent="0.25">
      <c r="C59823" s="60"/>
      <c r="I59823" s="63"/>
      <c r="R59823" s="64"/>
    </row>
    <row r="59824" spans="3:18" s="8" customFormat="1" x14ac:dyDescent="0.25">
      <c r="C59824" s="60"/>
      <c r="I59824" s="63"/>
      <c r="R59824" s="64"/>
    </row>
    <row r="59825" spans="3:18" s="8" customFormat="1" x14ac:dyDescent="0.25">
      <c r="C59825" s="60"/>
      <c r="I59825" s="63"/>
      <c r="R59825" s="64"/>
    </row>
    <row r="59826" spans="3:18" s="8" customFormat="1" x14ac:dyDescent="0.25">
      <c r="C59826" s="60"/>
      <c r="I59826" s="63"/>
      <c r="R59826" s="64"/>
    </row>
    <row r="59827" spans="3:18" s="8" customFormat="1" x14ac:dyDescent="0.25">
      <c r="C59827" s="60"/>
      <c r="I59827" s="63"/>
      <c r="R59827" s="64"/>
    </row>
    <row r="59828" spans="3:18" s="8" customFormat="1" x14ac:dyDescent="0.25">
      <c r="C59828" s="60"/>
      <c r="I59828" s="63"/>
      <c r="R59828" s="64"/>
    </row>
    <row r="59829" spans="3:18" s="8" customFormat="1" x14ac:dyDescent="0.25">
      <c r="C59829" s="60"/>
      <c r="I59829" s="63"/>
      <c r="R59829" s="64"/>
    </row>
    <row r="59830" spans="3:18" s="8" customFormat="1" x14ac:dyDescent="0.25">
      <c r="C59830" s="60"/>
      <c r="I59830" s="63"/>
      <c r="R59830" s="64"/>
    </row>
    <row r="59831" spans="3:18" s="8" customFormat="1" x14ac:dyDescent="0.25">
      <c r="C59831" s="60"/>
      <c r="I59831" s="63"/>
      <c r="R59831" s="64"/>
    </row>
    <row r="59832" spans="3:18" s="8" customFormat="1" x14ac:dyDescent="0.25">
      <c r="C59832" s="60"/>
      <c r="I59832" s="63"/>
      <c r="R59832" s="64"/>
    </row>
    <row r="59833" spans="3:18" s="8" customFormat="1" x14ac:dyDescent="0.25">
      <c r="C59833" s="60"/>
      <c r="I59833" s="63"/>
      <c r="R59833" s="64"/>
    </row>
    <row r="59834" spans="3:18" s="8" customFormat="1" x14ac:dyDescent="0.25">
      <c r="C59834" s="60"/>
      <c r="I59834" s="63"/>
      <c r="R59834" s="64"/>
    </row>
    <row r="59835" spans="3:18" s="8" customFormat="1" x14ac:dyDescent="0.25">
      <c r="C59835" s="60"/>
      <c r="I59835" s="63"/>
      <c r="R59835" s="64"/>
    </row>
    <row r="59836" spans="3:18" s="8" customFormat="1" x14ac:dyDescent="0.25">
      <c r="C59836" s="60"/>
      <c r="I59836" s="63"/>
      <c r="R59836" s="64"/>
    </row>
    <row r="59837" spans="3:18" s="8" customFormat="1" x14ac:dyDescent="0.25">
      <c r="C59837" s="60"/>
      <c r="I59837" s="63"/>
      <c r="R59837" s="64"/>
    </row>
    <row r="59838" spans="3:18" s="8" customFormat="1" x14ac:dyDescent="0.25">
      <c r="C59838" s="60"/>
      <c r="I59838" s="63"/>
      <c r="R59838" s="64"/>
    </row>
    <row r="59839" spans="3:18" s="8" customFormat="1" x14ac:dyDescent="0.25">
      <c r="C59839" s="60"/>
      <c r="I59839" s="63"/>
      <c r="R59839" s="64"/>
    </row>
    <row r="59840" spans="3:18" s="8" customFormat="1" x14ac:dyDescent="0.25">
      <c r="C59840" s="60"/>
      <c r="I59840" s="63"/>
      <c r="R59840" s="64"/>
    </row>
    <row r="59841" spans="3:18" s="8" customFormat="1" x14ac:dyDescent="0.25">
      <c r="C59841" s="60"/>
      <c r="I59841" s="63"/>
      <c r="R59841" s="64"/>
    </row>
    <row r="59842" spans="3:18" s="8" customFormat="1" x14ac:dyDescent="0.25">
      <c r="C59842" s="60"/>
      <c r="I59842" s="63"/>
      <c r="R59842" s="64"/>
    </row>
    <row r="59843" spans="3:18" s="8" customFormat="1" x14ac:dyDescent="0.25">
      <c r="C59843" s="60"/>
      <c r="I59843" s="63"/>
      <c r="R59843" s="64"/>
    </row>
    <row r="59844" spans="3:18" s="8" customFormat="1" x14ac:dyDescent="0.25">
      <c r="C59844" s="60"/>
      <c r="I59844" s="63"/>
      <c r="R59844" s="64"/>
    </row>
    <row r="59845" spans="3:18" s="8" customFormat="1" x14ac:dyDescent="0.25">
      <c r="C59845" s="60"/>
      <c r="I59845" s="63"/>
      <c r="R59845" s="64"/>
    </row>
    <row r="59846" spans="3:18" s="8" customFormat="1" x14ac:dyDescent="0.25">
      <c r="C59846" s="60"/>
      <c r="I59846" s="63"/>
      <c r="R59846" s="64"/>
    </row>
    <row r="59847" spans="3:18" s="8" customFormat="1" x14ac:dyDescent="0.25">
      <c r="C59847" s="60"/>
      <c r="I59847" s="63"/>
      <c r="R59847" s="64"/>
    </row>
    <row r="59848" spans="3:18" s="8" customFormat="1" x14ac:dyDescent="0.25">
      <c r="C59848" s="60"/>
      <c r="I59848" s="63"/>
      <c r="R59848" s="64"/>
    </row>
    <row r="59849" spans="3:18" s="8" customFormat="1" x14ac:dyDescent="0.25">
      <c r="C59849" s="60"/>
      <c r="I59849" s="63"/>
      <c r="R59849" s="64"/>
    </row>
    <row r="59850" spans="3:18" s="8" customFormat="1" x14ac:dyDescent="0.25">
      <c r="C59850" s="60"/>
      <c r="I59850" s="63"/>
      <c r="R59850" s="64"/>
    </row>
    <row r="59851" spans="3:18" s="8" customFormat="1" x14ac:dyDescent="0.25">
      <c r="C59851" s="60"/>
      <c r="I59851" s="63"/>
      <c r="R59851" s="64"/>
    </row>
    <row r="59852" spans="3:18" s="8" customFormat="1" x14ac:dyDescent="0.25">
      <c r="C59852" s="60"/>
      <c r="I59852" s="63"/>
      <c r="R59852" s="64"/>
    </row>
    <row r="59853" spans="3:18" s="8" customFormat="1" x14ac:dyDescent="0.25">
      <c r="C59853" s="60"/>
      <c r="I59853" s="63"/>
      <c r="R59853" s="64"/>
    </row>
    <row r="59854" spans="3:18" s="8" customFormat="1" x14ac:dyDescent="0.25">
      <c r="C59854" s="60"/>
      <c r="I59854" s="63"/>
      <c r="R59854" s="64"/>
    </row>
    <row r="59855" spans="3:18" s="8" customFormat="1" x14ac:dyDescent="0.25">
      <c r="C59855" s="60"/>
      <c r="I59855" s="63"/>
      <c r="R59855" s="64"/>
    </row>
    <row r="59856" spans="3:18" s="8" customFormat="1" x14ac:dyDescent="0.25">
      <c r="C59856" s="60"/>
      <c r="I59856" s="63"/>
      <c r="R59856" s="64"/>
    </row>
    <row r="59857" spans="3:18" s="8" customFormat="1" x14ac:dyDescent="0.25">
      <c r="C59857" s="60"/>
      <c r="I59857" s="63"/>
      <c r="R59857" s="64"/>
    </row>
    <row r="59858" spans="3:18" s="8" customFormat="1" x14ac:dyDescent="0.25">
      <c r="C59858" s="60"/>
      <c r="I59858" s="63"/>
      <c r="R59858" s="64"/>
    </row>
    <row r="59859" spans="3:18" s="8" customFormat="1" x14ac:dyDescent="0.25">
      <c r="C59859" s="60"/>
      <c r="I59859" s="63"/>
      <c r="R59859" s="64"/>
    </row>
    <row r="59860" spans="3:18" s="8" customFormat="1" x14ac:dyDescent="0.25">
      <c r="C59860" s="60"/>
      <c r="I59860" s="63"/>
      <c r="R59860" s="64"/>
    </row>
    <row r="59861" spans="3:18" s="8" customFormat="1" x14ac:dyDescent="0.25">
      <c r="C59861" s="60"/>
      <c r="I59861" s="63"/>
      <c r="R59861" s="64"/>
    </row>
    <row r="59862" spans="3:18" s="8" customFormat="1" x14ac:dyDescent="0.25">
      <c r="C59862" s="60"/>
      <c r="I59862" s="63"/>
      <c r="R59862" s="64"/>
    </row>
    <row r="59863" spans="3:18" s="8" customFormat="1" x14ac:dyDescent="0.25">
      <c r="C59863" s="60"/>
      <c r="I59863" s="63"/>
      <c r="R59863" s="64"/>
    </row>
    <row r="59864" spans="3:18" s="8" customFormat="1" x14ac:dyDescent="0.25">
      <c r="C59864" s="60"/>
      <c r="I59864" s="63"/>
      <c r="R59864" s="64"/>
    </row>
    <row r="59865" spans="3:18" s="8" customFormat="1" x14ac:dyDescent="0.25">
      <c r="C59865" s="60"/>
      <c r="I59865" s="63"/>
      <c r="R59865" s="64"/>
    </row>
    <row r="59866" spans="3:18" s="8" customFormat="1" x14ac:dyDescent="0.25">
      <c r="C59866" s="60"/>
      <c r="I59866" s="63"/>
      <c r="R59866" s="64"/>
    </row>
    <row r="59867" spans="3:18" s="8" customFormat="1" x14ac:dyDescent="0.25">
      <c r="C59867" s="60"/>
      <c r="I59867" s="63"/>
      <c r="R59867" s="64"/>
    </row>
    <row r="59868" spans="3:18" s="8" customFormat="1" x14ac:dyDescent="0.25">
      <c r="C59868" s="60"/>
      <c r="I59868" s="63"/>
      <c r="R59868" s="64"/>
    </row>
    <row r="59869" spans="3:18" s="8" customFormat="1" x14ac:dyDescent="0.25">
      <c r="C59869" s="60"/>
      <c r="I59869" s="63"/>
      <c r="R59869" s="64"/>
    </row>
    <row r="59870" spans="3:18" s="8" customFormat="1" x14ac:dyDescent="0.25">
      <c r="C59870" s="60"/>
      <c r="I59870" s="63"/>
      <c r="R59870" s="64"/>
    </row>
    <row r="59871" spans="3:18" s="8" customFormat="1" x14ac:dyDescent="0.25">
      <c r="C59871" s="60"/>
      <c r="I59871" s="63"/>
      <c r="R59871" s="64"/>
    </row>
    <row r="59872" spans="3:18" s="8" customFormat="1" x14ac:dyDescent="0.25">
      <c r="C59872" s="60"/>
      <c r="I59872" s="63"/>
      <c r="R59872" s="64"/>
    </row>
    <row r="59873" spans="3:18" s="8" customFormat="1" x14ac:dyDescent="0.25">
      <c r="C59873" s="60"/>
      <c r="I59873" s="63"/>
      <c r="R59873" s="64"/>
    </row>
    <row r="59874" spans="3:18" s="8" customFormat="1" x14ac:dyDescent="0.25">
      <c r="C59874" s="60"/>
      <c r="I59874" s="63"/>
      <c r="R59874" s="64"/>
    </row>
    <row r="59875" spans="3:18" s="8" customFormat="1" x14ac:dyDescent="0.25">
      <c r="C59875" s="60"/>
      <c r="I59875" s="63"/>
      <c r="R59875" s="64"/>
    </row>
    <row r="59876" spans="3:18" s="8" customFormat="1" x14ac:dyDescent="0.25">
      <c r="C59876" s="60"/>
      <c r="I59876" s="63"/>
      <c r="R59876" s="64"/>
    </row>
    <row r="59877" spans="3:18" s="8" customFormat="1" x14ac:dyDescent="0.25">
      <c r="C59877" s="60"/>
      <c r="I59877" s="63"/>
      <c r="R59877" s="64"/>
    </row>
    <row r="59878" spans="3:18" s="8" customFormat="1" x14ac:dyDescent="0.25">
      <c r="C59878" s="60"/>
      <c r="I59878" s="63"/>
      <c r="R59878" s="64"/>
    </row>
    <row r="59879" spans="3:18" s="8" customFormat="1" x14ac:dyDescent="0.25">
      <c r="C59879" s="60"/>
      <c r="I59879" s="63"/>
      <c r="R59879" s="64"/>
    </row>
    <row r="59880" spans="3:18" s="8" customFormat="1" x14ac:dyDescent="0.25">
      <c r="C59880" s="60"/>
      <c r="I59880" s="63"/>
      <c r="R59880" s="64"/>
    </row>
    <row r="59881" spans="3:18" s="8" customFormat="1" x14ac:dyDescent="0.25">
      <c r="C59881" s="60"/>
      <c r="I59881" s="63"/>
      <c r="R59881" s="64"/>
    </row>
    <row r="59882" spans="3:18" s="8" customFormat="1" x14ac:dyDescent="0.25">
      <c r="C59882" s="60"/>
      <c r="I59882" s="63"/>
      <c r="R59882" s="64"/>
    </row>
    <row r="59883" spans="3:18" s="8" customFormat="1" x14ac:dyDescent="0.25">
      <c r="C59883" s="60"/>
      <c r="I59883" s="63"/>
      <c r="R59883" s="64"/>
    </row>
    <row r="59884" spans="3:18" s="8" customFormat="1" x14ac:dyDescent="0.25">
      <c r="C59884" s="60"/>
      <c r="I59884" s="63"/>
      <c r="R59884" s="64"/>
    </row>
    <row r="59885" spans="3:18" s="8" customFormat="1" x14ac:dyDescent="0.25">
      <c r="C59885" s="60"/>
      <c r="I59885" s="63"/>
      <c r="R59885" s="64"/>
    </row>
    <row r="59886" spans="3:18" s="8" customFormat="1" x14ac:dyDescent="0.25">
      <c r="C59886" s="60"/>
      <c r="I59886" s="63"/>
      <c r="R59886" s="64"/>
    </row>
    <row r="59887" spans="3:18" s="8" customFormat="1" x14ac:dyDescent="0.25">
      <c r="C59887" s="60"/>
      <c r="I59887" s="63"/>
      <c r="R59887" s="64"/>
    </row>
    <row r="59888" spans="3:18" s="8" customFormat="1" x14ac:dyDescent="0.25">
      <c r="C59888" s="60"/>
      <c r="I59888" s="63"/>
      <c r="R59888" s="64"/>
    </row>
    <row r="59889" spans="3:18" s="8" customFormat="1" x14ac:dyDescent="0.25">
      <c r="C59889" s="60"/>
      <c r="I59889" s="63"/>
      <c r="R59889" s="64"/>
    </row>
    <row r="59890" spans="3:18" s="8" customFormat="1" x14ac:dyDescent="0.25">
      <c r="C59890" s="60"/>
      <c r="I59890" s="63"/>
      <c r="R59890" s="64"/>
    </row>
    <row r="59891" spans="3:18" s="8" customFormat="1" x14ac:dyDescent="0.25">
      <c r="C59891" s="60"/>
      <c r="I59891" s="63"/>
      <c r="R59891" s="64"/>
    </row>
    <row r="59892" spans="3:18" s="8" customFormat="1" x14ac:dyDescent="0.25">
      <c r="C59892" s="60"/>
      <c r="I59892" s="63"/>
      <c r="R59892" s="64"/>
    </row>
    <row r="59893" spans="3:18" s="8" customFormat="1" x14ac:dyDescent="0.25">
      <c r="C59893" s="60"/>
      <c r="I59893" s="63"/>
      <c r="R59893" s="64"/>
    </row>
    <row r="59894" spans="3:18" s="8" customFormat="1" x14ac:dyDescent="0.25">
      <c r="C59894" s="60"/>
      <c r="I59894" s="63"/>
      <c r="R59894" s="64"/>
    </row>
    <row r="59895" spans="3:18" s="8" customFormat="1" x14ac:dyDescent="0.25">
      <c r="C59895" s="60"/>
      <c r="I59895" s="63"/>
      <c r="R59895" s="64"/>
    </row>
    <row r="59896" spans="3:18" s="8" customFormat="1" x14ac:dyDescent="0.25">
      <c r="C59896" s="60"/>
      <c r="I59896" s="63"/>
      <c r="R59896" s="64"/>
    </row>
    <row r="59897" spans="3:18" s="8" customFormat="1" x14ac:dyDescent="0.25">
      <c r="C59897" s="60"/>
      <c r="I59897" s="63"/>
      <c r="R59897" s="64"/>
    </row>
    <row r="59898" spans="3:18" s="8" customFormat="1" x14ac:dyDescent="0.25">
      <c r="C59898" s="60"/>
      <c r="I59898" s="63"/>
      <c r="R59898" s="64"/>
    </row>
    <row r="59899" spans="3:18" s="8" customFormat="1" x14ac:dyDescent="0.25">
      <c r="C59899" s="60"/>
      <c r="I59899" s="63"/>
      <c r="R59899" s="64"/>
    </row>
    <row r="59900" spans="3:18" s="8" customFormat="1" x14ac:dyDescent="0.25">
      <c r="C59900" s="60"/>
      <c r="I59900" s="63"/>
      <c r="R59900" s="64"/>
    </row>
    <row r="59901" spans="3:18" s="8" customFormat="1" x14ac:dyDescent="0.25">
      <c r="C59901" s="60"/>
      <c r="I59901" s="63"/>
      <c r="R59901" s="64"/>
    </row>
    <row r="59902" spans="3:18" s="8" customFormat="1" x14ac:dyDescent="0.25">
      <c r="C59902" s="60"/>
      <c r="I59902" s="63"/>
      <c r="R59902" s="64"/>
    </row>
    <row r="59903" spans="3:18" s="8" customFormat="1" x14ac:dyDescent="0.25">
      <c r="C59903" s="60"/>
      <c r="I59903" s="63"/>
      <c r="R59903" s="64"/>
    </row>
    <row r="59904" spans="3:18" s="8" customFormat="1" x14ac:dyDescent="0.25">
      <c r="C59904" s="60"/>
      <c r="I59904" s="63"/>
      <c r="R59904" s="64"/>
    </row>
    <row r="59905" spans="3:18" s="8" customFormat="1" x14ac:dyDescent="0.25">
      <c r="C59905" s="60"/>
      <c r="I59905" s="63"/>
      <c r="R59905" s="64"/>
    </row>
    <row r="59906" spans="3:18" s="8" customFormat="1" x14ac:dyDescent="0.25">
      <c r="C59906" s="60"/>
      <c r="I59906" s="63"/>
      <c r="R59906" s="64"/>
    </row>
    <row r="59907" spans="3:18" s="8" customFormat="1" x14ac:dyDescent="0.25">
      <c r="C59907" s="60"/>
      <c r="I59907" s="63"/>
      <c r="R59907" s="64"/>
    </row>
    <row r="59908" spans="3:18" s="8" customFormat="1" x14ac:dyDescent="0.25">
      <c r="C59908" s="60"/>
      <c r="I59908" s="63"/>
      <c r="R59908" s="64"/>
    </row>
    <row r="59909" spans="3:18" s="8" customFormat="1" x14ac:dyDescent="0.25">
      <c r="C59909" s="60"/>
      <c r="I59909" s="63"/>
      <c r="R59909" s="64"/>
    </row>
    <row r="59910" spans="3:18" s="8" customFormat="1" x14ac:dyDescent="0.25">
      <c r="C59910" s="60"/>
      <c r="I59910" s="63"/>
      <c r="R59910" s="64"/>
    </row>
    <row r="59911" spans="3:18" s="8" customFormat="1" x14ac:dyDescent="0.25">
      <c r="C59911" s="60"/>
      <c r="I59911" s="63"/>
      <c r="R59911" s="64"/>
    </row>
    <row r="59912" spans="3:18" s="8" customFormat="1" x14ac:dyDescent="0.25">
      <c r="C59912" s="60"/>
      <c r="I59912" s="63"/>
      <c r="R59912" s="64"/>
    </row>
    <row r="59913" spans="3:18" s="8" customFormat="1" x14ac:dyDescent="0.25">
      <c r="C59913" s="60"/>
      <c r="I59913" s="63"/>
      <c r="R59913" s="64"/>
    </row>
    <row r="59914" spans="3:18" s="8" customFormat="1" x14ac:dyDescent="0.25">
      <c r="C59914" s="60"/>
      <c r="I59914" s="63"/>
      <c r="R59914" s="64"/>
    </row>
    <row r="59915" spans="3:18" s="8" customFormat="1" x14ac:dyDescent="0.25">
      <c r="C59915" s="60"/>
      <c r="I59915" s="63"/>
      <c r="R59915" s="64"/>
    </row>
    <row r="59916" spans="3:18" s="8" customFormat="1" x14ac:dyDescent="0.25">
      <c r="C59916" s="60"/>
      <c r="I59916" s="63"/>
      <c r="R59916" s="64"/>
    </row>
    <row r="59917" spans="3:18" s="8" customFormat="1" x14ac:dyDescent="0.25">
      <c r="C59917" s="60"/>
      <c r="I59917" s="63"/>
      <c r="R59917" s="64"/>
    </row>
    <row r="59918" spans="3:18" s="8" customFormat="1" x14ac:dyDescent="0.25">
      <c r="C59918" s="60"/>
      <c r="I59918" s="63"/>
      <c r="R59918" s="64"/>
    </row>
    <row r="59919" spans="3:18" s="8" customFormat="1" x14ac:dyDescent="0.25">
      <c r="C59919" s="60"/>
      <c r="I59919" s="63"/>
      <c r="R59919" s="64"/>
    </row>
    <row r="59920" spans="3:18" s="8" customFormat="1" x14ac:dyDescent="0.25">
      <c r="C59920" s="60"/>
      <c r="I59920" s="63"/>
      <c r="R59920" s="64"/>
    </row>
    <row r="59921" spans="3:18" s="8" customFormat="1" x14ac:dyDescent="0.25">
      <c r="C59921" s="60"/>
      <c r="I59921" s="63"/>
      <c r="R59921" s="64"/>
    </row>
    <row r="59922" spans="3:18" s="8" customFormat="1" x14ac:dyDescent="0.25">
      <c r="C59922" s="60"/>
      <c r="I59922" s="63"/>
      <c r="R59922" s="64"/>
    </row>
    <row r="59923" spans="3:18" s="8" customFormat="1" x14ac:dyDescent="0.25">
      <c r="C59923" s="60"/>
      <c r="I59923" s="63"/>
      <c r="R59923" s="64"/>
    </row>
    <row r="59924" spans="3:18" s="8" customFormat="1" x14ac:dyDescent="0.25">
      <c r="C59924" s="60"/>
      <c r="I59924" s="63"/>
      <c r="R59924" s="64"/>
    </row>
    <row r="59925" spans="3:18" s="8" customFormat="1" x14ac:dyDescent="0.25">
      <c r="C59925" s="60"/>
      <c r="I59925" s="63"/>
      <c r="R59925" s="64"/>
    </row>
    <row r="59926" spans="3:18" s="8" customFormat="1" x14ac:dyDescent="0.25">
      <c r="C59926" s="60"/>
      <c r="I59926" s="63"/>
      <c r="R59926" s="64"/>
    </row>
    <row r="59927" spans="3:18" s="8" customFormat="1" x14ac:dyDescent="0.25">
      <c r="C59927" s="60"/>
      <c r="I59927" s="63"/>
      <c r="R59927" s="64"/>
    </row>
    <row r="59928" spans="3:18" s="8" customFormat="1" x14ac:dyDescent="0.25">
      <c r="C59928" s="60"/>
      <c r="I59928" s="63"/>
      <c r="R59928" s="64"/>
    </row>
    <row r="59929" spans="3:18" s="8" customFormat="1" x14ac:dyDescent="0.25">
      <c r="C59929" s="60"/>
      <c r="I59929" s="63"/>
      <c r="R59929" s="64"/>
    </row>
    <row r="59930" spans="3:18" s="8" customFormat="1" x14ac:dyDescent="0.25">
      <c r="C59930" s="60"/>
      <c r="I59930" s="63"/>
      <c r="R59930" s="64"/>
    </row>
    <row r="59931" spans="3:18" s="8" customFormat="1" x14ac:dyDescent="0.25">
      <c r="C59931" s="60"/>
      <c r="I59931" s="63"/>
      <c r="R59931" s="64"/>
    </row>
    <row r="59932" spans="3:18" s="8" customFormat="1" x14ac:dyDescent="0.25">
      <c r="C59932" s="60"/>
      <c r="I59932" s="63"/>
      <c r="R59932" s="64"/>
    </row>
    <row r="59933" spans="3:18" s="8" customFormat="1" x14ac:dyDescent="0.25">
      <c r="C59933" s="60"/>
      <c r="I59933" s="63"/>
      <c r="R59933" s="64"/>
    </row>
    <row r="59934" spans="3:18" s="8" customFormat="1" x14ac:dyDescent="0.25">
      <c r="C59934" s="60"/>
      <c r="I59934" s="63"/>
      <c r="R59934" s="64"/>
    </row>
    <row r="59935" spans="3:18" s="8" customFormat="1" x14ac:dyDescent="0.25">
      <c r="C59935" s="60"/>
      <c r="I59935" s="63"/>
      <c r="R59935" s="64"/>
    </row>
    <row r="59936" spans="3:18" s="8" customFormat="1" x14ac:dyDescent="0.25">
      <c r="C59936" s="60"/>
      <c r="I59936" s="63"/>
      <c r="R59936" s="64"/>
    </row>
    <row r="59937" spans="3:18" s="8" customFormat="1" x14ac:dyDescent="0.25">
      <c r="C59937" s="60"/>
      <c r="I59937" s="63"/>
      <c r="R59937" s="64"/>
    </row>
    <row r="59938" spans="3:18" s="8" customFormat="1" x14ac:dyDescent="0.25">
      <c r="C59938" s="60"/>
      <c r="I59938" s="63"/>
      <c r="R59938" s="64"/>
    </row>
    <row r="59939" spans="3:18" s="8" customFormat="1" x14ac:dyDescent="0.25">
      <c r="C59939" s="60"/>
      <c r="I59939" s="63"/>
      <c r="R59939" s="64"/>
    </row>
    <row r="59940" spans="3:18" s="8" customFormat="1" x14ac:dyDescent="0.25">
      <c r="C59940" s="60"/>
      <c r="I59940" s="63"/>
      <c r="R59940" s="64"/>
    </row>
    <row r="59941" spans="3:18" s="8" customFormat="1" x14ac:dyDescent="0.25">
      <c r="C59941" s="60"/>
      <c r="I59941" s="63"/>
      <c r="R59941" s="64"/>
    </row>
    <row r="59942" spans="3:18" s="8" customFormat="1" x14ac:dyDescent="0.25">
      <c r="C59942" s="60"/>
      <c r="I59942" s="63"/>
      <c r="R59942" s="64"/>
    </row>
    <row r="59943" spans="3:18" s="8" customFormat="1" x14ac:dyDescent="0.25">
      <c r="C59943" s="60"/>
      <c r="I59943" s="63"/>
      <c r="R59943" s="64"/>
    </row>
    <row r="59944" spans="3:18" s="8" customFormat="1" x14ac:dyDescent="0.25">
      <c r="C59944" s="60"/>
      <c r="I59944" s="63"/>
      <c r="R59944" s="64"/>
    </row>
    <row r="59945" spans="3:18" s="8" customFormat="1" x14ac:dyDescent="0.25">
      <c r="C59945" s="60"/>
      <c r="I59945" s="63"/>
      <c r="R59945" s="64"/>
    </row>
    <row r="59946" spans="3:18" s="8" customFormat="1" x14ac:dyDescent="0.25">
      <c r="C59946" s="60"/>
      <c r="I59946" s="63"/>
      <c r="R59946" s="64"/>
    </row>
    <row r="59947" spans="3:18" s="8" customFormat="1" x14ac:dyDescent="0.25">
      <c r="C59947" s="60"/>
      <c r="I59947" s="63"/>
      <c r="R59947" s="64"/>
    </row>
    <row r="59948" spans="3:18" s="8" customFormat="1" x14ac:dyDescent="0.25">
      <c r="C59948" s="60"/>
      <c r="I59948" s="63"/>
      <c r="R59948" s="64"/>
    </row>
    <row r="59949" spans="3:18" s="8" customFormat="1" x14ac:dyDescent="0.25">
      <c r="C59949" s="60"/>
      <c r="I59949" s="63"/>
      <c r="R59949" s="64"/>
    </row>
    <row r="59950" spans="3:18" s="8" customFormat="1" x14ac:dyDescent="0.25">
      <c r="C59950" s="60"/>
      <c r="I59950" s="63"/>
      <c r="R59950" s="64"/>
    </row>
    <row r="59951" spans="3:18" s="8" customFormat="1" x14ac:dyDescent="0.25">
      <c r="C59951" s="60"/>
      <c r="I59951" s="63"/>
      <c r="R59951" s="64"/>
    </row>
    <row r="59952" spans="3:18" s="8" customFormat="1" x14ac:dyDescent="0.25">
      <c r="C59952" s="60"/>
      <c r="I59952" s="63"/>
      <c r="R59952" s="64"/>
    </row>
    <row r="59953" spans="3:18" s="8" customFormat="1" x14ac:dyDescent="0.25">
      <c r="C59953" s="60"/>
      <c r="I59953" s="63"/>
      <c r="R59953" s="64"/>
    </row>
    <row r="59954" spans="3:18" s="8" customFormat="1" x14ac:dyDescent="0.25">
      <c r="C59954" s="60"/>
      <c r="I59954" s="63"/>
      <c r="R59954" s="64"/>
    </row>
    <row r="59955" spans="3:18" s="8" customFormat="1" x14ac:dyDescent="0.25">
      <c r="C59955" s="60"/>
      <c r="I59955" s="63"/>
      <c r="R59955" s="64"/>
    </row>
    <row r="59956" spans="3:18" s="8" customFormat="1" x14ac:dyDescent="0.25">
      <c r="C59956" s="60"/>
      <c r="I59956" s="63"/>
      <c r="R59956" s="64"/>
    </row>
    <row r="59957" spans="3:18" s="8" customFormat="1" x14ac:dyDescent="0.25">
      <c r="C59957" s="60"/>
      <c r="I59957" s="63"/>
      <c r="R59957" s="64"/>
    </row>
    <row r="59958" spans="3:18" s="8" customFormat="1" x14ac:dyDescent="0.25">
      <c r="C59958" s="60"/>
      <c r="I59958" s="63"/>
      <c r="R59958" s="64"/>
    </row>
    <row r="59959" spans="3:18" s="8" customFormat="1" x14ac:dyDescent="0.25">
      <c r="C59959" s="60"/>
      <c r="I59959" s="63"/>
      <c r="R59959" s="64"/>
    </row>
    <row r="59960" spans="3:18" s="8" customFormat="1" x14ac:dyDescent="0.25">
      <c r="C59960" s="60"/>
      <c r="I59960" s="63"/>
      <c r="R59960" s="64"/>
    </row>
    <row r="59961" spans="3:18" s="8" customFormat="1" x14ac:dyDescent="0.25">
      <c r="C59961" s="60"/>
      <c r="I59961" s="63"/>
      <c r="R59961" s="64"/>
    </row>
    <row r="59962" spans="3:18" s="8" customFormat="1" x14ac:dyDescent="0.25">
      <c r="C59962" s="60"/>
      <c r="I59962" s="63"/>
      <c r="R59962" s="64"/>
    </row>
    <row r="59963" spans="3:18" s="8" customFormat="1" x14ac:dyDescent="0.25">
      <c r="C59963" s="60"/>
      <c r="I59963" s="63"/>
      <c r="R59963" s="64"/>
    </row>
    <row r="59964" spans="3:18" s="8" customFormat="1" x14ac:dyDescent="0.25">
      <c r="C59964" s="60"/>
      <c r="I59964" s="63"/>
      <c r="R59964" s="64"/>
    </row>
    <row r="59965" spans="3:18" s="8" customFormat="1" x14ac:dyDescent="0.25">
      <c r="C59965" s="60"/>
      <c r="I59965" s="63"/>
      <c r="R59965" s="64"/>
    </row>
    <row r="59966" spans="3:18" s="8" customFormat="1" x14ac:dyDescent="0.25">
      <c r="C59966" s="60"/>
      <c r="I59966" s="63"/>
      <c r="R59966" s="64"/>
    </row>
    <row r="59967" spans="3:18" s="8" customFormat="1" x14ac:dyDescent="0.25">
      <c r="C59967" s="60"/>
      <c r="I59967" s="63"/>
      <c r="R59967" s="64"/>
    </row>
    <row r="59968" spans="3:18" s="8" customFormat="1" x14ac:dyDescent="0.25">
      <c r="C59968" s="60"/>
      <c r="I59968" s="63"/>
      <c r="R59968" s="64"/>
    </row>
    <row r="59969" spans="3:18" s="8" customFormat="1" x14ac:dyDescent="0.25">
      <c r="C59969" s="60"/>
      <c r="I59969" s="63"/>
      <c r="R59969" s="64"/>
    </row>
    <row r="59970" spans="3:18" s="8" customFormat="1" x14ac:dyDescent="0.25">
      <c r="C59970" s="60"/>
      <c r="I59970" s="63"/>
      <c r="R59970" s="64"/>
    </row>
    <row r="59971" spans="3:18" s="8" customFormat="1" x14ac:dyDescent="0.25">
      <c r="C59971" s="60"/>
      <c r="I59971" s="63"/>
      <c r="R59971" s="64"/>
    </row>
    <row r="59972" spans="3:18" s="8" customFormat="1" x14ac:dyDescent="0.25">
      <c r="C59972" s="60"/>
      <c r="I59972" s="63"/>
      <c r="R59972" s="64"/>
    </row>
    <row r="59973" spans="3:18" s="8" customFormat="1" x14ac:dyDescent="0.25">
      <c r="C59973" s="60"/>
      <c r="I59973" s="63"/>
      <c r="R59973" s="64"/>
    </row>
    <row r="59974" spans="3:18" s="8" customFormat="1" x14ac:dyDescent="0.25">
      <c r="C59974" s="60"/>
      <c r="I59974" s="63"/>
      <c r="R59974" s="64"/>
    </row>
    <row r="59975" spans="3:18" s="8" customFormat="1" x14ac:dyDescent="0.25">
      <c r="C59975" s="60"/>
      <c r="I59975" s="63"/>
      <c r="R59975" s="64"/>
    </row>
    <row r="59976" spans="3:18" s="8" customFormat="1" x14ac:dyDescent="0.25">
      <c r="C59976" s="60"/>
      <c r="I59976" s="63"/>
      <c r="R59976" s="64"/>
    </row>
    <row r="59977" spans="3:18" s="8" customFormat="1" x14ac:dyDescent="0.25">
      <c r="C59977" s="60"/>
      <c r="I59977" s="63"/>
      <c r="R59977" s="64"/>
    </row>
    <row r="59978" spans="3:18" s="8" customFormat="1" x14ac:dyDescent="0.25">
      <c r="C59978" s="60"/>
      <c r="I59978" s="63"/>
      <c r="R59978" s="64"/>
    </row>
    <row r="59979" spans="3:18" s="8" customFormat="1" x14ac:dyDescent="0.25">
      <c r="C59979" s="60"/>
      <c r="I59979" s="63"/>
      <c r="R59979" s="64"/>
    </row>
    <row r="59980" spans="3:18" s="8" customFormat="1" x14ac:dyDescent="0.25">
      <c r="C59980" s="60"/>
      <c r="I59980" s="63"/>
      <c r="R59980" s="64"/>
    </row>
    <row r="59981" spans="3:18" s="8" customFormat="1" x14ac:dyDescent="0.25">
      <c r="C59981" s="60"/>
      <c r="I59981" s="63"/>
      <c r="R59981" s="64"/>
    </row>
    <row r="59982" spans="3:18" s="8" customFormat="1" x14ac:dyDescent="0.25">
      <c r="C59982" s="60"/>
      <c r="I59982" s="63"/>
      <c r="R59982" s="64"/>
    </row>
    <row r="59983" spans="3:18" s="8" customFormat="1" x14ac:dyDescent="0.25">
      <c r="C59983" s="60"/>
      <c r="I59983" s="63"/>
      <c r="R59983" s="64"/>
    </row>
    <row r="59984" spans="3:18" s="8" customFormat="1" x14ac:dyDescent="0.25">
      <c r="C59984" s="60"/>
      <c r="I59984" s="63"/>
      <c r="R59984" s="64"/>
    </row>
    <row r="59985" spans="3:18" s="8" customFormat="1" x14ac:dyDescent="0.25">
      <c r="C59985" s="60"/>
      <c r="I59985" s="63"/>
      <c r="R59985" s="64"/>
    </row>
    <row r="59986" spans="3:18" s="8" customFormat="1" x14ac:dyDescent="0.25">
      <c r="C59986" s="60"/>
      <c r="I59986" s="63"/>
      <c r="R59986" s="64"/>
    </row>
    <row r="59987" spans="3:18" s="8" customFormat="1" x14ac:dyDescent="0.25">
      <c r="C59987" s="60"/>
      <c r="I59987" s="63"/>
      <c r="R59987" s="64"/>
    </row>
    <row r="59988" spans="3:18" s="8" customFormat="1" x14ac:dyDescent="0.25">
      <c r="C59988" s="60"/>
      <c r="I59988" s="63"/>
      <c r="R59988" s="64"/>
    </row>
    <row r="59989" spans="3:18" s="8" customFormat="1" x14ac:dyDescent="0.25">
      <c r="C59989" s="60"/>
      <c r="I59989" s="63"/>
      <c r="R59989" s="64"/>
    </row>
    <row r="59990" spans="3:18" s="8" customFormat="1" x14ac:dyDescent="0.25">
      <c r="C59990" s="60"/>
      <c r="I59990" s="63"/>
      <c r="R59990" s="64"/>
    </row>
    <row r="59991" spans="3:18" s="8" customFormat="1" x14ac:dyDescent="0.25">
      <c r="C59991" s="60"/>
      <c r="I59991" s="63"/>
      <c r="R59991" s="64"/>
    </row>
    <row r="59992" spans="3:18" s="8" customFormat="1" x14ac:dyDescent="0.25">
      <c r="C59992" s="60"/>
      <c r="I59992" s="63"/>
      <c r="R59992" s="64"/>
    </row>
    <row r="59993" spans="3:18" s="8" customFormat="1" x14ac:dyDescent="0.25">
      <c r="C59993" s="60"/>
      <c r="I59993" s="63"/>
      <c r="R59993" s="64"/>
    </row>
    <row r="59994" spans="3:18" s="8" customFormat="1" x14ac:dyDescent="0.25">
      <c r="C59994" s="60"/>
      <c r="I59994" s="63"/>
      <c r="R59994" s="64"/>
    </row>
    <row r="59995" spans="3:18" s="8" customFormat="1" x14ac:dyDescent="0.25">
      <c r="C59995" s="60"/>
      <c r="I59995" s="63"/>
      <c r="R59995" s="64"/>
    </row>
    <row r="59996" spans="3:18" s="8" customFormat="1" x14ac:dyDescent="0.25">
      <c r="C59996" s="60"/>
      <c r="I59996" s="63"/>
      <c r="R59996" s="64"/>
    </row>
    <row r="59997" spans="3:18" s="8" customFormat="1" x14ac:dyDescent="0.25">
      <c r="C59997" s="60"/>
      <c r="I59997" s="63"/>
      <c r="R59997" s="64"/>
    </row>
    <row r="59998" spans="3:18" s="8" customFormat="1" x14ac:dyDescent="0.25">
      <c r="C59998" s="60"/>
      <c r="I59998" s="63"/>
      <c r="R59998" s="64"/>
    </row>
    <row r="59999" spans="3:18" s="8" customFormat="1" x14ac:dyDescent="0.25">
      <c r="C59999" s="60"/>
      <c r="I59999" s="63"/>
      <c r="R59999" s="64"/>
    </row>
    <row r="60000" spans="3:18" s="8" customFormat="1" x14ac:dyDescent="0.25">
      <c r="C60000" s="60"/>
      <c r="I60000" s="63"/>
      <c r="R60000" s="64"/>
    </row>
    <row r="60001" spans="3:18" s="8" customFormat="1" x14ac:dyDescent="0.25">
      <c r="C60001" s="60"/>
      <c r="I60001" s="63"/>
      <c r="R60001" s="64"/>
    </row>
    <row r="60002" spans="3:18" s="8" customFormat="1" x14ac:dyDescent="0.25">
      <c r="C60002" s="60"/>
      <c r="I60002" s="63"/>
      <c r="R60002" s="64"/>
    </row>
    <row r="60003" spans="3:18" s="8" customFormat="1" x14ac:dyDescent="0.25">
      <c r="C60003" s="60"/>
      <c r="I60003" s="63"/>
      <c r="R60003" s="64"/>
    </row>
    <row r="60004" spans="3:18" s="8" customFormat="1" x14ac:dyDescent="0.25">
      <c r="C60004" s="60"/>
      <c r="I60004" s="63"/>
      <c r="R60004" s="64"/>
    </row>
    <row r="60005" spans="3:18" s="8" customFormat="1" x14ac:dyDescent="0.25">
      <c r="C60005" s="60"/>
      <c r="I60005" s="63"/>
      <c r="R60005" s="64"/>
    </row>
    <row r="60006" spans="3:18" s="8" customFormat="1" x14ac:dyDescent="0.25">
      <c r="C60006" s="60"/>
      <c r="I60006" s="63"/>
      <c r="R60006" s="64"/>
    </row>
    <row r="60007" spans="3:18" s="8" customFormat="1" x14ac:dyDescent="0.25">
      <c r="C60007" s="60"/>
      <c r="I60007" s="63"/>
      <c r="R60007" s="64"/>
    </row>
    <row r="60008" spans="3:18" s="8" customFormat="1" x14ac:dyDescent="0.25">
      <c r="C60008" s="60"/>
      <c r="I60008" s="63"/>
      <c r="R60008" s="64"/>
    </row>
    <row r="60009" spans="3:18" s="8" customFormat="1" x14ac:dyDescent="0.25">
      <c r="C60009" s="60"/>
      <c r="I60009" s="63"/>
      <c r="R60009" s="64"/>
    </row>
    <row r="60010" spans="3:18" s="8" customFormat="1" x14ac:dyDescent="0.25">
      <c r="C60010" s="60"/>
      <c r="I60010" s="63"/>
      <c r="R60010" s="64"/>
    </row>
    <row r="60011" spans="3:18" s="8" customFormat="1" x14ac:dyDescent="0.25">
      <c r="C60011" s="60"/>
      <c r="I60011" s="63"/>
      <c r="R60011" s="64"/>
    </row>
    <row r="60012" spans="3:18" s="8" customFormat="1" x14ac:dyDescent="0.25">
      <c r="C60012" s="60"/>
      <c r="I60012" s="63"/>
      <c r="R60012" s="64"/>
    </row>
    <row r="60013" spans="3:18" s="8" customFormat="1" x14ac:dyDescent="0.25">
      <c r="C60013" s="60"/>
      <c r="I60013" s="63"/>
      <c r="R60013" s="64"/>
    </row>
    <row r="60014" spans="3:18" s="8" customFormat="1" x14ac:dyDescent="0.25">
      <c r="C60014" s="60"/>
      <c r="I60014" s="63"/>
      <c r="R60014" s="64"/>
    </row>
    <row r="60015" spans="3:18" s="8" customFormat="1" x14ac:dyDescent="0.25">
      <c r="C60015" s="60"/>
      <c r="I60015" s="63"/>
      <c r="R60015" s="64"/>
    </row>
    <row r="60016" spans="3:18" s="8" customFormat="1" x14ac:dyDescent="0.25">
      <c r="C60016" s="60"/>
      <c r="I60016" s="63"/>
      <c r="R60016" s="64"/>
    </row>
    <row r="60017" spans="3:18" s="8" customFormat="1" x14ac:dyDescent="0.25">
      <c r="C60017" s="60"/>
      <c r="I60017" s="63"/>
      <c r="R60017" s="64"/>
    </row>
    <row r="60018" spans="3:18" s="8" customFormat="1" x14ac:dyDescent="0.25">
      <c r="C60018" s="60"/>
      <c r="I60018" s="63"/>
      <c r="R60018" s="64"/>
    </row>
    <row r="60019" spans="3:18" s="8" customFormat="1" x14ac:dyDescent="0.25">
      <c r="C60019" s="60"/>
      <c r="I60019" s="63"/>
      <c r="R60019" s="64"/>
    </row>
    <row r="60020" spans="3:18" s="8" customFormat="1" x14ac:dyDescent="0.25">
      <c r="C60020" s="60"/>
      <c r="I60020" s="63"/>
      <c r="R60020" s="64"/>
    </row>
    <row r="60021" spans="3:18" s="8" customFormat="1" x14ac:dyDescent="0.25">
      <c r="C60021" s="60"/>
      <c r="I60021" s="63"/>
      <c r="R60021" s="64"/>
    </row>
    <row r="60022" spans="3:18" s="8" customFormat="1" x14ac:dyDescent="0.25">
      <c r="C60022" s="60"/>
      <c r="I60022" s="63"/>
      <c r="R60022" s="64"/>
    </row>
    <row r="60023" spans="3:18" s="8" customFormat="1" x14ac:dyDescent="0.25">
      <c r="C60023" s="60"/>
      <c r="I60023" s="63"/>
      <c r="R60023" s="64"/>
    </row>
    <row r="60024" spans="3:18" s="8" customFormat="1" x14ac:dyDescent="0.25">
      <c r="C60024" s="60"/>
      <c r="I60024" s="63"/>
      <c r="R60024" s="64"/>
    </row>
    <row r="60025" spans="3:18" s="8" customFormat="1" x14ac:dyDescent="0.25">
      <c r="C60025" s="60"/>
      <c r="I60025" s="63"/>
      <c r="R60025" s="64"/>
    </row>
    <row r="60026" spans="3:18" s="8" customFormat="1" x14ac:dyDescent="0.25">
      <c r="C60026" s="60"/>
      <c r="I60026" s="63"/>
      <c r="R60026" s="64"/>
    </row>
    <row r="60027" spans="3:18" s="8" customFormat="1" x14ac:dyDescent="0.25">
      <c r="C60027" s="60"/>
      <c r="I60027" s="63"/>
      <c r="R60027" s="64"/>
    </row>
    <row r="60028" spans="3:18" s="8" customFormat="1" x14ac:dyDescent="0.25">
      <c r="C60028" s="60"/>
      <c r="I60028" s="63"/>
      <c r="R60028" s="64"/>
    </row>
    <row r="60029" spans="3:18" s="8" customFormat="1" x14ac:dyDescent="0.25">
      <c r="C60029" s="60"/>
      <c r="I60029" s="63"/>
      <c r="R60029" s="64"/>
    </row>
    <row r="60030" spans="3:18" s="8" customFormat="1" x14ac:dyDescent="0.25">
      <c r="C60030" s="60"/>
      <c r="I60030" s="63"/>
      <c r="R60030" s="64"/>
    </row>
    <row r="60031" spans="3:18" s="8" customFormat="1" x14ac:dyDescent="0.25">
      <c r="C60031" s="60"/>
      <c r="I60031" s="63"/>
      <c r="R60031" s="64"/>
    </row>
    <row r="60032" spans="3:18" s="8" customFormat="1" x14ac:dyDescent="0.25">
      <c r="C60032" s="60"/>
      <c r="I60032" s="63"/>
      <c r="R60032" s="64"/>
    </row>
    <row r="60033" spans="3:18" s="8" customFormat="1" x14ac:dyDescent="0.25">
      <c r="C60033" s="60"/>
      <c r="I60033" s="63"/>
      <c r="R60033" s="64"/>
    </row>
    <row r="60034" spans="3:18" s="8" customFormat="1" x14ac:dyDescent="0.25">
      <c r="C60034" s="60"/>
      <c r="I60034" s="63"/>
      <c r="R60034" s="64"/>
    </row>
    <row r="60035" spans="3:18" s="8" customFormat="1" x14ac:dyDescent="0.25">
      <c r="C60035" s="60"/>
      <c r="I60035" s="63"/>
      <c r="R60035" s="64"/>
    </row>
    <row r="60036" spans="3:18" s="8" customFormat="1" x14ac:dyDescent="0.25">
      <c r="C60036" s="60"/>
      <c r="I60036" s="63"/>
      <c r="R60036" s="64"/>
    </row>
    <row r="60037" spans="3:18" s="8" customFormat="1" x14ac:dyDescent="0.25">
      <c r="C60037" s="60"/>
      <c r="I60037" s="63"/>
      <c r="R60037" s="64"/>
    </row>
    <row r="60038" spans="3:18" s="8" customFormat="1" x14ac:dyDescent="0.25">
      <c r="C60038" s="60"/>
      <c r="I60038" s="63"/>
      <c r="R60038" s="64"/>
    </row>
    <row r="60039" spans="3:18" s="8" customFormat="1" x14ac:dyDescent="0.25">
      <c r="C60039" s="60"/>
      <c r="I60039" s="63"/>
      <c r="R60039" s="64"/>
    </row>
    <row r="60040" spans="3:18" s="8" customFormat="1" x14ac:dyDescent="0.25">
      <c r="C60040" s="60"/>
      <c r="I60040" s="63"/>
      <c r="R60040" s="64"/>
    </row>
    <row r="60041" spans="3:18" s="8" customFormat="1" x14ac:dyDescent="0.25">
      <c r="C60041" s="60"/>
      <c r="I60041" s="63"/>
      <c r="R60041" s="64"/>
    </row>
    <row r="60042" spans="3:18" s="8" customFormat="1" x14ac:dyDescent="0.25">
      <c r="C60042" s="60"/>
      <c r="I60042" s="63"/>
      <c r="R60042" s="64"/>
    </row>
    <row r="60043" spans="3:18" s="8" customFormat="1" x14ac:dyDescent="0.25">
      <c r="C60043" s="60"/>
      <c r="I60043" s="63"/>
      <c r="R60043" s="64"/>
    </row>
    <row r="60044" spans="3:18" s="8" customFormat="1" x14ac:dyDescent="0.25">
      <c r="C60044" s="60"/>
      <c r="I60044" s="63"/>
      <c r="R60044" s="64"/>
    </row>
    <row r="60045" spans="3:18" s="8" customFormat="1" x14ac:dyDescent="0.25">
      <c r="C60045" s="60"/>
      <c r="I60045" s="63"/>
      <c r="R60045" s="64"/>
    </row>
    <row r="60046" spans="3:18" s="8" customFormat="1" x14ac:dyDescent="0.25">
      <c r="C60046" s="60"/>
      <c r="I60046" s="63"/>
      <c r="R60046" s="64"/>
    </row>
    <row r="60047" spans="3:18" s="8" customFormat="1" x14ac:dyDescent="0.25">
      <c r="C60047" s="60"/>
      <c r="I60047" s="63"/>
      <c r="R60047" s="64"/>
    </row>
    <row r="60048" spans="3:18" s="8" customFormat="1" x14ac:dyDescent="0.25">
      <c r="C60048" s="60"/>
      <c r="I60048" s="63"/>
      <c r="R60048" s="64"/>
    </row>
    <row r="60049" spans="3:18" s="8" customFormat="1" x14ac:dyDescent="0.25">
      <c r="C60049" s="60"/>
      <c r="I60049" s="63"/>
      <c r="R60049" s="64"/>
    </row>
    <row r="60050" spans="3:18" s="8" customFormat="1" x14ac:dyDescent="0.25">
      <c r="C60050" s="60"/>
      <c r="I60050" s="63"/>
      <c r="R60050" s="64"/>
    </row>
    <row r="60051" spans="3:18" s="8" customFormat="1" x14ac:dyDescent="0.25">
      <c r="C60051" s="60"/>
      <c r="I60051" s="63"/>
      <c r="R60051" s="64"/>
    </row>
    <row r="60052" spans="3:18" s="8" customFormat="1" x14ac:dyDescent="0.25">
      <c r="C60052" s="60"/>
      <c r="I60052" s="63"/>
      <c r="R60052" s="64"/>
    </row>
    <row r="60053" spans="3:18" s="8" customFormat="1" x14ac:dyDescent="0.25">
      <c r="C60053" s="60"/>
      <c r="I60053" s="63"/>
      <c r="R60053" s="64"/>
    </row>
    <row r="60054" spans="3:18" s="8" customFormat="1" x14ac:dyDescent="0.25">
      <c r="C60054" s="60"/>
      <c r="I60054" s="63"/>
      <c r="R60054" s="64"/>
    </row>
    <row r="60055" spans="3:18" s="8" customFormat="1" x14ac:dyDescent="0.25">
      <c r="C60055" s="60"/>
      <c r="I60055" s="63"/>
      <c r="R60055" s="64"/>
    </row>
    <row r="60056" spans="3:18" s="8" customFormat="1" x14ac:dyDescent="0.25">
      <c r="C60056" s="60"/>
      <c r="I60056" s="63"/>
      <c r="R60056" s="64"/>
    </row>
    <row r="60057" spans="3:18" s="8" customFormat="1" x14ac:dyDescent="0.25">
      <c r="C60057" s="60"/>
      <c r="I60057" s="63"/>
      <c r="R60057" s="64"/>
    </row>
    <row r="60058" spans="3:18" s="8" customFormat="1" x14ac:dyDescent="0.25">
      <c r="C60058" s="60"/>
      <c r="I60058" s="63"/>
      <c r="R60058" s="64"/>
    </row>
    <row r="60059" spans="3:18" s="8" customFormat="1" x14ac:dyDescent="0.25">
      <c r="C60059" s="60"/>
      <c r="I60059" s="63"/>
      <c r="R60059" s="64"/>
    </row>
    <row r="60060" spans="3:18" s="8" customFormat="1" x14ac:dyDescent="0.25">
      <c r="C60060" s="60"/>
      <c r="I60060" s="63"/>
      <c r="R60060" s="64"/>
    </row>
    <row r="60061" spans="3:18" s="8" customFormat="1" x14ac:dyDescent="0.25">
      <c r="C60061" s="60"/>
      <c r="I60061" s="63"/>
      <c r="R60061" s="64"/>
    </row>
    <row r="60062" spans="3:18" s="8" customFormat="1" x14ac:dyDescent="0.25">
      <c r="C60062" s="60"/>
      <c r="I60062" s="63"/>
      <c r="R60062" s="64"/>
    </row>
    <row r="60063" spans="3:18" s="8" customFormat="1" x14ac:dyDescent="0.25">
      <c r="C60063" s="60"/>
      <c r="I60063" s="63"/>
      <c r="R60063" s="64"/>
    </row>
    <row r="60064" spans="3:18" s="8" customFormat="1" x14ac:dyDescent="0.25">
      <c r="C60064" s="60"/>
      <c r="I60064" s="63"/>
      <c r="R60064" s="64"/>
    </row>
    <row r="60065" spans="3:18" s="8" customFormat="1" x14ac:dyDescent="0.25">
      <c r="C60065" s="60"/>
      <c r="I60065" s="63"/>
      <c r="R60065" s="64"/>
    </row>
    <row r="60066" spans="3:18" s="8" customFormat="1" x14ac:dyDescent="0.25">
      <c r="C60066" s="60"/>
      <c r="I60066" s="63"/>
      <c r="R60066" s="64"/>
    </row>
    <row r="60067" spans="3:18" s="8" customFormat="1" x14ac:dyDescent="0.25">
      <c r="C60067" s="60"/>
      <c r="I60067" s="63"/>
      <c r="R60067" s="64"/>
    </row>
    <row r="60068" spans="3:18" s="8" customFormat="1" x14ac:dyDescent="0.25">
      <c r="C60068" s="60"/>
      <c r="I60068" s="63"/>
      <c r="R60068" s="64"/>
    </row>
    <row r="60069" spans="3:18" s="8" customFormat="1" x14ac:dyDescent="0.25">
      <c r="C60069" s="60"/>
      <c r="I60069" s="63"/>
      <c r="R60069" s="64"/>
    </row>
    <row r="60070" spans="3:18" s="8" customFormat="1" x14ac:dyDescent="0.25">
      <c r="C60070" s="60"/>
      <c r="I60070" s="63"/>
      <c r="R60070" s="64"/>
    </row>
    <row r="60071" spans="3:18" s="8" customFormat="1" x14ac:dyDescent="0.25">
      <c r="C60071" s="60"/>
      <c r="I60071" s="63"/>
      <c r="R60071" s="64"/>
    </row>
    <row r="60072" spans="3:18" s="8" customFormat="1" x14ac:dyDescent="0.25">
      <c r="C60072" s="60"/>
      <c r="I60072" s="63"/>
      <c r="R60072" s="64"/>
    </row>
    <row r="60073" spans="3:18" s="8" customFormat="1" x14ac:dyDescent="0.25">
      <c r="C60073" s="60"/>
      <c r="I60073" s="63"/>
      <c r="R60073" s="64"/>
    </row>
    <row r="60074" spans="3:18" s="8" customFormat="1" x14ac:dyDescent="0.25">
      <c r="C60074" s="60"/>
      <c r="I60074" s="63"/>
      <c r="R60074" s="64"/>
    </row>
    <row r="60075" spans="3:18" s="8" customFormat="1" x14ac:dyDescent="0.25">
      <c r="C60075" s="60"/>
      <c r="I60075" s="63"/>
      <c r="R60075" s="64"/>
    </row>
    <row r="60076" spans="3:18" s="8" customFormat="1" x14ac:dyDescent="0.25">
      <c r="C60076" s="60"/>
      <c r="I60076" s="63"/>
      <c r="R60076" s="64"/>
    </row>
    <row r="60077" spans="3:18" s="8" customFormat="1" x14ac:dyDescent="0.25">
      <c r="C60077" s="60"/>
      <c r="I60077" s="63"/>
      <c r="R60077" s="64"/>
    </row>
    <row r="60078" spans="3:18" s="8" customFormat="1" x14ac:dyDescent="0.25">
      <c r="C60078" s="60"/>
      <c r="I60078" s="63"/>
      <c r="R60078" s="64"/>
    </row>
    <row r="60079" spans="3:18" s="8" customFormat="1" x14ac:dyDescent="0.25">
      <c r="C60079" s="60"/>
      <c r="I60079" s="63"/>
      <c r="R60079" s="64"/>
    </row>
    <row r="60080" spans="3:18" s="8" customFormat="1" x14ac:dyDescent="0.25">
      <c r="C60080" s="60"/>
      <c r="I60080" s="63"/>
      <c r="R60080" s="64"/>
    </row>
    <row r="60081" spans="3:18" s="8" customFormat="1" x14ac:dyDescent="0.25">
      <c r="C60081" s="60"/>
      <c r="I60081" s="63"/>
      <c r="R60081" s="64"/>
    </row>
    <row r="60082" spans="3:18" s="8" customFormat="1" x14ac:dyDescent="0.25">
      <c r="C60082" s="60"/>
      <c r="I60082" s="63"/>
      <c r="R60082" s="64"/>
    </row>
    <row r="60083" spans="3:18" s="8" customFormat="1" x14ac:dyDescent="0.25">
      <c r="C60083" s="60"/>
      <c r="I60083" s="63"/>
      <c r="R60083" s="64"/>
    </row>
    <row r="60084" spans="3:18" s="8" customFormat="1" x14ac:dyDescent="0.25">
      <c r="C60084" s="60"/>
      <c r="I60084" s="63"/>
      <c r="R60084" s="64"/>
    </row>
    <row r="60085" spans="3:18" s="8" customFormat="1" x14ac:dyDescent="0.25">
      <c r="C60085" s="60"/>
      <c r="I60085" s="63"/>
      <c r="R60085" s="64"/>
    </row>
    <row r="60086" spans="3:18" s="8" customFormat="1" x14ac:dyDescent="0.25">
      <c r="C60086" s="60"/>
      <c r="I60086" s="63"/>
      <c r="R60086" s="64"/>
    </row>
    <row r="60087" spans="3:18" s="8" customFormat="1" x14ac:dyDescent="0.25">
      <c r="C60087" s="60"/>
      <c r="I60087" s="63"/>
      <c r="R60087" s="64"/>
    </row>
    <row r="60088" spans="3:18" s="8" customFormat="1" x14ac:dyDescent="0.25">
      <c r="C60088" s="60"/>
      <c r="I60088" s="63"/>
      <c r="R60088" s="64"/>
    </row>
    <row r="60089" spans="3:18" s="8" customFormat="1" x14ac:dyDescent="0.25">
      <c r="C60089" s="60"/>
      <c r="I60089" s="63"/>
      <c r="R60089" s="64"/>
    </row>
    <row r="60090" spans="3:18" s="8" customFormat="1" x14ac:dyDescent="0.25">
      <c r="C60090" s="60"/>
      <c r="I60090" s="63"/>
      <c r="R60090" s="64"/>
    </row>
    <row r="60091" spans="3:18" s="8" customFormat="1" x14ac:dyDescent="0.25">
      <c r="C60091" s="60"/>
      <c r="I60091" s="63"/>
      <c r="R60091" s="64"/>
    </row>
    <row r="60092" spans="3:18" s="8" customFormat="1" x14ac:dyDescent="0.25">
      <c r="C60092" s="60"/>
      <c r="I60092" s="63"/>
      <c r="R60092" s="64"/>
    </row>
    <row r="60093" spans="3:18" s="8" customFormat="1" x14ac:dyDescent="0.25">
      <c r="C60093" s="60"/>
      <c r="I60093" s="63"/>
      <c r="R60093" s="64"/>
    </row>
    <row r="60094" spans="3:18" s="8" customFormat="1" x14ac:dyDescent="0.25">
      <c r="C60094" s="60"/>
      <c r="I60094" s="63"/>
      <c r="R60094" s="64"/>
    </row>
    <row r="60095" spans="3:18" s="8" customFormat="1" x14ac:dyDescent="0.25">
      <c r="C60095" s="60"/>
      <c r="I60095" s="63"/>
      <c r="R60095" s="64"/>
    </row>
    <row r="60096" spans="3:18" s="8" customFormat="1" x14ac:dyDescent="0.25">
      <c r="C60096" s="60"/>
      <c r="I60096" s="63"/>
      <c r="R60096" s="64"/>
    </row>
    <row r="60097" spans="3:18" s="8" customFormat="1" x14ac:dyDescent="0.25">
      <c r="C60097" s="60"/>
      <c r="I60097" s="63"/>
      <c r="R60097" s="64"/>
    </row>
    <row r="60098" spans="3:18" s="8" customFormat="1" x14ac:dyDescent="0.25">
      <c r="C60098" s="60"/>
      <c r="I60098" s="63"/>
      <c r="R60098" s="64"/>
    </row>
    <row r="60099" spans="3:18" s="8" customFormat="1" x14ac:dyDescent="0.25">
      <c r="C60099" s="60"/>
      <c r="I60099" s="63"/>
      <c r="R60099" s="64"/>
    </row>
    <row r="60100" spans="3:18" s="8" customFormat="1" x14ac:dyDescent="0.25">
      <c r="C60100" s="60"/>
      <c r="I60100" s="63"/>
      <c r="R60100" s="64"/>
    </row>
    <row r="60101" spans="3:18" s="8" customFormat="1" x14ac:dyDescent="0.25">
      <c r="C60101" s="60"/>
      <c r="I60101" s="63"/>
      <c r="R60101" s="64"/>
    </row>
    <row r="60102" spans="3:18" s="8" customFormat="1" x14ac:dyDescent="0.25">
      <c r="C60102" s="60"/>
      <c r="I60102" s="63"/>
      <c r="R60102" s="64"/>
    </row>
    <row r="60103" spans="3:18" s="8" customFormat="1" x14ac:dyDescent="0.25">
      <c r="C60103" s="60"/>
      <c r="I60103" s="63"/>
      <c r="R60103" s="64"/>
    </row>
    <row r="60104" spans="3:18" s="8" customFormat="1" x14ac:dyDescent="0.25">
      <c r="C60104" s="60"/>
      <c r="I60104" s="63"/>
      <c r="R60104" s="64"/>
    </row>
    <row r="60105" spans="3:18" s="8" customFormat="1" x14ac:dyDescent="0.25">
      <c r="C60105" s="60"/>
      <c r="I60105" s="63"/>
      <c r="R60105" s="64"/>
    </row>
    <row r="60106" spans="3:18" s="8" customFormat="1" x14ac:dyDescent="0.25">
      <c r="C60106" s="60"/>
      <c r="I60106" s="63"/>
      <c r="R60106" s="64"/>
    </row>
    <row r="60107" spans="3:18" s="8" customFormat="1" x14ac:dyDescent="0.25">
      <c r="C60107" s="60"/>
      <c r="I60107" s="63"/>
      <c r="R60107" s="64"/>
    </row>
    <row r="60108" spans="3:18" s="8" customFormat="1" x14ac:dyDescent="0.25">
      <c r="C60108" s="60"/>
      <c r="I60108" s="63"/>
      <c r="R60108" s="64"/>
    </row>
    <row r="60109" spans="3:18" s="8" customFormat="1" x14ac:dyDescent="0.25">
      <c r="C60109" s="60"/>
      <c r="I60109" s="63"/>
      <c r="R60109" s="64"/>
    </row>
    <row r="60110" spans="3:18" s="8" customFormat="1" x14ac:dyDescent="0.25">
      <c r="C60110" s="60"/>
      <c r="I60110" s="63"/>
      <c r="R60110" s="64"/>
    </row>
    <row r="60111" spans="3:18" s="8" customFormat="1" x14ac:dyDescent="0.25">
      <c r="C60111" s="60"/>
      <c r="I60111" s="63"/>
      <c r="R60111" s="64"/>
    </row>
    <row r="60112" spans="3:18" s="8" customFormat="1" x14ac:dyDescent="0.25">
      <c r="C60112" s="60"/>
      <c r="I60112" s="63"/>
      <c r="R60112" s="64"/>
    </row>
    <row r="60113" spans="3:18" s="8" customFormat="1" x14ac:dyDescent="0.25">
      <c r="C60113" s="60"/>
      <c r="I60113" s="63"/>
      <c r="R60113" s="64"/>
    </row>
    <row r="60114" spans="3:18" s="8" customFormat="1" x14ac:dyDescent="0.25">
      <c r="C60114" s="60"/>
      <c r="I60114" s="63"/>
      <c r="R60114" s="64"/>
    </row>
    <row r="60115" spans="3:18" s="8" customFormat="1" x14ac:dyDescent="0.25">
      <c r="C60115" s="60"/>
      <c r="I60115" s="63"/>
      <c r="R60115" s="64"/>
    </row>
    <row r="60116" spans="3:18" s="8" customFormat="1" x14ac:dyDescent="0.25">
      <c r="C60116" s="60"/>
      <c r="I60116" s="63"/>
      <c r="R60116" s="64"/>
    </row>
    <row r="60117" spans="3:18" s="8" customFormat="1" x14ac:dyDescent="0.25">
      <c r="C60117" s="60"/>
      <c r="I60117" s="63"/>
      <c r="R60117" s="64"/>
    </row>
    <row r="60118" spans="3:18" s="8" customFormat="1" x14ac:dyDescent="0.25">
      <c r="C60118" s="60"/>
      <c r="I60118" s="63"/>
      <c r="R60118" s="64"/>
    </row>
    <row r="60119" spans="3:18" s="8" customFormat="1" x14ac:dyDescent="0.25">
      <c r="C60119" s="60"/>
      <c r="I60119" s="63"/>
      <c r="R60119" s="64"/>
    </row>
    <row r="60120" spans="3:18" s="8" customFormat="1" x14ac:dyDescent="0.25">
      <c r="C60120" s="60"/>
      <c r="I60120" s="63"/>
      <c r="R60120" s="64"/>
    </row>
    <row r="60121" spans="3:18" s="8" customFormat="1" x14ac:dyDescent="0.25">
      <c r="C60121" s="60"/>
      <c r="I60121" s="63"/>
      <c r="R60121" s="64"/>
    </row>
    <row r="60122" spans="3:18" s="8" customFormat="1" x14ac:dyDescent="0.25">
      <c r="C60122" s="60"/>
      <c r="I60122" s="63"/>
      <c r="R60122" s="64"/>
    </row>
    <row r="60123" spans="3:18" s="8" customFormat="1" x14ac:dyDescent="0.25">
      <c r="C60123" s="60"/>
      <c r="I60123" s="63"/>
      <c r="R60123" s="64"/>
    </row>
    <row r="60124" spans="3:18" s="8" customFormat="1" x14ac:dyDescent="0.25">
      <c r="C60124" s="60"/>
      <c r="I60124" s="63"/>
      <c r="R60124" s="64"/>
    </row>
    <row r="60125" spans="3:18" s="8" customFormat="1" x14ac:dyDescent="0.25">
      <c r="C60125" s="60"/>
      <c r="I60125" s="63"/>
      <c r="R60125" s="64"/>
    </row>
    <row r="60126" spans="3:18" s="8" customFormat="1" x14ac:dyDescent="0.25">
      <c r="C60126" s="60"/>
      <c r="I60126" s="63"/>
      <c r="R60126" s="64"/>
    </row>
    <row r="60127" spans="3:18" s="8" customFormat="1" x14ac:dyDescent="0.25">
      <c r="C60127" s="60"/>
      <c r="I60127" s="63"/>
      <c r="R60127" s="64"/>
    </row>
    <row r="60128" spans="3:18" s="8" customFormat="1" x14ac:dyDescent="0.25">
      <c r="C60128" s="60"/>
      <c r="I60128" s="63"/>
      <c r="R60128" s="64"/>
    </row>
    <row r="60129" spans="3:18" s="8" customFormat="1" x14ac:dyDescent="0.25">
      <c r="C60129" s="60"/>
      <c r="I60129" s="63"/>
      <c r="R60129" s="64"/>
    </row>
    <row r="60130" spans="3:18" s="8" customFormat="1" x14ac:dyDescent="0.25">
      <c r="C60130" s="60"/>
      <c r="I60130" s="63"/>
      <c r="R60130" s="64"/>
    </row>
    <row r="60131" spans="3:18" s="8" customFormat="1" x14ac:dyDescent="0.25">
      <c r="C60131" s="60"/>
      <c r="I60131" s="63"/>
      <c r="R60131" s="64"/>
    </row>
    <row r="60132" spans="3:18" s="8" customFormat="1" x14ac:dyDescent="0.25">
      <c r="C60132" s="60"/>
      <c r="I60132" s="63"/>
      <c r="R60132" s="64"/>
    </row>
    <row r="60133" spans="3:18" s="8" customFormat="1" x14ac:dyDescent="0.25">
      <c r="C60133" s="60"/>
      <c r="I60133" s="63"/>
      <c r="R60133" s="64"/>
    </row>
    <row r="60134" spans="3:18" s="8" customFormat="1" x14ac:dyDescent="0.25">
      <c r="C60134" s="60"/>
      <c r="I60134" s="63"/>
      <c r="R60134" s="64"/>
    </row>
    <row r="60135" spans="3:18" s="8" customFormat="1" x14ac:dyDescent="0.25">
      <c r="C60135" s="60"/>
      <c r="I60135" s="63"/>
      <c r="R60135" s="64"/>
    </row>
    <row r="60136" spans="3:18" s="8" customFormat="1" x14ac:dyDescent="0.25">
      <c r="C60136" s="60"/>
      <c r="I60136" s="63"/>
      <c r="R60136" s="64"/>
    </row>
    <row r="60137" spans="3:18" s="8" customFormat="1" x14ac:dyDescent="0.25">
      <c r="C60137" s="60"/>
      <c r="I60137" s="63"/>
      <c r="R60137" s="64"/>
    </row>
    <row r="60138" spans="3:18" s="8" customFormat="1" x14ac:dyDescent="0.25">
      <c r="C60138" s="60"/>
      <c r="I60138" s="63"/>
      <c r="R60138" s="64"/>
    </row>
    <row r="60139" spans="3:18" s="8" customFormat="1" x14ac:dyDescent="0.25">
      <c r="C60139" s="60"/>
      <c r="I60139" s="63"/>
      <c r="R60139" s="64"/>
    </row>
    <row r="60140" spans="3:18" s="8" customFormat="1" x14ac:dyDescent="0.25">
      <c r="C60140" s="60"/>
      <c r="I60140" s="63"/>
      <c r="R60140" s="64"/>
    </row>
    <row r="60141" spans="3:18" s="8" customFormat="1" x14ac:dyDescent="0.25">
      <c r="C60141" s="60"/>
      <c r="I60141" s="63"/>
      <c r="R60141" s="64"/>
    </row>
    <row r="60142" spans="3:18" s="8" customFormat="1" x14ac:dyDescent="0.25">
      <c r="C60142" s="60"/>
      <c r="I60142" s="63"/>
      <c r="R60142" s="64"/>
    </row>
    <row r="60143" spans="3:18" s="8" customFormat="1" x14ac:dyDescent="0.25">
      <c r="C60143" s="60"/>
      <c r="I60143" s="63"/>
      <c r="R60143" s="64"/>
    </row>
    <row r="60144" spans="3:18" s="8" customFormat="1" x14ac:dyDescent="0.25">
      <c r="C60144" s="60"/>
      <c r="I60144" s="63"/>
      <c r="R60144" s="64"/>
    </row>
    <row r="60145" spans="3:18" s="8" customFormat="1" x14ac:dyDescent="0.25">
      <c r="C60145" s="60"/>
      <c r="I60145" s="63"/>
      <c r="R60145" s="64"/>
    </row>
    <row r="60146" spans="3:18" s="8" customFormat="1" x14ac:dyDescent="0.25">
      <c r="C60146" s="60"/>
      <c r="I60146" s="63"/>
      <c r="R60146" s="64"/>
    </row>
    <row r="60147" spans="3:18" s="8" customFormat="1" x14ac:dyDescent="0.25">
      <c r="C60147" s="60"/>
      <c r="I60147" s="63"/>
      <c r="R60147" s="64"/>
    </row>
    <row r="60148" spans="3:18" s="8" customFormat="1" x14ac:dyDescent="0.25">
      <c r="C60148" s="60"/>
      <c r="I60148" s="63"/>
      <c r="R60148" s="64"/>
    </row>
    <row r="60149" spans="3:18" s="8" customFormat="1" x14ac:dyDescent="0.25">
      <c r="C60149" s="60"/>
      <c r="I60149" s="63"/>
      <c r="R60149" s="64"/>
    </row>
    <row r="60150" spans="3:18" s="8" customFormat="1" x14ac:dyDescent="0.25">
      <c r="C60150" s="60"/>
      <c r="I60150" s="63"/>
      <c r="R60150" s="64"/>
    </row>
    <row r="60151" spans="3:18" s="8" customFormat="1" x14ac:dyDescent="0.25">
      <c r="C60151" s="60"/>
      <c r="I60151" s="63"/>
      <c r="R60151" s="64"/>
    </row>
    <row r="60152" spans="3:18" s="8" customFormat="1" x14ac:dyDescent="0.25">
      <c r="C60152" s="60"/>
      <c r="I60152" s="63"/>
      <c r="R60152" s="64"/>
    </row>
    <row r="60153" spans="3:18" s="8" customFormat="1" x14ac:dyDescent="0.25">
      <c r="C60153" s="60"/>
      <c r="I60153" s="63"/>
      <c r="R60153" s="64"/>
    </row>
    <row r="60154" spans="3:18" s="8" customFormat="1" x14ac:dyDescent="0.25">
      <c r="C60154" s="60"/>
      <c r="I60154" s="63"/>
      <c r="R60154" s="64"/>
    </row>
    <row r="60155" spans="3:18" s="8" customFormat="1" x14ac:dyDescent="0.25">
      <c r="C60155" s="60"/>
      <c r="I60155" s="63"/>
      <c r="R60155" s="64"/>
    </row>
    <row r="60156" spans="3:18" s="8" customFormat="1" x14ac:dyDescent="0.25">
      <c r="C60156" s="60"/>
      <c r="I60156" s="63"/>
      <c r="R60156" s="64"/>
    </row>
    <row r="60157" spans="3:18" s="8" customFormat="1" x14ac:dyDescent="0.25">
      <c r="C60157" s="60"/>
      <c r="I60157" s="63"/>
      <c r="R60157" s="64"/>
    </row>
    <row r="60158" spans="3:18" s="8" customFormat="1" x14ac:dyDescent="0.25">
      <c r="C60158" s="60"/>
      <c r="I60158" s="63"/>
      <c r="R60158" s="64"/>
    </row>
    <row r="60159" spans="3:18" s="8" customFormat="1" x14ac:dyDescent="0.25">
      <c r="C60159" s="60"/>
      <c r="I60159" s="63"/>
      <c r="R60159" s="64"/>
    </row>
    <row r="60160" spans="3:18" s="8" customFormat="1" x14ac:dyDescent="0.25">
      <c r="C60160" s="60"/>
      <c r="I60160" s="63"/>
      <c r="R60160" s="64"/>
    </row>
    <row r="60161" spans="3:18" s="8" customFormat="1" x14ac:dyDescent="0.25">
      <c r="C60161" s="60"/>
      <c r="I60161" s="63"/>
      <c r="R60161" s="64"/>
    </row>
    <row r="60162" spans="3:18" s="8" customFormat="1" x14ac:dyDescent="0.25">
      <c r="C60162" s="60"/>
      <c r="I60162" s="63"/>
      <c r="R60162" s="64"/>
    </row>
    <row r="60163" spans="3:18" s="8" customFormat="1" x14ac:dyDescent="0.25">
      <c r="C60163" s="60"/>
      <c r="I60163" s="63"/>
      <c r="R60163" s="64"/>
    </row>
    <row r="60164" spans="3:18" s="8" customFormat="1" x14ac:dyDescent="0.25">
      <c r="C60164" s="60"/>
      <c r="I60164" s="63"/>
      <c r="R60164" s="64"/>
    </row>
    <row r="60165" spans="3:18" s="8" customFormat="1" x14ac:dyDescent="0.25">
      <c r="C60165" s="60"/>
      <c r="I60165" s="63"/>
      <c r="R60165" s="64"/>
    </row>
    <row r="60166" spans="3:18" s="8" customFormat="1" x14ac:dyDescent="0.25">
      <c r="C60166" s="60"/>
      <c r="I60166" s="63"/>
      <c r="R60166" s="64"/>
    </row>
    <row r="60167" spans="3:18" s="8" customFormat="1" x14ac:dyDescent="0.25">
      <c r="C60167" s="60"/>
      <c r="I60167" s="63"/>
      <c r="R60167" s="64"/>
    </row>
    <row r="60168" spans="3:18" s="8" customFormat="1" x14ac:dyDescent="0.25">
      <c r="C60168" s="60"/>
      <c r="I60168" s="63"/>
      <c r="R60168" s="64"/>
    </row>
    <row r="60169" spans="3:18" s="8" customFormat="1" x14ac:dyDescent="0.25">
      <c r="C60169" s="60"/>
      <c r="I60169" s="63"/>
      <c r="R60169" s="64"/>
    </row>
    <row r="60170" spans="3:18" s="8" customFormat="1" x14ac:dyDescent="0.25">
      <c r="C60170" s="60"/>
      <c r="I60170" s="63"/>
      <c r="R60170" s="64"/>
    </row>
    <row r="60171" spans="3:18" s="8" customFormat="1" x14ac:dyDescent="0.25">
      <c r="C60171" s="60"/>
      <c r="I60171" s="63"/>
      <c r="R60171" s="64"/>
    </row>
    <row r="60172" spans="3:18" s="8" customFormat="1" x14ac:dyDescent="0.25">
      <c r="C60172" s="60"/>
      <c r="I60172" s="63"/>
      <c r="R60172" s="64"/>
    </row>
    <row r="60173" spans="3:18" s="8" customFormat="1" x14ac:dyDescent="0.25">
      <c r="C60173" s="60"/>
      <c r="I60173" s="63"/>
      <c r="R60173" s="64"/>
    </row>
    <row r="60174" spans="3:18" s="8" customFormat="1" x14ac:dyDescent="0.25">
      <c r="C60174" s="60"/>
      <c r="I60174" s="63"/>
      <c r="R60174" s="64"/>
    </row>
    <row r="60175" spans="3:18" s="8" customFormat="1" x14ac:dyDescent="0.25">
      <c r="C60175" s="60"/>
      <c r="I60175" s="63"/>
      <c r="R60175" s="64"/>
    </row>
    <row r="60176" spans="3:18" s="8" customFormat="1" x14ac:dyDescent="0.25">
      <c r="C60176" s="60"/>
      <c r="I60176" s="63"/>
      <c r="R60176" s="64"/>
    </row>
    <row r="60177" spans="3:18" s="8" customFormat="1" x14ac:dyDescent="0.25">
      <c r="C60177" s="60"/>
      <c r="I60177" s="63"/>
      <c r="R60177" s="64"/>
    </row>
    <row r="60178" spans="3:18" s="8" customFormat="1" x14ac:dyDescent="0.25">
      <c r="C60178" s="60"/>
      <c r="I60178" s="63"/>
      <c r="R60178" s="64"/>
    </row>
    <row r="60179" spans="3:18" s="8" customFormat="1" x14ac:dyDescent="0.25">
      <c r="C60179" s="60"/>
      <c r="I60179" s="63"/>
      <c r="R60179" s="64"/>
    </row>
    <row r="60180" spans="3:18" s="8" customFormat="1" x14ac:dyDescent="0.25">
      <c r="C60180" s="60"/>
      <c r="I60180" s="63"/>
      <c r="R60180" s="64"/>
    </row>
    <row r="60181" spans="3:18" s="8" customFormat="1" x14ac:dyDescent="0.25">
      <c r="C60181" s="60"/>
      <c r="I60181" s="63"/>
      <c r="R60181" s="64"/>
    </row>
    <row r="60182" spans="3:18" s="8" customFormat="1" x14ac:dyDescent="0.25">
      <c r="C60182" s="60"/>
      <c r="I60182" s="63"/>
      <c r="R60182" s="64"/>
    </row>
    <row r="60183" spans="3:18" s="8" customFormat="1" x14ac:dyDescent="0.25">
      <c r="C60183" s="60"/>
      <c r="I60183" s="63"/>
      <c r="R60183" s="64"/>
    </row>
    <row r="60184" spans="3:18" s="8" customFormat="1" x14ac:dyDescent="0.25">
      <c r="C60184" s="60"/>
      <c r="I60184" s="63"/>
      <c r="R60184" s="64"/>
    </row>
    <row r="60185" spans="3:18" s="8" customFormat="1" x14ac:dyDescent="0.25">
      <c r="C60185" s="60"/>
      <c r="I60185" s="63"/>
      <c r="R60185" s="64"/>
    </row>
    <row r="60186" spans="3:18" s="8" customFormat="1" x14ac:dyDescent="0.25">
      <c r="C60186" s="60"/>
      <c r="I60186" s="63"/>
      <c r="R60186" s="64"/>
    </row>
    <row r="60187" spans="3:18" s="8" customFormat="1" x14ac:dyDescent="0.25">
      <c r="C60187" s="60"/>
      <c r="I60187" s="63"/>
      <c r="R60187" s="64"/>
    </row>
    <row r="60188" spans="3:18" s="8" customFormat="1" x14ac:dyDescent="0.25">
      <c r="C60188" s="60"/>
      <c r="I60188" s="63"/>
      <c r="R60188" s="64"/>
    </row>
    <row r="60189" spans="3:18" s="8" customFormat="1" x14ac:dyDescent="0.25">
      <c r="C60189" s="60"/>
      <c r="I60189" s="63"/>
      <c r="R60189" s="64"/>
    </row>
    <row r="60190" spans="3:18" s="8" customFormat="1" x14ac:dyDescent="0.25">
      <c r="C60190" s="60"/>
      <c r="I60190" s="63"/>
      <c r="R60190" s="64"/>
    </row>
    <row r="60191" spans="3:18" s="8" customFormat="1" x14ac:dyDescent="0.25">
      <c r="C60191" s="60"/>
      <c r="I60191" s="63"/>
      <c r="R60191" s="64"/>
    </row>
    <row r="60192" spans="3:18" s="8" customFormat="1" x14ac:dyDescent="0.25">
      <c r="C60192" s="60"/>
      <c r="I60192" s="63"/>
      <c r="R60192" s="64"/>
    </row>
    <row r="60193" spans="3:18" s="8" customFormat="1" x14ac:dyDescent="0.25">
      <c r="C60193" s="60"/>
      <c r="I60193" s="63"/>
      <c r="R60193" s="64"/>
    </row>
    <row r="60194" spans="3:18" s="8" customFormat="1" x14ac:dyDescent="0.25">
      <c r="C60194" s="60"/>
      <c r="I60194" s="63"/>
      <c r="R60194" s="64"/>
    </row>
    <row r="60195" spans="3:18" s="8" customFormat="1" x14ac:dyDescent="0.25">
      <c r="C60195" s="60"/>
      <c r="I60195" s="63"/>
      <c r="R60195" s="64"/>
    </row>
    <row r="60196" spans="3:18" s="8" customFormat="1" x14ac:dyDescent="0.25">
      <c r="C60196" s="60"/>
      <c r="I60196" s="63"/>
      <c r="R60196" s="64"/>
    </row>
    <row r="60197" spans="3:18" s="8" customFormat="1" x14ac:dyDescent="0.25">
      <c r="C60197" s="60"/>
      <c r="I60197" s="63"/>
      <c r="R60197" s="64"/>
    </row>
    <row r="60198" spans="3:18" s="8" customFormat="1" x14ac:dyDescent="0.25">
      <c r="C60198" s="60"/>
      <c r="I60198" s="63"/>
      <c r="R60198" s="64"/>
    </row>
    <row r="60199" spans="3:18" s="8" customFormat="1" x14ac:dyDescent="0.25">
      <c r="C60199" s="60"/>
      <c r="I60199" s="63"/>
      <c r="R60199" s="64"/>
    </row>
    <row r="60200" spans="3:18" s="8" customFormat="1" x14ac:dyDescent="0.25">
      <c r="C60200" s="60"/>
      <c r="I60200" s="63"/>
      <c r="R60200" s="64"/>
    </row>
    <row r="60201" spans="3:18" s="8" customFormat="1" x14ac:dyDescent="0.25">
      <c r="C60201" s="60"/>
      <c r="I60201" s="63"/>
      <c r="R60201" s="64"/>
    </row>
    <row r="60202" spans="3:18" s="8" customFormat="1" x14ac:dyDescent="0.25">
      <c r="C60202" s="60"/>
      <c r="I60202" s="63"/>
      <c r="R60202" s="64"/>
    </row>
    <row r="60203" spans="3:18" s="8" customFormat="1" x14ac:dyDescent="0.25">
      <c r="C60203" s="60"/>
      <c r="I60203" s="63"/>
      <c r="R60203" s="64"/>
    </row>
    <row r="60204" spans="3:18" s="8" customFormat="1" x14ac:dyDescent="0.25">
      <c r="C60204" s="60"/>
      <c r="I60204" s="63"/>
      <c r="R60204" s="64"/>
    </row>
    <row r="60205" spans="3:18" s="8" customFormat="1" x14ac:dyDescent="0.25">
      <c r="C60205" s="60"/>
      <c r="I60205" s="63"/>
      <c r="R60205" s="64"/>
    </row>
    <row r="60206" spans="3:18" s="8" customFormat="1" x14ac:dyDescent="0.25">
      <c r="C60206" s="60"/>
      <c r="I60206" s="63"/>
      <c r="R60206" s="64"/>
    </row>
    <row r="60207" spans="3:18" s="8" customFormat="1" x14ac:dyDescent="0.25">
      <c r="C60207" s="60"/>
      <c r="I60207" s="63"/>
      <c r="R60207" s="64"/>
    </row>
    <row r="60208" spans="3:18" s="8" customFormat="1" x14ac:dyDescent="0.25">
      <c r="C60208" s="60"/>
      <c r="I60208" s="63"/>
      <c r="R60208" s="64"/>
    </row>
    <row r="60209" spans="3:18" s="8" customFormat="1" x14ac:dyDescent="0.25">
      <c r="C60209" s="60"/>
      <c r="I60209" s="63"/>
      <c r="R60209" s="64"/>
    </row>
    <row r="60210" spans="3:18" s="8" customFormat="1" x14ac:dyDescent="0.25">
      <c r="C60210" s="60"/>
      <c r="I60210" s="63"/>
      <c r="R60210" s="64"/>
    </row>
    <row r="60211" spans="3:18" s="8" customFormat="1" x14ac:dyDescent="0.25">
      <c r="C60211" s="60"/>
      <c r="I60211" s="63"/>
      <c r="R60211" s="64"/>
    </row>
    <row r="60212" spans="3:18" s="8" customFormat="1" x14ac:dyDescent="0.25">
      <c r="C60212" s="60"/>
      <c r="I60212" s="63"/>
      <c r="R60212" s="64"/>
    </row>
    <row r="60213" spans="3:18" s="8" customFormat="1" x14ac:dyDescent="0.25">
      <c r="C60213" s="60"/>
      <c r="I60213" s="63"/>
      <c r="R60213" s="64"/>
    </row>
    <row r="60214" spans="3:18" s="8" customFormat="1" x14ac:dyDescent="0.25">
      <c r="C60214" s="60"/>
      <c r="I60214" s="63"/>
      <c r="R60214" s="64"/>
    </row>
    <row r="60215" spans="3:18" s="8" customFormat="1" x14ac:dyDescent="0.25">
      <c r="C60215" s="60"/>
      <c r="I60215" s="63"/>
      <c r="R60215" s="64"/>
    </row>
    <row r="60216" spans="3:18" s="8" customFormat="1" x14ac:dyDescent="0.25">
      <c r="C60216" s="60"/>
      <c r="I60216" s="63"/>
      <c r="R60216" s="64"/>
    </row>
    <row r="60217" spans="3:18" s="8" customFormat="1" x14ac:dyDescent="0.25">
      <c r="C60217" s="60"/>
      <c r="I60217" s="63"/>
      <c r="R60217" s="64"/>
    </row>
    <row r="60218" spans="3:18" s="8" customFormat="1" x14ac:dyDescent="0.25">
      <c r="C60218" s="60"/>
      <c r="I60218" s="63"/>
      <c r="R60218" s="64"/>
    </row>
    <row r="60219" spans="3:18" s="8" customFormat="1" x14ac:dyDescent="0.25">
      <c r="C60219" s="60"/>
      <c r="I60219" s="63"/>
      <c r="R60219" s="64"/>
    </row>
    <row r="60220" spans="3:18" s="8" customFormat="1" x14ac:dyDescent="0.25">
      <c r="C60220" s="60"/>
      <c r="I60220" s="63"/>
      <c r="R60220" s="64"/>
    </row>
    <row r="60221" spans="3:18" s="8" customFormat="1" x14ac:dyDescent="0.25">
      <c r="C60221" s="60"/>
      <c r="I60221" s="63"/>
      <c r="R60221" s="64"/>
    </row>
    <row r="60222" spans="3:18" s="8" customFormat="1" x14ac:dyDescent="0.25">
      <c r="C60222" s="60"/>
      <c r="I60222" s="63"/>
      <c r="R60222" s="64"/>
    </row>
    <row r="60223" spans="3:18" s="8" customFormat="1" x14ac:dyDescent="0.25">
      <c r="C60223" s="60"/>
      <c r="I60223" s="63"/>
      <c r="R60223" s="64"/>
    </row>
    <row r="60224" spans="3:18" s="8" customFormat="1" x14ac:dyDescent="0.25">
      <c r="C60224" s="60"/>
      <c r="I60224" s="63"/>
      <c r="R60224" s="64"/>
    </row>
    <row r="60225" spans="3:18" s="8" customFormat="1" x14ac:dyDescent="0.25">
      <c r="C60225" s="60"/>
      <c r="I60225" s="63"/>
      <c r="R60225" s="64"/>
    </row>
    <row r="60226" spans="3:18" s="8" customFormat="1" x14ac:dyDescent="0.25">
      <c r="C60226" s="60"/>
      <c r="I60226" s="63"/>
      <c r="R60226" s="64"/>
    </row>
    <row r="60227" spans="3:18" s="8" customFormat="1" x14ac:dyDescent="0.25">
      <c r="C60227" s="60"/>
      <c r="I60227" s="63"/>
      <c r="R60227" s="64"/>
    </row>
    <row r="60228" spans="3:18" s="8" customFormat="1" x14ac:dyDescent="0.25">
      <c r="C60228" s="60"/>
      <c r="I60228" s="63"/>
      <c r="R60228" s="64"/>
    </row>
    <row r="60229" spans="3:18" s="8" customFormat="1" x14ac:dyDescent="0.25">
      <c r="C60229" s="60"/>
      <c r="I60229" s="63"/>
      <c r="R60229" s="64"/>
    </row>
    <row r="60230" spans="3:18" s="8" customFormat="1" x14ac:dyDescent="0.25">
      <c r="C60230" s="60"/>
      <c r="I60230" s="63"/>
      <c r="R60230" s="64"/>
    </row>
    <row r="60231" spans="3:18" s="8" customFormat="1" x14ac:dyDescent="0.25">
      <c r="C60231" s="60"/>
      <c r="I60231" s="63"/>
      <c r="R60231" s="64"/>
    </row>
    <row r="60232" spans="3:18" s="8" customFormat="1" x14ac:dyDescent="0.25">
      <c r="C60232" s="60"/>
      <c r="I60232" s="63"/>
      <c r="R60232" s="64"/>
    </row>
    <row r="60233" spans="3:18" s="8" customFormat="1" x14ac:dyDescent="0.25">
      <c r="C60233" s="60"/>
      <c r="I60233" s="63"/>
      <c r="R60233" s="64"/>
    </row>
    <row r="60234" spans="3:18" s="8" customFormat="1" x14ac:dyDescent="0.25">
      <c r="C60234" s="60"/>
      <c r="I60234" s="63"/>
      <c r="R60234" s="64"/>
    </row>
    <row r="60235" spans="3:18" s="8" customFormat="1" x14ac:dyDescent="0.25">
      <c r="C60235" s="60"/>
      <c r="I60235" s="63"/>
      <c r="R60235" s="64"/>
    </row>
    <row r="60236" spans="3:18" s="8" customFormat="1" x14ac:dyDescent="0.25">
      <c r="C60236" s="60"/>
      <c r="I60236" s="63"/>
      <c r="R60236" s="64"/>
    </row>
    <row r="60237" spans="3:18" s="8" customFormat="1" x14ac:dyDescent="0.25">
      <c r="C60237" s="60"/>
      <c r="I60237" s="63"/>
      <c r="R60237" s="64"/>
    </row>
    <row r="60238" spans="3:18" s="8" customFormat="1" x14ac:dyDescent="0.25">
      <c r="C60238" s="60"/>
      <c r="I60238" s="63"/>
      <c r="R60238" s="64"/>
    </row>
    <row r="60239" spans="3:18" s="8" customFormat="1" x14ac:dyDescent="0.25">
      <c r="C60239" s="60"/>
      <c r="I60239" s="63"/>
      <c r="R60239" s="64"/>
    </row>
    <row r="60240" spans="3:18" s="8" customFormat="1" x14ac:dyDescent="0.25">
      <c r="C60240" s="60"/>
      <c r="I60240" s="63"/>
      <c r="R60240" s="64"/>
    </row>
    <row r="60241" spans="3:18" s="8" customFormat="1" x14ac:dyDescent="0.25">
      <c r="C60241" s="60"/>
      <c r="I60241" s="63"/>
      <c r="R60241" s="64"/>
    </row>
    <row r="60242" spans="3:18" s="8" customFormat="1" x14ac:dyDescent="0.25">
      <c r="C60242" s="60"/>
      <c r="I60242" s="63"/>
      <c r="R60242" s="64"/>
    </row>
    <row r="60243" spans="3:18" s="8" customFormat="1" x14ac:dyDescent="0.25">
      <c r="C60243" s="60"/>
      <c r="I60243" s="63"/>
      <c r="R60243" s="64"/>
    </row>
    <row r="60244" spans="3:18" s="8" customFormat="1" x14ac:dyDescent="0.25">
      <c r="C60244" s="60"/>
      <c r="I60244" s="63"/>
      <c r="R60244" s="64"/>
    </row>
    <row r="60245" spans="3:18" s="8" customFormat="1" x14ac:dyDescent="0.25">
      <c r="C60245" s="60"/>
      <c r="I60245" s="63"/>
      <c r="R60245" s="64"/>
    </row>
    <row r="60246" spans="3:18" s="8" customFormat="1" x14ac:dyDescent="0.25">
      <c r="C60246" s="60"/>
      <c r="I60246" s="63"/>
      <c r="R60246" s="64"/>
    </row>
    <row r="60247" spans="3:18" s="8" customFormat="1" x14ac:dyDescent="0.25">
      <c r="C60247" s="60"/>
      <c r="I60247" s="63"/>
      <c r="R60247" s="64"/>
    </row>
    <row r="60248" spans="3:18" s="8" customFormat="1" x14ac:dyDescent="0.25">
      <c r="C60248" s="60"/>
      <c r="I60248" s="63"/>
      <c r="R60248" s="64"/>
    </row>
    <row r="60249" spans="3:18" s="8" customFormat="1" x14ac:dyDescent="0.25">
      <c r="C60249" s="60"/>
      <c r="I60249" s="63"/>
      <c r="R60249" s="64"/>
    </row>
    <row r="60250" spans="3:18" s="8" customFormat="1" x14ac:dyDescent="0.25">
      <c r="C60250" s="60"/>
      <c r="I60250" s="63"/>
      <c r="R60250" s="64"/>
    </row>
    <row r="60251" spans="3:18" s="8" customFormat="1" x14ac:dyDescent="0.25">
      <c r="C60251" s="60"/>
      <c r="I60251" s="63"/>
      <c r="R60251" s="64"/>
    </row>
    <row r="60252" spans="3:18" s="8" customFormat="1" x14ac:dyDescent="0.25">
      <c r="C60252" s="60"/>
      <c r="I60252" s="63"/>
      <c r="R60252" s="64"/>
    </row>
    <row r="60253" spans="3:18" s="8" customFormat="1" x14ac:dyDescent="0.25">
      <c r="C60253" s="60"/>
      <c r="I60253" s="63"/>
      <c r="R60253" s="64"/>
    </row>
    <row r="60254" spans="3:18" s="8" customFormat="1" x14ac:dyDescent="0.25">
      <c r="C60254" s="60"/>
      <c r="I60254" s="63"/>
      <c r="R60254" s="64"/>
    </row>
    <row r="60255" spans="3:18" s="8" customFormat="1" x14ac:dyDescent="0.25">
      <c r="C60255" s="60"/>
      <c r="I60255" s="63"/>
      <c r="R60255" s="64"/>
    </row>
    <row r="60256" spans="3:18" s="8" customFormat="1" x14ac:dyDescent="0.25">
      <c r="C60256" s="60"/>
      <c r="I60256" s="63"/>
      <c r="R60256" s="64"/>
    </row>
    <row r="60257" spans="3:18" s="8" customFormat="1" x14ac:dyDescent="0.25">
      <c r="C60257" s="60"/>
      <c r="I60257" s="63"/>
      <c r="R60257" s="64"/>
    </row>
    <row r="60258" spans="3:18" s="8" customFormat="1" x14ac:dyDescent="0.25">
      <c r="C60258" s="60"/>
      <c r="I60258" s="63"/>
      <c r="R60258" s="64"/>
    </row>
    <row r="60259" spans="3:18" s="8" customFormat="1" x14ac:dyDescent="0.25">
      <c r="C60259" s="60"/>
      <c r="I60259" s="63"/>
      <c r="R60259" s="64"/>
    </row>
    <row r="60260" spans="3:18" s="8" customFormat="1" x14ac:dyDescent="0.25">
      <c r="C60260" s="60"/>
      <c r="I60260" s="63"/>
      <c r="R60260" s="64"/>
    </row>
    <row r="60261" spans="3:18" s="8" customFormat="1" x14ac:dyDescent="0.25">
      <c r="C60261" s="60"/>
      <c r="I60261" s="63"/>
      <c r="R60261" s="64"/>
    </row>
    <row r="60262" spans="3:18" s="8" customFormat="1" x14ac:dyDescent="0.25">
      <c r="C60262" s="60"/>
      <c r="I60262" s="63"/>
      <c r="R60262" s="64"/>
    </row>
    <row r="60263" spans="3:18" s="8" customFormat="1" x14ac:dyDescent="0.25">
      <c r="C60263" s="60"/>
      <c r="I60263" s="63"/>
      <c r="R60263" s="64"/>
    </row>
    <row r="60264" spans="3:18" s="8" customFormat="1" x14ac:dyDescent="0.25">
      <c r="C60264" s="60"/>
      <c r="I60264" s="63"/>
      <c r="R60264" s="64"/>
    </row>
    <row r="60265" spans="3:18" s="8" customFormat="1" x14ac:dyDescent="0.25">
      <c r="C60265" s="60"/>
      <c r="I60265" s="63"/>
      <c r="R60265" s="64"/>
    </row>
    <row r="60266" spans="3:18" s="8" customFormat="1" x14ac:dyDescent="0.25">
      <c r="C60266" s="60"/>
      <c r="I60266" s="63"/>
      <c r="R60266" s="64"/>
    </row>
    <row r="60267" spans="3:18" s="8" customFormat="1" x14ac:dyDescent="0.25">
      <c r="C60267" s="60"/>
      <c r="I60267" s="63"/>
      <c r="R60267" s="64"/>
    </row>
    <row r="60268" spans="3:18" s="8" customFormat="1" x14ac:dyDescent="0.25">
      <c r="C60268" s="60"/>
      <c r="I60268" s="63"/>
      <c r="R60268" s="64"/>
    </row>
    <row r="60269" spans="3:18" s="8" customFormat="1" x14ac:dyDescent="0.25">
      <c r="C60269" s="60"/>
      <c r="I60269" s="63"/>
      <c r="R60269" s="64"/>
    </row>
    <row r="60270" spans="3:18" s="8" customFormat="1" x14ac:dyDescent="0.25">
      <c r="C60270" s="60"/>
      <c r="I60270" s="63"/>
      <c r="R60270" s="64"/>
    </row>
    <row r="60271" spans="3:18" s="8" customFormat="1" x14ac:dyDescent="0.25">
      <c r="C60271" s="60"/>
      <c r="I60271" s="63"/>
      <c r="R60271" s="64"/>
    </row>
    <row r="60272" spans="3:18" s="8" customFormat="1" x14ac:dyDescent="0.25">
      <c r="C60272" s="60"/>
      <c r="I60272" s="63"/>
      <c r="R60272" s="64"/>
    </row>
    <row r="60273" spans="3:18" s="8" customFormat="1" x14ac:dyDescent="0.25">
      <c r="C60273" s="60"/>
      <c r="I60273" s="63"/>
      <c r="R60273" s="64"/>
    </row>
    <row r="60274" spans="3:18" s="8" customFormat="1" x14ac:dyDescent="0.25">
      <c r="C60274" s="60"/>
      <c r="I60274" s="63"/>
      <c r="R60274" s="64"/>
    </row>
    <row r="60275" spans="3:18" s="8" customFormat="1" x14ac:dyDescent="0.25">
      <c r="C60275" s="60"/>
      <c r="I60275" s="63"/>
      <c r="R60275" s="64"/>
    </row>
    <row r="60276" spans="3:18" s="8" customFormat="1" x14ac:dyDescent="0.25">
      <c r="C60276" s="60"/>
      <c r="I60276" s="63"/>
      <c r="R60276" s="64"/>
    </row>
    <row r="60277" spans="3:18" s="8" customFormat="1" x14ac:dyDescent="0.25">
      <c r="C60277" s="60"/>
      <c r="I60277" s="63"/>
      <c r="R60277" s="64"/>
    </row>
    <row r="60278" spans="3:18" s="8" customFormat="1" x14ac:dyDescent="0.25">
      <c r="C60278" s="60"/>
      <c r="I60278" s="63"/>
      <c r="R60278" s="64"/>
    </row>
    <row r="60279" spans="3:18" s="8" customFormat="1" x14ac:dyDescent="0.25">
      <c r="C60279" s="60"/>
      <c r="I60279" s="63"/>
      <c r="R60279" s="64"/>
    </row>
    <row r="60280" spans="3:18" s="8" customFormat="1" x14ac:dyDescent="0.25">
      <c r="C60280" s="60"/>
      <c r="I60280" s="63"/>
      <c r="R60280" s="64"/>
    </row>
    <row r="60281" spans="3:18" s="8" customFormat="1" x14ac:dyDescent="0.25">
      <c r="C60281" s="60"/>
      <c r="I60281" s="63"/>
      <c r="R60281" s="64"/>
    </row>
    <row r="60282" spans="3:18" s="8" customFormat="1" x14ac:dyDescent="0.25">
      <c r="C60282" s="60"/>
      <c r="I60282" s="63"/>
      <c r="R60282" s="64"/>
    </row>
    <row r="60283" spans="3:18" s="8" customFormat="1" x14ac:dyDescent="0.25">
      <c r="C60283" s="60"/>
      <c r="I60283" s="63"/>
      <c r="R60283" s="64"/>
    </row>
    <row r="60284" spans="3:18" s="8" customFormat="1" x14ac:dyDescent="0.25">
      <c r="C60284" s="60"/>
      <c r="I60284" s="63"/>
      <c r="R60284" s="64"/>
    </row>
    <row r="60285" spans="3:18" s="8" customFormat="1" x14ac:dyDescent="0.25">
      <c r="C60285" s="60"/>
      <c r="I60285" s="63"/>
      <c r="R60285" s="64"/>
    </row>
    <row r="60286" spans="3:18" s="8" customFormat="1" x14ac:dyDescent="0.25">
      <c r="C60286" s="60"/>
      <c r="I60286" s="63"/>
      <c r="R60286" s="64"/>
    </row>
    <row r="60287" spans="3:18" s="8" customFormat="1" x14ac:dyDescent="0.25">
      <c r="C60287" s="60"/>
      <c r="I60287" s="63"/>
      <c r="R60287" s="64"/>
    </row>
    <row r="60288" spans="3:18" s="8" customFormat="1" x14ac:dyDescent="0.25">
      <c r="C60288" s="60"/>
      <c r="I60288" s="63"/>
      <c r="R60288" s="64"/>
    </row>
    <row r="60289" spans="3:18" s="8" customFormat="1" x14ac:dyDescent="0.25">
      <c r="C60289" s="60"/>
      <c r="I60289" s="63"/>
      <c r="R60289" s="64"/>
    </row>
    <row r="60290" spans="3:18" s="8" customFormat="1" x14ac:dyDescent="0.25">
      <c r="C60290" s="60"/>
      <c r="I60290" s="63"/>
      <c r="R60290" s="64"/>
    </row>
    <row r="60291" spans="3:18" s="8" customFormat="1" x14ac:dyDescent="0.25">
      <c r="C60291" s="60"/>
      <c r="I60291" s="63"/>
      <c r="R60291" s="64"/>
    </row>
    <row r="60292" spans="3:18" s="8" customFormat="1" x14ac:dyDescent="0.25">
      <c r="C60292" s="60"/>
      <c r="I60292" s="63"/>
      <c r="R60292" s="64"/>
    </row>
    <row r="60293" spans="3:18" s="8" customFormat="1" x14ac:dyDescent="0.25">
      <c r="C60293" s="60"/>
      <c r="I60293" s="63"/>
      <c r="R60293" s="64"/>
    </row>
    <row r="60294" spans="3:18" s="8" customFormat="1" x14ac:dyDescent="0.25">
      <c r="C60294" s="60"/>
      <c r="I60294" s="63"/>
      <c r="R60294" s="64"/>
    </row>
    <row r="60295" spans="3:18" s="8" customFormat="1" x14ac:dyDescent="0.25">
      <c r="C60295" s="60"/>
      <c r="I60295" s="63"/>
      <c r="R60295" s="64"/>
    </row>
    <row r="60296" spans="3:18" s="8" customFormat="1" x14ac:dyDescent="0.25">
      <c r="C60296" s="60"/>
      <c r="I60296" s="63"/>
      <c r="R60296" s="64"/>
    </row>
    <row r="60297" spans="3:18" s="8" customFormat="1" x14ac:dyDescent="0.25">
      <c r="C60297" s="60"/>
      <c r="I60297" s="63"/>
      <c r="R60297" s="64"/>
    </row>
    <row r="60298" spans="3:18" s="8" customFormat="1" x14ac:dyDescent="0.25">
      <c r="C60298" s="60"/>
      <c r="I60298" s="63"/>
      <c r="R60298" s="64"/>
    </row>
    <row r="60299" spans="3:18" s="8" customFormat="1" x14ac:dyDescent="0.25">
      <c r="C60299" s="60"/>
      <c r="I60299" s="63"/>
      <c r="R60299" s="64"/>
    </row>
    <row r="60300" spans="3:18" s="8" customFormat="1" x14ac:dyDescent="0.25">
      <c r="C60300" s="60"/>
      <c r="I60300" s="63"/>
      <c r="R60300" s="64"/>
    </row>
    <row r="60301" spans="3:18" s="8" customFormat="1" x14ac:dyDescent="0.25">
      <c r="C60301" s="60"/>
      <c r="I60301" s="63"/>
      <c r="R60301" s="64"/>
    </row>
    <row r="60302" spans="3:18" s="8" customFormat="1" x14ac:dyDescent="0.25">
      <c r="C60302" s="60"/>
      <c r="I60302" s="63"/>
      <c r="R60302" s="64"/>
    </row>
    <row r="60303" spans="3:18" s="8" customFormat="1" x14ac:dyDescent="0.25">
      <c r="C60303" s="60"/>
      <c r="I60303" s="63"/>
      <c r="R60303" s="64"/>
    </row>
    <row r="60304" spans="3:18" s="8" customFormat="1" x14ac:dyDescent="0.25">
      <c r="C60304" s="60"/>
      <c r="I60304" s="63"/>
      <c r="R60304" s="64"/>
    </row>
    <row r="60305" spans="3:18" s="8" customFormat="1" x14ac:dyDescent="0.25">
      <c r="C60305" s="60"/>
      <c r="I60305" s="63"/>
      <c r="R60305" s="64"/>
    </row>
    <row r="60306" spans="3:18" s="8" customFormat="1" x14ac:dyDescent="0.25">
      <c r="C60306" s="60"/>
      <c r="I60306" s="63"/>
      <c r="R60306" s="64"/>
    </row>
    <row r="60307" spans="3:18" s="8" customFormat="1" x14ac:dyDescent="0.25">
      <c r="C60307" s="60"/>
      <c r="I60307" s="63"/>
      <c r="R60307" s="64"/>
    </row>
    <row r="60308" spans="3:18" s="8" customFormat="1" x14ac:dyDescent="0.25">
      <c r="C60308" s="60"/>
      <c r="I60308" s="63"/>
      <c r="R60308" s="64"/>
    </row>
    <row r="60309" spans="3:18" s="8" customFormat="1" x14ac:dyDescent="0.25">
      <c r="C60309" s="60"/>
      <c r="I60309" s="63"/>
      <c r="R60309" s="64"/>
    </row>
    <row r="60310" spans="3:18" s="8" customFormat="1" x14ac:dyDescent="0.25">
      <c r="C60310" s="60"/>
      <c r="I60310" s="63"/>
      <c r="R60310" s="64"/>
    </row>
    <row r="60311" spans="3:18" s="8" customFormat="1" x14ac:dyDescent="0.25">
      <c r="C60311" s="60"/>
      <c r="I60311" s="63"/>
      <c r="R60311" s="64"/>
    </row>
    <row r="60312" spans="3:18" s="8" customFormat="1" x14ac:dyDescent="0.25">
      <c r="C60312" s="60"/>
      <c r="I60312" s="63"/>
      <c r="R60312" s="64"/>
    </row>
    <row r="60313" spans="3:18" s="8" customFormat="1" x14ac:dyDescent="0.25">
      <c r="C60313" s="60"/>
      <c r="I60313" s="63"/>
      <c r="R60313" s="64"/>
    </row>
    <row r="60314" spans="3:18" s="8" customFormat="1" x14ac:dyDescent="0.25">
      <c r="C60314" s="60"/>
      <c r="I60314" s="63"/>
      <c r="R60314" s="64"/>
    </row>
    <row r="60315" spans="3:18" s="8" customFormat="1" x14ac:dyDescent="0.25">
      <c r="C60315" s="60"/>
      <c r="I60315" s="63"/>
      <c r="R60315" s="64"/>
    </row>
    <row r="60316" spans="3:18" s="8" customFormat="1" x14ac:dyDescent="0.25">
      <c r="C60316" s="60"/>
      <c r="I60316" s="63"/>
      <c r="R60316" s="64"/>
    </row>
    <row r="60317" spans="3:18" s="8" customFormat="1" x14ac:dyDescent="0.25">
      <c r="C60317" s="60"/>
      <c r="I60317" s="63"/>
      <c r="R60317" s="64"/>
    </row>
    <row r="60318" spans="3:18" s="8" customFormat="1" x14ac:dyDescent="0.25">
      <c r="C60318" s="60"/>
      <c r="I60318" s="63"/>
      <c r="R60318" s="64"/>
    </row>
    <row r="60319" spans="3:18" s="8" customFormat="1" x14ac:dyDescent="0.25">
      <c r="C60319" s="60"/>
      <c r="I60319" s="63"/>
      <c r="R60319" s="64"/>
    </row>
    <row r="60320" spans="3:18" s="8" customFormat="1" x14ac:dyDescent="0.25">
      <c r="C60320" s="60"/>
      <c r="I60320" s="63"/>
      <c r="R60320" s="64"/>
    </row>
    <row r="60321" spans="3:18" s="8" customFormat="1" x14ac:dyDescent="0.25">
      <c r="C60321" s="60"/>
      <c r="I60321" s="63"/>
      <c r="R60321" s="64"/>
    </row>
    <row r="60322" spans="3:18" s="8" customFormat="1" x14ac:dyDescent="0.25">
      <c r="C60322" s="60"/>
      <c r="I60322" s="63"/>
      <c r="R60322" s="64"/>
    </row>
    <row r="60323" spans="3:18" s="8" customFormat="1" x14ac:dyDescent="0.25">
      <c r="C60323" s="60"/>
      <c r="I60323" s="63"/>
      <c r="R60323" s="64"/>
    </row>
    <row r="60324" spans="3:18" s="8" customFormat="1" x14ac:dyDescent="0.25">
      <c r="C60324" s="60"/>
      <c r="I60324" s="63"/>
      <c r="R60324" s="64"/>
    </row>
    <row r="60325" spans="3:18" s="8" customFormat="1" x14ac:dyDescent="0.25">
      <c r="C60325" s="60"/>
      <c r="I60325" s="63"/>
      <c r="R60325" s="64"/>
    </row>
    <row r="60326" spans="3:18" s="8" customFormat="1" x14ac:dyDescent="0.25">
      <c r="C60326" s="60"/>
      <c r="I60326" s="63"/>
      <c r="R60326" s="64"/>
    </row>
    <row r="60327" spans="3:18" s="8" customFormat="1" x14ac:dyDescent="0.25">
      <c r="C60327" s="60"/>
      <c r="I60327" s="63"/>
      <c r="R60327" s="64"/>
    </row>
    <row r="60328" spans="3:18" s="8" customFormat="1" x14ac:dyDescent="0.25">
      <c r="C60328" s="60"/>
      <c r="I60328" s="63"/>
      <c r="R60328" s="64"/>
    </row>
    <row r="60329" spans="3:18" s="8" customFormat="1" x14ac:dyDescent="0.25">
      <c r="C60329" s="60"/>
      <c r="I60329" s="63"/>
      <c r="R60329" s="64"/>
    </row>
    <row r="60330" spans="3:18" s="8" customFormat="1" x14ac:dyDescent="0.25">
      <c r="C60330" s="60"/>
      <c r="I60330" s="63"/>
      <c r="R60330" s="64"/>
    </row>
    <row r="60331" spans="3:18" s="8" customFormat="1" x14ac:dyDescent="0.25">
      <c r="C60331" s="60"/>
      <c r="I60331" s="63"/>
      <c r="R60331" s="64"/>
    </row>
    <row r="60332" spans="3:18" s="8" customFormat="1" x14ac:dyDescent="0.25">
      <c r="C60332" s="60"/>
      <c r="I60332" s="63"/>
      <c r="R60332" s="64"/>
    </row>
    <row r="60333" spans="3:18" s="8" customFormat="1" x14ac:dyDescent="0.25">
      <c r="C60333" s="60"/>
      <c r="I60333" s="63"/>
      <c r="R60333" s="64"/>
    </row>
    <row r="60334" spans="3:18" s="8" customFormat="1" x14ac:dyDescent="0.25">
      <c r="C60334" s="60"/>
      <c r="I60334" s="63"/>
      <c r="R60334" s="64"/>
    </row>
    <row r="60335" spans="3:18" s="8" customFormat="1" x14ac:dyDescent="0.25">
      <c r="C60335" s="60"/>
      <c r="I60335" s="63"/>
      <c r="R60335" s="64"/>
    </row>
    <row r="60336" spans="3:18" s="8" customFormat="1" x14ac:dyDescent="0.25">
      <c r="C60336" s="60"/>
      <c r="I60336" s="63"/>
      <c r="R60336" s="64"/>
    </row>
    <row r="60337" spans="3:18" s="8" customFormat="1" x14ac:dyDescent="0.25">
      <c r="C60337" s="60"/>
      <c r="I60337" s="63"/>
      <c r="R60337" s="64"/>
    </row>
    <row r="60338" spans="3:18" s="8" customFormat="1" x14ac:dyDescent="0.25">
      <c r="C60338" s="60"/>
      <c r="I60338" s="63"/>
      <c r="R60338" s="64"/>
    </row>
    <row r="60339" spans="3:18" s="8" customFormat="1" x14ac:dyDescent="0.25">
      <c r="C60339" s="60"/>
      <c r="I60339" s="63"/>
      <c r="R60339" s="64"/>
    </row>
    <row r="60340" spans="3:18" s="8" customFormat="1" x14ac:dyDescent="0.25">
      <c r="C60340" s="60"/>
      <c r="I60340" s="63"/>
      <c r="R60340" s="64"/>
    </row>
    <row r="60341" spans="3:18" s="8" customFormat="1" x14ac:dyDescent="0.25">
      <c r="C60341" s="60"/>
      <c r="I60341" s="63"/>
      <c r="R60341" s="64"/>
    </row>
    <row r="60342" spans="3:18" s="8" customFormat="1" x14ac:dyDescent="0.25">
      <c r="C60342" s="60"/>
      <c r="I60342" s="63"/>
      <c r="R60342" s="64"/>
    </row>
    <row r="60343" spans="3:18" s="8" customFormat="1" x14ac:dyDescent="0.25">
      <c r="C60343" s="60"/>
      <c r="I60343" s="63"/>
      <c r="R60343" s="64"/>
    </row>
    <row r="60344" spans="3:18" s="8" customFormat="1" x14ac:dyDescent="0.25">
      <c r="C60344" s="60"/>
      <c r="I60344" s="63"/>
      <c r="R60344" s="64"/>
    </row>
    <row r="60345" spans="3:18" s="8" customFormat="1" x14ac:dyDescent="0.25">
      <c r="C60345" s="60"/>
      <c r="I60345" s="63"/>
      <c r="R60345" s="64"/>
    </row>
    <row r="60346" spans="3:18" s="8" customFormat="1" x14ac:dyDescent="0.25">
      <c r="C60346" s="60"/>
      <c r="I60346" s="63"/>
      <c r="R60346" s="64"/>
    </row>
    <row r="60347" spans="3:18" s="8" customFormat="1" x14ac:dyDescent="0.25">
      <c r="C60347" s="60"/>
      <c r="I60347" s="63"/>
      <c r="R60347" s="64"/>
    </row>
    <row r="60348" spans="3:18" s="8" customFormat="1" x14ac:dyDescent="0.25">
      <c r="C60348" s="60"/>
      <c r="I60348" s="63"/>
      <c r="R60348" s="64"/>
    </row>
    <row r="60349" spans="3:18" s="8" customFormat="1" x14ac:dyDescent="0.25">
      <c r="C60349" s="60"/>
      <c r="I60349" s="63"/>
      <c r="R60349" s="64"/>
    </row>
    <row r="60350" spans="3:18" s="8" customFormat="1" x14ac:dyDescent="0.25">
      <c r="C60350" s="60"/>
      <c r="I60350" s="63"/>
      <c r="R60350" s="64"/>
    </row>
    <row r="60351" spans="3:18" s="8" customFormat="1" x14ac:dyDescent="0.25">
      <c r="C60351" s="60"/>
      <c r="I60351" s="63"/>
      <c r="R60351" s="64"/>
    </row>
    <row r="60352" spans="3:18" s="8" customFormat="1" x14ac:dyDescent="0.25">
      <c r="C60352" s="60"/>
      <c r="I60352" s="63"/>
      <c r="R60352" s="64"/>
    </row>
    <row r="60353" spans="3:18" s="8" customFormat="1" x14ac:dyDescent="0.25">
      <c r="C60353" s="60"/>
      <c r="I60353" s="63"/>
      <c r="R60353" s="64"/>
    </row>
    <row r="60354" spans="3:18" s="8" customFormat="1" x14ac:dyDescent="0.25">
      <c r="C60354" s="60"/>
      <c r="I60354" s="63"/>
      <c r="R60354" s="64"/>
    </row>
    <row r="60355" spans="3:18" s="8" customFormat="1" x14ac:dyDescent="0.25">
      <c r="C60355" s="60"/>
      <c r="I60355" s="63"/>
      <c r="R60355" s="64"/>
    </row>
    <row r="60356" spans="3:18" s="8" customFormat="1" x14ac:dyDescent="0.25">
      <c r="C60356" s="60"/>
      <c r="I60356" s="63"/>
      <c r="R60356" s="64"/>
    </row>
    <row r="60357" spans="3:18" s="8" customFormat="1" x14ac:dyDescent="0.25">
      <c r="C60357" s="60"/>
      <c r="I60357" s="63"/>
      <c r="R60357" s="64"/>
    </row>
    <row r="60358" spans="3:18" s="8" customFormat="1" x14ac:dyDescent="0.25">
      <c r="C60358" s="60"/>
      <c r="I60358" s="63"/>
      <c r="R60358" s="64"/>
    </row>
    <row r="60359" spans="3:18" s="8" customFormat="1" x14ac:dyDescent="0.25">
      <c r="C60359" s="60"/>
      <c r="I60359" s="63"/>
      <c r="R60359" s="64"/>
    </row>
    <row r="60360" spans="3:18" s="8" customFormat="1" x14ac:dyDescent="0.25">
      <c r="C60360" s="60"/>
      <c r="I60360" s="63"/>
      <c r="R60360" s="64"/>
    </row>
    <row r="60361" spans="3:18" s="8" customFormat="1" x14ac:dyDescent="0.25">
      <c r="C60361" s="60"/>
      <c r="I60361" s="63"/>
      <c r="R60361" s="64"/>
    </row>
    <row r="60362" spans="3:18" s="8" customFormat="1" x14ac:dyDescent="0.25">
      <c r="C60362" s="60"/>
      <c r="I60362" s="63"/>
      <c r="R60362" s="64"/>
    </row>
    <row r="60363" spans="3:18" s="8" customFormat="1" x14ac:dyDescent="0.25">
      <c r="C60363" s="60"/>
      <c r="I60363" s="63"/>
      <c r="R60363" s="64"/>
    </row>
    <row r="60364" spans="3:18" s="8" customFormat="1" x14ac:dyDescent="0.25">
      <c r="C60364" s="60"/>
      <c r="I60364" s="63"/>
      <c r="R60364" s="64"/>
    </row>
    <row r="60365" spans="3:18" s="8" customFormat="1" x14ac:dyDescent="0.25">
      <c r="C60365" s="60"/>
      <c r="I60365" s="63"/>
      <c r="R60365" s="64"/>
    </row>
    <row r="60366" spans="3:18" s="8" customFormat="1" x14ac:dyDescent="0.25">
      <c r="C60366" s="60"/>
      <c r="I60366" s="63"/>
      <c r="R60366" s="64"/>
    </row>
    <row r="60367" spans="3:18" s="8" customFormat="1" x14ac:dyDescent="0.25">
      <c r="C60367" s="60"/>
      <c r="I60367" s="63"/>
      <c r="R60367" s="64"/>
    </row>
    <row r="60368" spans="3:18" s="8" customFormat="1" x14ac:dyDescent="0.25">
      <c r="C60368" s="60"/>
      <c r="I60368" s="63"/>
      <c r="R60368" s="64"/>
    </row>
    <row r="60369" spans="3:18" s="8" customFormat="1" x14ac:dyDescent="0.25">
      <c r="C60369" s="60"/>
      <c r="I60369" s="63"/>
      <c r="R60369" s="64"/>
    </row>
    <row r="60370" spans="3:18" s="8" customFormat="1" x14ac:dyDescent="0.25">
      <c r="C60370" s="60"/>
      <c r="I60370" s="63"/>
      <c r="R60370" s="64"/>
    </row>
    <row r="60371" spans="3:18" s="8" customFormat="1" x14ac:dyDescent="0.25">
      <c r="C60371" s="60"/>
      <c r="I60371" s="63"/>
      <c r="R60371" s="64"/>
    </row>
    <row r="60372" spans="3:18" s="8" customFormat="1" x14ac:dyDescent="0.25">
      <c r="C60372" s="60"/>
      <c r="I60372" s="63"/>
      <c r="R60372" s="64"/>
    </row>
    <row r="60373" spans="3:18" s="8" customFormat="1" x14ac:dyDescent="0.25">
      <c r="C60373" s="60"/>
      <c r="I60373" s="63"/>
      <c r="R60373" s="64"/>
    </row>
    <row r="60374" spans="3:18" s="8" customFormat="1" x14ac:dyDescent="0.25">
      <c r="C60374" s="60"/>
      <c r="I60374" s="63"/>
      <c r="R60374" s="64"/>
    </row>
    <row r="60375" spans="3:18" s="8" customFormat="1" x14ac:dyDescent="0.25">
      <c r="C60375" s="60"/>
      <c r="I60375" s="63"/>
      <c r="R60375" s="64"/>
    </row>
    <row r="60376" spans="3:18" s="8" customFormat="1" x14ac:dyDescent="0.25">
      <c r="C60376" s="60"/>
      <c r="I60376" s="63"/>
      <c r="R60376" s="64"/>
    </row>
    <row r="60377" spans="3:18" s="8" customFormat="1" x14ac:dyDescent="0.25">
      <c r="C60377" s="60"/>
      <c r="I60377" s="63"/>
      <c r="R60377" s="64"/>
    </row>
    <row r="60378" spans="3:18" s="8" customFormat="1" x14ac:dyDescent="0.25">
      <c r="C60378" s="60"/>
      <c r="I60378" s="63"/>
      <c r="R60378" s="64"/>
    </row>
    <row r="60379" spans="3:18" s="8" customFormat="1" x14ac:dyDescent="0.25">
      <c r="C60379" s="60"/>
      <c r="I60379" s="63"/>
      <c r="R60379" s="64"/>
    </row>
    <row r="60380" spans="3:18" s="8" customFormat="1" x14ac:dyDescent="0.25">
      <c r="C60380" s="60"/>
      <c r="I60380" s="63"/>
      <c r="R60380" s="64"/>
    </row>
    <row r="60381" spans="3:18" s="8" customFormat="1" x14ac:dyDescent="0.25">
      <c r="C60381" s="60"/>
      <c r="I60381" s="63"/>
      <c r="R60381" s="64"/>
    </row>
    <row r="60382" spans="3:18" s="8" customFormat="1" x14ac:dyDescent="0.25">
      <c r="C60382" s="60"/>
      <c r="I60382" s="63"/>
      <c r="R60382" s="64"/>
    </row>
    <row r="60383" spans="3:18" s="8" customFormat="1" x14ac:dyDescent="0.25">
      <c r="C60383" s="60"/>
      <c r="I60383" s="63"/>
      <c r="R60383" s="64"/>
    </row>
    <row r="60384" spans="3:18" s="8" customFormat="1" x14ac:dyDescent="0.25">
      <c r="C60384" s="60"/>
      <c r="I60384" s="63"/>
      <c r="R60384" s="64"/>
    </row>
    <row r="60385" spans="3:18" s="8" customFormat="1" x14ac:dyDescent="0.25">
      <c r="C60385" s="60"/>
      <c r="I60385" s="63"/>
      <c r="R60385" s="64"/>
    </row>
    <row r="60386" spans="3:18" s="8" customFormat="1" x14ac:dyDescent="0.25">
      <c r="C60386" s="60"/>
      <c r="I60386" s="63"/>
      <c r="R60386" s="64"/>
    </row>
    <row r="60387" spans="3:18" s="8" customFormat="1" x14ac:dyDescent="0.25">
      <c r="C60387" s="60"/>
      <c r="I60387" s="63"/>
      <c r="R60387" s="64"/>
    </row>
    <row r="60388" spans="3:18" s="8" customFormat="1" x14ac:dyDescent="0.25">
      <c r="C60388" s="60"/>
      <c r="I60388" s="63"/>
      <c r="R60388" s="64"/>
    </row>
    <row r="60389" spans="3:18" s="8" customFormat="1" x14ac:dyDescent="0.25">
      <c r="C60389" s="60"/>
      <c r="I60389" s="63"/>
      <c r="R60389" s="64"/>
    </row>
    <row r="60390" spans="3:18" s="8" customFormat="1" x14ac:dyDescent="0.25">
      <c r="C60390" s="60"/>
      <c r="I60390" s="63"/>
      <c r="R60390" s="64"/>
    </row>
    <row r="60391" spans="3:18" s="8" customFormat="1" x14ac:dyDescent="0.25">
      <c r="C60391" s="60"/>
      <c r="I60391" s="63"/>
      <c r="R60391" s="64"/>
    </row>
    <row r="60392" spans="3:18" s="8" customFormat="1" x14ac:dyDescent="0.25">
      <c r="C60392" s="60"/>
      <c r="I60392" s="63"/>
      <c r="R60392" s="64"/>
    </row>
    <row r="60393" spans="3:18" s="8" customFormat="1" x14ac:dyDescent="0.25">
      <c r="C60393" s="60"/>
      <c r="I60393" s="63"/>
      <c r="R60393" s="64"/>
    </row>
    <row r="60394" spans="3:18" s="8" customFormat="1" x14ac:dyDescent="0.25">
      <c r="C60394" s="60"/>
      <c r="I60394" s="63"/>
      <c r="R60394" s="64"/>
    </row>
    <row r="60395" spans="3:18" s="8" customFormat="1" x14ac:dyDescent="0.25">
      <c r="C60395" s="60"/>
      <c r="I60395" s="63"/>
      <c r="R60395" s="64"/>
    </row>
    <row r="60396" spans="3:18" s="8" customFormat="1" x14ac:dyDescent="0.25">
      <c r="C60396" s="60"/>
      <c r="I60396" s="63"/>
      <c r="R60396" s="64"/>
    </row>
    <row r="60397" spans="3:18" s="8" customFormat="1" x14ac:dyDescent="0.25">
      <c r="C60397" s="60"/>
      <c r="I60397" s="63"/>
      <c r="R60397" s="64"/>
    </row>
    <row r="60398" spans="3:18" s="8" customFormat="1" x14ac:dyDescent="0.25">
      <c r="C60398" s="60"/>
      <c r="I60398" s="63"/>
      <c r="R60398" s="64"/>
    </row>
    <row r="60399" spans="3:18" s="8" customFormat="1" x14ac:dyDescent="0.25">
      <c r="C60399" s="60"/>
      <c r="I60399" s="63"/>
      <c r="R60399" s="64"/>
    </row>
    <row r="60400" spans="3:18" s="8" customFormat="1" x14ac:dyDescent="0.25">
      <c r="C60400" s="60"/>
      <c r="I60400" s="63"/>
      <c r="R60400" s="64"/>
    </row>
    <row r="60401" spans="3:18" s="8" customFormat="1" x14ac:dyDescent="0.25">
      <c r="C60401" s="60"/>
      <c r="I60401" s="63"/>
      <c r="R60401" s="64"/>
    </row>
    <row r="60402" spans="3:18" s="8" customFormat="1" x14ac:dyDescent="0.25">
      <c r="C60402" s="60"/>
      <c r="I60402" s="63"/>
      <c r="R60402" s="64"/>
    </row>
    <row r="60403" spans="3:18" s="8" customFormat="1" x14ac:dyDescent="0.25">
      <c r="C60403" s="60"/>
      <c r="I60403" s="63"/>
      <c r="R60403" s="64"/>
    </row>
    <row r="60404" spans="3:18" s="8" customFormat="1" x14ac:dyDescent="0.25">
      <c r="C60404" s="60"/>
      <c r="I60404" s="63"/>
      <c r="R60404" s="64"/>
    </row>
    <row r="60405" spans="3:18" s="8" customFormat="1" x14ac:dyDescent="0.25">
      <c r="C60405" s="60"/>
      <c r="I60405" s="63"/>
      <c r="R60405" s="64"/>
    </row>
    <row r="60406" spans="3:18" s="8" customFormat="1" x14ac:dyDescent="0.25">
      <c r="C60406" s="60"/>
      <c r="I60406" s="63"/>
      <c r="R60406" s="64"/>
    </row>
    <row r="60407" spans="3:18" s="8" customFormat="1" x14ac:dyDescent="0.25">
      <c r="C60407" s="60"/>
      <c r="I60407" s="63"/>
      <c r="R60407" s="64"/>
    </row>
    <row r="60408" spans="3:18" s="8" customFormat="1" x14ac:dyDescent="0.25">
      <c r="C60408" s="60"/>
      <c r="I60408" s="63"/>
      <c r="R60408" s="64"/>
    </row>
    <row r="60409" spans="3:18" s="8" customFormat="1" x14ac:dyDescent="0.25">
      <c r="C60409" s="60"/>
      <c r="I60409" s="63"/>
      <c r="R60409" s="64"/>
    </row>
    <row r="60410" spans="3:18" s="8" customFormat="1" x14ac:dyDescent="0.25">
      <c r="C60410" s="60"/>
      <c r="I60410" s="63"/>
      <c r="R60410" s="64"/>
    </row>
    <row r="60411" spans="3:18" s="8" customFormat="1" x14ac:dyDescent="0.25">
      <c r="C60411" s="60"/>
      <c r="I60411" s="63"/>
      <c r="R60411" s="64"/>
    </row>
    <row r="60412" spans="3:18" s="8" customFormat="1" x14ac:dyDescent="0.25">
      <c r="C60412" s="60"/>
      <c r="I60412" s="63"/>
      <c r="R60412" s="64"/>
    </row>
    <row r="60413" spans="3:18" s="8" customFormat="1" x14ac:dyDescent="0.25">
      <c r="C60413" s="60"/>
      <c r="I60413" s="63"/>
      <c r="R60413" s="64"/>
    </row>
    <row r="60414" spans="3:18" s="8" customFormat="1" x14ac:dyDescent="0.25">
      <c r="C60414" s="60"/>
      <c r="I60414" s="63"/>
      <c r="R60414" s="64"/>
    </row>
    <row r="60415" spans="3:18" s="8" customFormat="1" x14ac:dyDescent="0.25">
      <c r="C60415" s="60"/>
      <c r="I60415" s="63"/>
      <c r="R60415" s="64"/>
    </row>
    <row r="60416" spans="3:18" s="8" customFormat="1" x14ac:dyDescent="0.25">
      <c r="C60416" s="60"/>
      <c r="I60416" s="63"/>
      <c r="R60416" s="64"/>
    </row>
    <row r="60417" spans="3:18" s="8" customFormat="1" x14ac:dyDescent="0.25">
      <c r="C60417" s="60"/>
      <c r="I60417" s="63"/>
      <c r="R60417" s="64"/>
    </row>
    <row r="60418" spans="3:18" s="8" customFormat="1" x14ac:dyDescent="0.25">
      <c r="C60418" s="60"/>
      <c r="I60418" s="63"/>
      <c r="R60418" s="64"/>
    </row>
    <row r="60419" spans="3:18" s="8" customFormat="1" x14ac:dyDescent="0.25">
      <c r="C60419" s="60"/>
      <c r="I60419" s="63"/>
      <c r="R60419" s="64"/>
    </row>
    <row r="60420" spans="3:18" s="8" customFormat="1" x14ac:dyDescent="0.25">
      <c r="C60420" s="60"/>
      <c r="I60420" s="63"/>
      <c r="R60420" s="64"/>
    </row>
    <row r="60421" spans="3:18" s="8" customFormat="1" x14ac:dyDescent="0.25">
      <c r="C60421" s="60"/>
      <c r="I60421" s="63"/>
      <c r="R60421" s="64"/>
    </row>
    <row r="60422" spans="3:18" s="8" customFormat="1" x14ac:dyDescent="0.25">
      <c r="C60422" s="60"/>
      <c r="I60422" s="63"/>
      <c r="R60422" s="64"/>
    </row>
    <row r="60423" spans="3:18" s="8" customFormat="1" x14ac:dyDescent="0.25">
      <c r="C60423" s="60"/>
      <c r="I60423" s="63"/>
      <c r="R60423" s="64"/>
    </row>
    <row r="60424" spans="3:18" s="8" customFormat="1" x14ac:dyDescent="0.25">
      <c r="C60424" s="60"/>
      <c r="I60424" s="63"/>
      <c r="R60424" s="64"/>
    </row>
    <row r="60425" spans="3:18" s="8" customFormat="1" x14ac:dyDescent="0.25">
      <c r="C60425" s="60"/>
      <c r="I60425" s="63"/>
      <c r="R60425" s="64"/>
    </row>
    <row r="60426" spans="3:18" s="8" customFormat="1" x14ac:dyDescent="0.25">
      <c r="C60426" s="60"/>
      <c r="I60426" s="63"/>
      <c r="R60426" s="64"/>
    </row>
    <row r="60427" spans="3:18" s="8" customFormat="1" x14ac:dyDescent="0.25">
      <c r="C60427" s="60"/>
      <c r="I60427" s="63"/>
      <c r="R60427" s="64"/>
    </row>
    <row r="60428" spans="3:18" s="8" customFormat="1" x14ac:dyDescent="0.25">
      <c r="C60428" s="60"/>
      <c r="I60428" s="63"/>
      <c r="R60428" s="64"/>
    </row>
    <row r="60429" spans="3:18" s="8" customFormat="1" x14ac:dyDescent="0.25">
      <c r="C60429" s="60"/>
      <c r="I60429" s="63"/>
      <c r="R60429" s="64"/>
    </row>
    <row r="60430" spans="3:18" s="8" customFormat="1" x14ac:dyDescent="0.25">
      <c r="C60430" s="60"/>
      <c r="I60430" s="63"/>
      <c r="R60430" s="64"/>
    </row>
    <row r="60431" spans="3:18" s="8" customFormat="1" x14ac:dyDescent="0.25">
      <c r="C60431" s="60"/>
      <c r="I60431" s="63"/>
      <c r="R60431" s="64"/>
    </row>
    <row r="60432" spans="3:18" s="8" customFormat="1" x14ac:dyDescent="0.25">
      <c r="C60432" s="60"/>
      <c r="I60432" s="63"/>
      <c r="R60432" s="64"/>
    </row>
    <row r="60433" spans="3:18" s="8" customFormat="1" x14ac:dyDescent="0.25">
      <c r="C60433" s="60"/>
      <c r="I60433" s="63"/>
      <c r="R60433" s="64"/>
    </row>
    <row r="60434" spans="3:18" s="8" customFormat="1" x14ac:dyDescent="0.25">
      <c r="C60434" s="60"/>
      <c r="I60434" s="63"/>
      <c r="R60434" s="64"/>
    </row>
    <row r="60435" spans="3:18" s="8" customFormat="1" x14ac:dyDescent="0.25">
      <c r="C60435" s="60"/>
      <c r="I60435" s="63"/>
      <c r="R60435" s="64"/>
    </row>
    <row r="60436" spans="3:18" s="8" customFormat="1" x14ac:dyDescent="0.25">
      <c r="C60436" s="60"/>
      <c r="I60436" s="63"/>
      <c r="R60436" s="64"/>
    </row>
    <row r="60437" spans="3:18" s="8" customFormat="1" x14ac:dyDescent="0.25">
      <c r="C60437" s="60"/>
      <c r="I60437" s="63"/>
      <c r="R60437" s="64"/>
    </row>
    <row r="60438" spans="3:18" s="8" customFormat="1" x14ac:dyDescent="0.25">
      <c r="C60438" s="60"/>
      <c r="I60438" s="63"/>
      <c r="R60438" s="64"/>
    </row>
    <row r="60439" spans="3:18" s="8" customFormat="1" x14ac:dyDescent="0.25">
      <c r="C60439" s="60"/>
      <c r="I60439" s="63"/>
      <c r="R60439" s="64"/>
    </row>
    <row r="60440" spans="3:18" s="8" customFormat="1" x14ac:dyDescent="0.25">
      <c r="C60440" s="60"/>
      <c r="I60440" s="63"/>
      <c r="R60440" s="64"/>
    </row>
    <row r="60441" spans="3:18" s="8" customFormat="1" x14ac:dyDescent="0.25">
      <c r="C60441" s="60"/>
      <c r="I60441" s="63"/>
      <c r="R60441" s="64"/>
    </row>
    <row r="60442" spans="3:18" s="8" customFormat="1" x14ac:dyDescent="0.25">
      <c r="C60442" s="60"/>
      <c r="I60442" s="63"/>
      <c r="R60442" s="64"/>
    </row>
    <row r="60443" spans="3:18" s="8" customFormat="1" x14ac:dyDescent="0.25">
      <c r="C60443" s="60"/>
      <c r="I60443" s="63"/>
      <c r="R60443" s="64"/>
    </row>
    <row r="60444" spans="3:18" s="8" customFormat="1" x14ac:dyDescent="0.25">
      <c r="C60444" s="60"/>
      <c r="I60444" s="63"/>
      <c r="R60444" s="64"/>
    </row>
    <row r="60445" spans="3:18" s="8" customFormat="1" x14ac:dyDescent="0.25">
      <c r="C60445" s="60"/>
      <c r="I60445" s="63"/>
      <c r="R60445" s="64"/>
    </row>
    <row r="60446" spans="3:18" s="8" customFormat="1" x14ac:dyDescent="0.25">
      <c r="C60446" s="60"/>
      <c r="I60446" s="63"/>
      <c r="R60446" s="64"/>
    </row>
    <row r="60447" spans="3:18" s="8" customFormat="1" x14ac:dyDescent="0.25">
      <c r="C60447" s="60"/>
      <c r="I60447" s="63"/>
      <c r="R60447" s="64"/>
    </row>
    <row r="60448" spans="3:18" s="8" customFormat="1" x14ac:dyDescent="0.25">
      <c r="C60448" s="60"/>
      <c r="I60448" s="63"/>
      <c r="R60448" s="64"/>
    </row>
    <row r="60449" spans="3:18" s="8" customFormat="1" x14ac:dyDescent="0.25">
      <c r="C60449" s="60"/>
      <c r="I60449" s="63"/>
      <c r="R60449" s="64"/>
    </row>
    <row r="60450" spans="3:18" s="8" customFormat="1" x14ac:dyDescent="0.25">
      <c r="C60450" s="60"/>
      <c r="I60450" s="63"/>
      <c r="R60450" s="64"/>
    </row>
    <row r="60451" spans="3:18" s="8" customFormat="1" x14ac:dyDescent="0.25">
      <c r="C60451" s="60"/>
      <c r="I60451" s="63"/>
      <c r="R60451" s="64"/>
    </row>
    <row r="60452" spans="3:18" s="8" customFormat="1" x14ac:dyDescent="0.25">
      <c r="C60452" s="60"/>
      <c r="I60452" s="63"/>
      <c r="R60452" s="64"/>
    </row>
    <row r="60453" spans="3:18" s="8" customFormat="1" x14ac:dyDescent="0.25">
      <c r="C60453" s="60"/>
      <c r="I60453" s="63"/>
      <c r="R60453" s="64"/>
    </row>
    <row r="60454" spans="3:18" s="8" customFormat="1" x14ac:dyDescent="0.25">
      <c r="C60454" s="60"/>
      <c r="I60454" s="63"/>
      <c r="R60454" s="64"/>
    </row>
    <row r="60455" spans="3:18" s="8" customFormat="1" x14ac:dyDescent="0.25">
      <c r="C60455" s="60"/>
      <c r="I60455" s="63"/>
      <c r="R60455" s="64"/>
    </row>
    <row r="60456" spans="3:18" s="8" customFormat="1" x14ac:dyDescent="0.25">
      <c r="C60456" s="60"/>
      <c r="I60456" s="63"/>
      <c r="R60456" s="64"/>
    </row>
    <row r="60457" spans="3:18" s="8" customFormat="1" x14ac:dyDescent="0.25">
      <c r="C60457" s="60"/>
      <c r="I60457" s="63"/>
      <c r="R60457" s="64"/>
    </row>
    <row r="60458" spans="3:18" s="8" customFormat="1" x14ac:dyDescent="0.25">
      <c r="C60458" s="60"/>
      <c r="I60458" s="63"/>
      <c r="R60458" s="64"/>
    </row>
    <row r="60459" spans="3:18" s="8" customFormat="1" x14ac:dyDescent="0.25">
      <c r="C60459" s="60"/>
      <c r="I60459" s="63"/>
      <c r="R60459" s="64"/>
    </row>
    <row r="60460" spans="3:18" s="8" customFormat="1" x14ac:dyDescent="0.25">
      <c r="C60460" s="60"/>
      <c r="I60460" s="63"/>
      <c r="R60460" s="64"/>
    </row>
    <row r="60461" spans="3:18" s="8" customFormat="1" x14ac:dyDescent="0.25">
      <c r="C60461" s="60"/>
      <c r="I60461" s="63"/>
      <c r="R60461" s="64"/>
    </row>
    <row r="60462" spans="3:18" s="8" customFormat="1" x14ac:dyDescent="0.25">
      <c r="C60462" s="60"/>
      <c r="I60462" s="63"/>
      <c r="R60462" s="64"/>
    </row>
    <row r="60463" spans="3:18" s="8" customFormat="1" x14ac:dyDescent="0.25">
      <c r="C60463" s="60"/>
      <c r="I60463" s="63"/>
      <c r="R60463" s="64"/>
    </row>
    <row r="60464" spans="3:18" s="8" customFormat="1" x14ac:dyDescent="0.25">
      <c r="C60464" s="60"/>
      <c r="I60464" s="63"/>
      <c r="R60464" s="64"/>
    </row>
    <row r="60465" spans="3:18" s="8" customFormat="1" x14ac:dyDescent="0.25">
      <c r="C60465" s="60"/>
      <c r="I60465" s="63"/>
      <c r="R60465" s="64"/>
    </row>
    <row r="60466" spans="3:18" s="8" customFormat="1" x14ac:dyDescent="0.25">
      <c r="C60466" s="60"/>
      <c r="I60466" s="63"/>
      <c r="R60466" s="64"/>
    </row>
    <row r="60467" spans="3:18" s="8" customFormat="1" x14ac:dyDescent="0.25">
      <c r="C60467" s="60"/>
      <c r="I60467" s="63"/>
      <c r="R60467" s="64"/>
    </row>
    <row r="60468" spans="3:18" s="8" customFormat="1" x14ac:dyDescent="0.25">
      <c r="C60468" s="60"/>
      <c r="I60468" s="63"/>
      <c r="R60468" s="64"/>
    </row>
    <row r="60469" spans="3:18" s="8" customFormat="1" x14ac:dyDescent="0.25">
      <c r="C60469" s="60"/>
      <c r="I60469" s="63"/>
      <c r="R60469" s="64"/>
    </row>
    <row r="60470" spans="3:18" s="8" customFormat="1" x14ac:dyDescent="0.25">
      <c r="C60470" s="60"/>
      <c r="I60470" s="63"/>
      <c r="R60470" s="64"/>
    </row>
    <row r="60471" spans="3:18" s="8" customFormat="1" x14ac:dyDescent="0.25">
      <c r="C60471" s="60"/>
      <c r="I60471" s="63"/>
      <c r="R60471" s="64"/>
    </row>
    <row r="60472" spans="3:18" s="8" customFormat="1" x14ac:dyDescent="0.25">
      <c r="C60472" s="60"/>
      <c r="I60472" s="63"/>
      <c r="R60472" s="64"/>
    </row>
    <row r="60473" spans="3:18" s="8" customFormat="1" x14ac:dyDescent="0.25">
      <c r="C60473" s="60"/>
      <c r="I60473" s="63"/>
      <c r="R60473" s="64"/>
    </row>
    <row r="60474" spans="3:18" s="8" customFormat="1" x14ac:dyDescent="0.25">
      <c r="C60474" s="60"/>
      <c r="I60474" s="63"/>
      <c r="R60474" s="64"/>
    </row>
    <row r="60475" spans="3:18" s="8" customFormat="1" x14ac:dyDescent="0.25">
      <c r="C60475" s="60"/>
      <c r="I60475" s="63"/>
      <c r="R60475" s="64"/>
    </row>
    <row r="60476" spans="3:18" s="8" customFormat="1" x14ac:dyDescent="0.25">
      <c r="C60476" s="60"/>
      <c r="I60476" s="63"/>
      <c r="R60476" s="64"/>
    </row>
    <row r="60477" spans="3:18" s="8" customFormat="1" x14ac:dyDescent="0.25">
      <c r="C60477" s="60"/>
      <c r="I60477" s="63"/>
      <c r="R60477" s="64"/>
    </row>
    <row r="60478" spans="3:18" s="8" customFormat="1" x14ac:dyDescent="0.25">
      <c r="C60478" s="60"/>
      <c r="I60478" s="63"/>
      <c r="R60478" s="64"/>
    </row>
    <row r="60479" spans="3:18" s="8" customFormat="1" x14ac:dyDescent="0.25">
      <c r="C60479" s="60"/>
      <c r="I60479" s="63"/>
      <c r="R60479" s="64"/>
    </row>
    <row r="60480" spans="3:18" s="8" customFormat="1" x14ac:dyDescent="0.25">
      <c r="C60480" s="60"/>
      <c r="I60480" s="63"/>
      <c r="R60480" s="64"/>
    </row>
    <row r="60481" spans="3:18" s="8" customFormat="1" x14ac:dyDescent="0.25">
      <c r="C60481" s="60"/>
      <c r="I60481" s="63"/>
      <c r="R60481" s="64"/>
    </row>
    <row r="60482" spans="3:18" s="8" customFormat="1" x14ac:dyDescent="0.25">
      <c r="C60482" s="60"/>
      <c r="I60482" s="63"/>
      <c r="R60482" s="64"/>
    </row>
    <row r="60483" spans="3:18" s="8" customFormat="1" x14ac:dyDescent="0.25">
      <c r="C60483" s="60"/>
      <c r="I60483" s="63"/>
      <c r="R60483" s="64"/>
    </row>
    <row r="60484" spans="3:18" s="8" customFormat="1" x14ac:dyDescent="0.25">
      <c r="C60484" s="60"/>
      <c r="I60484" s="63"/>
      <c r="R60484" s="64"/>
    </row>
    <row r="60485" spans="3:18" s="8" customFormat="1" x14ac:dyDescent="0.25">
      <c r="C60485" s="60"/>
      <c r="I60485" s="63"/>
      <c r="R60485" s="64"/>
    </row>
    <row r="60486" spans="3:18" s="8" customFormat="1" x14ac:dyDescent="0.25">
      <c r="C60486" s="60"/>
      <c r="I60486" s="63"/>
      <c r="R60486" s="64"/>
    </row>
    <row r="60487" spans="3:18" s="8" customFormat="1" x14ac:dyDescent="0.25">
      <c r="C60487" s="60"/>
      <c r="I60487" s="63"/>
      <c r="R60487" s="64"/>
    </row>
    <row r="60488" spans="3:18" s="8" customFormat="1" x14ac:dyDescent="0.25">
      <c r="C60488" s="60"/>
      <c r="I60488" s="63"/>
      <c r="R60488" s="64"/>
    </row>
    <row r="60489" spans="3:18" s="8" customFormat="1" x14ac:dyDescent="0.25">
      <c r="C60489" s="60"/>
      <c r="I60489" s="63"/>
      <c r="R60489" s="64"/>
    </row>
    <row r="60490" spans="3:18" s="8" customFormat="1" x14ac:dyDescent="0.25">
      <c r="C60490" s="60"/>
      <c r="I60490" s="63"/>
      <c r="R60490" s="64"/>
    </row>
    <row r="60491" spans="3:18" s="8" customFormat="1" x14ac:dyDescent="0.25">
      <c r="C60491" s="60"/>
      <c r="I60491" s="63"/>
      <c r="R60491" s="64"/>
    </row>
    <row r="60492" spans="3:18" s="8" customFormat="1" x14ac:dyDescent="0.25">
      <c r="C60492" s="60"/>
      <c r="I60492" s="63"/>
      <c r="R60492" s="64"/>
    </row>
    <row r="60493" spans="3:18" s="8" customFormat="1" x14ac:dyDescent="0.25">
      <c r="C60493" s="60"/>
      <c r="I60493" s="63"/>
      <c r="R60493" s="64"/>
    </row>
    <row r="60494" spans="3:18" s="8" customFormat="1" x14ac:dyDescent="0.25">
      <c r="C60494" s="60"/>
      <c r="I60494" s="63"/>
      <c r="R60494" s="64"/>
    </row>
    <row r="60495" spans="3:18" s="8" customFormat="1" x14ac:dyDescent="0.25">
      <c r="C60495" s="60"/>
      <c r="I60495" s="63"/>
      <c r="R60495" s="64"/>
    </row>
    <row r="60496" spans="3:18" s="8" customFormat="1" x14ac:dyDescent="0.25">
      <c r="C60496" s="60"/>
      <c r="I60496" s="63"/>
      <c r="R60496" s="64"/>
    </row>
    <row r="60497" spans="3:18" s="8" customFormat="1" x14ac:dyDescent="0.25">
      <c r="C60497" s="60"/>
      <c r="I60497" s="63"/>
      <c r="R60497" s="64"/>
    </row>
    <row r="60498" spans="3:18" s="8" customFormat="1" x14ac:dyDescent="0.25">
      <c r="C60498" s="60"/>
      <c r="I60498" s="63"/>
      <c r="R60498" s="64"/>
    </row>
    <row r="60499" spans="3:18" s="8" customFormat="1" x14ac:dyDescent="0.25">
      <c r="C60499" s="60"/>
      <c r="I60499" s="63"/>
      <c r="R60499" s="64"/>
    </row>
    <row r="60500" spans="3:18" s="8" customFormat="1" x14ac:dyDescent="0.25">
      <c r="C60500" s="60"/>
      <c r="I60500" s="63"/>
      <c r="R60500" s="64"/>
    </row>
    <row r="60501" spans="3:18" s="8" customFormat="1" x14ac:dyDescent="0.25">
      <c r="C60501" s="60"/>
      <c r="I60501" s="63"/>
      <c r="R60501" s="64"/>
    </row>
    <row r="60502" spans="3:18" s="8" customFormat="1" x14ac:dyDescent="0.25">
      <c r="C60502" s="60"/>
      <c r="I60502" s="63"/>
      <c r="R60502" s="64"/>
    </row>
    <row r="60503" spans="3:18" s="8" customFormat="1" x14ac:dyDescent="0.25">
      <c r="C60503" s="60"/>
      <c r="I60503" s="63"/>
      <c r="R60503" s="64"/>
    </row>
    <row r="60504" spans="3:18" s="8" customFormat="1" x14ac:dyDescent="0.25">
      <c r="C60504" s="60"/>
      <c r="I60504" s="63"/>
      <c r="R60504" s="64"/>
    </row>
    <row r="60505" spans="3:18" s="8" customFormat="1" x14ac:dyDescent="0.25">
      <c r="C60505" s="60"/>
      <c r="I60505" s="63"/>
      <c r="R60505" s="64"/>
    </row>
    <row r="60506" spans="3:18" s="8" customFormat="1" x14ac:dyDescent="0.25">
      <c r="C60506" s="60"/>
      <c r="I60506" s="63"/>
      <c r="R60506" s="64"/>
    </row>
    <row r="60507" spans="3:18" s="8" customFormat="1" x14ac:dyDescent="0.25">
      <c r="C60507" s="60"/>
      <c r="I60507" s="63"/>
      <c r="R60507" s="64"/>
    </row>
    <row r="60508" spans="3:18" s="8" customFormat="1" x14ac:dyDescent="0.25">
      <c r="C60508" s="60"/>
      <c r="I60508" s="63"/>
      <c r="R60508" s="64"/>
    </row>
    <row r="60509" spans="3:18" s="8" customFormat="1" x14ac:dyDescent="0.25">
      <c r="C60509" s="60"/>
      <c r="I60509" s="63"/>
      <c r="R60509" s="64"/>
    </row>
    <row r="60510" spans="3:18" s="8" customFormat="1" x14ac:dyDescent="0.25">
      <c r="C60510" s="60"/>
      <c r="I60510" s="63"/>
      <c r="R60510" s="64"/>
    </row>
    <row r="60511" spans="3:18" s="8" customFormat="1" x14ac:dyDescent="0.25">
      <c r="C60511" s="60"/>
      <c r="I60511" s="63"/>
      <c r="R60511" s="64"/>
    </row>
    <row r="60512" spans="3:18" s="8" customFormat="1" x14ac:dyDescent="0.25">
      <c r="C60512" s="60"/>
      <c r="I60512" s="63"/>
      <c r="R60512" s="64"/>
    </row>
    <row r="60513" spans="3:18" s="8" customFormat="1" x14ac:dyDescent="0.25">
      <c r="C60513" s="60"/>
      <c r="I60513" s="63"/>
      <c r="R60513" s="64"/>
    </row>
    <row r="60514" spans="3:18" s="8" customFormat="1" x14ac:dyDescent="0.25">
      <c r="C60514" s="60"/>
      <c r="I60514" s="63"/>
      <c r="R60514" s="64"/>
    </row>
    <row r="60515" spans="3:18" s="8" customFormat="1" x14ac:dyDescent="0.25">
      <c r="C60515" s="60"/>
      <c r="I60515" s="63"/>
      <c r="R60515" s="64"/>
    </row>
    <row r="60516" spans="3:18" s="8" customFormat="1" x14ac:dyDescent="0.25">
      <c r="C60516" s="60"/>
      <c r="I60516" s="63"/>
      <c r="R60516" s="64"/>
    </row>
    <row r="60517" spans="3:18" s="8" customFormat="1" x14ac:dyDescent="0.25">
      <c r="C60517" s="60"/>
      <c r="I60517" s="63"/>
      <c r="R60517" s="64"/>
    </row>
    <row r="60518" spans="3:18" s="8" customFormat="1" x14ac:dyDescent="0.25">
      <c r="C60518" s="60"/>
      <c r="I60518" s="63"/>
      <c r="R60518" s="64"/>
    </row>
    <row r="60519" spans="3:18" s="8" customFormat="1" x14ac:dyDescent="0.25">
      <c r="C60519" s="60"/>
      <c r="I60519" s="63"/>
      <c r="R60519" s="64"/>
    </row>
    <row r="60520" spans="3:18" s="8" customFormat="1" x14ac:dyDescent="0.25">
      <c r="C60520" s="60"/>
      <c r="I60520" s="63"/>
      <c r="R60520" s="64"/>
    </row>
    <row r="60521" spans="3:18" s="8" customFormat="1" x14ac:dyDescent="0.25">
      <c r="C60521" s="60"/>
      <c r="I60521" s="63"/>
      <c r="R60521" s="64"/>
    </row>
    <row r="60522" spans="3:18" s="8" customFormat="1" x14ac:dyDescent="0.25">
      <c r="C60522" s="60"/>
      <c r="I60522" s="63"/>
      <c r="R60522" s="64"/>
    </row>
    <row r="60523" spans="3:18" s="8" customFormat="1" x14ac:dyDescent="0.25">
      <c r="C60523" s="60"/>
      <c r="I60523" s="63"/>
      <c r="R60523" s="64"/>
    </row>
    <row r="60524" spans="3:18" s="8" customFormat="1" x14ac:dyDescent="0.25">
      <c r="C60524" s="60"/>
      <c r="I60524" s="63"/>
      <c r="R60524" s="64"/>
    </row>
    <row r="60525" spans="3:18" s="8" customFormat="1" x14ac:dyDescent="0.25">
      <c r="C60525" s="60"/>
      <c r="I60525" s="63"/>
      <c r="R60525" s="64"/>
    </row>
    <row r="60526" spans="3:18" s="8" customFormat="1" x14ac:dyDescent="0.25">
      <c r="C60526" s="60"/>
      <c r="I60526" s="63"/>
      <c r="R60526" s="64"/>
    </row>
    <row r="60527" spans="3:18" s="8" customFormat="1" x14ac:dyDescent="0.25">
      <c r="C60527" s="60"/>
      <c r="I60527" s="63"/>
      <c r="R60527" s="64"/>
    </row>
    <row r="60528" spans="3:18" s="8" customFormat="1" x14ac:dyDescent="0.25">
      <c r="C60528" s="60"/>
      <c r="I60528" s="63"/>
      <c r="R60528" s="64"/>
    </row>
    <row r="60529" spans="3:18" s="8" customFormat="1" x14ac:dyDescent="0.25">
      <c r="C60529" s="60"/>
      <c r="I60529" s="63"/>
      <c r="R60529" s="64"/>
    </row>
    <row r="60530" spans="3:18" s="8" customFormat="1" x14ac:dyDescent="0.25">
      <c r="C60530" s="60"/>
      <c r="I60530" s="63"/>
      <c r="R60530" s="64"/>
    </row>
    <row r="60531" spans="3:18" s="8" customFormat="1" x14ac:dyDescent="0.25">
      <c r="C60531" s="60"/>
      <c r="I60531" s="63"/>
      <c r="R60531" s="64"/>
    </row>
    <row r="60532" spans="3:18" s="8" customFormat="1" x14ac:dyDescent="0.25">
      <c r="C60532" s="60"/>
      <c r="I60532" s="63"/>
      <c r="R60532" s="64"/>
    </row>
    <row r="60533" spans="3:18" s="8" customFormat="1" x14ac:dyDescent="0.25">
      <c r="C60533" s="60"/>
      <c r="I60533" s="63"/>
      <c r="R60533" s="64"/>
    </row>
    <row r="60534" spans="3:18" s="8" customFormat="1" x14ac:dyDescent="0.25">
      <c r="C60534" s="60"/>
      <c r="I60534" s="63"/>
      <c r="R60534" s="64"/>
    </row>
    <row r="60535" spans="3:18" s="8" customFormat="1" x14ac:dyDescent="0.25">
      <c r="C60535" s="60"/>
      <c r="I60535" s="63"/>
      <c r="R60535" s="64"/>
    </row>
    <row r="60536" spans="3:18" s="8" customFormat="1" x14ac:dyDescent="0.25">
      <c r="C60536" s="60"/>
      <c r="I60536" s="63"/>
      <c r="R60536" s="64"/>
    </row>
    <row r="60537" spans="3:18" s="8" customFormat="1" x14ac:dyDescent="0.25">
      <c r="C60537" s="60"/>
      <c r="I60537" s="63"/>
      <c r="R60537" s="64"/>
    </row>
    <row r="60538" spans="3:18" s="8" customFormat="1" x14ac:dyDescent="0.25">
      <c r="C60538" s="60"/>
      <c r="I60538" s="63"/>
      <c r="R60538" s="64"/>
    </row>
    <row r="60539" spans="3:18" s="8" customFormat="1" x14ac:dyDescent="0.25">
      <c r="C60539" s="60"/>
      <c r="I60539" s="63"/>
      <c r="R60539" s="64"/>
    </row>
    <row r="60540" spans="3:18" s="8" customFormat="1" x14ac:dyDescent="0.25">
      <c r="C60540" s="60"/>
      <c r="I60540" s="63"/>
      <c r="R60540" s="64"/>
    </row>
    <row r="60541" spans="3:18" s="8" customFormat="1" x14ac:dyDescent="0.25">
      <c r="C60541" s="60"/>
      <c r="I60541" s="63"/>
      <c r="R60541" s="64"/>
    </row>
    <row r="60542" spans="3:18" s="8" customFormat="1" x14ac:dyDescent="0.25">
      <c r="C60542" s="60"/>
      <c r="I60542" s="63"/>
      <c r="R60542" s="64"/>
    </row>
    <row r="60543" spans="3:18" s="8" customFormat="1" x14ac:dyDescent="0.25">
      <c r="C60543" s="60"/>
      <c r="I60543" s="63"/>
      <c r="R60543" s="64"/>
    </row>
    <row r="60544" spans="3:18" s="8" customFormat="1" x14ac:dyDescent="0.25">
      <c r="C60544" s="60"/>
      <c r="I60544" s="63"/>
      <c r="R60544" s="64"/>
    </row>
    <row r="60545" spans="3:18" s="8" customFormat="1" x14ac:dyDescent="0.25">
      <c r="C60545" s="60"/>
      <c r="I60545" s="63"/>
      <c r="R60545" s="64"/>
    </row>
    <row r="60546" spans="3:18" s="8" customFormat="1" x14ac:dyDescent="0.25">
      <c r="C60546" s="60"/>
      <c r="I60546" s="63"/>
      <c r="R60546" s="64"/>
    </row>
    <row r="60547" spans="3:18" s="8" customFormat="1" x14ac:dyDescent="0.25">
      <c r="C60547" s="60"/>
      <c r="I60547" s="63"/>
      <c r="R60547" s="64"/>
    </row>
    <row r="60548" spans="3:18" s="8" customFormat="1" x14ac:dyDescent="0.25">
      <c r="C60548" s="60"/>
      <c r="I60548" s="63"/>
      <c r="R60548" s="64"/>
    </row>
    <row r="60549" spans="3:18" s="8" customFormat="1" x14ac:dyDescent="0.25">
      <c r="C60549" s="60"/>
      <c r="I60549" s="63"/>
      <c r="R60549" s="64"/>
    </row>
    <row r="60550" spans="3:18" s="8" customFormat="1" x14ac:dyDescent="0.25">
      <c r="C60550" s="60"/>
      <c r="I60550" s="63"/>
      <c r="R60550" s="64"/>
    </row>
    <row r="60551" spans="3:18" s="8" customFormat="1" x14ac:dyDescent="0.25">
      <c r="C60551" s="60"/>
      <c r="I60551" s="63"/>
      <c r="R60551" s="64"/>
    </row>
    <row r="60552" spans="3:18" s="8" customFormat="1" x14ac:dyDescent="0.25">
      <c r="C60552" s="60"/>
      <c r="I60552" s="63"/>
      <c r="R60552" s="64"/>
    </row>
    <row r="60553" spans="3:18" s="8" customFormat="1" x14ac:dyDescent="0.25">
      <c r="C60553" s="60"/>
      <c r="I60553" s="63"/>
      <c r="R60553" s="64"/>
    </row>
    <row r="60554" spans="3:18" s="8" customFormat="1" x14ac:dyDescent="0.25">
      <c r="C60554" s="60"/>
      <c r="I60554" s="63"/>
      <c r="R60554" s="64"/>
    </row>
    <row r="60555" spans="3:18" s="8" customFormat="1" x14ac:dyDescent="0.25">
      <c r="C60555" s="60"/>
      <c r="I60555" s="63"/>
      <c r="R60555" s="64"/>
    </row>
    <row r="60556" spans="3:18" s="8" customFormat="1" x14ac:dyDescent="0.25">
      <c r="C60556" s="60"/>
      <c r="I60556" s="63"/>
      <c r="R60556" s="64"/>
    </row>
    <row r="60557" spans="3:18" s="8" customFormat="1" x14ac:dyDescent="0.25">
      <c r="C60557" s="60"/>
      <c r="I60557" s="63"/>
      <c r="R60557" s="64"/>
    </row>
    <row r="60558" spans="3:18" s="8" customFormat="1" x14ac:dyDescent="0.25">
      <c r="C60558" s="60"/>
      <c r="I60558" s="63"/>
      <c r="R60558" s="64"/>
    </row>
    <row r="60559" spans="3:18" s="8" customFormat="1" x14ac:dyDescent="0.25">
      <c r="C60559" s="60"/>
      <c r="I60559" s="63"/>
      <c r="R60559" s="64"/>
    </row>
    <row r="60560" spans="3:18" s="8" customFormat="1" x14ac:dyDescent="0.25">
      <c r="C60560" s="60"/>
      <c r="I60560" s="63"/>
      <c r="R60560" s="64"/>
    </row>
    <row r="60561" spans="3:18" s="8" customFormat="1" x14ac:dyDescent="0.25">
      <c r="C60561" s="60"/>
      <c r="I60561" s="63"/>
      <c r="R60561" s="64"/>
    </row>
    <row r="60562" spans="3:18" s="8" customFormat="1" x14ac:dyDescent="0.25">
      <c r="C60562" s="60"/>
      <c r="I60562" s="63"/>
      <c r="R60562" s="64"/>
    </row>
    <row r="60563" spans="3:18" s="8" customFormat="1" x14ac:dyDescent="0.25">
      <c r="C60563" s="60"/>
      <c r="I60563" s="63"/>
      <c r="R60563" s="64"/>
    </row>
    <row r="60564" spans="3:18" s="8" customFormat="1" x14ac:dyDescent="0.25">
      <c r="C60564" s="60"/>
      <c r="I60564" s="63"/>
      <c r="R60564" s="64"/>
    </row>
    <row r="60565" spans="3:18" s="8" customFormat="1" x14ac:dyDescent="0.25">
      <c r="C60565" s="60"/>
      <c r="I60565" s="63"/>
      <c r="R60565" s="64"/>
    </row>
    <row r="60566" spans="3:18" s="8" customFormat="1" x14ac:dyDescent="0.25">
      <c r="C60566" s="60"/>
      <c r="I60566" s="63"/>
      <c r="R60566" s="64"/>
    </row>
    <row r="60567" spans="3:18" s="8" customFormat="1" x14ac:dyDescent="0.25">
      <c r="C60567" s="60"/>
      <c r="I60567" s="63"/>
      <c r="R60567" s="64"/>
    </row>
    <row r="60568" spans="3:18" s="8" customFormat="1" x14ac:dyDescent="0.25">
      <c r="C60568" s="60"/>
      <c r="I60568" s="63"/>
      <c r="R60568" s="64"/>
    </row>
    <row r="60569" spans="3:18" s="8" customFormat="1" x14ac:dyDescent="0.25">
      <c r="C60569" s="60"/>
      <c r="I60569" s="63"/>
      <c r="R60569" s="64"/>
    </row>
    <row r="60570" spans="3:18" s="8" customFormat="1" x14ac:dyDescent="0.25">
      <c r="C60570" s="60"/>
      <c r="I60570" s="63"/>
      <c r="R60570" s="64"/>
    </row>
    <row r="60571" spans="3:18" s="8" customFormat="1" x14ac:dyDescent="0.25">
      <c r="C60571" s="60"/>
      <c r="I60571" s="63"/>
      <c r="R60571" s="64"/>
    </row>
    <row r="60572" spans="3:18" s="8" customFormat="1" x14ac:dyDescent="0.25">
      <c r="C60572" s="60"/>
      <c r="I60572" s="63"/>
      <c r="R60572" s="64"/>
    </row>
    <row r="60573" spans="3:18" s="8" customFormat="1" x14ac:dyDescent="0.25">
      <c r="C60573" s="60"/>
      <c r="I60573" s="63"/>
      <c r="R60573" s="64"/>
    </row>
    <row r="60574" spans="3:18" s="8" customFormat="1" x14ac:dyDescent="0.25">
      <c r="C60574" s="60"/>
      <c r="I60574" s="63"/>
      <c r="R60574" s="64"/>
    </row>
    <row r="60575" spans="3:18" s="8" customFormat="1" x14ac:dyDescent="0.25">
      <c r="C60575" s="60"/>
      <c r="I60575" s="63"/>
      <c r="R60575" s="64"/>
    </row>
    <row r="60576" spans="3:18" s="8" customFormat="1" x14ac:dyDescent="0.25">
      <c r="C60576" s="60"/>
      <c r="I60576" s="63"/>
      <c r="R60576" s="64"/>
    </row>
    <row r="60577" spans="3:18" s="8" customFormat="1" x14ac:dyDescent="0.25">
      <c r="C60577" s="60"/>
      <c r="I60577" s="63"/>
      <c r="R60577" s="64"/>
    </row>
    <row r="60578" spans="3:18" s="8" customFormat="1" x14ac:dyDescent="0.25">
      <c r="C60578" s="60"/>
      <c r="I60578" s="63"/>
      <c r="R60578" s="64"/>
    </row>
    <row r="60579" spans="3:18" s="8" customFormat="1" x14ac:dyDescent="0.25">
      <c r="C60579" s="60"/>
      <c r="I60579" s="63"/>
      <c r="R60579" s="64"/>
    </row>
    <row r="60580" spans="3:18" s="8" customFormat="1" x14ac:dyDescent="0.25">
      <c r="C60580" s="60"/>
      <c r="I60580" s="63"/>
      <c r="R60580" s="64"/>
    </row>
    <row r="60581" spans="3:18" s="8" customFormat="1" x14ac:dyDescent="0.25">
      <c r="C60581" s="60"/>
      <c r="I60581" s="63"/>
      <c r="R60581" s="64"/>
    </row>
    <row r="60582" spans="3:18" s="8" customFormat="1" x14ac:dyDescent="0.25">
      <c r="C60582" s="60"/>
      <c r="I60582" s="63"/>
      <c r="R60582" s="64"/>
    </row>
    <row r="60583" spans="3:18" s="8" customFormat="1" x14ac:dyDescent="0.25">
      <c r="C60583" s="60"/>
      <c r="I60583" s="63"/>
      <c r="R60583" s="64"/>
    </row>
    <row r="60584" spans="3:18" s="8" customFormat="1" x14ac:dyDescent="0.25">
      <c r="C60584" s="60"/>
      <c r="I60584" s="63"/>
      <c r="R60584" s="64"/>
    </row>
    <row r="60585" spans="3:18" s="8" customFormat="1" x14ac:dyDescent="0.25">
      <c r="C60585" s="60"/>
      <c r="I60585" s="63"/>
      <c r="R60585" s="64"/>
    </row>
    <row r="60586" spans="3:18" s="8" customFormat="1" x14ac:dyDescent="0.25">
      <c r="C60586" s="60"/>
      <c r="I60586" s="63"/>
      <c r="R60586" s="64"/>
    </row>
    <row r="60587" spans="3:18" s="8" customFormat="1" x14ac:dyDescent="0.25">
      <c r="C60587" s="60"/>
      <c r="I60587" s="63"/>
      <c r="R60587" s="64"/>
    </row>
    <row r="60588" spans="3:18" s="8" customFormat="1" x14ac:dyDescent="0.25">
      <c r="C60588" s="60"/>
      <c r="I60588" s="63"/>
      <c r="R60588" s="64"/>
    </row>
    <row r="60589" spans="3:18" s="8" customFormat="1" x14ac:dyDescent="0.25">
      <c r="C60589" s="60"/>
      <c r="I60589" s="63"/>
      <c r="R60589" s="64"/>
    </row>
    <row r="60590" spans="3:18" s="8" customFormat="1" x14ac:dyDescent="0.25">
      <c r="C60590" s="60"/>
      <c r="I60590" s="63"/>
      <c r="R60590" s="64"/>
    </row>
    <row r="60591" spans="3:18" s="8" customFormat="1" x14ac:dyDescent="0.25">
      <c r="C60591" s="60"/>
      <c r="I60591" s="63"/>
      <c r="R60591" s="64"/>
    </row>
    <row r="60592" spans="3:18" s="8" customFormat="1" x14ac:dyDescent="0.25">
      <c r="C60592" s="60"/>
      <c r="I60592" s="63"/>
      <c r="R60592" s="64"/>
    </row>
    <row r="60593" spans="3:18" s="8" customFormat="1" x14ac:dyDescent="0.25">
      <c r="C60593" s="60"/>
      <c r="I60593" s="63"/>
      <c r="R60593" s="64"/>
    </row>
    <row r="60594" spans="3:18" s="8" customFormat="1" x14ac:dyDescent="0.25">
      <c r="C60594" s="60"/>
      <c r="I60594" s="63"/>
      <c r="R60594" s="64"/>
    </row>
    <row r="60595" spans="3:18" s="8" customFormat="1" x14ac:dyDescent="0.25">
      <c r="C60595" s="60"/>
      <c r="I60595" s="63"/>
      <c r="R60595" s="64"/>
    </row>
    <row r="60596" spans="3:18" s="8" customFormat="1" x14ac:dyDescent="0.25">
      <c r="C60596" s="60"/>
      <c r="I60596" s="63"/>
      <c r="R60596" s="64"/>
    </row>
    <row r="60597" spans="3:18" s="8" customFormat="1" x14ac:dyDescent="0.25">
      <c r="C60597" s="60"/>
      <c r="I60597" s="63"/>
      <c r="R60597" s="64"/>
    </row>
    <row r="60598" spans="3:18" s="8" customFormat="1" x14ac:dyDescent="0.25">
      <c r="C60598" s="60"/>
      <c r="I60598" s="63"/>
      <c r="R60598" s="64"/>
    </row>
    <row r="60599" spans="3:18" s="8" customFormat="1" x14ac:dyDescent="0.25">
      <c r="C60599" s="60"/>
      <c r="I60599" s="63"/>
      <c r="R60599" s="64"/>
    </row>
    <row r="60600" spans="3:18" s="8" customFormat="1" x14ac:dyDescent="0.25">
      <c r="C60600" s="60"/>
      <c r="I60600" s="63"/>
      <c r="R60600" s="64"/>
    </row>
    <row r="60601" spans="3:18" s="8" customFormat="1" x14ac:dyDescent="0.25">
      <c r="C60601" s="60"/>
      <c r="I60601" s="63"/>
      <c r="R60601" s="64"/>
    </row>
    <row r="60602" spans="3:18" s="8" customFormat="1" x14ac:dyDescent="0.25">
      <c r="C60602" s="60"/>
      <c r="I60602" s="63"/>
      <c r="R60602" s="64"/>
    </row>
    <row r="60603" spans="3:18" s="8" customFormat="1" x14ac:dyDescent="0.25">
      <c r="C60603" s="60"/>
      <c r="I60603" s="63"/>
      <c r="R60603" s="64"/>
    </row>
    <row r="60604" spans="3:18" s="8" customFormat="1" x14ac:dyDescent="0.25">
      <c r="C60604" s="60"/>
      <c r="I60604" s="63"/>
      <c r="R60604" s="64"/>
    </row>
    <row r="60605" spans="3:18" s="8" customFormat="1" x14ac:dyDescent="0.25">
      <c r="C60605" s="60"/>
      <c r="I60605" s="63"/>
      <c r="R60605" s="64"/>
    </row>
    <row r="60606" spans="3:18" s="8" customFormat="1" x14ac:dyDescent="0.25">
      <c r="C60606" s="60"/>
      <c r="I60606" s="63"/>
      <c r="R60606" s="64"/>
    </row>
    <row r="60607" spans="3:18" s="8" customFormat="1" x14ac:dyDescent="0.25">
      <c r="C60607" s="60"/>
      <c r="I60607" s="63"/>
      <c r="R60607" s="64"/>
    </row>
    <row r="60608" spans="3:18" s="8" customFormat="1" x14ac:dyDescent="0.25">
      <c r="C60608" s="60"/>
      <c r="I60608" s="63"/>
      <c r="R60608" s="64"/>
    </row>
    <row r="60609" spans="3:18" s="8" customFormat="1" x14ac:dyDescent="0.25">
      <c r="C60609" s="60"/>
      <c r="I60609" s="63"/>
      <c r="R60609" s="64"/>
    </row>
    <row r="60610" spans="3:18" s="8" customFormat="1" x14ac:dyDescent="0.25">
      <c r="C60610" s="60"/>
      <c r="I60610" s="63"/>
      <c r="R60610" s="64"/>
    </row>
    <row r="60611" spans="3:18" s="8" customFormat="1" x14ac:dyDescent="0.25">
      <c r="C60611" s="60"/>
      <c r="I60611" s="63"/>
      <c r="R60611" s="64"/>
    </row>
    <row r="60612" spans="3:18" s="8" customFormat="1" x14ac:dyDescent="0.25">
      <c r="C60612" s="60"/>
      <c r="I60612" s="63"/>
      <c r="R60612" s="64"/>
    </row>
    <row r="60613" spans="3:18" s="8" customFormat="1" x14ac:dyDescent="0.25">
      <c r="C60613" s="60"/>
      <c r="I60613" s="63"/>
      <c r="R60613" s="64"/>
    </row>
    <row r="60614" spans="3:18" s="8" customFormat="1" x14ac:dyDescent="0.25">
      <c r="C60614" s="60"/>
      <c r="I60614" s="63"/>
      <c r="R60614" s="64"/>
    </row>
    <row r="60615" spans="3:18" s="8" customFormat="1" x14ac:dyDescent="0.25">
      <c r="C60615" s="60"/>
      <c r="I60615" s="63"/>
      <c r="R60615" s="64"/>
    </row>
    <row r="60616" spans="3:18" s="8" customFormat="1" x14ac:dyDescent="0.25">
      <c r="C60616" s="60"/>
      <c r="I60616" s="63"/>
      <c r="R60616" s="64"/>
    </row>
    <row r="60617" spans="3:18" s="8" customFormat="1" x14ac:dyDescent="0.25">
      <c r="C60617" s="60"/>
      <c r="I60617" s="63"/>
      <c r="R60617" s="64"/>
    </row>
    <row r="60618" spans="3:18" s="8" customFormat="1" x14ac:dyDescent="0.25">
      <c r="C60618" s="60"/>
      <c r="I60618" s="63"/>
      <c r="R60618" s="64"/>
    </row>
    <row r="60619" spans="3:18" s="8" customFormat="1" x14ac:dyDescent="0.25">
      <c r="C60619" s="60"/>
      <c r="I60619" s="63"/>
      <c r="R60619" s="64"/>
    </row>
    <row r="60620" spans="3:18" s="8" customFormat="1" x14ac:dyDescent="0.25">
      <c r="C60620" s="60"/>
      <c r="I60620" s="63"/>
      <c r="R60620" s="64"/>
    </row>
    <row r="60621" spans="3:18" s="8" customFormat="1" x14ac:dyDescent="0.25">
      <c r="C60621" s="60"/>
      <c r="I60621" s="63"/>
      <c r="R60621" s="64"/>
    </row>
    <row r="60622" spans="3:18" s="8" customFormat="1" x14ac:dyDescent="0.25">
      <c r="C60622" s="60"/>
      <c r="I60622" s="63"/>
      <c r="R60622" s="64"/>
    </row>
    <row r="60623" spans="3:18" s="8" customFormat="1" x14ac:dyDescent="0.25">
      <c r="C60623" s="60"/>
      <c r="I60623" s="63"/>
      <c r="R60623" s="64"/>
    </row>
    <row r="60624" spans="3:18" s="8" customFormat="1" x14ac:dyDescent="0.25">
      <c r="C60624" s="60"/>
      <c r="I60624" s="63"/>
      <c r="R60624" s="64"/>
    </row>
    <row r="60625" spans="3:18" s="8" customFormat="1" x14ac:dyDescent="0.25">
      <c r="C60625" s="60"/>
      <c r="I60625" s="63"/>
      <c r="R60625" s="64"/>
    </row>
    <row r="60626" spans="3:18" s="8" customFormat="1" x14ac:dyDescent="0.25">
      <c r="C60626" s="60"/>
      <c r="I60626" s="63"/>
      <c r="R60626" s="64"/>
    </row>
    <row r="60627" spans="3:18" s="8" customFormat="1" x14ac:dyDescent="0.25">
      <c r="C60627" s="60"/>
      <c r="I60627" s="63"/>
      <c r="R60627" s="64"/>
    </row>
    <row r="60628" spans="3:18" s="8" customFormat="1" x14ac:dyDescent="0.25">
      <c r="C60628" s="60"/>
      <c r="I60628" s="63"/>
      <c r="R60628" s="64"/>
    </row>
    <row r="60629" spans="3:18" s="8" customFormat="1" x14ac:dyDescent="0.25">
      <c r="C60629" s="60"/>
      <c r="I60629" s="63"/>
      <c r="R60629" s="64"/>
    </row>
    <row r="60630" spans="3:18" s="8" customFormat="1" x14ac:dyDescent="0.25">
      <c r="C60630" s="60"/>
      <c r="I60630" s="63"/>
      <c r="R60630" s="64"/>
    </row>
    <row r="60631" spans="3:18" s="8" customFormat="1" x14ac:dyDescent="0.25">
      <c r="C60631" s="60"/>
      <c r="I60631" s="63"/>
      <c r="R60631" s="64"/>
    </row>
    <row r="60632" spans="3:18" s="8" customFormat="1" x14ac:dyDescent="0.25">
      <c r="C60632" s="60"/>
      <c r="I60632" s="63"/>
      <c r="R60632" s="64"/>
    </row>
    <row r="60633" spans="3:18" s="8" customFormat="1" x14ac:dyDescent="0.25">
      <c r="C60633" s="60"/>
      <c r="I60633" s="63"/>
      <c r="R60633" s="64"/>
    </row>
    <row r="60634" spans="3:18" s="8" customFormat="1" x14ac:dyDescent="0.25">
      <c r="C60634" s="60"/>
      <c r="I60634" s="63"/>
      <c r="R60634" s="64"/>
    </row>
    <row r="60635" spans="3:18" s="8" customFormat="1" x14ac:dyDescent="0.25">
      <c r="C60635" s="60"/>
      <c r="I60635" s="63"/>
      <c r="R60635" s="64"/>
    </row>
    <row r="60636" spans="3:18" s="8" customFormat="1" x14ac:dyDescent="0.25">
      <c r="C60636" s="60"/>
      <c r="I60636" s="63"/>
      <c r="R60636" s="64"/>
    </row>
    <row r="60637" spans="3:18" s="8" customFormat="1" x14ac:dyDescent="0.25">
      <c r="C60637" s="60"/>
      <c r="I60637" s="63"/>
      <c r="R60637" s="64"/>
    </row>
    <row r="60638" spans="3:18" s="8" customFormat="1" x14ac:dyDescent="0.25">
      <c r="C60638" s="60"/>
      <c r="I60638" s="63"/>
      <c r="R60638" s="64"/>
    </row>
    <row r="60639" spans="3:18" s="8" customFormat="1" x14ac:dyDescent="0.25">
      <c r="C60639" s="60"/>
      <c r="I60639" s="63"/>
      <c r="R60639" s="64"/>
    </row>
    <row r="60640" spans="3:18" s="8" customFormat="1" x14ac:dyDescent="0.25">
      <c r="C60640" s="60"/>
      <c r="I60640" s="63"/>
      <c r="R60640" s="64"/>
    </row>
    <row r="60641" spans="3:18" s="8" customFormat="1" x14ac:dyDescent="0.25">
      <c r="C60641" s="60"/>
      <c r="I60641" s="63"/>
      <c r="R60641" s="64"/>
    </row>
    <row r="60642" spans="3:18" s="8" customFormat="1" x14ac:dyDescent="0.25">
      <c r="C60642" s="60"/>
      <c r="I60642" s="63"/>
      <c r="R60642" s="64"/>
    </row>
    <row r="60643" spans="3:18" s="8" customFormat="1" x14ac:dyDescent="0.25">
      <c r="C60643" s="60"/>
      <c r="I60643" s="63"/>
      <c r="R60643" s="64"/>
    </row>
    <row r="60644" spans="3:18" s="8" customFormat="1" x14ac:dyDescent="0.25">
      <c r="C60644" s="60"/>
      <c r="I60644" s="63"/>
      <c r="R60644" s="64"/>
    </row>
    <row r="60645" spans="3:18" s="8" customFormat="1" x14ac:dyDescent="0.25">
      <c r="C60645" s="60"/>
      <c r="I60645" s="63"/>
      <c r="R60645" s="64"/>
    </row>
    <row r="60646" spans="3:18" s="8" customFormat="1" x14ac:dyDescent="0.25">
      <c r="C60646" s="60"/>
      <c r="I60646" s="63"/>
      <c r="R60646" s="64"/>
    </row>
    <row r="60647" spans="3:18" s="8" customFormat="1" x14ac:dyDescent="0.25">
      <c r="C60647" s="60"/>
      <c r="I60647" s="63"/>
      <c r="R60647" s="64"/>
    </row>
    <row r="60648" spans="3:18" s="8" customFormat="1" x14ac:dyDescent="0.25">
      <c r="C60648" s="60"/>
      <c r="I60648" s="63"/>
      <c r="R60648" s="64"/>
    </row>
    <row r="60649" spans="3:18" s="8" customFormat="1" x14ac:dyDescent="0.25">
      <c r="C60649" s="60"/>
      <c r="I60649" s="63"/>
      <c r="R60649" s="64"/>
    </row>
    <row r="60650" spans="3:18" s="8" customFormat="1" x14ac:dyDescent="0.25">
      <c r="C60650" s="60"/>
      <c r="I60650" s="63"/>
      <c r="R60650" s="64"/>
    </row>
    <row r="60651" spans="3:18" s="8" customFormat="1" x14ac:dyDescent="0.25">
      <c r="C60651" s="60"/>
      <c r="I60651" s="63"/>
      <c r="R60651" s="64"/>
    </row>
    <row r="60652" spans="3:18" s="8" customFormat="1" x14ac:dyDescent="0.25">
      <c r="C60652" s="60"/>
      <c r="I60652" s="63"/>
      <c r="R60652" s="64"/>
    </row>
    <row r="60653" spans="3:18" s="8" customFormat="1" x14ac:dyDescent="0.25">
      <c r="C60653" s="60"/>
      <c r="I60653" s="63"/>
      <c r="R60653" s="64"/>
    </row>
    <row r="60654" spans="3:18" s="8" customFormat="1" x14ac:dyDescent="0.25">
      <c r="C60654" s="60"/>
      <c r="I60654" s="63"/>
      <c r="R60654" s="64"/>
    </row>
    <row r="60655" spans="3:18" s="8" customFormat="1" x14ac:dyDescent="0.25">
      <c r="C60655" s="60"/>
      <c r="I60655" s="63"/>
      <c r="R60655" s="64"/>
    </row>
    <row r="60656" spans="3:18" s="8" customFormat="1" x14ac:dyDescent="0.25">
      <c r="C60656" s="60"/>
      <c r="I60656" s="63"/>
      <c r="R60656" s="64"/>
    </row>
    <row r="60657" spans="3:18" s="8" customFormat="1" x14ac:dyDescent="0.25">
      <c r="C60657" s="60"/>
      <c r="I60657" s="63"/>
      <c r="R60657" s="64"/>
    </row>
    <row r="60658" spans="3:18" s="8" customFormat="1" x14ac:dyDescent="0.25">
      <c r="C60658" s="60"/>
      <c r="I60658" s="63"/>
      <c r="R60658" s="64"/>
    </row>
    <row r="60659" spans="3:18" s="8" customFormat="1" x14ac:dyDescent="0.25">
      <c r="C60659" s="60"/>
      <c r="I60659" s="63"/>
      <c r="R60659" s="64"/>
    </row>
    <row r="60660" spans="3:18" s="8" customFormat="1" x14ac:dyDescent="0.25">
      <c r="C60660" s="60"/>
      <c r="I60660" s="63"/>
      <c r="R60660" s="64"/>
    </row>
    <row r="60661" spans="3:18" s="8" customFormat="1" x14ac:dyDescent="0.25">
      <c r="C60661" s="60"/>
      <c r="I60661" s="63"/>
      <c r="R60661" s="64"/>
    </row>
    <row r="60662" spans="3:18" s="8" customFormat="1" x14ac:dyDescent="0.25">
      <c r="C60662" s="60"/>
      <c r="I60662" s="63"/>
      <c r="R60662" s="64"/>
    </row>
    <row r="60663" spans="3:18" s="8" customFormat="1" x14ac:dyDescent="0.25">
      <c r="C60663" s="60"/>
      <c r="I60663" s="63"/>
      <c r="R60663" s="64"/>
    </row>
    <row r="60664" spans="3:18" s="8" customFormat="1" x14ac:dyDescent="0.25">
      <c r="C60664" s="60"/>
      <c r="I60664" s="63"/>
      <c r="R60664" s="64"/>
    </row>
    <row r="60665" spans="3:18" s="8" customFormat="1" x14ac:dyDescent="0.25">
      <c r="C60665" s="60"/>
      <c r="I60665" s="63"/>
      <c r="R60665" s="64"/>
    </row>
    <row r="60666" spans="3:18" s="8" customFormat="1" x14ac:dyDescent="0.25">
      <c r="C60666" s="60"/>
      <c r="I60666" s="63"/>
      <c r="R60666" s="64"/>
    </row>
    <row r="60667" spans="3:18" s="8" customFormat="1" x14ac:dyDescent="0.25">
      <c r="C60667" s="60"/>
      <c r="I60667" s="63"/>
      <c r="R60667" s="64"/>
    </row>
    <row r="60668" spans="3:18" s="8" customFormat="1" x14ac:dyDescent="0.25">
      <c r="C60668" s="60"/>
      <c r="I60668" s="63"/>
      <c r="R60668" s="64"/>
    </row>
    <row r="60669" spans="3:18" s="8" customFormat="1" x14ac:dyDescent="0.25">
      <c r="C60669" s="60"/>
      <c r="I60669" s="63"/>
      <c r="R60669" s="64"/>
    </row>
    <row r="60670" spans="3:18" s="8" customFormat="1" x14ac:dyDescent="0.25">
      <c r="C60670" s="60"/>
      <c r="I60670" s="63"/>
      <c r="R60670" s="64"/>
    </row>
    <row r="60671" spans="3:18" s="8" customFormat="1" x14ac:dyDescent="0.25">
      <c r="C60671" s="60"/>
      <c r="I60671" s="63"/>
      <c r="R60671" s="64"/>
    </row>
    <row r="60672" spans="3:18" s="8" customFormat="1" x14ac:dyDescent="0.25">
      <c r="C60672" s="60"/>
      <c r="I60672" s="63"/>
      <c r="R60672" s="64"/>
    </row>
    <row r="60673" spans="3:18" s="8" customFormat="1" x14ac:dyDescent="0.25">
      <c r="C60673" s="60"/>
      <c r="I60673" s="63"/>
      <c r="R60673" s="64"/>
    </row>
    <row r="60674" spans="3:18" s="8" customFormat="1" x14ac:dyDescent="0.25">
      <c r="C60674" s="60"/>
      <c r="I60674" s="63"/>
      <c r="R60674" s="64"/>
    </row>
    <row r="60675" spans="3:18" s="8" customFormat="1" x14ac:dyDescent="0.25">
      <c r="C60675" s="60"/>
      <c r="I60675" s="63"/>
      <c r="R60675" s="64"/>
    </row>
    <row r="60676" spans="3:18" s="8" customFormat="1" x14ac:dyDescent="0.25">
      <c r="C60676" s="60"/>
      <c r="I60676" s="63"/>
      <c r="R60676" s="64"/>
    </row>
    <row r="60677" spans="3:18" s="8" customFormat="1" x14ac:dyDescent="0.25">
      <c r="C60677" s="60"/>
      <c r="I60677" s="63"/>
      <c r="R60677" s="64"/>
    </row>
    <row r="60678" spans="3:18" s="8" customFormat="1" x14ac:dyDescent="0.25">
      <c r="C60678" s="60"/>
      <c r="I60678" s="63"/>
      <c r="R60678" s="64"/>
    </row>
    <row r="60679" spans="3:18" s="8" customFormat="1" x14ac:dyDescent="0.25">
      <c r="C60679" s="60"/>
      <c r="I60679" s="63"/>
      <c r="R60679" s="64"/>
    </row>
    <row r="60680" spans="3:18" s="8" customFormat="1" x14ac:dyDescent="0.25">
      <c r="C60680" s="60"/>
      <c r="I60680" s="63"/>
      <c r="R60680" s="64"/>
    </row>
    <row r="60681" spans="3:18" s="8" customFormat="1" x14ac:dyDescent="0.25">
      <c r="C60681" s="60"/>
      <c r="I60681" s="63"/>
      <c r="R60681" s="64"/>
    </row>
    <row r="60682" spans="3:18" s="8" customFormat="1" x14ac:dyDescent="0.25">
      <c r="C60682" s="60"/>
      <c r="I60682" s="63"/>
      <c r="R60682" s="64"/>
    </row>
    <row r="60683" spans="3:18" s="8" customFormat="1" x14ac:dyDescent="0.25">
      <c r="C60683" s="60"/>
      <c r="I60683" s="63"/>
      <c r="R60683" s="64"/>
    </row>
    <row r="60684" spans="3:18" s="8" customFormat="1" x14ac:dyDescent="0.25">
      <c r="C60684" s="60"/>
      <c r="I60684" s="63"/>
      <c r="R60684" s="64"/>
    </row>
    <row r="60685" spans="3:18" s="8" customFormat="1" x14ac:dyDescent="0.25">
      <c r="C60685" s="60"/>
      <c r="I60685" s="63"/>
      <c r="R60685" s="64"/>
    </row>
    <row r="60686" spans="3:18" s="8" customFormat="1" x14ac:dyDescent="0.25">
      <c r="C60686" s="60"/>
      <c r="I60686" s="63"/>
      <c r="R60686" s="64"/>
    </row>
    <row r="60687" spans="3:18" s="8" customFormat="1" x14ac:dyDescent="0.25">
      <c r="C60687" s="60"/>
      <c r="I60687" s="63"/>
      <c r="R60687" s="64"/>
    </row>
    <row r="60688" spans="3:18" s="8" customFormat="1" x14ac:dyDescent="0.25">
      <c r="C60688" s="60"/>
      <c r="I60688" s="63"/>
      <c r="R60688" s="64"/>
    </row>
    <row r="60689" spans="3:18" s="8" customFormat="1" x14ac:dyDescent="0.25">
      <c r="C60689" s="60"/>
      <c r="I60689" s="63"/>
      <c r="R60689" s="64"/>
    </row>
    <row r="60690" spans="3:18" s="8" customFormat="1" x14ac:dyDescent="0.25">
      <c r="C60690" s="60"/>
      <c r="I60690" s="63"/>
      <c r="R60690" s="64"/>
    </row>
    <row r="60691" spans="3:18" s="8" customFormat="1" x14ac:dyDescent="0.25">
      <c r="C60691" s="60"/>
      <c r="I60691" s="63"/>
      <c r="R60691" s="64"/>
    </row>
    <row r="60692" spans="3:18" s="8" customFormat="1" x14ac:dyDescent="0.25">
      <c r="C60692" s="60"/>
      <c r="I60692" s="63"/>
      <c r="R60692" s="64"/>
    </row>
    <row r="60693" spans="3:18" s="8" customFormat="1" x14ac:dyDescent="0.25">
      <c r="C60693" s="60"/>
      <c r="I60693" s="63"/>
      <c r="R60693" s="64"/>
    </row>
    <row r="60694" spans="3:18" s="8" customFormat="1" x14ac:dyDescent="0.25">
      <c r="C60694" s="60"/>
      <c r="I60694" s="63"/>
      <c r="R60694" s="64"/>
    </row>
    <row r="60695" spans="3:18" s="8" customFormat="1" x14ac:dyDescent="0.25">
      <c r="C60695" s="60"/>
      <c r="I60695" s="63"/>
      <c r="R60695" s="64"/>
    </row>
    <row r="60696" spans="3:18" s="8" customFormat="1" x14ac:dyDescent="0.25">
      <c r="C60696" s="60"/>
      <c r="I60696" s="63"/>
      <c r="R60696" s="64"/>
    </row>
    <row r="60697" spans="3:18" s="8" customFormat="1" x14ac:dyDescent="0.25">
      <c r="C60697" s="60"/>
      <c r="I60697" s="63"/>
      <c r="R60697" s="64"/>
    </row>
    <row r="60698" spans="3:18" s="8" customFormat="1" x14ac:dyDescent="0.25">
      <c r="C60698" s="60"/>
      <c r="I60698" s="63"/>
      <c r="R60698" s="64"/>
    </row>
    <row r="60699" spans="3:18" s="8" customFormat="1" x14ac:dyDescent="0.25">
      <c r="C60699" s="60"/>
      <c r="I60699" s="63"/>
      <c r="R60699" s="64"/>
    </row>
    <row r="60700" spans="3:18" s="8" customFormat="1" x14ac:dyDescent="0.25">
      <c r="C60700" s="60"/>
      <c r="I60700" s="63"/>
      <c r="R60700" s="64"/>
    </row>
    <row r="60701" spans="3:18" s="8" customFormat="1" x14ac:dyDescent="0.25">
      <c r="C60701" s="60"/>
      <c r="I60701" s="63"/>
      <c r="R60701" s="64"/>
    </row>
    <row r="60702" spans="3:18" s="8" customFormat="1" x14ac:dyDescent="0.25">
      <c r="C60702" s="60"/>
      <c r="I60702" s="63"/>
      <c r="R60702" s="64"/>
    </row>
    <row r="60703" spans="3:18" s="8" customFormat="1" x14ac:dyDescent="0.25">
      <c r="C60703" s="60"/>
      <c r="I60703" s="63"/>
      <c r="R60703" s="64"/>
    </row>
    <row r="60704" spans="3:18" s="8" customFormat="1" x14ac:dyDescent="0.25">
      <c r="C60704" s="60"/>
      <c r="I60704" s="63"/>
      <c r="R60704" s="64"/>
    </row>
    <row r="60705" spans="3:18" s="8" customFormat="1" x14ac:dyDescent="0.25">
      <c r="C60705" s="60"/>
      <c r="I60705" s="63"/>
      <c r="R60705" s="64"/>
    </row>
    <row r="60706" spans="3:18" s="8" customFormat="1" x14ac:dyDescent="0.25">
      <c r="C60706" s="60"/>
      <c r="I60706" s="63"/>
      <c r="R60706" s="64"/>
    </row>
    <row r="60707" spans="3:18" s="8" customFormat="1" x14ac:dyDescent="0.25">
      <c r="C60707" s="60"/>
      <c r="I60707" s="63"/>
      <c r="R60707" s="64"/>
    </row>
    <row r="60708" spans="3:18" s="8" customFormat="1" x14ac:dyDescent="0.25">
      <c r="C60708" s="60"/>
      <c r="I60708" s="63"/>
      <c r="R60708" s="64"/>
    </row>
    <row r="60709" spans="3:18" s="8" customFormat="1" x14ac:dyDescent="0.25">
      <c r="C60709" s="60"/>
      <c r="I60709" s="63"/>
      <c r="R60709" s="64"/>
    </row>
    <row r="60710" spans="3:18" s="8" customFormat="1" x14ac:dyDescent="0.25">
      <c r="C60710" s="60"/>
      <c r="I60710" s="63"/>
      <c r="R60710" s="64"/>
    </row>
    <row r="60711" spans="3:18" s="8" customFormat="1" x14ac:dyDescent="0.25">
      <c r="C60711" s="60"/>
      <c r="I60711" s="63"/>
      <c r="R60711" s="64"/>
    </row>
    <row r="60712" spans="3:18" s="8" customFormat="1" x14ac:dyDescent="0.25">
      <c r="C60712" s="60"/>
      <c r="I60712" s="63"/>
      <c r="R60712" s="64"/>
    </row>
    <row r="60713" spans="3:18" s="8" customFormat="1" x14ac:dyDescent="0.25">
      <c r="C60713" s="60"/>
      <c r="I60713" s="63"/>
      <c r="R60713" s="64"/>
    </row>
    <row r="60714" spans="3:18" s="8" customFormat="1" x14ac:dyDescent="0.25">
      <c r="C60714" s="60"/>
      <c r="I60714" s="63"/>
      <c r="R60714" s="64"/>
    </row>
    <row r="60715" spans="3:18" s="8" customFormat="1" x14ac:dyDescent="0.25">
      <c r="C60715" s="60"/>
      <c r="I60715" s="63"/>
      <c r="R60715" s="64"/>
    </row>
    <row r="60716" spans="3:18" s="8" customFormat="1" x14ac:dyDescent="0.25">
      <c r="C60716" s="60"/>
      <c r="I60716" s="63"/>
      <c r="R60716" s="64"/>
    </row>
    <row r="60717" spans="3:18" s="8" customFormat="1" x14ac:dyDescent="0.25">
      <c r="C60717" s="60"/>
      <c r="I60717" s="63"/>
      <c r="R60717" s="64"/>
    </row>
    <row r="60718" spans="3:18" s="8" customFormat="1" x14ac:dyDescent="0.25">
      <c r="C60718" s="60"/>
      <c r="I60718" s="63"/>
      <c r="R60718" s="64"/>
    </row>
    <row r="60719" spans="3:18" s="8" customFormat="1" x14ac:dyDescent="0.25">
      <c r="C60719" s="60"/>
      <c r="I60719" s="63"/>
      <c r="R60719" s="64"/>
    </row>
    <row r="60720" spans="3:18" s="8" customFormat="1" x14ac:dyDescent="0.25">
      <c r="C60720" s="60"/>
      <c r="I60720" s="63"/>
      <c r="R60720" s="64"/>
    </row>
    <row r="60721" spans="3:18" s="8" customFormat="1" x14ac:dyDescent="0.25">
      <c r="C60721" s="60"/>
      <c r="I60721" s="63"/>
      <c r="R60721" s="64"/>
    </row>
    <row r="60722" spans="3:18" s="8" customFormat="1" x14ac:dyDescent="0.25">
      <c r="C60722" s="60"/>
      <c r="I60722" s="63"/>
      <c r="R60722" s="64"/>
    </row>
    <row r="60723" spans="3:18" s="8" customFormat="1" x14ac:dyDescent="0.25">
      <c r="C60723" s="60"/>
      <c r="I60723" s="63"/>
      <c r="R60723" s="64"/>
    </row>
    <row r="60724" spans="3:18" s="8" customFormat="1" x14ac:dyDescent="0.25">
      <c r="C60724" s="60"/>
      <c r="I60724" s="63"/>
      <c r="R60724" s="64"/>
    </row>
    <row r="60725" spans="3:18" s="8" customFormat="1" x14ac:dyDescent="0.25">
      <c r="C60725" s="60"/>
      <c r="I60725" s="63"/>
      <c r="R60725" s="64"/>
    </row>
    <row r="60726" spans="3:18" s="8" customFormat="1" x14ac:dyDescent="0.25">
      <c r="C60726" s="60"/>
      <c r="I60726" s="63"/>
      <c r="R60726" s="64"/>
    </row>
    <row r="60727" spans="3:18" s="8" customFormat="1" x14ac:dyDescent="0.25">
      <c r="C60727" s="60"/>
      <c r="I60727" s="63"/>
      <c r="R60727" s="64"/>
    </row>
    <row r="60728" spans="3:18" s="8" customFormat="1" x14ac:dyDescent="0.25">
      <c r="C60728" s="60"/>
      <c r="I60728" s="63"/>
      <c r="R60728" s="64"/>
    </row>
    <row r="60729" spans="3:18" s="8" customFormat="1" x14ac:dyDescent="0.25">
      <c r="C60729" s="60"/>
      <c r="I60729" s="63"/>
      <c r="R60729" s="64"/>
    </row>
    <row r="60730" spans="3:18" s="8" customFormat="1" x14ac:dyDescent="0.25">
      <c r="C60730" s="60"/>
      <c r="I60730" s="63"/>
      <c r="R60730" s="64"/>
    </row>
    <row r="60731" spans="3:18" s="8" customFormat="1" x14ac:dyDescent="0.25">
      <c r="C60731" s="60"/>
      <c r="I60731" s="63"/>
      <c r="R60731" s="64"/>
    </row>
    <row r="60732" spans="3:18" s="8" customFormat="1" x14ac:dyDescent="0.25">
      <c r="C60732" s="60"/>
      <c r="I60732" s="63"/>
      <c r="R60732" s="64"/>
    </row>
    <row r="60733" spans="3:18" s="8" customFormat="1" x14ac:dyDescent="0.25">
      <c r="C60733" s="60"/>
      <c r="I60733" s="63"/>
      <c r="R60733" s="64"/>
    </row>
    <row r="60734" spans="3:18" s="8" customFormat="1" x14ac:dyDescent="0.25">
      <c r="C60734" s="60"/>
      <c r="I60734" s="63"/>
      <c r="R60734" s="64"/>
    </row>
    <row r="60735" spans="3:18" s="8" customFormat="1" x14ac:dyDescent="0.25">
      <c r="C60735" s="60"/>
      <c r="I60735" s="63"/>
      <c r="R60735" s="64"/>
    </row>
    <row r="60736" spans="3:18" s="8" customFormat="1" x14ac:dyDescent="0.25">
      <c r="C60736" s="60"/>
      <c r="I60736" s="63"/>
      <c r="R60736" s="64"/>
    </row>
    <row r="60737" spans="3:18" s="8" customFormat="1" x14ac:dyDescent="0.25">
      <c r="C60737" s="60"/>
      <c r="I60737" s="63"/>
      <c r="R60737" s="64"/>
    </row>
    <row r="60738" spans="3:18" s="8" customFormat="1" x14ac:dyDescent="0.25">
      <c r="C60738" s="60"/>
      <c r="I60738" s="63"/>
      <c r="R60738" s="64"/>
    </row>
    <row r="60739" spans="3:18" s="8" customFormat="1" x14ac:dyDescent="0.25">
      <c r="C60739" s="60"/>
      <c r="I60739" s="63"/>
      <c r="R60739" s="64"/>
    </row>
    <row r="60740" spans="3:18" s="8" customFormat="1" x14ac:dyDescent="0.25">
      <c r="C60740" s="60"/>
      <c r="I60740" s="63"/>
      <c r="R60740" s="64"/>
    </row>
    <row r="60741" spans="3:18" s="8" customFormat="1" x14ac:dyDescent="0.25">
      <c r="C60741" s="60"/>
      <c r="I60741" s="63"/>
      <c r="R60741" s="64"/>
    </row>
    <row r="60742" spans="3:18" s="8" customFormat="1" x14ac:dyDescent="0.25">
      <c r="C60742" s="60"/>
      <c r="I60742" s="63"/>
      <c r="R60742" s="64"/>
    </row>
    <row r="60743" spans="3:18" s="8" customFormat="1" x14ac:dyDescent="0.25">
      <c r="C60743" s="60"/>
      <c r="I60743" s="63"/>
      <c r="R60743" s="64"/>
    </row>
    <row r="60744" spans="3:18" s="8" customFormat="1" x14ac:dyDescent="0.25">
      <c r="C60744" s="60"/>
      <c r="I60744" s="63"/>
      <c r="R60744" s="64"/>
    </row>
    <row r="60745" spans="3:18" s="8" customFormat="1" x14ac:dyDescent="0.25">
      <c r="C60745" s="60"/>
      <c r="I60745" s="63"/>
      <c r="R60745" s="64"/>
    </row>
    <row r="60746" spans="3:18" s="8" customFormat="1" x14ac:dyDescent="0.25">
      <c r="C60746" s="60"/>
      <c r="I60746" s="63"/>
      <c r="R60746" s="64"/>
    </row>
    <row r="60747" spans="3:18" s="8" customFormat="1" x14ac:dyDescent="0.25">
      <c r="C60747" s="60"/>
      <c r="I60747" s="63"/>
      <c r="R60747" s="64"/>
    </row>
    <row r="60748" spans="3:18" s="8" customFormat="1" x14ac:dyDescent="0.25">
      <c r="C60748" s="60"/>
      <c r="I60748" s="63"/>
      <c r="R60748" s="64"/>
    </row>
    <row r="60749" spans="3:18" s="8" customFormat="1" x14ac:dyDescent="0.25">
      <c r="C60749" s="60"/>
      <c r="I60749" s="63"/>
      <c r="R60749" s="64"/>
    </row>
    <row r="60750" spans="3:18" s="8" customFormat="1" x14ac:dyDescent="0.25">
      <c r="C60750" s="60"/>
      <c r="I60750" s="63"/>
      <c r="R60750" s="64"/>
    </row>
    <row r="60751" spans="3:18" s="8" customFormat="1" x14ac:dyDescent="0.25">
      <c r="C60751" s="60"/>
      <c r="I60751" s="63"/>
      <c r="R60751" s="64"/>
    </row>
    <row r="60752" spans="3:18" s="8" customFormat="1" x14ac:dyDescent="0.25">
      <c r="C60752" s="60"/>
      <c r="I60752" s="63"/>
      <c r="R60752" s="64"/>
    </row>
    <row r="60753" spans="3:18" s="8" customFormat="1" x14ac:dyDescent="0.25">
      <c r="C60753" s="60"/>
      <c r="I60753" s="63"/>
      <c r="R60753" s="64"/>
    </row>
    <row r="60754" spans="3:18" s="8" customFormat="1" x14ac:dyDescent="0.25">
      <c r="C60754" s="60"/>
      <c r="I60754" s="63"/>
      <c r="R60754" s="64"/>
    </row>
    <row r="60755" spans="3:18" s="8" customFormat="1" x14ac:dyDescent="0.25">
      <c r="C60755" s="60"/>
      <c r="I60755" s="63"/>
      <c r="R60755" s="64"/>
    </row>
    <row r="60756" spans="3:18" s="8" customFormat="1" x14ac:dyDescent="0.25">
      <c r="C60756" s="60"/>
      <c r="I60756" s="63"/>
      <c r="R60756" s="64"/>
    </row>
    <row r="60757" spans="3:18" s="8" customFormat="1" x14ac:dyDescent="0.25">
      <c r="C60757" s="60"/>
      <c r="I60757" s="63"/>
      <c r="R60757" s="64"/>
    </row>
    <row r="60758" spans="3:18" s="8" customFormat="1" x14ac:dyDescent="0.25">
      <c r="C60758" s="60"/>
      <c r="I60758" s="63"/>
      <c r="R60758" s="64"/>
    </row>
    <row r="60759" spans="3:18" s="8" customFormat="1" x14ac:dyDescent="0.25">
      <c r="C60759" s="60"/>
      <c r="I60759" s="63"/>
      <c r="R60759" s="64"/>
    </row>
    <row r="60760" spans="3:18" s="8" customFormat="1" x14ac:dyDescent="0.25">
      <c r="C60760" s="60"/>
      <c r="I60760" s="63"/>
      <c r="R60760" s="64"/>
    </row>
    <row r="60761" spans="3:18" s="8" customFormat="1" x14ac:dyDescent="0.25">
      <c r="C60761" s="60"/>
      <c r="I60761" s="63"/>
      <c r="R60761" s="64"/>
    </row>
    <row r="60762" spans="3:18" s="8" customFormat="1" x14ac:dyDescent="0.25">
      <c r="C60762" s="60"/>
      <c r="I60762" s="63"/>
      <c r="R60762" s="64"/>
    </row>
    <row r="60763" spans="3:18" s="8" customFormat="1" x14ac:dyDescent="0.25">
      <c r="C60763" s="60"/>
      <c r="I60763" s="63"/>
      <c r="R60763" s="64"/>
    </row>
    <row r="60764" spans="3:18" s="8" customFormat="1" x14ac:dyDescent="0.25">
      <c r="C60764" s="60"/>
      <c r="I60764" s="63"/>
      <c r="R60764" s="64"/>
    </row>
    <row r="60765" spans="3:18" s="8" customFormat="1" x14ac:dyDescent="0.25">
      <c r="C60765" s="60"/>
      <c r="I60765" s="63"/>
      <c r="R60765" s="64"/>
    </row>
    <row r="60766" spans="3:18" s="8" customFormat="1" x14ac:dyDescent="0.25">
      <c r="C60766" s="60"/>
      <c r="I60766" s="63"/>
      <c r="R60766" s="64"/>
    </row>
    <row r="60767" spans="3:18" s="8" customFormat="1" x14ac:dyDescent="0.25">
      <c r="C60767" s="60"/>
      <c r="I60767" s="63"/>
      <c r="R60767" s="64"/>
    </row>
    <row r="60768" spans="3:18" s="8" customFormat="1" x14ac:dyDescent="0.25">
      <c r="C60768" s="60"/>
      <c r="I60768" s="63"/>
      <c r="R60768" s="64"/>
    </row>
    <row r="60769" spans="3:18" s="8" customFormat="1" x14ac:dyDescent="0.25">
      <c r="C60769" s="60"/>
      <c r="I60769" s="63"/>
      <c r="R60769" s="64"/>
    </row>
    <row r="60770" spans="3:18" s="8" customFormat="1" x14ac:dyDescent="0.25">
      <c r="C60770" s="60"/>
      <c r="I60770" s="63"/>
      <c r="R60770" s="64"/>
    </row>
    <row r="60771" spans="3:18" s="8" customFormat="1" x14ac:dyDescent="0.25">
      <c r="C60771" s="60"/>
      <c r="I60771" s="63"/>
      <c r="R60771" s="64"/>
    </row>
    <row r="60772" spans="3:18" s="8" customFormat="1" x14ac:dyDescent="0.25">
      <c r="C60772" s="60"/>
      <c r="I60772" s="63"/>
      <c r="R60772" s="64"/>
    </row>
    <row r="60773" spans="3:18" s="8" customFormat="1" x14ac:dyDescent="0.25">
      <c r="C60773" s="60"/>
      <c r="I60773" s="63"/>
      <c r="R60773" s="64"/>
    </row>
    <row r="60774" spans="3:18" s="8" customFormat="1" x14ac:dyDescent="0.25">
      <c r="C60774" s="60"/>
      <c r="I60774" s="63"/>
      <c r="R60774" s="64"/>
    </row>
    <row r="60775" spans="3:18" s="8" customFormat="1" x14ac:dyDescent="0.25">
      <c r="C60775" s="60"/>
      <c r="I60775" s="63"/>
      <c r="R60775" s="64"/>
    </row>
    <row r="60776" spans="3:18" s="8" customFormat="1" x14ac:dyDescent="0.25">
      <c r="C60776" s="60"/>
      <c r="I60776" s="63"/>
      <c r="R60776" s="64"/>
    </row>
    <row r="60777" spans="3:18" s="8" customFormat="1" x14ac:dyDescent="0.25">
      <c r="C60777" s="60"/>
      <c r="I60777" s="63"/>
      <c r="R60777" s="64"/>
    </row>
    <row r="60778" spans="3:18" s="8" customFormat="1" x14ac:dyDescent="0.25">
      <c r="C60778" s="60"/>
      <c r="I60778" s="63"/>
      <c r="R60778" s="64"/>
    </row>
    <row r="60779" spans="3:18" s="8" customFormat="1" x14ac:dyDescent="0.25">
      <c r="C60779" s="60"/>
      <c r="I60779" s="63"/>
      <c r="R60779" s="64"/>
    </row>
    <row r="60780" spans="3:18" s="8" customFormat="1" x14ac:dyDescent="0.25">
      <c r="C60780" s="60"/>
      <c r="I60780" s="63"/>
      <c r="R60780" s="64"/>
    </row>
    <row r="60781" spans="3:18" s="8" customFormat="1" x14ac:dyDescent="0.25">
      <c r="C60781" s="60"/>
      <c r="I60781" s="63"/>
      <c r="R60781" s="64"/>
    </row>
    <row r="60782" spans="3:18" s="8" customFormat="1" x14ac:dyDescent="0.25">
      <c r="C60782" s="60"/>
      <c r="I60782" s="63"/>
      <c r="R60782" s="64"/>
    </row>
    <row r="60783" spans="3:18" s="8" customFormat="1" x14ac:dyDescent="0.25">
      <c r="C60783" s="60"/>
      <c r="I60783" s="63"/>
      <c r="R60783" s="64"/>
    </row>
    <row r="60784" spans="3:18" s="8" customFormat="1" x14ac:dyDescent="0.25">
      <c r="C60784" s="60"/>
      <c r="I60784" s="63"/>
      <c r="R60784" s="64"/>
    </row>
    <row r="60785" spans="3:18" s="8" customFormat="1" x14ac:dyDescent="0.25">
      <c r="C60785" s="60"/>
      <c r="I60785" s="63"/>
      <c r="R60785" s="64"/>
    </row>
    <row r="60786" spans="3:18" s="8" customFormat="1" x14ac:dyDescent="0.25">
      <c r="C60786" s="60"/>
      <c r="I60786" s="63"/>
      <c r="R60786" s="64"/>
    </row>
    <row r="60787" spans="3:18" s="8" customFormat="1" x14ac:dyDescent="0.25">
      <c r="C60787" s="60"/>
      <c r="I60787" s="63"/>
      <c r="R60787" s="64"/>
    </row>
    <row r="60788" spans="3:18" s="8" customFormat="1" x14ac:dyDescent="0.25">
      <c r="C60788" s="60"/>
      <c r="I60788" s="63"/>
      <c r="R60788" s="64"/>
    </row>
    <row r="60789" spans="3:18" s="8" customFormat="1" x14ac:dyDescent="0.25">
      <c r="C60789" s="60"/>
      <c r="I60789" s="63"/>
      <c r="R60789" s="64"/>
    </row>
    <row r="60790" spans="3:18" s="8" customFormat="1" x14ac:dyDescent="0.25">
      <c r="C60790" s="60"/>
      <c r="I60790" s="63"/>
      <c r="R60790" s="64"/>
    </row>
    <row r="60791" spans="3:18" s="8" customFormat="1" x14ac:dyDescent="0.25">
      <c r="C60791" s="60"/>
      <c r="I60791" s="63"/>
      <c r="R60791" s="64"/>
    </row>
    <row r="60792" spans="3:18" s="8" customFormat="1" x14ac:dyDescent="0.25">
      <c r="C60792" s="60"/>
      <c r="I60792" s="63"/>
      <c r="R60792" s="64"/>
    </row>
    <row r="60793" spans="3:18" s="8" customFormat="1" x14ac:dyDescent="0.25">
      <c r="C60793" s="60"/>
      <c r="I60793" s="63"/>
      <c r="R60793" s="64"/>
    </row>
    <row r="60794" spans="3:18" s="8" customFormat="1" x14ac:dyDescent="0.25">
      <c r="C60794" s="60"/>
      <c r="I60794" s="63"/>
      <c r="R60794" s="64"/>
    </row>
    <row r="60795" spans="3:18" s="8" customFormat="1" x14ac:dyDescent="0.25">
      <c r="C60795" s="60"/>
      <c r="I60795" s="63"/>
      <c r="R60795" s="64"/>
    </row>
    <row r="60796" spans="3:18" s="8" customFormat="1" x14ac:dyDescent="0.25">
      <c r="C60796" s="60"/>
      <c r="I60796" s="63"/>
      <c r="R60796" s="64"/>
    </row>
    <row r="60797" spans="3:18" s="8" customFormat="1" x14ac:dyDescent="0.25">
      <c r="C60797" s="60"/>
      <c r="I60797" s="63"/>
      <c r="R60797" s="64"/>
    </row>
    <row r="60798" spans="3:18" s="8" customFormat="1" x14ac:dyDescent="0.25">
      <c r="C60798" s="60"/>
      <c r="I60798" s="63"/>
      <c r="R60798" s="64"/>
    </row>
    <row r="60799" spans="3:18" s="8" customFormat="1" x14ac:dyDescent="0.25">
      <c r="C60799" s="60"/>
      <c r="I60799" s="63"/>
      <c r="R60799" s="64"/>
    </row>
    <row r="60800" spans="3:18" s="8" customFormat="1" x14ac:dyDescent="0.25">
      <c r="C60800" s="60"/>
      <c r="I60800" s="63"/>
      <c r="R60800" s="64"/>
    </row>
    <row r="60801" spans="3:18" s="8" customFormat="1" x14ac:dyDescent="0.25">
      <c r="C60801" s="60"/>
      <c r="I60801" s="63"/>
      <c r="R60801" s="64"/>
    </row>
    <row r="60802" spans="3:18" s="8" customFormat="1" x14ac:dyDescent="0.25">
      <c r="C60802" s="60"/>
      <c r="I60802" s="63"/>
      <c r="R60802" s="64"/>
    </row>
    <row r="60803" spans="3:18" s="8" customFormat="1" x14ac:dyDescent="0.25">
      <c r="C60803" s="60"/>
      <c r="I60803" s="63"/>
      <c r="R60803" s="64"/>
    </row>
    <row r="60804" spans="3:18" s="8" customFormat="1" x14ac:dyDescent="0.25">
      <c r="C60804" s="60"/>
      <c r="I60804" s="63"/>
      <c r="R60804" s="64"/>
    </row>
    <row r="60805" spans="3:18" s="8" customFormat="1" x14ac:dyDescent="0.25">
      <c r="C60805" s="60"/>
      <c r="I60805" s="63"/>
      <c r="R60805" s="64"/>
    </row>
    <row r="60806" spans="3:18" s="8" customFormat="1" x14ac:dyDescent="0.25">
      <c r="C60806" s="60"/>
      <c r="I60806" s="63"/>
      <c r="R60806" s="64"/>
    </row>
    <row r="60807" spans="3:18" s="8" customFormat="1" x14ac:dyDescent="0.25">
      <c r="C60807" s="60"/>
      <c r="I60807" s="63"/>
      <c r="R60807" s="64"/>
    </row>
    <row r="60808" spans="3:18" s="8" customFormat="1" x14ac:dyDescent="0.25">
      <c r="C60808" s="60"/>
      <c r="I60808" s="63"/>
      <c r="R60808" s="64"/>
    </row>
    <row r="60809" spans="3:18" s="8" customFormat="1" x14ac:dyDescent="0.25">
      <c r="C60809" s="60"/>
      <c r="I60809" s="63"/>
      <c r="R60809" s="64"/>
    </row>
    <row r="60810" spans="3:18" s="8" customFormat="1" x14ac:dyDescent="0.25">
      <c r="C60810" s="60"/>
      <c r="I60810" s="63"/>
      <c r="R60810" s="64"/>
    </row>
    <row r="60811" spans="3:18" s="8" customFormat="1" x14ac:dyDescent="0.25">
      <c r="C60811" s="60"/>
      <c r="I60811" s="63"/>
      <c r="R60811" s="64"/>
    </row>
    <row r="60812" spans="3:18" s="8" customFormat="1" x14ac:dyDescent="0.25">
      <c r="C60812" s="60"/>
      <c r="I60812" s="63"/>
      <c r="R60812" s="64"/>
    </row>
    <row r="60813" spans="3:18" s="8" customFormat="1" x14ac:dyDescent="0.25">
      <c r="C60813" s="60"/>
      <c r="I60813" s="63"/>
      <c r="R60813" s="64"/>
    </row>
    <row r="60814" spans="3:18" s="8" customFormat="1" x14ac:dyDescent="0.25">
      <c r="C60814" s="60"/>
      <c r="I60814" s="63"/>
      <c r="R60814" s="64"/>
    </row>
    <row r="60815" spans="3:18" s="8" customFormat="1" x14ac:dyDescent="0.25">
      <c r="C60815" s="60"/>
      <c r="I60815" s="63"/>
      <c r="R60815" s="64"/>
    </row>
    <row r="60816" spans="3:18" s="8" customFormat="1" x14ac:dyDescent="0.25">
      <c r="C60816" s="60"/>
      <c r="I60816" s="63"/>
      <c r="R60816" s="64"/>
    </row>
    <row r="60817" spans="3:18" s="8" customFormat="1" x14ac:dyDescent="0.25">
      <c r="C60817" s="60"/>
      <c r="I60817" s="63"/>
      <c r="R60817" s="64"/>
    </row>
    <row r="60818" spans="3:18" s="8" customFormat="1" x14ac:dyDescent="0.25">
      <c r="C60818" s="60"/>
      <c r="I60818" s="63"/>
      <c r="R60818" s="64"/>
    </row>
    <row r="60819" spans="3:18" s="8" customFormat="1" x14ac:dyDescent="0.25">
      <c r="C60819" s="60"/>
      <c r="I60819" s="63"/>
      <c r="R60819" s="64"/>
    </row>
    <row r="60820" spans="3:18" s="8" customFormat="1" x14ac:dyDescent="0.25">
      <c r="C60820" s="60"/>
      <c r="I60820" s="63"/>
      <c r="R60820" s="64"/>
    </row>
    <row r="60821" spans="3:18" s="8" customFormat="1" x14ac:dyDescent="0.25">
      <c r="C60821" s="60"/>
      <c r="I60821" s="63"/>
      <c r="R60821" s="64"/>
    </row>
    <row r="60822" spans="3:18" s="8" customFormat="1" x14ac:dyDescent="0.25">
      <c r="C60822" s="60"/>
      <c r="I60822" s="63"/>
      <c r="R60822" s="64"/>
    </row>
    <row r="60823" spans="3:18" s="8" customFormat="1" x14ac:dyDescent="0.25">
      <c r="C60823" s="60"/>
      <c r="I60823" s="63"/>
      <c r="R60823" s="64"/>
    </row>
    <row r="60824" spans="3:18" s="8" customFormat="1" x14ac:dyDescent="0.25">
      <c r="C60824" s="60"/>
      <c r="I60824" s="63"/>
      <c r="R60824" s="64"/>
    </row>
    <row r="60825" spans="3:18" s="8" customFormat="1" x14ac:dyDescent="0.25">
      <c r="C60825" s="60"/>
      <c r="I60825" s="63"/>
      <c r="R60825" s="64"/>
    </row>
    <row r="60826" spans="3:18" s="8" customFormat="1" x14ac:dyDescent="0.25">
      <c r="C60826" s="60"/>
      <c r="I60826" s="63"/>
      <c r="R60826" s="64"/>
    </row>
    <row r="60827" spans="3:18" s="8" customFormat="1" x14ac:dyDescent="0.25">
      <c r="C60827" s="60"/>
      <c r="I60827" s="63"/>
      <c r="R60827" s="64"/>
    </row>
    <row r="60828" spans="3:18" s="8" customFormat="1" x14ac:dyDescent="0.25">
      <c r="C60828" s="60"/>
      <c r="I60828" s="63"/>
      <c r="R60828" s="64"/>
    </row>
    <row r="60829" spans="3:18" s="8" customFormat="1" x14ac:dyDescent="0.25">
      <c r="C60829" s="60"/>
      <c r="I60829" s="63"/>
      <c r="R60829" s="64"/>
    </row>
    <row r="60830" spans="3:18" s="8" customFormat="1" x14ac:dyDescent="0.25">
      <c r="C60830" s="60"/>
      <c r="I60830" s="63"/>
      <c r="R60830" s="64"/>
    </row>
    <row r="60831" spans="3:18" s="8" customFormat="1" x14ac:dyDescent="0.25">
      <c r="C60831" s="60"/>
      <c r="I60831" s="63"/>
      <c r="R60831" s="64"/>
    </row>
    <row r="60832" spans="3:18" s="8" customFormat="1" x14ac:dyDescent="0.25">
      <c r="C60832" s="60"/>
      <c r="I60832" s="63"/>
      <c r="R60832" s="64"/>
    </row>
    <row r="60833" spans="3:18" s="8" customFormat="1" x14ac:dyDescent="0.25">
      <c r="C60833" s="60"/>
      <c r="I60833" s="63"/>
      <c r="R60833" s="64"/>
    </row>
    <row r="60834" spans="3:18" s="8" customFormat="1" x14ac:dyDescent="0.25">
      <c r="C60834" s="60"/>
      <c r="I60834" s="63"/>
      <c r="R60834" s="64"/>
    </row>
    <row r="60835" spans="3:18" s="8" customFormat="1" x14ac:dyDescent="0.25">
      <c r="C60835" s="60"/>
      <c r="I60835" s="63"/>
      <c r="R60835" s="64"/>
    </row>
    <row r="60836" spans="3:18" s="8" customFormat="1" x14ac:dyDescent="0.25">
      <c r="C60836" s="60"/>
      <c r="I60836" s="63"/>
      <c r="R60836" s="64"/>
    </row>
    <row r="60837" spans="3:18" s="8" customFormat="1" x14ac:dyDescent="0.25">
      <c r="C60837" s="60"/>
      <c r="I60837" s="63"/>
      <c r="R60837" s="64"/>
    </row>
    <row r="60838" spans="3:18" s="8" customFormat="1" x14ac:dyDescent="0.25">
      <c r="C60838" s="60"/>
      <c r="I60838" s="63"/>
      <c r="R60838" s="64"/>
    </row>
    <row r="60839" spans="3:18" s="8" customFormat="1" x14ac:dyDescent="0.25">
      <c r="C60839" s="60"/>
      <c r="I60839" s="63"/>
      <c r="R60839" s="64"/>
    </row>
    <row r="60840" spans="3:18" s="8" customFormat="1" x14ac:dyDescent="0.25">
      <c r="C60840" s="60"/>
      <c r="I60840" s="63"/>
      <c r="R60840" s="64"/>
    </row>
    <row r="60841" spans="3:18" s="8" customFormat="1" x14ac:dyDescent="0.25">
      <c r="C60841" s="60"/>
      <c r="I60841" s="63"/>
      <c r="R60841" s="64"/>
    </row>
    <row r="60842" spans="3:18" s="8" customFormat="1" x14ac:dyDescent="0.25">
      <c r="C60842" s="60"/>
      <c r="I60842" s="63"/>
      <c r="R60842" s="64"/>
    </row>
    <row r="60843" spans="3:18" s="8" customFormat="1" x14ac:dyDescent="0.25">
      <c r="C60843" s="60"/>
      <c r="I60843" s="63"/>
      <c r="R60843" s="64"/>
    </row>
    <row r="60844" spans="3:18" s="8" customFormat="1" x14ac:dyDescent="0.25">
      <c r="C60844" s="60"/>
      <c r="I60844" s="63"/>
      <c r="R60844" s="64"/>
    </row>
    <row r="60845" spans="3:18" s="8" customFormat="1" x14ac:dyDescent="0.25">
      <c r="C60845" s="60"/>
      <c r="I60845" s="63"/>
      <c r="R60845" s="64"/>
    </row>
    <row r="60846" spans="3:18" s="8" customFormat="1" x14ac:dyDescent="0.25">
      <c r="C60846" s="60"/>
      <c r="I60846" s="63"/>
      <c r="R60846" s="64"/>
    </row>
    <row r="60847" spans="3:18" s="8" customFormat="1" x14ac:dyDescent="0.25">
      <c r="C60847" s="60"/>
      <c r="I60847" s="63"/>
      <c r="R60847" s="64"/>
    </row>
    <row r="60848" spans="3:18" s="8" customFormat="1" x14ac:dyDescent="0.25">
      <c r="C60848" s="60"/>
      <c r="I60848" s="63"/>
      <c r="R60848" s="64"/>
    </row>
    <row r="60849" spans="3:18" s="8" customFormat="1" x14ac:dyDescent="0.25">
      <c r="C60849" s="60"/>
      <c r="I60849" s="63"/>
      <c r="R60849" s="64"/>
    </row>
    <row r="60850" spans="3:18" s="8" customFormat="1" x14ac:dyDescent="0.25">
      <c r="C60850" s="60"/>
      <c r="I60850" s="63"/>
      <c r="R60850" s="64"/>
    </row>
    <row r="60851" spans="3:18" s="8" customFormat="1" x14ac:dyDescent="0.25">
      <c r="C60851" s="60"/>
      <c r="I60851" s="63"/>
      <c r="R60851" s="64"/>
    </row>
    <row r="60852" spans="3:18" s="8" customFormat="1" x14ac:dyDescent="0.25">
      <c r="C60852" s="60"/>
      <c r="I60852" s="63"/>
      <c r="R60852" s="64"/>
    </row>
    <row r="60853" spans="3:18" s="8" customFormat="1" x14ac:dyDescent="0.25">
      <c r="C60853" s="60"/>
      <c r="I60853" s="63"/>
      <c r="R60853" s="64"/>
    </row>
    <row r="60854" spans="3:18" s="8" customFormat="1" x14ac:dyDescent="0.25">
      <c r="C60854" s="60"/>
      <c r="I60854" s="63"/>
      <c r="R60854" s="64"/>
    </row>
    <row r="60855" spans="3:18" s="8" customFormat="1" x14ac:dyDescent="0.25">
      <c r="C60855" s="60"/>
      <c r="I60855" s="63"/>
      <c r="R60855" s="64"/>
    </row>
    <row r="60856" spans="3:18" s="8" customFormat="1" x14ac:dyDescent="0.25">
      <c r="C60856" s="60"/>
      <c r="I60856" s="63"/>
      <c r="R60856" s="64"/>
    </row>
    <row r="60857" spans="3:18" s="8" customFormat="1" x14ac:dyDescent="0.25">
      <c r="C60857" s="60"/>
      <c r="I60857" s="63"/>
      <c r="R60857" s="64"/>
    </row>
    <row r="60858" spans="3:18" s="8" customFormat="1" x14ac:dyDescent="0.25">
      <c r="C60858" s="60"/>
      <c r="I60858" s="63"/>
      <c r="R60858" s="64"/>
    </row>
    <row r="60859" spans="3:18" s="8" customFormat="1" x14ac:dyDescent="0.25">
      <c r="C60859" s="60"/>
      <c r="I60859" s="63"/>
      <c r="R60859" s="64"/>
    </row>
    <row r="60860" spans="3:18" s="8" customFormat="1" x14ac:dyDescent="0.25">
      <c r="C60860" s="60"/>
      <c r="I60860" s="63"/>
      <c r="R60860" s="64"/>
    </row>
    <row r="60861" spans="3:18" s="8" customFormat="1" x14ac:dyDescent="0.25">
      <c r="C60861" s="60"/>
      <c r="I60861" s="63"/>
      <c r="R60861" s="64"/>
    </row>
    <row r="60862" spans="3:18" s="8" customFormat="1" x14ac:dyDescent="0.25">
      <c r="C60862" s="60"/>
      <c r="I60862" s="63"/>
      <c r="R60862" s="64"/>
    </row>
    <row r="60863" spans="3:18" s="8" customFormat="1" x14ac:dyDescent="0.25">
      <c r="C60863" s="60"/>
      <c r="I60863" s="63"/>
      <c r="R60863" s="64"/>
    </row>
    <row r="60864" spans="3:18" s="8" customFormat="1" x14ac:dyDescent="0.25">
      <c r="C60864" s="60"/>
      <c r="I60864" s="63"/>
      <c r="R60864" s="64"/>
    </row>
    <row r="60865" spans="3:18" s="8" customFormat="1" x14ac:dyDescent="0.25">
      <c r="C60865" s="60"/>
      <c r="I60865" s="63"/>
      <c r="R60865" s="64"/>
    </row>
    <row r="60866" spans="3:18" s="8" customFormat="1" x14ac:dyDescent="0.25">
      <c r="C60866" s="60"/>
      <c r="I60866" s="63"/>
      <c r="R60866" s="64"/>
    </row>
    <row r="60867" spans="3:18" s="8" customFormat="1" x14ac:dyDescent="0.25">
      <c r="C60867" s="60"/>
      <c r="I60867" s="63"/>
      <c r="R60867" s="64"/>
    </row>
    <row r="60868" spans="3:18" s="8" customFormat="1" x14ac:dyDescent="0.25">
      <c r="C60868" s="60"/>
      <c r="I60868" s="63"/>
      <c r="R60868" s="64"/>
    </row>
    <row r="60869" spans="3:18" s="8" customFormat="1" x14ac:dyDescent="0.25">
      <c r="C60869" s="60"/>
      <c r="I60869" s="63"/>
      <c r="R60869" s="64"/>
    </row>
    <row r="60870" spans="3:18" s="8" customFormat="1" x14ac:dyDescent="0.25">
      <c r="C60870" s="60"/>
      <c r="I60870" s="63"/>
      <c r="R60870" s="64"/>
    </row>
    <row r="60871" spans="3:18" s="8" customFormat="1" x14ac:dyDescent="0.25">
      <c r="C60871" s="60"/>
      <c r="I60871" s="63"/>
      <c r="R60871" s="64"/>
    </row>
    <row r="60872" spans="3:18" s="8" customFormat="1" x14ac:dyDescent="0.25">
      <c r="C60872" s="60"/>
      <c r="I60872" s="63"/>
      <c r="R60872" s="64"/>
    </row>
    <row r="60873" spans="3:18" s="8" customFormat="1" x14ac:dyDescent="0.25">
      <c r="C60873" s="60"/>
      <c r="I60873" s="63"/>
      <c r="R60873" s="64"/>
    </row>
    <row r="60874" spans="3:18" s="8" customFormat="1" x14ac:dyDescent="0.25">
      <c r="C60874" s="60"/>
      <c r="I60874" s="63"/>
      <c r="R60874" s="64"/>
    </row>
    <row r="60875" spans="3:18" s="8" customFormat="1" x14ac:dyDescent="0.25">
      <c r="C60875" s="60"/>
      <c r="I60875" s="63"/>
      <c r="R60875" s="64"/>
    </row>
    <row r="60876" spans="3:18" s="8" customFormat="1" x14ac:dyDescent="0.25">
      <c r="C60876" s="60"/>
      <c r="I60876" s="63"/>
      <c r="R60876" s="64"/>
    </row>
    <row r="60877" spans="3:18" s="8" customFormat="1" x14ac:dyDescent="0.25">
      <c r="C60877" s="60"/>
      <c r="I60877" s="63"/>
      <c r="R60877" s="64"/>
    </row>
    <row r="60878" spans="3:18" s="8" customFormat="1" x14ac:dyDescent="0.25">
      <c r="C60878" s="60"/>
      <c r="I60878" s="63"/>
      <c r="R60878" s="64"/>
    </row>
    <row r="60879" spans="3:18" s="8" customFormat="1" x14ac:dyDescent="0.25">
      <c r="C60879" s="60"/>
      <c r="I60879" s="63"/>
      <c r="R60879" s="64"/>
    </row>
    <row r="60880" spans="3:18" s="8" customFormat="1" x14ac:dyDescent="0.25">
      <c r="C60880" s="60"/>
      <c r="I60880" s="63"/>
      <c r="R60880" s="64"/>
    </row>
    <row r="60881" spans="3:18" s="8" customFormat="1" x14ac:dyDescent="0.25">
      <c r="C60881" s="60"/>
      <c r="I60881" s="63"/>
      <c r="R60881" s="64"/>
    </row>
    <row r="60882" spans="3:18" s="8" customFormat="1" x14ac:dyDescent="0.25">
      <c r="C60882" s="60"/>
      <c r="I60882" s="63"/>
      <c r="R60882" s="64"/>
    </row>
    <row r="60883" spans="3:18" s="8" customFormat="1" x14ac:dyDescent="0.25">
      <c r="C60883" s="60"/>
      <c r="I60883" s="63"/>
      <c r="R60883" s="64"/>
    </row>
    <row r="60884" spans="3:18" s="8" customFormat="1" x14ac:dyDescent="0.25">
      <c r="C60884" s="60"/>
      <c r="I60884" s="63"/>
      <c r="R60884" s="64"/>
    </row>
    <row r="60885" spans="3:18" s="8" customFormat="1" x14ac:dyDescent="0.25">
      <c r="C60885" s="60"/>
      <c r="I60885" s="63"/>
      <c r="R60885" s="64"/>
    </row>
    <row r="60886" spans="3:18" s="8" customFormat="1" x14ac:dyDescent="0.25">
      <c r="C60886" s="60"/>
      <c r="I60886" s="63"/>
      <c r="R60886" s="64"/>
    </row>
    <row r="60887" spans="3:18" s="8" customFormat="1" x14ac:dyDescent="0.25">
      <c r="C60887" s="60"/>
      <c r="I60887" s="63"/>
      <c r="R60887" s="64"/>
    </row>
    <row r="60888" spans="3:18" s="8" customFormat="1" x14ac:dyDescent="0.25">
      <c r="C60888" s="60"/>
      <c r="I60888" s="63"/>
      <c r="R60888" s="64"/>
    </row>
    <row r="60889" spans="3:18" s="8" customFormat="1" x14ac:dyDescent="0.25">
      <c r="C60889" s="60"/>
      <c r="I60889" s="63"/>
      <c r="R60889" s="64"/>
    </row>
    <row r="60890" spans="3:18" s="8" customFormat="1" x14ac:dyDescent="0.25">
      <c r="C60890" s="60"/>
      <c r="I60890" s="63"/>
      <c r="R60890" s="64"/>
    </row>
    <row r="60891" spans="3:18" s="8" customFormat="1" x14ac:dyDescent="0.25">
      <c r="C60891" s="60"/>
      <c r="I60891" s="63"/>
      <c r="R60891" s="64"/>
    </row>
    <row r="60892" spans="3:18" s="8" customFormat="1" x14ac:dyDescent="0.25">
      <c r="C60892" s="60"/>
      <c r="I60892" s="63"/>
      <c r="R60892" s="64"/>
    </row>
    <row r="60893" spans="3:18" s="8" customFormat="1" x14ac:dyDescent="0.25">
      <c r="C60893" s="60"/>
      <c r="I60893" s="63"/>
      <c r="R60893" s="64"/>
    </row>
    <row r="60894" spans="3:18" s="8" customFormat="1" x14ac:dyDescent="0.25">
      <c r="C60894" s="60"/>
      <c r="I60894" s="63"/>
      <c r="R60894" s="64"/>
    </row>
    <row r="60895" spans="3:18" s="8" customFormat="1" x14ac:dyDescent="0.25">
      <c r="C60895" s="60"/>
      <c r="I60895" s="63"/>
      <c r="R60895" s="64"/>
    </row>
    <row r="60896" spans="3:18" s="8" customFormat="1" x14ac:dyDescent="0.25">
      <c r="C60896" s="60"/>
      <c r="I60896" s="63"/>
      <c r="R60896" s="64"/>
    </row>
    <row r="60897" spans="3:18" s="8" customFormat="1" x14ac:dyDescent="0.25">
      <c r="C60897" s="60"/>
      <c r="I60897" s="63"/>
      <c r="R60897" s="64"/>
    </row>
    <row r="60898" spans="3:18" s="8" customFormat="1" x14ac:dyDescent="0.25">
      <c r="C60898" s="60"/>
      <c r="I60898" s="63"/>
      <c r="R60898" s="64"/>
    </row>
    <row r="60899" spans="3:18" s="8" customFormat="1" x14ac:dyDescent="0.25">
      <c r="C60899" s="60"/>
      <c r="I60899" s="63"/>
      <c r="R60899" s="64"/>
    </row>
    <row r="60900" spans="3:18" s="8" customFormat="1" x14ac:dyDescent="0.25">
      <c r="C60900" s="60"/>
      <c r="I60900" s="63"/>
      <c r="R60900" s="64"/>
    </row>
    <row r="60901" spans="3:18" s="8" customFormat="1" x14ac:dyDescent="0.25">
      <c r="C60901" s="60"/>
      <c r="I60901" s="63"/>
      <c r="R60901" s="64"/>
    </row>
    <row r="60902" spans="3:18" s="8" customFormat="1" x14ac:dyDescent="0.25">
      <c r="C60902" s="60"/>
      <c r="I60902" s="63"/>
      <c r="R60902" s="64"/>
    </row>
    <row r="60903" spans="3:18" s="8" customFormat="1" x14ac:dyDescent="0.25">
      <c r="C60903" s="60"/>
      <c r="I60903" s="63"/>
      <c r="R60903" s="64"/>
    </row>
    <row r="60904" spans="3:18" s="8" customFormat="1" x14ac:dyDescent="0.25">
      <c r="C60904" s="60"/>
      <c r="I60904" s="63"/>
      <c r="R60904" s="64"/>
    </row>
    <row r="60905" spans="3:18" s="8" customFormat="1" x14ac:dyDescent="0.25">
      <c r="C60905" s="60"/>
      <c r="I60905" s="63"/>
      <c r="R60905" s="64"/>
    </row>
    <row r="60906" spans="3:18" s="8" customFormat="1" x14ac:dyDescent="0.25">
      <c r="C60906" s="60"/>
      <c r="I60906" s="63"/>
      <c r="R60906" s="64"/>
    </row>
    <row r="60907" spans="3:18" s="8" customFormat="1" x14ac:dyDescent="0.25">
      <c r="C60907" s="60"/>
      <c r="I60907" s="63"/>
      <c r="R60907" s="64"/>
    </row>
    <row r="60908" spans="3:18" s="8" customFormat="1" x14ac:dyDescent="0.25">
      <c r="C60908" s="60"/>
      <c r="I60908" s="63"/>
      <c r="R60908" s="64"/>
    </row>
    <row r="60909" spans="3:18" s="8" customFormat="1" x14ac:dyDescent="0.25">
      <c r="C60909" s="60"/>
      <c r="I60909" s="63"/>
      <c r="R60909" s="64"/>
    </row>
    <row r="60910" spans="3:18" s="8" customFormat="1" x14ac:dyDescent="0.25">
      <c r="C60910" s="60"/>
      <c r="I60910" s="63"/>
      <c r="R60910" s="64"/>
    </row>
    <row r="60911" spans="3:18" s="8" customFormat="1" x14ac:dyDescent="0.25">
      <c r="C60911" s="60"/>
      <c r="I60911" s="63"/>
      <c r="R60911" s="64"/>
    </row>
    <row r="60912" spans="3:18" s="8" customFormat="1" x14ac:dyDescent="0.25">
      <c r="C60912" s="60"/>
      <c r="I60912" s="63"/>
      <c r="R60912" s="64"/>
    </row>
    <row r="60913" spans="3:18" s="8" customFormat="1" x14ac:dyDescent="0.25">
      <c r="C60913" s="60"/>
      <c r="I60913" s="63"/>
      <c r="R60913" s="64"/>
    </row>
    <row r="60914" spans="3:18" s="8" customFormat="1" x14ac:dyDescent="0.25">
      <c r="C60914" s="60"/>
      <c r="I60914" s="63"/>
      <c r="R60914" s="64"/>
    </row>
    <row r="60915" spans="3:18" s="8" customFormat="1" x14ac:dyDescent="0.25">
      <c r="C60915" s="60"/>
      <c r="I60915" s="63"/>
      <c r="R60915" s="64"/>
    </row>
    <row r="60916" spans="3:18" s="8" customFormat="1" x14ac:dyDescent="0.25">
      <c r="C60916" s="60"/>
      <c r="I60916" s="63"/>
      <c r="R60916" s="64"/>
    </row>
    <row r="60917" spans="3:18" s="8" customFormat="1" x14ac:dyDescent="0.25">
      <c r="C60917" s="60"/>
      <c r="I60917" s="63"/>
      <c r="R60917" s="64"/>
    </row>
    <row r="60918" spans="3:18" s="8" customFormat="1" x14ac:dyDescent="0.25">
      <c r="C60918" s="60"/>
      <c r="I60918" s="63"/>
      <c r="R60918" s="64"/>
    </row>
    <row r="60919" spans="3:18" s="8" customFormat="1" x14ac:dyDescent="0.25">
      <c r="C60919" s="60"/>
      <c r="I60919" s="63"/>
      <c r="R60919" s="64"/>
    </row>
    <row r="60920" spans="3:18" s="8" customFormat="1" x14ac:dyDescent="0.25">
      <c r="C60920" s="60"/>
      <c r="I60920" s="63"/>
      <c r="R60920" s="64"/>
    </row>
    <row r="60921" spans="3:18" s="8" customFormat="1" x14ac:dyDescent="0.25">
      <c r="C60921" s="60"/>
      <c r="I60921" s="63"/>
      <c r="R60921" s="64"/>
    </row>
    <row r="60922" spans="3:18" s="8" customFormat="1" x14ac:dyDescent="0.25">
      <c r="C60922" s="60"/>
      <c r="I60922" s="63"/>
      <c r="R60922" s="64"/>
    </row>
    <row r="60923" spans="3:18" s="8" customFormat="1" x14ac:dyDescent="0.25">
      <c r="C60923" s="60"/>
      <c r="I60923" s="63"/>
      <c r="R60923" s="64"/>
    </row>
    <row r="60924" spans="3:18" s="8" customFormat="1" x14ac:dyDescent="0.25">
      <c r="C60924" s="60"/>
      <c r="I60924" s="63"/>
      <c r="R60924" s="64"/>
    </row>
    <row r="60925" spans="3:18" s="8" customFormat="1" x14ac:dyDescent="0.25">
      <c r="C60925" s="60"/>
      <c r="I60925" s="63"/>
      <c r="R60925" s="64"/>
    </row>
    <row r="60926" spans="3:18" s="8" customFormat="1" x14ac:dyDescent="0.25">
      <c r="C60926" s="60"/>
      <c r="I60926" s="63"/>
      <c r="R60926" s="64"/>
    </row>
    <row r="60927" spans="3:18" s="8" customFormat="1" x14ac:dyDescent="0.25">
      <c r="C60927" s="60"/>
      <c r="I60927" s="63"/>
      <c r="R60927" s="64"/>
    </row>
    <row r="60928" spans="3:18" s="8" customFormat="1" x14ac:dyDescent="0.25">
      <c r="C60928" s="60"/>
      <c r="I60928" s="63"/>
      <c r="R60928" s="64"/>
    </row>
    <row r="60929" spans="3:18" s="8" customFormat="1" x14ac:dyDescent="0.25">
      <c r="C60929" s="60"/>
      <c r="I60929" s="63"/>
      <c r="R60929" s="64"/>
    </row>
    <row r="60930" spans="3:18" s="8" customFormat="1" x14ac:dyDescent="0.25">
      <c r="C60930" s="60"/>
      <c r="I60930" s="63"/>
      <c r="R60930" s="64"/>
    </row>
    <row r="60931" spans="3:18" s="8" customFormat="1" x14ac:dyDescent="0.25">
      <c r="C60931" s="60"/>
      <c r="I60931" s="63"/>
      <c r="R60931" s="64"/>
    </row>
    <row r="60932" spans="3:18" s="8" customFormat="1" x14ac:dyDescent="0.25">
      <c r="C60932" s="60"/>
      <c r="I60932" s="63"/>
      <c r="R60932" s="64"/>
    </row>
    <row r="60933" spans="3:18" s="8" customFormat="1" x14ac:dyDescent="0.25">
      <c r="C60933" s="60"/>
      <c r="I60933" s="63"/>
      <c r="R60933" s="64"/>
    </row>
    <row r="60934" spans="3:18" s="8" customFormat="1" x14ac:dyDescent="0.25">
      <c r="C60934" s="60"/>
      <c r="I60934" s="63"/>
      <c r="R60934" s="64"/>
    </row>
    <row r="60935" spans="3:18" s="8" customFormat="1" x14ac:dyDescent="0.25">
      <c r="C60935" s="60"/>
      <c r="I60935" s="63"/>
      <c r="R60935" s="64"/>
    </row>
    <row r="60936" spans="3:18" s="8" customFormat="1" x14ac:dyDescent="0.25">
      <c r="C60936" s="60"/>
      <c r="I60936" s="63"/>
      <c r="R60936" s="64"/>
    </row>
    <row r="60937" spans="3:18" s="8" customFormat="1" x14ac:dyDescent="0.25">
      <c r="C60937" s="60"/>
      <c r="I60937" s="63"/>
      <c r="R60937" s="64"/>
    </row>
    <row r="60938" spans="3:18" s="8" customFormat="1" x14ac:dyDescent="0.25">
      <c r="C60938" s="60"/>
      <c r="I60938" s="63"/>
      <c r="R60938" s="64"/>
    </row>
    <row r="60939" spans="3:18" s="8" customFormat="1" x14ac:dyDescent="0.25">
      <c r="C60939" s="60"/>
      <c r="I60939" s="63"/>
      <c r="R60939" s="64"/>
    </row>
    <row r="60940" spans="3:18" s="8" customFormat="1" x14ac:dyDescent="0.25">
      <c r="C60940" s="60"/>
      <c r="I60940" s="63"/>
      <c r="R60940" s="64"/>
    </row>
    <row r="60941" spans="3:18" s="8" customFormat="1" x14ac:dyDescent="0.25">
      <c r="C60941" s="60"/>
      <c r="I60941" s="63"/>
      <c r="R60941" s="64"/>
    </row>
    <row r="60942" spans="3:18" s="8" customFormat="1" x14ac:dyDescent="0.25">
      <c r="C60942" s="60"/>
      <c r="I60942" s="63"/>
      <c r="R60942" s="64"/>
    </row>
    <row r="60943" spans="3:18" s="8" customFormat="1" x14ac:dyDescent="0.25">
      <c r="C60943" s="60"/>
      <c r="I60943" s="63"/>
      <c r="R60943" s="64"/>
    </row>
    <row r="60944" spans="3:18" s="8" customFormat="1" x14ac:dyDescent="0.25">
      <c r="C60944" s="60"/>
      <c r="I60944" s="63"/>
      <c r="R60944" s="64"/>
    </row>
    <row r="60945" spans="3:18" s="8" customFormat="1" x14ac:dyDescent="0.25">
      <c r="C60945" s="60"/>
      <c r="I60945" s="63"/>
      <c r="R60945" s="64"/>
    </row>
    <row r="60946" spans="3:18" s="8" customFormat="1" x14ac:dyDescent="0.25">
      <c r="C60946" s="60"/>
      <c r="I60946" s="63"/>
      <c r="R60946" s="64"/>
    </row>
    <row r="60947" spans="3:18" s="8" customFormat="1" x14ac:dyDescent="0.25">
      <c r="C60947" s="60"/>
      <c r="I60947" s="63"/>
      <c r="R60947" s="64"/>
    </row>
    <row r="60948" spans="3:18" s="8" customFormat="1" x14ac:dyDescent="0.25">
      <c r="C60948" s="60"/>
      <c r="I60948" s="63"/>
      <c r="R60948" s="64"/>
    </row>
    <row r="60949" spans="3:18" s="8" customFormat="1" x14ac:dyDescent="0.25">
      <c r="C60949" s="60"/>
      <c r="I60949" s="63"/>
      <c r="R60949" s="64"/>
    </row>
    <row r="60950" spans="3:18" s="8" customFormat="1" x14ac:dyDescent="0.25">
      <c r="C60950" s="60"/>
      <c r="I60950" s="63"/>
      <c r="R60950" s="64"/>
    </row>
    <row r="60951" spans="3:18" s="8" customFormat="1" x14ac:dyDescent="0.25">
      <c r="C60951" s="60"/>
      <c r="I60951" s="63"/>
      <c r="R60951" s="64"/>
    </row>
    <row r="60952" spans="3:18" s="8" customFormat="1" x14ac:dyDescent="0.25">
      <c r="C60952" s="60"/>
      <c r="I60952" s="63"/>
      <c r="R60952" s="64"/>
    </row>
    <row r="60953" spans="3:18" s="8" customFormat="1" x14ac:dyDescent="0.25">
      <c r="C60953" s="60"/>
      <c r="I60953" s="63"/>
      <c r="R60953" s="64"/>
    </row>
    <row r="60954" spans="3:18" s="8" customFormat="1" x14ac:dyDescent="0.25">
      <c r="C60954" s="60"/>
      <c r="I60954" s="63"/>
      <c r="R60954" s="64"/>
    </row>
    <row r="60955" spans="3:18" s="8" customFormat="1" x14ac:dyDescent="0.25">
      <c r="C60955" s="60"/>
      <c r="I60955" s="63"/>
      <c r="R60955" s="64"/>
    </row>
    <row r="60956" spans="3:18" s="8" customFormat="1" x14ac:dyDescent="0.25">
      <c r="C60956" s="60"/>
      <c r="I60956" s="63"/>
      <c r="R60956" s="64"/>
    </row>
    <row r="60957" spans="3:18" s="8" customFormat="1" x14ac:dyDescent="0.25">
      <c r="C60957" s="60"/>
      <c r="I60957" s="63"/>
      <c r="R60957" s="64"/>
    </row>
    <row r="60958" spans="3:18" s="8" customFormat="1" x14ac:dyDescent="0.25">
      <c r="C60958" s="60"/>
      <c r="I60958" s="63"/>
      <c r="R60958" s="64"/>
    </row>
    <row r="60959" spans="3:18" s="8" customFormat="1" x14ac:dyDescent="0.25">
      <c r="C60959" s="60"/>
      <c r="I60959" s="63"/>
      <c r="R60959" s="64"/>
    </row>
    <row r="60960" spans="3:18" s="8" customFormat="1" x14ac:dyDescent="0.25">
      <c r="C60960" s="60"/>
      <c r="I60960" s="63"/>
      <c r="R60960" s="64"/>
    </row>
    <row r="60961" spans="3:18" s="8" customFormat="1" x14ac:dyDescent="0.25">
      <c r="C60961" s="60"/>
      <c r="I60961" s="63"/>
      <c r="R60961" s="64"/>
    </row>
    <row r="60962" spans="3:18" s="8" customFormat="1" x14ac:dyDescent="0.25">
      <c r="C60962" s="60"/>
      <c r="I60962" s="63"/>
      <c r="R60962" s="64"/>
    </row>
    <row r="60963" spans="3:18" s="8" customFormat="1" x14ac:dyDescent="0.25">
      <c r="C60963" s="60"/>
      <c r="I60963" s="63"/>
      <c r="R60963" s="64"/>
    </row>
    <row r="60964" spans="3:18" s="8" customFormat="1" x14ac:dyDescent="0.25">
      <c r="C60964" s="60"/>
      <c r="I60964" s="63"/>
      <c r="R60964" s="64"/>
    </row>
    <row r="60965" spans="3:18" s="8" customFormat="1" x14ac:dyDescent="0.25">
      <c r="C60965" s="60"/>
      <c r="I60965" s="63"/>
      <c r="R60965" s="64"/>
    </row>
    <row r="60966" spans="3:18" s="8" customFormat="1" x14ac:dyDescent="0.25">
      <c r="C60966" s="60"/>
      <c r="I60966" s="63"/>
      <c r="R60966" s="64"/>
    </row>
    <row r="60967" spans="3:18" s="8" customFormat="1" x14ac:dyDescent="0.25">
      <c r="C60967" s="60"/>
      <c r="I60967" s="63"/>
      <c r="R60967" s="64"/>
    </row>
    <row r="60968" spans="3:18" s="8" customFormat="1" x14ac:dyDescent="0.25">
      <c r="C60968" s="60"/>
      <c r="I60968" s="63"/>
      <c r="R60968" s="64"/>
    </row>
    <row r="60969" spans="3:18" s="8" customFormat="1" x14ac:dyDescent="0.25">
      <c r="C60969" s="60"/>
      <c r="I60969" s="63"/>
      <c r="R60969" s="64"/>
    </row>
    <row r="60970" spans="3:18" s="8" customFormat="1" x14ac:dyDescent="0.25">
      <c r="C60970" s="60"/>
      <c r="I60970" s="63"/>
      <c r="R60970" s="64"/>
    </row>
    <row r="60971" spans="3:18" s="8" customFormat="1" x14ac:dyDescent="0.25">
      <c r="C60971" s="60"/>
      <c r="I60971" s="63"/>
      <c r="R60971" s="64"/>
    </row>
    <row r="60972" spans="3:18" s="8" customFormat="1" x14ac:dyDescent="0.25">
      <c r="C60972" s="60"/>
      <c r="I60972" s="63"/>
      <c r="R60972" s="64"/>
    </row>
    <row r="60973" spans="3:18" s="8" customFormat="1" x14ac:dyDescent="0.25">
      <c r="C60973" s="60"/>
      <c r="I60973" s="63"/>
      <c r="R60973" s="64"/>
    </row>
    <row r="60974" spans="3:18" s="8" customFormat="1" x14ac:dyDescent="0.25">
      <c r="C60974" s="60"/>
      <c r="I60974" s="63"/>
      <c r="R60974" s="64"/>
    </row>
    <row r="60975" spans="3:18" s="8" customFormat="1" x14ac:dyDescent="0.25">
      <c r="C60975" s="60"/>
      <c r="I60975" s="63"/>
      <c r="R60975" s="64"/>
    </row>
    <row r="60976" spans="3:18" s="8" customFormat="1" x14ac:dyDescent="0.25">
      <c r="C60976" s="60"/>
      <c r="I60976" s="63"/>
      <c r="R60976" s="64"/>
    </row>
    <row r="60977" spans="3:18" s="8" customFormat="1" x14ac:dyDescent="0.25">
      <c r="C60977" s="60"/>
      <c r="I60977" s="63"/>
      <c r="R60977" s="64"/>
    </row>
    <row r="60978" spans="3:18" s="8" customFormat="1" x14ac:dyDescent="0.25">
      <c r="C60978" s="60"/>
      <c r="I60978" s="63"/>
      <c r="R60978" s="64"/>
    </row>
    <row r="60979" spans="3:18" s="8" customFormat="1" x14ac:dyDescent="0.25">
      <c r="C60979" s="60"/>
      <c r="I60979" s="63"/>
      <c r="R60979" s="64"/>
    </row>
    <row r="60980" spans="3:18" s="8" customFormat="1" x14ac:dyDescent="0.25">
      <c r="C60980" s="60"/>
      <c r="I60980" s="63"/>
      <c r="R60980" s="64"/>
    </row>
    <row r="60981" spans="3:18" s="8" customFormat="1" x14ac:dyDescent="0.25">
      <c r="C60981" s="60"/>
      <c r="I60981" s="63"/>
      <c r="R60981" s="64"/>
    </row>
    <row r="60982" spans="3:18" s="8" customFormat="1" x14ac:dyDescent="0.25">
      <c r="C60982" s="60"/>
      <c r="I60982" s="63"/>
      <c r="R60982" s="64"/>
    </row>
    <row r="60983" spans="3:18" s="8" customFormat="1" x14ac:dyDescent="0.25">
      <c r="C60983" s="60"/>
      <c r="I60983" s="63"/>
      <c r="R60983" s="64"/>
    </row>
    <row r="60984" spans="3:18" s="8" customFormat="1" x14ac:dyDescent="0.25">
      <c r="C60984" s="60"/>
      <c r="I60984" s="63"/>
      <c r="R60984" s="64"/>
    </row>
    <row r="60985" spans="3:18" s="8" customFormat="1" x14ac:dyDescent="0.25">
      <c r="C60985" s="60"/>
      <c r="I60985" s="63"/>
      <c r="R60985" s="64"/>
    </row>
    <row r="60986" spans="3:18" s="8" customFormat="1" x14ac:dyDescent="0.25">
      <c r="C60986" s="60"/>
      <c r="I60986" s="63"/>
      <c r="R60986" s="64"/>
    </row>
    <row r="60987" spans="3:18" s="8" customFormat="1" x14ac:dyDescent="0.25">
      <c r="C60987" s="60"/>
      <c r="I60987" s="63"/>
      <c r="R60987" s="64"/>
    </row>
    <row r="60988" spans="3:18" s="8" customFormat="1" x14ac:dyDescent="0.25">
      <c r="C60988" s="60"/>
      <c r="I60988" s="63"/>
      <c r="R60988" s="64"/>
    </row>
    <row r="60989" spans="3:18" s="8" customFormat="1" x14ac:dyDescent="0.25">
      <c r="C60989" s="60"/>
      <c r="I60989" s="63"/>
      <c r="R60989" s="64"/>
    </row>
    <row r="60990" spans="3:18" s="8" customFormat="1" x14ac:dyDescent="0.25">
      <c r="C60990" s="60"/>
      <c r="I60990" s="63"/>
      <c r="R60990" s="64"/>
    </row>
    <row r="60991" spans="3:18" s="8" customFormat="1" x14ac:dyDescent="0.25">
      <c r="C60991" s="60"/>
      <c r="I60991" s="63"/>
      <c r="R60991" s="64"/>
    </row>
    <row r="60992" spans="3:18" s="8" customFormat="1" x14ac:dyDescent="0.25">
      <c r="C60992" s="60"/>
      <c r="I60992" s="63"/>
      <c r="R60992" s="64"/>
    </row>
    <row r="60993" spans="3:18" s="8" customFormat="1" x14ac:dyDescent="0.25">
      <c r="C60993" s="60"/>
      <c r="I60993" s="63"/>
      <c r="R60993" s="64"/>
    </row>
    <row r="60994" spans="3:18" s="8" customFormat="1" x14ac:dyDescent="0.25">
      <c r="C60994" s="60"/>
      <c r="I60994" s="63"/>
      <c r="R60994" s="64"/>
    </row>
    <row r="60995" spans="3:18" s="8" customFormat="1" x14ac:dyDescent="0.25">
      <c r="C60995" s="60"/>
      <c r="I60995" s="63"/>
      <c r="R60995" s="64"/>
    </row>
    <row r="60996" spans="3:18" s="8" customFormat="1" x14ac:dyDescent="0.25">
      <c r="C60996" s="60"/>
      <c r="I60996" s="63"/>
      <c r="R60996" s="64"/>
    </row>
    <row r="60997" spans="3:18" s="8" customFormat="1" x14ac:dyDescent="0.25">
      <c r="C60997" s="60"/>
      <c r="I60997" s="63"/>
      <c r="R60997" s="64"/>
    </row>
    <row r="60998" spans="3:18" s="8" customFormat="1" x14ac:dyDescent="0.25">
      <c r="C60998" s="60"/>
      <c r="I60998" s="63"/>
      <c r="R60998" s="64"/>
    </row>
    <row r="60999" spans="3:18" s="8" customFormat="1" x14ac:dyDescent="0.25">
      <c r="C60999" s="60"/>
      <c r="I60999" s="63"/>
      <c r="R60999" s="64"/>
    </row>
    <row r="61000" spans="3:18" s="8" customFormat="1" x14ac:dyDescent="0.25">
      <c r="C61000" s="60"/>
      <c r="I61000" s="63"/>
      <c r="R61000" s="64"/>
    </row>
    <row r="61001" spans="3:18" s="8" customFormat="1" x14ac:dyDescent="0.25">
      <c r="C61001" s="60"/>
      <c r="I61001" s="63"/>
      <c r="R61001" s="64"/>
    </row>
    <row r="61002" spans="3:18" s="8" customFormat="1" x14ac:dyDescent="0.25">
      <c r="C61002" s="60"/>
      <c r="I61002" s="63"/>
      <c r="R61002" s="64"/>
    </row>
    <row r="61003" spans="3:18" s="8" customFormat="1" x14ac:dyDescent="0.25">
      <c r="C61003" s="60"/>
      <c r="I61003" s="63"/>
      <c r="R61003" s="64"/>
    </row>
    <row r="61004" spans="3:18" s="8" customFormat="1" x14ac:dyDescent="0.25">
      <c r="C61004" s="60"/>
      <c r="I61004" s="63"/>
      <c r="R61004" s="64"/>
    </row>
    <row r="61005" spans="3:18" s="8" customFormat="1" x14ac:dyDescent="0.25">
      <c r="C61005" s="60"/>
      <c r="I61005" s="63"/>
      <c r="R61005" s="64"/>
    </row>
    <row r="61006" spans="3:18" s="8" customFormat="1" x14ac:dyDescent="0.25">
      <c r="C61006" s="60"/>
      <c r="I61006" s="63"/>
      <c r="R61006" s="64"/>
    </row>
    <row r="61007" spans="3:18" s="8" customFormat="1" x14ac:dyDescent="0.25">
      <c r="C61007" s="60"/>
      <c r="I61007" s="63"/>
      <c r="R61007" s="64"/>
    </row>
    <row r="61008" spans="3:18" s="8" customFormat="1" x14ac:dyDescent="0.25">
      <c r="C61008" s="60"/>
      <c r="I61008" s="63"/>
      <c r="R61008" s="64"/>
    </row>
    <row r="61009" spans="3:18" s="8" customFormat="1" x14ac:dyDescent="0.25">
      <c r="C61009" s="60"/>
      <c r="I61009" s="63"/>
      <c r="R61009" s="64"/>
    </row>
    <row r="61010" spans="3:18" s="8" customFormat="1" x14ac:dyDescent="0.25">
      <c r="C61010" s="60"/>
      <c r="I61010" s="63"/>
      <c r="R61010" s="64"/>
    </row>
    <row r="61011" spans="3:18" s="8" customFormat="1" x14ac:dyDescent="0.25">
      <c r="C61011" s="60"/>
      <c r="I61011" s="63"/>
      <c r="R61011" s="64"/>
    </row>
    <row r="61012" spans="3:18" s="8" customFormat="1" x14ac:dyDescent="0.25">
      <c r="C61012" s="60"/>
      <c r="I61012" s="63"/>
      <c r="R61012" s="64"/>
    </row>
    <row r="61013" spans="3:18" s="8" customFormat="1" x14ac:dyDescent="0.25">
      <c r="C61013" s="60"/>
      <c r="I61013" s="63"/>
      <c r="R61013" s="64"/>
    </row>
    <row r="61014" spans="3:18" s="8" customFormat="1" x14ac:dyDescent="0.25">
      <c r="C61014" s="60"/>
      <c r="I61014" s="63"/>
      <c r="R61014" s="64"/>
    </row>
    <row r="61015" spans="3:18" s="8" customFormat="1" x14ac:dyDescent="0.25">
      <c r="C61015" s="60"/>
      <c r="I61015" s="63"/>
      <c r="R61015" s="64"/>
    </row>
    <row r="61016" spans="3:18" s="8" customFormat="1" x14ac:dyDescent="0.25">
      <c r="C61016" s="60"/>
      <c r="I61016" s="63"/>
      <c r="R61016" s="64"/>
    </row>
    <row r="61017" spans="3:18" s="8" customFormat="1" x14ac:dyDescent="0.25">
      <c r="C61017" s="60"/>
      <c r="I61017" s="63"/>
      <c r="R61017" s="64"/>
    </row>
    <row r="61018" spans="3:18" s="8" customFormat="1" x14ac:dyDescent="0.25">
      <c r="C61018" s="60"/>
      <c r="I61018" s="63"/>
      <c r="R61018" s="64"/>
    </row>
    <row r="61019" spans="3:18" s="8" customFormat="1" x14ac:dyDescent="0.25">
      <c r="C61019" s="60"/>
      <c r="I61019" s="63"/>
      <c r="R61019" s="64"/>
    </row>
    <row r="61020" spans="3:18" s="8" customFormat="1" x14ac:dyDescent="0.25">
      <c r="C61020" s="60"/>
      <c r="I61020" s="63"/>
      <c r="R61020" s="64"/>
    </row>
    <row r="61021" spans="3:18" s="8" customFormat="1" x14ac:dyDescent="0.25">
      <c r="C61021" s="60"/>
      <c r="I61021" s="63"/>
      <c r="R61021" s="64"/>
    </row>
    <row r="61022" spans="3:18" s="8" customFormat="1" x14ac:dyDescent="0.25">
      <c r="C61022" s="60"/>
      <c r="I61022" s="63"/>
      <c r="R61022" s="64"/>
    </row>
    <row r="61023" spans="3:18" s="8" customFormat="1" x14ac:dyDescent="0.25">
      <c r="C61023" s="60"/>
      <c r="I61023" s="63"/>
      <c r="R61023" s="64"/>
    </row>
    <row r="61024" spans="3:18" s="8" customFormat="1" x14ac:dyDescent="0.25">
      <c r="C61024" s="60"/>
      <c r="I61024" s="63"/>
      <c r="R61024" s="64"/>
    </row>
    <row r="61025" spans="3:18" s="8" customFormat="1" x14ac:dyDescent="0.25">
      <c r="C61025" s="60"/>
      <c r="I61025" s="63"/>
      <c r="R61025" s="64"/>
    </row>
    <row r="61026" spans="3:18" s="8" customFormat="1" x14ac:dyDescent="0.25">
      <c r="C61026" s="60"/>
      <c r="I61026" s="63"/>
      <c r="R61026" s="64"/>
    </row>
    <row r="61027" spans="3:18" s="8" customFormat="1" x14ac:dyDescent="0.25">
      <c r="C61027" s="60"/>
      <c r="I61027" s="63"/>
      <c r="R61027" s="64"/>
    </row>
    <row r="61028" spans="3:18" s="8" customFormat="1" x14ac:dyDescent="0.25">
      <c r="C61028" s="60"/>
      <c r="I61028" s="63"/>
      <c r="R61028" s="64"/>
    </row>
    <row r="61029" spans="3:18" s="8" customFormat="1" x14ac:dyDescent="0.25">
      <c r="C61029" s="60"/>
      <c r="I61029" s="63"/>
      <c r="R61029" s="64"/>
    </row>
    <row r="61030" spans="3:18" s="8" customFormat="1" x14ac:dyDescent="0.25">
      <c r="C61030" s="60"/>
      <c r="I61030" s="63"/>
      <c r="R61030" s="64"/>
    </row>
    <row r="61031" spans="3:18" s="8" customFormat="1" x14ac:dyDescent="0.25">
      <c r="C61031" s="60"/>
      <c r="I61031" s="63"/>
      <c r="R61031" s="64"/>
    </row>
    <row r="61032" spans="3:18" s="8" customFormat="1" x14ac:dyDescent="0.25">
      <c r="C61032" s="60"/>
      <c r="I61032" s="63"/>
      <c r="R61032" s="64"/>
    </row>
    <row r="61033" spans="3:18" s="8" customFormat="1" x14ac:dyDescent="0.25">
      <c r="C61033" s="60"/>
      <c r="I61033" s="63"/>
      <c r="R61033" s="64"/>
    </row>
    <row r="61034" spans="3:18" s="8" customFormat="1" x14ac:dyDescent="0.25">
      <c r="C61034" s="60"/>
      <c r="I61034" s="63"/>
      <c r="R61034" s="64"/>
    </row>
    <row r="61035" spans="3:18" s="8" customFormat="1" x14ac:dyDescent="0.25">
      <c r="C61035" s="60"/>
      <c r="I61035" s="63"/>
      <c r="R61035" s="64"/>
    </row>
    <row r="61036" spans="3:18" s="8" customFormat="1" x14ac:dyDescent="0.25">
      <c r="C61036" s="60"/>
      <c r="I61036" s="63"/>
      <c r="R61036" s="64"/>
    </row>
    <row r="61037" spans="3:18" s="8" customFormat="1" x14ac:dyDescent="0.25">
      <c r="C61037" s="60"/>
      <c r="I61037" s="63"/>
      <c r="R61037" s="64"/>
    </row>
    <row r="61038" spans="3:18" s="8" customFormat="1" x14ac:dyDescent="0.25">
      <c r="C61038" s="60"/>
      <c r="I61038" s="63"/>
      <c r="R61038" s="64"/>
    </row>
    <row r="61039" spans="3:18" s="8" customFormat="1" x14ac:dyDescent="0.25">
      <c r="C61039" s="60"/>
      <c r="I61039" s="63"/>
      <c r="R61039" s="64"/>
    </row>
    <row r="61040" spans="3:18" s="8" customFormat="1" x14ac:dyDescent="0.25">
      <c r="C61040" s="60"/>
      <c r="I61040" s="63"/>
      <c r="R61040" s="64"/>
    </row>
    <row r="61041" spans="3:18" s="8" customFormat="1" x14ac:dyDescent="0.25">
      <c r="C61041" s="60"/>
      <c r="I61041" s="63"/>
      <c r="R61041" s="64"/>
    </row>
    <row r="61042" spans="3:18" s="8" customFormat="1" x14ac:dyDescent="0.25">
      <c r="C61042" s="60"/>
      <c r="I61042" s="63"/>
      <c r="R61042" s="64"/>
    </row>
    <row r="61043" spans="3:18" s="8" customFormat="1" x14ac:dyDescent="0.25">
      <c r="C61043" s="60"/>
      <c r="I61043" s="63"/>
      <c r="R61043" s="64"/>
    </row>
    <row r="61044" spans="3:18" s="8" customFormat="1" x14ac:dyDescent="0.25">
      <c r="C61044" s="60"/>
      <c r="I61044" s="63"/>
      <c r="R61044" s="64"/>
    </row>
    <row r="61045" spans="3:18" s="8" customFormat="1" x14ac:dyDescent="0.25">
      <c r="C61045" s="60"/>
      <c r="I61045" s="63"/>
      <c r="R61045" s="64"/>
    </row>
    <row r="61046" spans="3:18" s="8" customFormat="1" x14ac:dyDescent="0.25">
      <c r="C61046" s="60"/>
      <c r="I61046" s="63"/>
      <c r="R61046" s="64"/>
    </row>
    <row r="61047" spans="3:18" s="8" customFormat="1" x14ac:dyDescent="0.25">
      <c r="C61047" s="60"/>
      <c r="I61047" s="63"/>
      <c r="R61047" s="64"/>
    </row>
    <row r="61048" spans="3:18" s="8" customFormat="1" x14ac:dyDescent="0.25">
      <c r="C61048" s="60"/>
      <c r="I61048" s="63"/>
      <c r="R61048" s="64"/>
    </row>
    <row r="61049" spans="3:18" s="8" customFormat="1" x14ac:dyDescent="0.25">
      <c r="C61049" s="60"/>
      <c r="I61049" s="63"/>
      <c r="R61049" s="64"/>
    </row>
    <row r="61050" spans="3:18" s="8" customFormat="1" x14ac:dyDescent="0.25">
      <c r="C61050" s="60"/>
      <c r="I61050" s="63"/>
      <c r="R61050" s="64"/>
    </row>
    <row r="61051" spans="3:18" s="8" customFormat="1" x14ac:dyDescent="0.25">
      <c r="C61051" s="60"/>
      <c r="I61051" s="63"/>
      <c r="R61051" s="64"/>
    </row>
    <row r="61052" spans="3:18" s="8" customFormat="1" x14ac:dyDescent="0.25">
      <c r="C61052" s="60"/>
      <c r="I61052" s="63"/>
      <c r="R61052" s="64"/>
    </row>
    <row r="61053" spans="3:18" s="8" customFormat="1" x14ac:dyDescent="0.25">
      <c r="C61053" s="60"/>
      <c r="I61053" s="63"/>
      <c r="R61053" s="64"/>
    </row>
    <row r="61054" spans="3:18" s="8" customFormat="1" x14ac:dyDescent="0.25">
      <c r="C61054" s="60"/>
      <c r="I61054" s="63"/>
      <c r="R61054" s="64"/>
    </row>
    <row r="61055" spans="3:18" s="8" customFormat="1" x14ac:dyDescent="0.25">
      <c r="C61055" s="60"/>
      <c r="I61055" s="63"/>
      <c r="R61055" s="64"/>
    </row>
    <row r="61056" spans="3:18" s="8" customFormat="1" x14ac:dyDescent="0.25">
      <c r="C61056" s="60"/>
      <c r="I61056" s="63"/>
      <c r="R61056" s="64"/>
    </row>
    <row r="61057" spans="3:18" s="8" customFormat="1" x14ac:dyDescent="0.25">
      <c r="C61057" s="60"/>
      <c r="I61057" s="63"/>
      <c r="R61057" s="64"/>
    </row>
    <row r="61058" spans="3:18" s="8" customFormat="1" x14ac:dyDescent="0.25">
      <c r="C61058" s="60"/>
      <c r="I61058" s="63"/>
      <c r="R61058" s="64"/>
    </row>
    <row r="61059" spans="3:18" s="8" customFormat="1" x14ac:dyDescent="0.25">
      <c r="C61059" s="60"/>
      <c r="I61059" s="63"/>
      <c r="R61059" s="64"/>
    </row>
    <row r="61060" spans="3:18" s="8" customFormat="1" x14ac:dyDescent="0.25">
      <c r="C61060" s="60"/>
      <c r="I61060" s="63"/>
      <c r="R61060" s="64"/>
    </row>
    <row r="61061" spans="3:18" s="8" customFormat="1" x14ac:dyDescent="0.25">
      <c r="C61061" s="60"/>
      <c r="I61061" s="63"/>
      <c r="R61061" s="64"/>
    </row>
    <row r="61062" spans="3:18" s="8" customFormat="1" x14ac:dyDescent="0.25">
      <c r="C61062" s="60"/>
      <c r="I61062" s="63"/>
      <c r="R61062" s="64"/>
    </row>
    <row r="61063" spans="3:18" s="8" customFormat="1" x14ac:dyDescent="0.25">
      <c r="C61063" s="60"/>
      <c r="I61063" s="63"/>
      <c r="R61063" s="64"/>
    </row>
    <row r="61064" spans="3:18" s="8" customFormat="1" x14ac:dyDescent="0.25">
      <c r="C61064" s="60"/>
      <c r="I61064" s="63"/>
      <c r="R61064" s="64"/>
    </row>
    <row r="61065" spans="3:18" s="8" customFormat="1" x14ac:dyDescent="0.25">
      <c r="C61065" s="60"/>
      <c r="I61065" s="63"/>
      <c r="R61065" s="64"/>
    </row>
    <row r="61066" spans="3:18" s="8" customFormat="1" x14ac:dyDescent="0.25">
      <c r="C61066" s="60"/>
      <c r="I61066" s="63"/>
      <c r="R61066" s="64"/>
    </row>
    <row r="61067" spans="3:18" s="8" customFormat="1" x14ac:dyDescent="0.25">
      <c r="C61067" s="60"/>
      <c r="I61067" s="63"/>
      <c r="R61067" s="64"/>
    </row>
    <row r="61068" spans="3:18" s="8" customFormat="1" x14ac:dyDescent="0.25">
      <c r="C61068" s="60"/>
      <c r="I61068" s="63"/>
      <c r="R61068" s="64"/>
    </row>
    <row r="61069" spans="3:18" s="8" customFormat="1" x14ac:dyDescent="0.25">
      <c r="C61069" s="60"/>
      <c r="I61069" s="63"/>
      <c r="R61069" s="64"/>
    </row>
    <row r="61070" spans="3:18" s="8" customFormat="1" x14ac:dyDescent="0.25">
      <c r="C61070" s="60"/>
      <c r="I61070" s="63"/>
      <c r="R61070" s="64"/>
    </row>
    <row r="61071" spans="3:18" s="8" customFormat="1" x14ac:dyDescent="0.25">
      <c r="C61071" s="60"/>
      <c r="I61071" s="63"/>
      <c r="R61071" s="64"/>
    </row>
    <row r="61072" spans="3:18" s="8" customFormat="1" x14ac:dyDescent="0.25">
      <c r="C61072" s="60"/>
      <c r="I61072" s="63"/>
      <c r="R61072" s="64"/>
    </row>
    <row r="61073" spans="3:18" s="8" customFormat="1" x14ac:dyDescent="0.25">
      <c r="C61073" s="60"/>
      <c r="I61073" s="63"/>
      <c r="R61073" s="64"/>
    </row>
    <row r="61074" spans="3:18" s="8" customFormat="1" x14ac:dyDescent="0.25">
      <c r="C61074" s="60"/>
      <c r="I61074" s="63"/>
      <c r="R61074" s="64"/>
    </row>
    <row r="61075" spans="3:18" s="8" customFormat="1" x14ac:dyDescent="0.25">
      <c r="C61075" s="60"/>
      <c r="I61075" s="63"/>
      <c r="R61075" s="64"/>
    </row>
    <row r="61076" spans="3:18" s="8" customFormat="1" x14ac:dyDescent="0.25">
      <c r="C61076" s="60"/>
      <c r="I61076" s="63"/>
      <c r="R61076" s="64"/>
    </row>
    <row r="61077" spans="3:18" s="8" customFormat="1" x14ac:dyDescent="0.25">
      <c r="C61077" s="60"/>
      <c r="I61077" s="63"/>
      <c r="R61077" s="64"/>
    </row>
    <row r="61078" spans="3:18" s="8" customFormat="1" x14ac:dyDescent="0.25">
      <c r="C61078" s="60"/>
      <c r="I61078" s="63"/>
      <c r="R61078" s="64"/>
    </row>
    <row r="61079" spans="3:18" s="8" customFormat="1" x14ac:dyDescent="0.25">
      <c r="C61079" s="60"/>
      <c r="I61079" s="63"/>
      <c r="R61079" s="64"/>
    </row>
    <row r="61080" spans="3:18" s="8" customFormat="1" x14ac:dyDescent="0.25">
      <c r="C61080" s="60"/>
      <c r="I61080" s="63"/>
      <c r="R61080" s="64"/>
    </row>
    <row r="61081" spans="3:18" s="8" customFormat="1" x14ac:dyDescent="0.25">
      <c r="C61081" s="60"/>
      <c r="I61081" s="63"/>
      <c r="R61081" s="64"/>
    </row>
    <row r="61082" spans="3:18" s="8" customFormat="1" x14ac:dyDescent="0.25">
      <c r="C61082" s="60"/>
      <c r="I61082" s="63"/>
      <c r="R61082" s="64"/>
    </row>
    <row r="61083" spans="3:18" s="8" customFormat="1" x14ac:dyDescent="0.25">
      <c r="C61083" s="60"/>
      <c r="I61083" s="63"/>
      <c r="R61083" s="64"/>
    </row>
    <row r="61084" spans="3:18" s="8" customFormat="1" x14ac:dyDescent="0.25">
      <c r="C61084" s="60"/>
      <c r="I61084" s="63"/>
      <c r="R61084" s="64"/>
    </row>
    <row r="61085" spans="3:18" s="8" customFormat="1" x14ac:dyDescent="0.25">
      <c r="C61085" s="60"/>
      <c r="I61085" s="63"/>
      <c r="R61085" s="64"/>
    </row>
    <row r="61086" spans="3:18" s="8" customFormat="1" x14ac:dyDescent="0.25">
      <c r="C61086" s="60"/>
      <c r="I61086" s="63"/>
      <c r="R61086" s="64"/>
    </row>
    <row r="61087" spans="3:18" s="8" customFormat="1" x14ac:dyDescent="0.25">
      <c r="C61087" s="60"/>
      <c r="I61087" s="63"/>
      <c r="R61087" s="64"/>
    </row>
    <row r="61088" spans="3:18" s="8" customFormat="1" x14ac:dyDescent="0.25">
      <c r="C61088" s="60"/>
      <c r="I61088" s="63"/>
      <c r="R61088" s="64"/>
    </row>
    <row r="61089" spans="3:18" s="8" customFormat="1" x14ac:dyDescent="0.25">
      <c r="C61089" s="60"/>
      <c r="I61089" s="63"/>
      <c r="R61089" s="64"/>
    </row>
    <row r="61090" spans="3:18" s="8" customFormat="1" x14ac:dyDescent="0.25">
      <c r="C61090" s="60"/>
      <c r="I61090" s="63"/>
      <c r="R61090" s="64"/>
    </row>
    <row r="61091" spans="3:18" s="8" customFormat="1" x14ac:dyDescent="0.25">
      <c r="C61091" s="60"/>
      <c r="I61091" s="63"/>
      <c r="R61091" s="64"/>
    </row>
    <row r="61092" spans="3:18" s="8" customFormat="1" x14ac:dyDescent="0.25">
      <c r="C61092" s="60"/>
      <c r="I61092" s="63"/>
      <c r="R61092" s="64"/>
    </row>
    <row r="61093" spans="3:18" s="8" customFormat="1" x14ac:dyDescent="0.25">
      <c r="C61093" s="60"/>
      <c r="I61093" s="63"/>
      <c r="R61093" s="64"/>
    </row>
    <row r="61094" spans="3:18" s="8" customFormat="1" x14ac:dyDescent="0.25">
      <c r="C61094" s="60"/>
      <c r="I61094" s="63"/>
      <c r="R61094" s="64"/>
    </row>
    <row r="61095" spans="3:18" s="8" customFormat="1" x14ac:dyDescent="0.25">
      <c r="C61095" s="60"/>
      <c r="I61095" s="63"/>
      <c r="R61095" s="64"/>
    </row>
    <row r="61096" spans="3:18" s="8" customFormat="1" x14ac:dyDescent="0.25">
      <c r="C61096" s="60"/>
      <c r="I61096" s="63"/>
      <c r="R61096" s="64"/>
    </row>
    <row r="61097" spans="3:18" s="8" customFormat="1" x14ac:dyDescent="0.25">
      <c r="C61097" s="60"/>
      <c r="I61097" s="63"/>
      <c r="R61097" s="64"/>
    </row>
    <row r="61098" spans="3:18" s="8" customFormat="1" x14ac:dyDescent="0.25">
      <c r="C61098" s="60"/>
      <c r="I61098" s="63"/>
      <c r="R61098" s="64"/>
    </row>
    <row r="61099" spans="3:18" s="8" customFormat="1" x14ac:dyDescent="0.25">
      <c r="C61099" s="60"/>
      <c r="I61099" s="63"/>
      <c r="R61099" s="64"/>
    </row>
    <row r="61100" spans="3:18" s="8" customFormat="1" x14ac:dyDescent="0.25">
      <c r="C61100" s="60"/>
      <c r="I61100" s="63"/>
      <c r="R61100" s="64"/>
    </row>
    <row r="61101" spans="3:18" s="8" customFormat="1" x14ac:dyDescent="0.25">
      <c r="C61101" s="60"/>
      <c r="I61101" s="63"/>
      <c r="R61101" s="64"/>
    </row>
    <row r="61102" spans="3:18" s="8" customFormat="1" x14ac:dyDescent="0.25">
      <c r="C61102" s="60"/>
      <c r="I61102" s="63"/>
      <c r="R61102" s="64"/>
    </row>
    <row r="61103" spans="3:18" s="8" customFormat="1" x14ac:dyDescent="0.25">
      <c r="C61103" s="60"/>
      <c r="I61103" s="63"/>
      <c r="R61103" s="64"/>
    </row>
    <row r="61104" spans="3:18" s="8" customFormat="1" x14ac:dyDescent="0.25">
      <c r="C61104" s="60"/>
      <c r="I61104" s="63"/>
      <c r="R61104" s="64"/>
    </row>
    <row r="61105" spans="3:18" s="8" customFormat="1" x14ac:dyDescent="0.25">
      <c r="C61105" s="60"/>
      <c r="I61105" s="63"/>
      <c r="R61105" s="64"/>
    </row>
    <row r="61106" spans="3:18" s="8" customFormat="1" x14ac:dyDescent="0.25">
      <c r="C61106" s="60"/>
      <c r="I61106" s="63"/>
      <c r="R61106" s="64"/>
    </row>
    <row r="61107" spans="3:18" s="8" customFormat="1" x14ac:dyDescent="0.25">
      <c r="C61107" s="60"/>
      <c r="I61107" s="63"/>
      <c r="R61107" s="64"/>
    </row>
    <row r="61108" spans="3:18" s="8" customFormat="1" x14ac:dyDescent="0.25">
      <c r="C61108" s="60"/>
      <c r="I61108" s="63"/>
      <c r="R61108" s="64"/>
    </row>
    <row r="61109" spans="3:18" s="8" customFormat="1" x14ac:dyDescent="0.25">
      <c r="C61109" s="60"/>
      <c r="I61109" s="63"/>
      <c r="R61109" s="64"/>
    </row>
    <row r="61110" spans="3:18" s="8" customFormat="1" x14ac:dyDescent="0.25">
      <c r="C61110" s="60"/>
      <c r="I61110" s="63"/>
      <c r="R61110" s="64"/>
    </row>
    <row r="61111" spans="3:18" s="8" customFormat="1" x14ac:dyDescent="0.25">
      <c r="C61111" s="60"/>
      <c r="I61111" s="63"/>
      <c r="R61111" s="64"/>
    </row>
    <row r="61112" spans="3:18" s="8" customFormat="1" x14ac:dyDescent="0.25">
      <c r="C61112" s="60"/>
      <c r="I61112" s="63"/>
      <c r="R61112" s="64"/>
    </row>
    <row r="61113" spans="3:18" s="8" customFormat="1" x14ac:dyDescent="0.25">
      <c r="C61113" s="60"/>
      <c r="I61113" s="63"/>
      <c r="R61113" s="64"/>
    </row>
    <row r="61114" spans="3:18" s="8" customFormat="1" x14ac:dyDescent="0.25">
      <c r="C61114" s="60"/>
      <c r="I61114" s="63"/>
      <c r="R61114" s="64"/>
    </row>
    <row r="61115" spans="3:18" s="8" customFormat="1" x14ac:dyDescent="0.25">
      <c r="C61115" s="60"/>
      <c r="I61115" s="63"/>
      <c r="R61115" s="64"/>
    </row>
    <row r="61116" spans="3:18" s="8" customFormat="1" x14ac:dyDescent="0.25">
      <c r="C61116" s="60"/>
      <c r="I61116" s="63"/>
      <c r="R61116" s="64"/>
    </row>
    <row r="61117" spans="3:18" s="8" customFormat="1" x14ac:dyDescent="0.25">
      <c r="C61117" s="60"/>
      <c r="I61117" s="63"/>
      <c r="R61117" s="64"/>
    </row>
    <row r="61118" spans="3:18" s="8" customFormat="1" x14ac:dyDescent="0.25">
      <c r="C61118" s="60"/>
      <c r="I61118" s="63"/>
      <c r="R61118" s="64"/>
    </row>
    <row r="61119" spans="3:18" s="8" customFormat="1" x14ac:dyDescent="0.25">
      <c r="C61119" s="60"/>
      <c r="I61119" s="63"/>
      <c r="R61119" s="64"/>
    </row>
    <row r="61120" spans="3:18" s="8" customFormat="1" x14ac:dyDescent="0.25">
      <c r="C61120" s="60"/>
      <c r="I61120" s="63"/>
      <c r="R61120" s="64"/>
    </row>
    <row r="61121" spans="3:18" s="8" customFormat="1" x14ac:dyDescent="0.25">
      <c r="C61121" s="60"/>
      <c r="I61121" s="63"/>
      <c r="R61121" s="64"/>
    </row>
    <row r="61122" spans="3:18" s="8" customFormat="1" x14ac:dyDescent="0.25">
      <c r="C61122" s="60"/>
      <c r="I61122" s="63"/>
      <c r="R61122" s="64"/>
    </row>
    <row r="61123" spans="3:18" s="8" customFormat="1" x14ac:dyDescent="0.25">
      <c r="C61123" s="60"/>
      <c r="I61123" s="63"/>
      <c r="R61123" s="64"/>
    </row>
    <row r="61124" spans="3:18" s="8" customFormat="1" x14ac:dyDescent="0.25">
      <c r="C61124" s="60"/>
      <c r="I61124" s="63"/>
      <c r="R61124" s="64"/>
    </row>
    <row r="61125" spans="3:18" s="8" customFormat="1" x14ac:dyDescent="0.25">
      <c r="C61125" s="60"/>
      <c r="I61125" s="63"/>
      <c r="R61125" s="64"/>
    </row>
    <row r="61126" spans="3:18" s="8" customFormat="1" x14ac:dyDescent="0.25">
      <c r="C61126" s="60"/>
      <c r="I61126" s="63"/>
      <c r="R61126" s="64"/>
    </row>
    <row r="61127" spans="3:18" s="8" customFormat="1" x14ac:dyDescent="0.25">
      <c r="C61127" s="60"/>
      <c r="I61127" s="63"/>
      <c r="R61127" s="64"/>
    </row>
    <row r="61128" spans="3:18" s="8" customFormat="1" x14ac:dyDescent="0.25">
      <c r="C61128" s="60"/>
      <c r="I61128" s="63"/>
      <c r="R61128" s="64"/>
    </row>
    <row r="61129" spans="3:18" s="8" customFormat="1" x14ac:dyDescent="0.25">
      <c r="C61129" s="60"/>
      <c r="I61129" s="63"/>
      <c r="R61129" s="64"/>
    </row>
    <row r="61130" spans="3:18" s="8" customFormat="1" x14ac:dyDescent="0.25">
      <c r="C61130" s="60"/>
      <c r="I61130" s="63"/>
      <c r="R61130" s="64"/>
    </row>
    <row r="61131" spans="3:18" s="8" customFormat="1" x14ac:dyDescent="0.25">
      <c r="C61131" s="60"/>
      <c r="I61131" s="63"/>
      <c r="R61131" s="64"/>
    </row>
    <row r="61132" spans="3:18" s="8" customFormat="1" x14ac:dyDescent="0.25">
      <c r="C61132" s="60"/>
      <c r="I61132" s="63"/>
      <c r="R61132" s="64"/>
    </row>
    <row r="61133" spans="3:18" s="8" customFormat="1" x14ac:dyDescent="0.25">
      <c r="C61133" s="60"/>
      <c r="I61133" s="63"/>
      <c r="R61133" s="64"/>
    </row>
    <row r="61134" spans="3:18" s="8" customFormat="1" x14ac:dyDescent="0.25">
      <c r="C61134" s="60"/>
      <c r="I61134" s="63"/>
      <c r="R61134" s="64"/>
    </row>
    <row r="61135" spans="3:18" s="8" customFormat="1" x14ac:dyDescent="0.25">
      <c r="C61135" s="60"/>
      <c r="I61135" s="63"/>
      <c r="R61135" s="64"/>
    </row>
    <row r="61136" spans="3:18" s="8" customFormat="1" x14ac:dyDescent="0.25">
      <c r="C61136" s="60"/>
      <c r="I61136" s="63"/>
      <c r="R61136" s="64"/>
    </row>
    <row r="61137" spans="3:18" s="8" customFormat="1" x14ac:dyDescent="0.25">
      <c r="C61137" s="60"/>
      <c r="I61137" s="63"/>
      <c r="R61137" s="64"/>
    </row>
    <row r="61138" spans="3:18" s="8" customFormat="1" x14ac:dyDescent="0.25">
      <c r="C61138" s="60"/>
      <c r="I61138" s="63"/>
      <c r="R61138" s="64"/>
    </row>
    <row r="61139" spans="3:18" s="8" customFormat="1" x14ac:dyDescent="0.25">
      <c r="C61139" s="60"/>
      <c r="I61139" s="63"/>
      <c r="R61139" s="64"/>
    </row>
    <row r="61140" spans="3:18" s="8" customFormat="1" x14ac:dyDescent="0.25">
      <c r="C61140" s="60"/>
      <c r="I61140" s="63"/>
      <c r="R61140" s="64"/>
    </row>
    <row r="61141" spans="3:18" s="8" customFormat="1" x14ac:dyDescent="0.25">
      <c r="C61141" s="60"/>
      <c r="I61141" s="63"/>
      <c r="R61141" s="64"/>
    </row>
    <row r="61142" spans="3:18" s="8" customFormat="1" x14ac:dyDescent="0.25">
      <c r="C61142" s="60"/>
      <c r="I61142" s="63"/>
      <c r="R61142" s="64"/>
    </row>
    <row r="61143" spans="3:18" s="8" customFormat="1" x14ac:dyDescent="0.25">
      <c r="C61143" s="60"/>
      <c r="I61143" s="63"/>
      <c r="R61143" s="64"/>
    </row>
    <row r="61144" spans="3:18" s="8" customFormat="1" x14ac:dyDescent="0.25">
      <c r="C61144" s="60"/>
      <c r="I61144" s="63"/>
      <c r="R61144" s="64"/>
    </row>
    <row r="61145" spans="3:18" s="8" customFormat="1" x14ac:dyDescent="0.25">
      <c r="C61145" s="60"/>
      <c r="I61145" s="63"/>
      <c r="R61145" s="64"/>
    </row>
    <row r="61146" spans="3:18" s="8" customFormat="1" x14ac:dyDescent="0.25">
      <c r="C61146" s="60"/>
      <c r="I61146" s="63"/>
      <c r="R61146" s="64"/>
    </row>
    <row r="61147" spans="3:18" s="8" customFormat="1" x14ac:dyDescent="0.25">
      <c r="C61147" s="60"/>
      <c r="I61147" s="63"/>
      <c r="R61147" s="64"/>
    </row>
    <row r="61148" spans="3:18" s="8" customFormat="1" x14ac:dyDescent="0.25">
      <c r="C61148" s="60"/>
      <c r="I61148" s="63"/>
      <c r="R61148" s="64"/>
    </row>
    <row r="61149" spans="3:18" s="8" customFormat="1" x14ac:dyDescent="0.25">
      <c r="C61149" s="60"/>
      <c r="I61149" s="63"/>
      <c r="R61149" s="64"/>
    </row>
    <row r="61150" spans="3:18" s="8" customFormat="1" x14ac:dyDescent="0.25">
      <c r="C61150" s="60"/>
      <c r="I61150" s="63"/>
      <c r="R61150" s="64"/>
    </row>
    <row r="61151" spans="3:18" s="8" customFormat="1" x14ac:dyDescent="0.25">
      <c r="C61151" s="60"/>
      <c r="I61151" s="63"/>
      <c r="R61151" s="64"/>
    </row>
    <row r="61152" spans="3:18" s="8" customFormat="1" x14ac:dyDescent="0.25">
      <c r="C61152" s="60"/>
      <c r="I61152" s="63"/>
      <c r="R61152" s="64"/>
    </row>
    <row r="61153" spans="3:18" s="8" customFormat="1" x14ac:dyDescent="0.25">
      <c r="C61153" s="60"/>
      <c r="I61153" s="63"/>
      <c r="R61153" s="64"/>
    </row>
    <row r="61154" spans="3:18" s="8" customFormat="1" x14ac:dyDescent="0.25">
      <c r="C61154" s="60"/>
      <c r="I61154" s="63"/>
      <c r="R61154" s="64"/>
    </row>
    <row r="61155" spans="3:18" s="8" customFormat="1" x14ac:dyDescent="0.25">
      <c r="C61155" s="60"/>
      <c r="I61155" s="63"/>
      <c r="R61155" s="64"/>
    </row>
    <row r="61156" spans="3:18" s="8" customFormat="1" x14ac:dyDescent="0.25">
      <c r="C61156" s="60"/>
      <c r="I61156" s="63"/>
      <c r="R61156" s="64"/>
    </row>
    <row r="61157" spans="3:18" s="8" customFormat="1" x14ac:dyDescent="0.25">
      <c r="C61157" s="60"/>
      <c r="I61157" s="63"/>
      <c r="R61157" s="64"/>
    </row>
    <row r="61158" spans="3:18" s="8" customFormat="1" x14ac:dyDescent="0.25">
      <c r="C61158" s="60"/>
      <c r="I61158" s="63"/>
      <c r="R61158" s="64"/>
    </row>
    <row r="61159" spans="3:18" s="8" customFormat="1" x14ac:dyDescent="0.25">
      <c r="C61159" s="60"/>
      <c r="I61159" s="63"/>
      <c r="R61159" s="64"/>
    </row>
    <row r="61160" spans="3:18" s="8" customFormat="1" x14ac:dyDescent="0.25">
      <c r="C61160" s="60"/>
      <c r="I61160" s="63"/>
      <c r="R61160" s="64"/>
    </row>
    <row r="61161" spans="3:18" s="8" customFormat="1" x14ac:dyDescent="0.25">
      <c r="C61161" s="60"/>
      <c r="I61161" s="63"/>
      <c r="R61161" s="64"/>
    </row>
    <row r="61162" spans="3:18" s="8" customFormat="1" x14ac:dyDescent="0.25">
      <c r="C61162" s="60"/>
      <c r="I61162" s="63"/>
      <c r="R61162" s="64"/>
    </row>
    <row r="61163" spans="3:18" s="8" customFormat="1" x14ac:dyDescent="0.25">
      <c r="C61163" s="60"/>
      <c r="I61163" s="63"/>
      <c r="R61163" s="64"/>
    </row>
    <row r="61164" spans="3:18" s="8" customFormat="1" x14ac:dyDescent="0.25">
      <c r="C61164" s="60"/>
      <c r="I61164" s="63"/>
      <c r="R61164" s="64"/>
    </row>
    <row r="61165" spans="3:18" s="8" customFormat="1" x14ac:dyDescent="0.25">
      <c r="C61165" s="60"/>
      <c r="I61165" s="63"/>
      <c r="R61165" s="64"/>
    </row>
    <row r="61166" spans="3:18" s="8" customFormat="1" x14ac:dyDescent="0.25">
      <c r="C61166" s="60"/>
      <c r="I61166" s="63"/>
      <c r="R61166" s="64"/>
    </row>
    <row r="61167" spans="3:18" s="8" customFormat="1" x14ac:dyDescent="0.25">
      <c r="C61167" s="60"/>
      <c r="I61167" s="63"/>
      <c r="R61167" s="64"/>
    </row>
    <row r="61168" spans="3:18" s="8" customFormat="1" x14ac:dyDescent="0.25">
      <c r="C61168" s="60"/>
      <c r="I61168" s="63"/>
      <c r="R61168" s="64"/>
    </row>
    <row r="61169" spans="3:18" s="8" customFormat="1" x14ac:dyDescent="0.25">
      <c r="C61169" s="60"/>
      <c r="I61169" s="63"/>
      <c r="R61169" s="64"/>
    </row>
    <row r="61170" spans="3:18" s="8" customFormat="1" x14ac:dyDescent="0.25">
      <c r="C61170" s="60"/>
      <c r="I61170" s="63"/>
      <c r="R61170" s="64"/>
    </row>
    <row r="61171" spans="3:18" s="8" customFormat="1" x14ac:dyDescent="0.25">
      <c r="C61171" s="60"/>
      <c r="I61171" s="63"/>
      <c r="R61171" s="64"/>
    </row>
    <row r="61172" spans="3:18" s="8" customFormat="1" x14ac:dyDescent="0.25">
      <c r="C61172" s="60"/>
      <c r="I61172" s="63"/>
      <c r="R61172" s="64"/>
    </row>
    <row r="61173" spans="3:18" s="8" customFormat="1" x14ac:dyDescent="0.25">
      <c r="C61173" s="60"/>
      <c r="I61173" s="63"/>
      <c r="R61173" s="64"/>
    </row>
    <row r="61174" spans="3:18" s="8" customFormat="1" x14ac:dyDescent="0.25">
      <c r="C61174" s="60"/>
      <c r="I61174" s="63"/>
      <c r="R61174" s="64"/>
    </row>
    <row r="61175" spans="3:18" s="8" customFormat="1" x14ac:dyDescent="0.25">
      <c r="C61175" s="60"/>
      <c r="I61175" s="63"/>
      <c r="R61175" s="64"/>
    </row>
    <row r="61176" spans="3:18" s="8" customFormat="1" x14ac:dyDescent="0.25">
      <c r="C61176" s="60"/>
      <c r="I61176" s="63"/>
      <c r="R61176" s="64"/>
    </row>
    <row r="61177" spans="3:18" s="8" customFormat="1" x14ac:dyDescent="0.25">
      <c r="C61177" s="60"/>
      <c r="I61177" s="63"/>
      <c r="R61177" s="64"/>
    </row>
    <row r="61178" spans="3:18" s="8" customFormat="1" x14ac:dyDescent="0.25">
      <c r="C61178" s="60"/>
      <c r="I61178" s="63"/>
      <c r="R61178" s="64"/>
    </row>
    <row r="61179" spans="3:18" s="8" customFormat="1" x14ac:dyDescent="0.25">
      <c r="C61179" s="60"/>
      <c r="I61179" s="63"/>
      <c r="R61179" s="64"/>
    </row>
    <row r="61180" spans="3:18" s="8" customFormat="1" x14ac:dyDescent="0.25">
      <c r="C61180" s="60"/>
      <c r="I61180" s="63"/>
      <c r="R61180" s="64"/>
    </row>
    <row r="61181" spans="3:18" s="8" customFormat="1" x14ac:dyDescent="0.25">
      <c r="C61181" s="60"/>
      <c r="I61181" s="63"/>
      <c r="R61181" s="64"/>
    </row>
    <row r="61182" spans="3:18" s="8" customFormat="1" x14ac:dyDescent="0.25">
      <c r="C61182" s="60"/>
      <c r="I61182" s="63"/>
      <c r="R61182" s="64"/>
    </row>
    <row r="61183" spans="3:18" s="8" customFormat="1" x14ac:dyDescent="0.25">
      <c r="C61183" s="60"/>
      <c r="I61183" s="63"/>
      <c r="R61183" s="64"/>
    </row>
    <row r="61184" spans="3:18" s="8" customFormat="1" x14ac:dyDescent="0.25">
      <c r="C61184" s="60"/>
      <c r="I61184" s="63"/>
      <c r="R61184" s="64"/>
    </row>
    <row r="61185" spans="3:18" s="8" customFormat="1" x14ac:dyDescent="0.25">
      <c r="C61185" s="60"/>
      <c r="I61185" s="63"/>
      <c r="R61185" s="64"/>
    </row>
    <row r="61186" spans="3:18" s="8" customFormat="1" x14ac:dyDescent="0.25">
      <c r="C61186" s="60"/>
      <c r="I61186" s="63"/>
      <c r="R61186" s="64"/>
    </row>
    <row r="61187" spans="3:18" s="8" customFormat="1" x14ac:dyDescent="0.25">
      <c r="C61187" s="60"/>
      <c r="I61187" s="63"/>
      <c r="R61187" s="64"/>
    </row>
    <row r="61188" spans="3:18" s="8" customFormat="1" x14ac:dyDescent="0.25">
      <c r="C61188" s="60"/>
      <c r="I61188" s="63"/>
      <c r="R61188" s="64"/>
    </row>
    <row r="61189" spans="3:18" s="8" customFormat="1" x14ac:dyDescent="0.25">
      <c r="C61189" s="60"/>
      <c r="I61189" s="63"/>
      <c r="R61189" s="64"/>
    </row>
    <row r="61190" spans="3:18" s="8" customFormat="1" x14ac:dyDescent="0.25">
      <c r="C61190" s="60"/>
      <c r="I61190" s="63"/>
      <c r="R61190" s="64"/>
    </row>
    <row r="61191" spans="3:18" s="8" customFormat="1" x14ac:dyDescent="0.25">
      <c r="C61191" s="60"/>
      <c r="I61191" s="63"/>
      <c r="R61191" s="64"/>
    </row>
    <row r="61192" spans="3:18" s="8" customFormat="1" x14ac:dyDescent="0.25">
      <c r="C61192" s="60"/>
      <c r="I61192" s="63"/>
      <c r="R61192" s="64"/>
    </row>
    <row r="61193" spans="3:18" s="8" customFormat="1" x14ac:dyDescent="0.25">
      <c r="C61193" s="60"/>
      <c r="I61193" s="63"/>
      <c r="R61193" s="64"/>
    </row>
    <row r="61194" spans="3:18" s="8" customFormat="1" x14ac:dyDescent="0.25">
      <c r="C61194" s="60"/>
      <c r="I61194" s="63"/>
      <c r="R61194" s="64"/>
    </row>
    <row r="61195" spans="3:18" s="8" customFormat="1" x14ac:dyDescent="0.25">
      <c r="C61195" s="60"/>
      <c r="I61195" s="63"/>
      <c r="R61195" s="64"/>
    </row>
    <row r="61196" spans="3:18" s="8" customFormat="1" x14ac:dyDescent="0.25">
      <c r="C61196" s="60"/>
      <c r="I61196" s="63"/>
      <c r="R61196" s="64"/>
    </row>
    <row r="61197" spans="3:18" s="8" customFormat="1" x14ac:dyDescent="0.25">
      <c r="C61197" s="60"/>
      <c r="I61197" s="63"/>
      <c r="R61197" s="64"/>
    </row>
    <row r="61198" spans="3:18" s="8" customFormat="1" x14ac:dyDescent="0.25">
      <c r="C61198" s="60"/>
      <c r="I61198" s="63"/>
      <c r="R61198" s="64"/>
    </row>
    <row r="61199" spans="3:18" s="8" customFormat="1" x14ac:dyDescent="0.25">
      <c r="C61199" s="60"/>
      <c r="I61199" s="63"/>
      <c r="R61199" s="64"/>
    </row>
    <row r="61200" spans="3:18" s="8" customFormat="1" x14ac:dyDescent="0.25">
      <c r="C61200" s="60"/>
      <c r="I61200" s="63"/>
      <c r="R61200" s="64"/>
    </row>
    <row r="61201" spans="3:18" s="8" customFormat="1" x14ac:dyDescent="0.25">
      <c r="C61201" s="60"/>
      <c r="I61201" s="63"/>
      <c r="R61201" s="64"/>
    </row>
    <row r="61202" spans="3:18" s="8" customFormat="1" x14ac:dyDescent="0.25">
      <c r="C61202" s="60"/>
      <c r="I61202" s="63"/>
      <c r="R61202" s="64"/>
    </row>
    <row r="61203" spans="3:18" s="8" customFormat="1" x14ac:dyDescent="0.25">
      <c r="C61203" s="60"/>
      <c r="I61203" s="63"/>
      <c r="R61203" s="64"/>
    </row>
    <row r="61204" spans="3:18" s="8" customFormat="1" x14ac:dyDescent="0.25">
      <c r="C61204" s="60"/>
      <c r="I61204" s="63"/>
      <c r="R61204" s="64"/>
    </row>
    <row r="61205" spans="3:18" s="8" customFormat="1" x14ac:dyDescent="0.25">
      <c r="C61205" s="60"/>
      <c r="I61205" s="63"/>
      <c r="R61205" s="64"/>
    </row>
    <row r="61206" spans="3:18" s="8" customFormat="1" x14ac:dyDescent="0.25">
      <c r="C61206" s="60"/>
      <c r="I61206" s="63"/>
      <c r="R61206" s="64"/>
    </row>
    <row r="61207" spans="3:18" s="8" customFormat="1" x14ac:dyDescent="0.25">
      <c r="C61207" s="60"/>
      <c r="I61207" s="63"/>
      <c r="R61207" s="64"/>
    </row>
    <row r="61208" spans="3:18" s="8" customFormat="1" x14ac:dyDescent="0.25">
      <c r="C61208" s="60"/>
      <c r="I61208" s="63"/>
      <c r="R61208" s="64"/>
    </row>
    <row r="61209" spans="3:18" s="8" customFormat="1" x14ac:dyDescent="0.25">
      <c r="C61209" s="60"/>
      <c r="I61209" s="63"/>
      <c r="R61209" s="64"/>
    </row>
    <row r="61210" spans="3:18" s="8" customFormat="1" x14ac:dyDescent="0.25">
      <c r="C61210" s="60"/>
      <c r="I61210" s="63"/>
      <c r="R61210" s="64"/>
    </row>
    <row r="61211" spans="3:18" s="8" customFormat="1" x14ac:dyDescent="0.25">
      <c r="C61211" s="60"/>
      <c r="I61211" s="63"/>
      <c r="R61211" s="64"/>
    </row>
    <row r="61212" spans="3:18" s="8" customFormat="1" x14ac:dyDescent="0.25">
      <c r="C61212" s="60"/>
      <c r="I61212" s="63"/>
      <c r="R61212" s="64"/>
    </row>
    <row r="61213" spans="3:18" s="8" customFormat="1" x14ac:dyDescent="0.25">
      <c r="C61213" s="60"/>
      <c r="I61213" s="63"/>
      <c r="R61213" s="64"/>
    </row>
    <row r="61214" spans="3:18" s="8" customFormat="1" x14ac:dyDescent="0.25">
      <c r="C61214" s="60"/>
      <c r="I61214" s="63"/>
      <c r="R61214" s="64"/>
    </row>
    <row r="61215" spans="3:18" s="8" customFormat="1" x14ac:dyDescent="0.25">
      <c r="C61215" s="60"/>
      <c r="I61215" s="63"/>
      <c r="R61215" s="64"/>
    </row>
    <row r="61216" spans="3:18" s="8" customFormat="1" x14ac:dyDescent="0.25">
      <c r="C61216" s="60"/>
      <c r="I61216" s="63"/>
      <c r="R61216" s="64"/>
    </row>
    <row r="61217" spans="3:18" s="8" customFormat="1" x14ac:dyDescent="0.25">
      <c r="C61217" s="60"/>
      <c r="I61217" s="63"/>
      <c r="R61217" s="64"/>
    </row>
    <row r="61218" spans="3:18" s="8" customFormat="1" x14ac:dyDescent="0.25">
      <c r="C61218" s="60"/>
      <c r="I61218" s="63"/>
      <c r="R61218" s="64"/>
    </row>
    <row r="61219" spans="3:18" s="8" customFormat="1" x14ac:dyDescent="0.25">
      <c r="C61219" s="60"/>
      <c r="I61219" s="63"/>
      <c r="R61219" s="64"/>
    </row>
    <row r="61220" spans="3:18" s="8" customFormat="1" x14ac:dyDescent="0.25">
      <c r="C61220" s="60"/>
      <c r="I61220" s="63"/>
      <c r="R61220" s="64"/>
    </row>
    <row r="61221" spans="3:18" s="8" customFormat="1" x14ac:dyDescent="0.25">
      <c r="C61221" s="60"/>
      <c r="I61221" s="63"/>
      <c r="R61221" s="64"/>
    </row>
    <row r="61222" spans="3:18" s="8" customFormat="1" x14ac:dyDescent="0.25">
      <c r="C61222" s="60"/>
      <c r="I61222" s="63"/>
      <c r="R61222" s="64"/>
    </row>
    <row r="61223" spans="3:18" s="8" customFormat="1" x14ac:dyDescent="0.25">
      <c r="C61223" s="60"/>
      <c r="I61223" s="63"/>
      <c r="R61223" s="64"/>
    </row>
    <row r="61224" spans="3:18" s="8" customFormat="1" x14ac:dyDescent="0.25">
      <c r="C61224" s="60"/>
      <c r="I61224" s="63"/>
      <c r="R61224" s="64"/>
    </row>
    <row r="61225" spans="3:18" s="8" customFormat="1" x14ac:dyDescent="0.25">
      <c r="C61225" s="60"/>
      <c r="I61225" s="63"/>
      <c r="R61225" s="64"/>
    </row>
    <row r="61226" spans="3:18" s="8" customFormat="1" x14ac:dyDescent="0.25">
      <c r="C61226" s="60"/>
      <c r="I61226" s="63"/>
      <c r="R61226" s="64"/>
    </row>
    <row r="61227" spans="3:18" s="8" customFormat="1" x14ac:dyDescent="0.25">
      <c r="C61227" s="60"/>
      <c r="I61227" s="63"/>
      <c r="R61227" s="64"/>
    </row>
    <row r="61228" spans="3:18" s="8" customFormat="1" x14ac:dyDescent="0.25">
      <c r="C61228" s="60"/>
      <c r="I61228" s="63"/>
      <c r="R61228" s="64"/>
    </row>
    <row r="61229" spans="3:18" s="8" customFormat="1" x14ac:dyDescent="0.25">
      <c r="C61229" s="60"/>
      <c r="I61229" s="63"/>
      <c r="R61229" s="64"/>
    </row>
    <row r="61230" spans="3:18" s="8" customFormat="1" x14ac:dyDescent="0.25">
      <c r="C61230" s="60"/>
      <c r="I61230" s="63"/>
      <c r="R61230" s="64"/>
    </row>
    <row r="61231" spans="3:18" s="8" customFormat="1" x14ac:dyDescent="0.25">
      <c r="C61231" s="60"/>
      <c r="I61231" s="63"/>
      <c r="R61231" s="64"/>
    </row>
    <row r="61232" spans="3:18" s="8" customFormat="1" x14ac:dyDescent="0.25">
      <c r="C61232" s="60"/>
      <c r="I61232" s="63"/>
      <c r="R61232" s="64"/>
    </row>
    <row r="61233" spans="3:18" s="8" customFormat="1" x14ac:dyDescent="0.25">
      <c r="C61233" s="60"/>
      <c r="I61233" s="63"/>
      <c r="R61233" s="64"/>
    </row>
    <row r="61234" spans="3:18" s="8" customFormat="1" x14ac:dyDescent="0.25">
      <c r="C61234" s="60"/>
      <c r="I61234" s="63"/>
      <c r="R61234" s="64"/>
    </row>
    <row r="61235" spans="3:18" s="8" customFormat="1" x14ac:dyDescent="0.25">
      <c r="C61235" s="60"/>
      <c r="I61235" s="63"/>
      <c r="R61235" s="64"/>
    </row>
    <row r="61236" spans="3:18" s="8" customFormat="1" x14ac:dyDescent="0.25">
      <c r="C61236" s="60"/>
      <c r="I61236" s="63"/>
      <c r="R61236" s="64"/>
    </row>
    <row r="61237" spans="3:18" s="8" customFormat="1" x14ac:dyDescent="0.25">
      <c r="C61237" s="60"/>
      <c r="I61237" s="63"/>
      <c r="R61237" s="64"/>
    </row>
    <row r="61238" spans="3:18" s="8" customFormat="1" x14ac:dyDescent="0.25">
      <c r="C61238" s="60"/>
      <c r="I61238" s="63"/>
      <c r="R61238" s="64"/>
    </row>
    <row r="61239" spans="3:18" s="8" customFormat="1" x14ac:dyDescent="0.25">
      <c r="C61239" s="60"/>
      <c r="I61239" s="63"/>
      <c r="R61239" s="64"/>
    </row>
    <row r="61240" spans="3:18" s="8" customFormat="1" x14ac:dyDescent="0.25">
      <c r="C61240" s="60"/>
      <c r="I61240" s="63"/>
      <c r="R61240" s="64"/>
    </row>
    <row r="61241" spans="3:18" s="8" customFormat="1" x14ac:dyDescent="0.25">
      <c r="C61241" s="60"/>
      <c r="I61241" s="63"/>
      <c r="R61241" s="64"/>
    </row>
    <row r="61242" spans="3:18" s="8" customFormat="1" x14ac:dyDescent="0.25">
      <c r="C61242" s="60"/>
      <c r="I61242" s="63"/>
      <c r="R61242" s="64"/>
    </row>
    <row r="61243" spans="3:18" s="8" customFormat="1" x14ac:dyDescent="0.25">
      <c r="C61243" s="60"/>
      <c r="I61243" s="63"/>
      <c r="R61243" s="64"/>
    </row>
    <row r="61244" spans="3:18" s="8" customFormat="1" x14ac:dyDescent="0.25">
      <c r="C61244" s="60"/>
      <c r="I61244" s="63"/>
      <c r="R61244" s="64"/>
    </row>
    <row r="61245" spans="3:18" s="8" customFormat="1" x14ac:dyDescent="0.25">
      <c r="C61245" s="60"/>
      <c r="I61245" s="63"/>
      <c r="R61245" s="64"/>
    </row>
    <row r="61246" spans="3:18" s="8" customFormat="1" x14ac:dyDescent="0.25">
      <c r="C61246" s="60"/>
      <c r="I61246" s="63"/>
      <c r="R61246" s="64"/>
    </row>
    <row r="61247" spans="3:18" s="8" customFormat="1" x14ac:dyDescent="0.25">
      <c r="C61247" s="60"/>
      <c r="I61247" s="63"/>
      <c r="R61247" s="64"/>
    </row>
    <row r="61248" spans="3:18" s="8" customFormat="1" x14ac:dyDescent="0.25">
      <c r="C61248" s="60"/>
      <c r="I61248" s="63"/>
      <c r="R61248" s="64"/>
    </row>
    <row r="61249" spans="3:18" s="8" customFormat="1" x14ac:dyDescent="0.25">
      <c r="C61249" s="60"/>
      <c r="I61249" s="63"/>
      <c r="R61249" s="64"/>
    </row>
    <row r="61250" spans="3:18" s="8" customFormat="1" x14ac:dyDescent="0.25">
      <c r="C61250" s="60"/>
      <c r="I61250" s="63"/>
      <c r="R61250" s="64"/>
    </row>
    <row r="61251" spans="3:18" s="8" customFormat="1" x14ac:dyDescent="0.25">
      <c r="C61251" s="60"/>
      <c r="I61251" s="63"/>
      <c r="R61251" s="64"/>
    </row>
    <row r="61252" spans="3:18" s="8" customFormat="1" x14ac:dyDescent="0.25">
      <c r="C61252" s="60"/>
      <c r="I61252" s="63"/>
      <c r="R61252" s="64"/>
    </row>
    <row r="61253" spans="3:18" s="8" customFormat="1" x14ac:dyDescent="0.25">
      <c r="C61253" s="60"/>
      <c r="I61253" s="63"/>
      <c r="R61253" s="64"/>
    </row>
    <row r="61254" spans="3:18" s="8" customFormat="1" x14ac:dyDescent="0.25">
      <c r="C61254" s="60"/>
      <c r="I61254" s="63"/>
      <c r="R61254" s="64"/>
    </row>
    <row r="61255" spans="3:18" s="8" customFormat="1" x14ac:dyDescent="0.25">
      <c r="C61255" s="60"/>
      <c r="I61255" s="63"/>
      <c r="R61255" s="64"/>
    </row>
    <row r="61256" spans="3:18" s="8" customFormat="1" x14ac:dyDescent="0.25">
      <c r="C61256" s="60"/>
      <c r="I61256" s="63"/>
      <c r="R61256" s="64"/>
    </row>
    <row r="61257" spans="3:18" s="8" customFormat="1" x14ac:dyDescent="0.25">
      <c r="C61257" s="60"/>
      <c r="I61257" s="63"/>
      <c r="R61257" s="64"/>
    </row>
    <row r="61258" spans="3:18" s="8" customFormat="1" x14ac:dyDescent="0.25">
      <c r="C61258" s="60"/>
      <c r="I61258" s="63"/>
      <c r="R61258" s="64"/>
    </row>
    <row r="61259" spans="3:18" s="8" customFormat="1" x14ac:dyDescent="0.25">
      <c r="C61259" s="60"/>
      <c r="I61259" s="63"/>
      <c r="R61259" s="64"/>
    </row>
    <row r="61260" spans="3:18" s="8" customFormat="1" x14ac:dyDescent="0.25">
      <c r="C61260" s="60"/>
      <c r="I61260" s="63"/>
      <c r="R61260" s="64"/>
    </row>
    <row r="61261" spans="3:18" s="8" customFormat="1" x14ac:dyDescent="0.25">
      <c r="C61261" s="60"/>
      <c r="I61261" s="63"/>
      <c r="R61261" s="64"/>
    </row>
    <row r="61262" spans="3:18" s="8" customFormat="1" x14ac:dyDescent="0.25">
      <c r="C61262" s="60"/>
      <c r="I61262" s="63"/>
      <c r="R61262" s="64"/>
    </row>
    <row r="61263" spans="3:18" s="8" customFormat="1" x14ac:dyDescent="0.25">
      <c r="C61263" s="60"/>
      <c r="I61263" s="63"/>
      <c r="R61263" s="64"/>
    </row>
    <row r="61264" spans="3:18" s="8" customFormat="1" x14ac:dyDescent="0.25">
      <c r="C61264" s="60"/>
      <c r="I61264" s="63"/>
      <c r="R61264" s="64"/>
    </row>
    <row r="61265" spans="3:18" s="8" customFormat="1" x14ac:dyDescent="0.25">
      <c r="C61265" s="60"/>
      <c r="I61265" s="63"/>
      <c r="R61265" s="64"/>
    </row>
    <row r="61266" spans="3:18" s="8" customFormat="1" x14ac:dyDescent="0.25">
      <c r="C61266" s="60"/>
      <c r="I61266" s="63"/>
      <c r="R61266" s="64"/>
    </row>
    <row r="61267" spans="3:18" s="8" customFormat="1" x14ac:dyDescent="0.25">
      <c r="C61267" s="60"/>
      <c r="I61267" s="63"/>
      <c r="R61267" s="64"/>
    </row>
    <row r="61268" spans="3:18" s="8" customFormat="1" x14ac:dyDescent="0.25">
      <c r="C61268" s="60"/>
      <c r="I61268" s="63"/>
      <c r="R61268" s="64"/>
    </row>
    <row r="61269" spans="3:18" s="8" customFormat="1" x14ac:dyDescent="0.25">
      <c r="C61269" s="60"/>
      <c r="I61269" s="63"/>
      <c r="R61269" s="64"/>
    </row>
    <row r="61270" spans="3:18" s="8" customFormat="1" x14ac:dyDescent="0.25">
      <c r="C61270" s="60"/>
      <c r="I61270" s="63"/>
      <c r="R61270" s="64"/>
    </row>
    <row r="61271" spans="3:18" s="8" customFormat="1" x14ac:dyDescent="0.25">
      <c r="C61271" s="60"/>
      <c r="I61271" s="63"/>
      <c r="R61271" s="64"/>
    </row>
    <row r="61272" spans="3:18" s="8" customFormat="1" x14ac:dyDescent="0.25">
      <c r="C61272" s="60"/>
      <c r="I61272" s="63"/>
      <c r="R61272" s="64"/>
    </row>
    <row r="61273" spans="3:18" s="8" customFormat="1" x14ac:dyDescent="0.25">
      <c r="C61273" s="60"/>
      <c r="I61273" s="63"/>
      <c r="R61273" s="64"/>
    </row>
    <row r="61274" spans="3:18" s="8" customFormat="1" x14ac:dyDescent="0.25">
      <c r="C61274" s="60"/>
      <c r="I61274" s="63"/>
      <c r="R61274" s="64"/>
    </row>
    <row r="61275" spans="3:18" s="8" customFormat="1" x14ac:dyDescent="0.25">
      <c r="C61275" s="60"/>
      <c r="I61275" s="63"/>
      <c r="R61275" s="64"/>
    </row>
    <row r="61276" spans="3:18" s="8" customFormat="1" x14ac:dyDescent="0.25">
      <c r="C61276" s="60"/>
      <c r="I61276" s="63"/>
      <c r="R61276" s="64"/>
    </row>
    <row r="61277" spans="3:18" s="8" customFormat="1" x14ac:dyDescent="0.25">
      <c r="C61277" s="60"/>
      <c r="I61277" s="63"/>
      <c r="R61277" s="64"/>
    </row>
    <row r="61278" spans="3:18" s="8" customFormat="1" x14ac:dyDescent="0.25">
      <c r="C61278" s="60"/>
      <c r="I61278" s="63"/>
      <c r="R61278" s="64"/>
    </row>
    <row r="61279" spans="3:18" s="8" customFormat="1" x14ac:dyDescent="0.25">
      <c r="C61279" s="60"/>
      <c r="I61279" s="63"/>
      <c r="R61279" s="64"/>
    </row>
    <row r="61280" spans="3:18" s="8" customFormat="1" x14ac:dyDescent="0.25">
      <c r="C61280" s="60"/>
      <c r="I61280" s="63"/>
      <c r="R61280" s="64"/>
    </row>
    <row r="61281" spans="3:18" s="8" customFormat="1" x14ac:dyDescent="0.25">
      <c r="C61281" s="60"/>
      <c r="I61281" s="63"/>
      <c r="R61281" s="64"/>
    </row>
    <row r="61282" spans="3:18" s="8" customFormat="1" x14ac:dyDescent="0.25">
      <c r="C61282" s="60"/>
      <c r="I61282" s="63"/>
      <c r="R61282" s="64"/>
    </row>
    <row r="61283" spans="3:18" s="8" customFormat="1" x14ac:dyDescent="0.25">
      <c r="C61283" s="60"/>
      <c r="I61283" s="63"/>
      <c r="R61283" s="64"/>
    </row>
    <row r="61284" spans="3:18" s="8" customFormat="1" x14ac:dyDescent="0.25">
      <c r="C61284" s="60"/>
      <c r="I61284" s="63"/>
      <c r="R61284" s="64"/>
    </row>
    <row r="61285" spans="3:18" s="8" customFormat="1" x14ac:dyDescent="0.25">
      <c r="C61285" s="60"/>
      <c r="I61285" s="63"/>
      <c r="R61285" s="64"/>
    </row>
    <row r="61286" spans="3:18" s="8" customFormat="1" x14ac:dyDescent="0.25">
      <c r="C61286" s="60"/>
      <c r="I61286" s="63"/>
      <c r="R61286" s="64"/>
    </row>
    <row r="61287" spans="3:18" s="8" customFormat="1" x14ac:dyDescent="0.25">
      <c r="C61287" s="60"/>
      <c r="I61287" s="63"/>
      <c r="R61287" s="64"/>
    </row>
    <row r="61288" spans="3:18" s="8" customFormat="1" x14ac:dyDescent="0.25">
      <c r="C61288" s="60"/>
      <c r="I61288" s="63"/>
      <c r="R61288" s="64"/>
    </row>
    <row r="61289" spans="3:18" s="8" customFormat="1" x14ac:dyDescent="0.25">
      <c r="C61289" s="60"/>
      <c r="I61289" s="63"/>
      <c r="R61289" s="64"/>
    </row>
    <row r="61290" spans="3:18" s="8" customFormat="1" x14ac:dyDescent="0.25">
      <c r="C61290" s="60"/>
      <c r="I61290" s="63"/>
      <c r="R61290" s="64"/>
    </row>
    <row r="61291" spans="3:18" s="8" customFormat="1" x14ac:dyDescent="0.25">
      <c r="C61291" s="60"/>
      <c r="I61291" s="63"/>
      <c r="R61291" s="64"/>
    </row>
    <row r="61292" spans="3:18" s="8" customFormat="1" x14ac:dyDescent="0.25">
      <c r="C61292" s="60"/>
      <c r="I61292" s="63"/>
      <c r="R61292" s="64"/>
    </row>
    <row r="61293" spans="3:18" s="8" customFormat="1" x14ac:dyDescent="0.25">
      <c r="C61293" s="60"/>
      <c r="I61293" s="63"/>
      <c r="R61293" s="64"/>
    </row>
    <row r="61294" spans="3:18" s="8" customFormat="1" x14ac:dyDescent="0.25">
      <c r="C61294" s="60"/>
      <c r="I61294" s="63"/>
      <c r="R61294" s="64"/>
    </row>
    <row r="61295" spans="3:18" s="8" customFormat="1" x14ac:dyDescent="0.25">
      <c r="C61295" s="60"/>
      <c r="I61295" s="63"/>
      <c r="R61295" s="64"/>
    </row>
    <row r="61296" spans="3:18" s="8" customFormat="1" x14ac:dyDescent="0.25">
      <c r="C61296" s="60"/>
      <c r="I61296" s="63"/>
      <c r="R61296" s="64"/>
    </row>
    <row r="61297" spans="3:18" s="8" customFormat="1" x14ac:dyDescent="0.25">
      <c r="C61297" s="60"/>
      <c r="I61297" s="63"/>
      <c r="R61297" s="64"/>
    </row>
    <row r="61298" spans="3:18" s="8" customFormat="1" x14ac:dyDescent="0.25">
      <c r="C61298" s="60"/>
      <c r="I61298" s="63"/>
      <c r="R61298" s="64"/>
    </row>
    <row r="61299" spans="3:18" s="8" customFormat="1" x14ac:dyDescent="0.25">
      <c r="C61299" s="60"/>
      <c r="I61299" s="63"/>
      <c r="R61299" s="64"/>
    </row>
    <row r="61300" spans="3:18" s="8" customFormat="1" x14ac:dyDescent="0.25">
      <c r="C61300" s="60"/>
      <c r="I61300" s="63"/>
      <c r="R61300" s="64"/>
    </row>
    <row r="61301" spans="3:18" s="8" customFormat="1" x14ac:dyDescent="0.25">
      <c r="C61301" s="60"/>
      <c r="I61301" s="63"/>
      <c r="R61301" s="64"/>
    </row>
    <row r="61302" spans="3:18" s="8" customFormat="1" x14ac:dyDescent="0.25">
      <c r="C61302" s="60"/>
      <c r="I61302" s="63"/>
      <c r="R61302" s="64"/>
    </row>
    <row r="61303" spans="3:18" s="8" customFormat="1" x14ac:dyDescent="0.25">
      <c r="C61303" s="60"/>
      <c r="I61303" s="63"/>
      <c r="R61303" s="64"/>
    </row>
    <row r="61304" spans="3:18" s="8" customFormat="1" x14ac:dyDescent="0.25">
      <c r="C61304" s="60"/>
      <c r="I61304" s="63"/>
      <c r="R61304" s="64"/>
    </row>
    <row r="61305" spans="3:18" s="8" customFormat="1" x14ac:dyDescent="0.25">
      <c r="C61305" s="60"/>
      <c r="I61305" s="63"/>
      <c r="R61305" s="64"/>
    </row>
    <row r="61306" spans="3:18" s="8" customFormat="1" x14ac:dyDescent="0.25">
      <c r="C61306" s="60"/>
      <c r="I61306" s="63"/>
      <c r="R61306" s="64"/>
    </row>
    <row r="61307" spans="3:18" s="8" customFormat="1" x14ac:dyDescent="0.25">
      <c r="C61307" s="60"/>
      <c r="I61307" s="63"/>
      <c r="R61307" s="64"/>
    </row>
    <row r="61308" spans="3:18" s="8" customFormat="1" x14ac:dyDescent="0.25">
      <c r="C61308" s="60"/>
      <c r="I61308" s="63"/>
      <c r="R61308" s="64"/>
    </row>
    <row r="61309" spans="3:18" s="8" customFormat="1" x14ac:dyDescent="0.25">
      <c r="C61309" s="60"/>
      <c r="I61309" s="63"/>
      <c r="R61309" s="64"/>
    </row>
    <row r="61310" spans="3:18" s="8" customFormat="1" x14ac:dyDescent="0.25">
      <c r="C61310" s="60"/>
      <c r="I61310" s="63"/>
      <c r="R61310" s="64"/>
    </row>
    <row r="61311" spans="3:18" s="8" customFormat="1" x14ac:dyDescent="0.25">
      <c r="C61311" s="60"/>
      <c r="I61311" s="63"/>
      <c r="R61311" s="64"/>
    </row>
    <row r="61312" spans="3:18" s="8" customFormat="1" x14ac:dyDescent="0.25">
      <c r="C61312" s="60"/>
      <c r="I61312" s="63"/>
      <c r="R61312" s="64"/>
    </row>
    <row r="61313" spans="3:18" s="8" customFormat="1" x14ac:dyDescent="0.25">
      <c r="C61313" s="60"/>
      <c r="I61313" s="63"/>
      <c r="R61313" s="64"/>
    </row>
    <row r="61314" spans="3:18" s="8" customFormat="1" x14ac:dyDescent="0.25">
      <c r="C61314" s="60"/>
      <c r="I61314" s="63"/>
      <c r="R61314" s="64"/>
    </row>
    <row r="61315" spans="3:18" s="8" customFormat="1" x14ac:dyDescent="0.25">
      <c r="C61315" s="60"/>
      <c r="I61315" s="63"/>
      <c r="R61315" s="64"/>
    </row>
    <row r="61316" spans="3:18" s="8" customFormat="1" x14ac:dyDescent="0.25">
      <c r="C61316" s="60"/>
      <c r="I61316" s="63"/>
      <c r="R61316" s="64"/>
    </row>
    <row r="61317" spans="3:18" s="8" customFormat="1" x14ac:dyDescent="0.25">
      <c r="C61317" s="60"/>
      <c r="I61317" s="63"/>
      <c r="R61317" s="64"/>
    </row>
    <row r="61318" spans="3:18" s="8" customFormat="1" x14ac:dyDescent="0.25">
      <c r="C61318" s="60"/>
      <c r="I61318" s="63"/>
      <c r="R61318" s="64"/>
    </row>
    <row r="61319" spans="3:18" s="8" customFormat="1" x14ac:dyDescent="0.25">
      <c r="C61319" s="60"/>
      <c r="I61319" s="63"/>
      <c r="R61319" s="64"/>
    </row>
    <row r="61320" spans="3:18" s="8" customFormat="1" x14ac:dyDescent="0.25">
      <c r="C61320" s="60"/>
      <c r="I61320" s="63"/>
      <c r="R61320" s="64"/>
    </row>
    <row r="61321" spans="3:18" s="8" customFormat="1" x14ac:dyDescent="0.25">
      <c r="C61321" s="60"/>
      <c r="I61321" s="63"/>
      <c r="R61321" s="64"/>
    </row>
    <row r="61322" spans="3:18" s="8" customFormat="1" x14ac:dyDescent="0.25">
      <c r="C61322" s="60"/>
      <c r="I61322" s="63"/>
      <c r="R61322" s="64"/>
    </row>
    <row r="61323" spans="3:18" s="8" customFormat="1" x14ac:dyDescent="0.25">
      <c r="C61323" s="60"/>
      <c r="I61323" s="63"/>
      <c r="R61323" s="64"/>
    </row>
    <row r="61324" spans="3:18" s="8" customFormat="1" x14ac:dyDescent="0.25">
      <c r="C61324" s="60"/>
      <c r="I61324" s="63"/>
      <c r="R61324" s="64"/>
    </row>
    <row r="61325" spans="3:18" s="8" customFormat="1" x14ac:dyDescent="0.25">
      <c r="C61325" s="60"/>
      <c r="I61325" s="63"/>
      <c r="R61325" s="64"/>
    </row>
    <row r="61326" spans="3:18" s="8" customFormat="1" x14ac:dyDescent="0.25">
      <c r="C61326" s="60"/>
      <c r="I61326" s="63"/>
      <c r="R61326" s="64"/>
    </row>
    <row r="61327" spans="3:18" s="8" customFormat="1" x14ac:dyDescent="0.25">
      <c r="C61327" s="60"/>
      <c r="I61327" s="63"/>
      <c r="R61327" s="64"/>
    </row>
    <row r="61328" spans="3:18" s="8" customFormat="1" x14ac:dyDescent="0.25">
      <c r="C61328" s="60"/>
      <c r="I61328" s="63"/>
      <c r="R61328" s="64"/>
    </row>
    <row r="61329" spans="3:18" s="8" customFormat="1" x14ac:dyDescent="0.25">
      <c r="C61329" s="60"/>
      <c r="I61329" s="63"/>
      <c r="R61329" s="64"/>
    </row>
    <row r="61330" spans="3:18" s="8" customFormat="1" x14ac:dyDescent="0.25">
      <c r="C61330" s="60"/>
      <c r="I61330" s="63"/>
      <c r="R61330" s="64"/>
    </row>
    <row r="61331" spans="3:18" s="8" customFormat="1" x14ac:dyDescent="0.25">
      <c r="C61331" s="60"/>
      <c r="I61331" s="63"/>
      <c r="R61331" s="64"/>
    </row>
    <row r="61332" spans="3:18" s="8" customFormat="1" x14ac:dyDescent="0.25">
      <c r="C61332" s="60"/>
      <c r="I61332" s="63"/>
      <c r="R61332" s="64"/>
    </row>
    <row r="61333" spans="3:18" s="8" customFormat="1" x14ac:dyDescent="0.25">
      <c r="C61333" s="60"/>
      <c r="I61333" s="63"/>
      <c r="R61333" s="64"/>
    </row>
    <row r="61334" spans="3:18" s="8" customFormat="1" x14ac:dyDescent="0.25">
      <c r="C61334" s="60"/>
      <c r="I61334" s="63"/>
      <c r="R61334" s="64"/>
    </row>
    <row r="61335" spans="3:18" s="8" customFormat="1" x14ac:dyDescent="0.25">
      <c r="C61335" s="60"/>
      <c r="I61335" s="63"/>
      <c r="R61335" s="64"/>
    </row>
    <row r="61336" spans="3:18" s="8" customFormat="1" x14ac:dyDescent="0.25">
      <c r="C61336" s="60"/>
      <c r="I61336" s="63"/>
      <c r="R61336" s="64"/>
    </row>
    <row r="61337" spans="3:18" s="8" customFormat="1" x14ac:dyDescent="0.25">
      <c r="C61337" s="60"/>
      <c r="I61337" s="63"/>
      <c r="R61337" s="64"/>
    </row>
    <row r="61338" spans="3:18" s="8" customFormat="1" x14ac:dyDescent="0.25">
      <c r="C61338" s="60"/>
      <c r="I61338" s="63"/>
      <c r="R61338" s="64"/>
    </row>
    <row r="61339" spans="3:18" s="8" customFormat="1" x14ac:dyDescent="0.25">
      <c r="C61339" s="60"/>
      <c r="I61339" s="63"/>
      <c r="R61339" s="64"/>
    </row>
    <row r="61340" spans="3:18" s="8" customFormat="1" x14ac:dyDescent="0.25">
      <c r="C61340" s="60"/>
      <c r="I61340" s="63"/>
      <c r="R61340" s="64"/>
    </row>
    <row r="61341" spans="3:18" s="8" customFormat="1" x14ac:dyDescent="0.25">
      <c r="C61341" s="60"/>
      <c r="I61341" s="63"/>
      <c r="R61341" s="64"/>
    </row>
    <row r="61342" spans="3:18" s="8" customFormat="1" x14ac:dyDescent="0.25">
      <c r="C61342" s="60"/>
      <c r="I61342" s="63"/>
      <c r="R61342" s="64"/>
    </row>
    <row r="61343" spans="3:18" s="8" customFormat="1" x14ac:dyDescent="0.25">
      <c r="C61343" s="60"/>
      <c r="I61343" s="63"/>
      <c r="R61343" s="64"/>
    </row>
    <row r="61344" spans="3:18" s="8" customFormat="1" x14ac:dyDescent="0.25">
      <c r="C61344" s="60"/>
      <c r="I61344" s="63"/>
      <c r="R61344" s="64"/>
    </row>
    <row r="61345" spans="3:18" s="8" customFormat="1" x14ac:dyDescent="0.25">
      <c r="C61345" s="60"/>
      <c r="I61345" s="63"/>
      <c r="R61345" s="64"/>
    </row>
    <row r="61346" spans="3:18" s="8" customFormat="1" x14ac:dyDescent="0.25">
      <c r="C61346" s="60"/>
      <c r="I61346" s="63"/>
      <c r="R61346" s="64"/>
    </row>
    <row r="61347" spans="3:18" s="8" customFormat="1" x14ac:dyDescent="0.25">
      <c r="C61347" s="60"/>
      <c r="I61347" s="63"/>
      <c r="R61347" s="64"/>
    </row>
    <row r="61348" spans="3:18" s="8" customFormat="1" x14ac:dyDescent="0.25">
      <c r="C61348" s="60"/>
      <c r="I61348" s="63"/>
      <c r="R61348" s="64"/>
    </row>
    <row r="61349" spans="3:18" s="8" customFormat="1" x14ac:dyDescent="0.25">
      <c r="C61349" s="60"/>
      <c r="I61349" s="63"/>
      <c r="R61349" s="64"/>
    </row>
    <row r="61350" spans="3:18" s="8" customFormat="1" x14ac:dyDescent="0.25">
      <c r="C61350" s="60"/>
      <c r="I61350" s="63"/>
      <c r="R61350" s="64"/>
    </row>
    <row r="61351" spans="3:18" s="8" customFormat="1" x14ac:dyDescent="0.25">
      <c r="C61351" s="60"/>
      <c r="I61351" s="63"/>
      <c r="R61351" s="64"/>
    </row>
    <row r="61352" spans="3:18" s="8" customFormat="1" x14ac:dyDescent="0.25">
      <c r="C61352" s="60"/>
      <c r="I61352" s="63"/>
      <c r="R61352" s="64"/>
    </row>
    <row r="61353" spans="3:18" s="8" customFormat="1" x14ac:dyDescent="0.25">
      <c r="C61353" s="60"/>
      <c r="I61353" s="63"/>
      <c r="R61353" s="64"/>
    </row>
    <row r="61354" spans="3:18" s="8" customFormat="1" x14ac:dyDescent="0.25">
      <c r="C61354" s="60"/>
      <c r="I61354" s="63"/>
      <c r="R61354" s="64"/>
    </row>
    <row r="61355" spans="3:18" s="8" customFormat="1" x14ac:dyDescent="0.25">
      <c r="C61355" s="60"/>
      <c r="I61355" s="63"/>
      <c r="R61355" s="64"/>
    </row>
    <row r="61356" spans="3:18" s="8" customFormat="1" x14ac:dyDescent="0.25">
      <c r="C61356" s="60"/>
      <c r="I61356" s="63"/>
      <c r="R61356" s="64"/>
    </row>
    <row r="61357" spans="3:18" s="8" customFormat="1" x14ac:dyDescent="0.25">
      <c r="C61357" s="60"/>
      <c r="I61357" s="63"/>
      <c r="R61357" s="64"/>
    </row>
    <row r="61358" spans="3:18" s="8" customFormat="1" x14ac:dyDescent="0.25">
      <c r="C61358" s="60"/>
      <c r="I61358" s="63"/>
      <c r="R61358" s="64"/>
    </row>
    <row r="61359" spans="3:18" s="8" customFormat="1" x14ac:dyDescent="0.25">
      <c r="C61359" s="60"/>
      <c r="I61359" s="63"/>
      <c r="R61359" s="64"/>
    </row>
    <row r="61360" spans="3:18" s="8" customFormat="1" x14ac:dyDescent="0.25">
      <c r="C61360" s="60"/>
      <c r="I61360" s="63"/>
      <c r="R61360" s="64"/>
    </row>
    <row r="61361" spans="3:18" s="8" customFormat="1" x14ac:dyDescent="0.25">
      <c r="C61361" s="60"/>
      <c r="I61361" s="63"/>
      <c r="R61361" s="64"/>
    </row>
    <row r="61362" spans="3:18" s="8" customFormat="1" x14ac:dyDescent="0.25">
      <c r="C61362" s="60"/>
      <c r="I61362" s="63"/>
      <c r="R61362" s="64"/>
    </row>
    <row r="61363" spans="3:18" s="8" customFormat="1" x14ac:dyDescent="0.25">
      <c r="C61363" s="60"/>
      <c r="I61363" s="63"/>
      <c r="R61363" s="64"/>
    </row>
    <row r="61364" spans="3:18" s="8" customFormat="1" x14ac:dyDescent="0.25">
      <c r="C61364" s="60"/>
      <c r="I61364" s="63"/>
      <c r="R61364" s="64"/>
    </row>
    <row r="61365" spans="3:18" s="8" customFormat="1" x14ac:dyDescent="0.25">
      <c r="C61365" s="60"/>
      <c r="I61365" s="63"/>
      <c r="R61365" s="64"/>
    </row>
    <row r="61366" spans="3:18" s="8" customFormat="1" x14ac:dyDescent="0.25">
      <c r="C61366" s="60"/>
      <c r="I61366" s="63"/>
      <c r="R61366" s="64"/>
    </row>
    <row r="61367" spans="3:18" s="8" customFormat="1" x14ac:dyDescent="0.25">
      <c r="C61367" s="60"/>
      <c r="I61367" s="63"/>
      <c r="R61367" s="64"/>
    </row>
    <row r="61368" spans="3:18" s="8" customFormat="1" x14ac:dyDescent="0.25">
      <c r="C61368" s="60"/>
      <c r="I61368" s="63"/>
      <c r="R61368" s="64"/>
    </row>
    <row r="61369" spans="3:18" s="8" customFormat="1" x14ac:dyDescent="0.25">
      <c r="C61369" s="60"/>
      <c r="I61369" s="63"/>
      <c r="R61369" s="64"/>
    </row>
    <row r="61370" spans="3:18" s="8" customFormat="1" x14ac:dyDescent="0.25">
      <c r="C61370" s="60"/>
      <c r="I61370" s="63"/>
      <c r="R61370" s="64"/>
    </row>
    <row r="61371" spans="3:18" s="8" customFormat="1" x14ac:dyDescent="0.25">
      <c r="C61371" s="60"/>
      <c r="I61371" s="63"/>
      <c r="R61371" s="64"/>
    </row>
    <row r="61372" spans="3:18" s="8" customFormat="1" x14ac:dyDescent="0.25">
      <c r="C61372" s="60"/>
      <c r="I61372" s="63"/>
      <c r="R61372" s="64"/>
    </row>
    <row r="61373" spans="3:18" s="8" customFormat="1" x14ac:dyDescent="0.25">
      <c r="C61373" s="60"/>
      <c r="I61373" s="63"/>
      <c r="R61373" s="64"/>
    </row>
    <row r="61374" spans="3:18" s="8" customFormat="1" x14ac:dyDescent="0.25">
      <c r="C61374" s="60"/>
      <c r="I61374" s="63"/>
      <c r="R61374" s="64"/>
    </row>
    <row r="61375" spans="3:18" s="8" customFormat="1" x14ac:dyDescent="0.25">
      <c r="C61375" s="60"/>
      <c r="I61375" s="63"/>
      <c r="R61375" s="64"/>
    </row>
    <row r="61376" spans="3:18" s="8" customFormat="1" x14ac:dyDescent="0.25">
      <c r="C61376" s="60"/>
      <c r="I61376" s="63"/>
      <c r="R61376" s="64"/>
    </row>
    <row r="61377" spans="3:18" s="8" customFormat="1" x14ac:dyDescent="0.25">
      <c r="C61377" s="60"/>
      <c r="I61377" s="63"/>
      <c r="R61377" s="64"/>
    </row>
    <row r="61378" spans="3:18" s="8" customFormat="1" x14ac:dyDescent="0.25">
      <c r="C61378" s="60"/>
      <c r="I61378" s="63"/>
      <c r="R61378" s="64"/>
    </row>
    <row r="61379" spans="3:18" s="8" customFormat="1" x14ac:dyDescent="0.25">
      <c r="C61379" s="60"/>
      <c r="I61379" s="63"/>
      <c r="R61379" s="64"/>
    </row>
    <row r="61380" spans="3:18" s="8" customFormat="1" x14ac:dyDescent="0.25">
      <c r="C61380" s="60"/>
      <c r="I61380" s="63"/>
      <c r="R61380" s="64"/>
    </row>
    <row r="61381" spans="3:18" s="8" customFormat="1" x14ac:dyDescent="0.25">
      <c r="C61381" s="60"/>
      <c r="I61381" s="63"/>
      <c r="R61381" s="64"/>
    </row>
    <row r="61382" spans="3:18" s="8" customFormat="1" x14ac:dyDescent="0.25">
      <c r="C61382" s="60"/>
      <c r="I61382" s="63"/>
      <c r="R61382" s="64"/>
    </row>
    <row r="61383" spans="3:18" s="8" customFormat="1" x14ac:dyDescent="0.25">
      <c r="C61383" s="60"/>
      <c r="I61383" s="63"/>
      <c r="R61383" s="64"/>
    </row>
    <row r="61384" spans="3:18" s="8" customFormat="1" x14ac:dyDescent="0.25">
      <c r="C61384" s="60"/>
      <c r="I61384" s="63"/>
      <c r="R61384" s="64"/>
    </row>
    <row r="61385" spans="3:18" s="8" customFormat="1" x14ac:dyDescent="0.25">
      <c r="C61385" s="60"/>
      <c r="I61385" s="63"/>
      <c r="R61385" s="64"/>
    </row>
    <row r="61386" spans="3:18" s="8" customFormat="1" x14ac:dyDescent="0.25">
      <c r="C61386" s="60"/>
      <c r="I61386" s="63"/>
      <c r="R61386" s="64"/>
    </row>
    <row r="61387" spans="3:18" s="8" customFormat="1" x14ac:dyDescent="0.25">
      <c r="C61387" s="60"/>
      <c r="I61387" s="63"/>
      <c r="R61387" s="64"/>
    </row>
    <row r="61388" spans="3:18" s="8" customFormat="1" x14ac:dyDescent="0.25">
      <c r="C61388" s="60"/>
      <c r="I61388" s="63"/>
      <c r="R61388" s="64"/>
    </row>
    <row r="61389" spans="3:18" s="8" customFormat="1" x14ac:dyDescent="0.25">
      <c r="C61389" s="60"/>
      <c r="I61389" s="63"/>
      <c r="R61389" s="64"/>
    </row>
    <row r="61390" spans="3:18" s="8" customFormat="1" x14ac:dyDescent="0.25">
      <c r="C61390" s="60"/>
      <c r="I61390" s="63"/>
      <c r="R61390" s="64"/>
    </row>
    <row r="61391" spans="3:18" s="8" customFormat="1" x14ac:dyDescent="0.25">
      <c r="C61391" s="60"/>
      <c r="I61391" s="63"/>
      <c r="R61391" s="64"/>
    </row>
    <row r="61392" spans="3:18" s="8" customFormat="1" x14ac:dyDescent="0.25">
      <c r="C61392" s="60"/>
      <c r="I61392" s="63"/>
      <c r="R61392" s="64"/>
    </row>
    <row r="61393" spans="3:18" s="8" customFormat="1" x14ac:dyDescent="0.25">
      <c r="C61393" s="60"/>
      <c r="I61393" s="63"/>
      <c r="R61393" s="64"/>
    </row>
    <row r="61394" spans="3:18" s="8" customFormat="1" x14ac:dyDescent="0.25">
      <c r="C61394" s="60"/>
      <c r="I61394" s="63"/>
      <c r="R61394" s="64"/>
    </row>
    <row r="61395" spans="3:18" s="8" customFormat="1" x14ac:dyDescent="0.25">
      <c r="C61395" s="60"/>
      <c r="I61395" s="63"/>
      <c r="R61395" s="64"/>
    </row>
    <row r="61396" spans="3:18" s="8" customFormat="1" x14ac:dyDescent="0.25">
      <c r="C61396" s="60"/>
      <c r="I61396" s="63"/>
      <c r="R61396" s="64"/>
    </row>
    <row r="61397" spans="3:18" s="8" customFormat="1" x14ac:dyDescent="0.25">
      <c r="C61397" s="60"/>
      <c r="I61397" s="63"/>
      <c r="R61397" s="64"/>
    </row>
    <row r="61398" spans="3:18" s="8" customFormat="1" x14ac:dyDescent="0.25">
      <c r="C61398" s="60"/>
      <c r="I61398" s="63"/>
      <c r="R61398" s="64"/>
    </row>
    <row r="61399" spans="3:18" s="8" customFormat="1" x14ac:dyDescent="0.25">
      <c r="C61399" s="60"/>
      <c r="I61399" s="63"/>
      <c r="R61399" s="64"/>
    </row>
    <row r="61400" spans="3:18" s="8" customFormat="1" x14ac:dyDescent="0.25">
      <c r="C61400" s="60"/>
      <c r="I61400" s="63"/>
      <c r="R61400" s="64"/>
    </row>
    <row r="61401" spans="3:18" s="8" customFormat="1" x14ac:dyDescent="0.25">
      <c r="C61401" s="60"/>
      <c r="I61401" s="63"/>
      <c r="R61401" s="64"/>
    </row>
    <row r="61402" spans="3:18" s="8" customFormat="1" x14ac:dyDescent="0.25">
      <c r="C61402" s="60"/>
      <c r="I61402" s="63"/>
      <c r="R61402" s="64"/>
    </row>
    <row r="61403" spans="3:18" s="8" customFormat="1" x14ac:dyDescent="0.25">
      <c r="C61403" s="60"/>
      <c r="I61403" s="63"/>
      <c r="R61403" s="64"/>
    </row>
    <row r="61404" spans="3:18" s="8" customFormat="1" x14ac:dyDescent="0.25">
      <c r="C61404" s="60"/>
      <c r="I61404" s="63"/>
      <c r="R61404" s="64"/>
    </row>
    <row r="61405" spans="3:18" s="8" customFormat="1" x14ac:dyDescent="0.25">
      <c r="C61405" s="60"/>
      <c r="I61405" s="63"/>
      <c r="R61405" s="64"/>
    </row>
    <row r="61406" spans="3:18" s="8" customFormat="1" x14ac:dyDescent="0.25">
      <c r="C61406" s="60"/>
      <c r="I61406" s="63"/>
      <c r="R61406" s="64"/>
    </row>
    <row r="61407" spans="3:18" s="8" customFormat="1" x14ac:dyDescent="0.25">
      <c r="C61407" s="60"/>
      <c r="I61407" s="63"/>
      <c r="R61407" s="64"/>
    </row>
    <row r="61408" spans="3:18" s="8" customFormat="1" x14ac:dyDescent="0.25">
      <c r="C61408" s="60"/>
      <c r="I61408" s="63"/>
      <c r="R61408" s="64"/>
    </row>
    <row r="61409" spans="3:18" s="8" customFormat="1" x14ac:dyDescent="0.25">
      <c r="C61409" s="60"/>
      <c r="I61409" s="63"/>
      <c r="R61409" s="64"/>
    </row>
    <row r="61410" spans="3:18" s="8" customFormat="1" x14ac:dyDescent="0.25">
      <c r="C61410" s="60"/>
      <c r="I61410" s="63"/>
      <c r="R61410" s="64"/>
    </row>
    <row r="61411" spans="3:18" s="8" customFormat="1" x14ac:dyDescent="0.25">
      <c r="C61411" s="60"/>
      <c r="I61411" s="63"/>
      <c r="R61411" s="64"/>
    </row>
    <row r="61412" spans="3:18" s="8" customFormat="1" x14ac:dyDescent="0.25">
      <c r="C61412" s="60"/>
      <c r="I61412" s="63"/>
      <c r="R61412" s="64"/>
    </row>
    <row r="61413" spans="3:18" s="8" customFormat="1" x14ac:dyDescent="0.25">
      <c r="C61413" s="60"/>
      <c r="I61413" s="63"/>
      <c r="R61413" s="64"/>
    </row>
    <row r="61414" spans="3:18" s="8" customFormat="1" x14ac:dyDescent="0.25">
      <c r="C61414" s="60"/>
      <c r="I61414" s="63"/>
      <c r="R61414" s="64"/>
    </row>
    <row r="61415" spans="3:18" s="8" customFormat="1" x14ac:dyDescent="0.25">
      <c r="C61415" s="60"/>
      <c r="I61415" s="63"/>
      <c r="R61415" s="64"/>
    </row>
    <row r="61416" spans="3:18" s="8" customFormat="1" x14ac:dyDescent="0.25">
      <c r="C61416" s="60"/>
      <c r="I61416" s="63"/>
      <c r="R61416" s="64"/>
    </row>
    <row r="61417" spans="3:18" s="8" customFormat="1" x14ac:dyDescent="0.25">
      <c r="C61417" s="60"/>
      <c r="I61417" s="63"/>
      <c r="R61417" s="64"/>
    </row>
    <row r="61418" spans="3:18" s="8" customFormat="1" x14ac:dyDescent="0.25">
      <c r="C61418" s="60"/>
      <c r="I61418" s="63"/>
      <c r="R61418" s="64"/>
    </row>
    <row r="61419" spans="3:18" s="8" customFormat="1" x14ac:dyDescent="0.25">
      <c r="C61419" s="60"/>
      <c r="I61419" s="63"/>
      <c r="R61419" s="64"/>
    </row>
    <row r="61420" spans="3:18" s="8" customFormat="1" x14ac:dyDescent="0.25">
      <c r="C61420" s="60"/>
      <c r="I61420" s="63"/>
      <c r="R61420" s="64"/>
    </row>
    <row r="61421" spans="3:18" s="8" customFormat="1" x14ac:dyDescent="0.25">
      <c r="C61421" s="60"/>
      <c r="I61421" s="63"/>
      <c r="R61421" s="64"/>
    </row>
    <row r="61422" spans="3:18" s="8" customFormat="1" x14ac:dyDescent="0.25">
      <c r="C61422" s="60"/>
      <c r="I61422" s="63"/>
      <c r="R61422" s="64"/>
    </row>
    <row r="61423" spans="3:18" s="8" customFormat="1" x14ac:dyDescent="0.25">
      <c r="C61423" s="60"/>
      <c r="I61423" s="63"/>
      <c r="R61423" s="64"/>
    </row>
    <row r="61424" spans="3:18" s="8" customFormat="1" x14ac:dyDescent="0.25">
      <c r="C61424" s="60"/>
      <c r="I61424" s="63"/>
      <c r="R61424" s="64"/>
    </row>
    <row r="61425" spans="3:18" s="8" customFormat="1" x14ac:dyDescent="0.25">
      <c r="C61425" s="60"/>
      <c r="I61425" s="63"/>
      <c r="R61425" s="64"/>
    </row>
    <row r="61426" spans="3:18" s="8" customFormat="1" x14ac:dyDescent="0.25">
      <c r="C61426" s="60"/>
      <c r="I61426" s="63"/>
      <c r="R61426" s="64"/>
    </row>
    <row r="61427" spans="3:18" s="8" customFormat="1" x14ac:dyDescent="0.25">
      <c r="C61427" s="60"/>
      <c r="I61427" s="63"/>
      <c r="R61427" s="64"/>
    </row>
    <row r="61428" spans="3:18" s="8" customFormat="1" x14ac:dyDescent="0.25">
      <c r="C61428" s="60"/>
      <c r="I61428" s="63"/>
      <c r="R61428" s="64"/>
    </row>
    <row r="61429" spans="3:18" s="8" customFormat="1" x14ac:dyDescent="0.25">
      <c r="C61429" s="60"/>
      <c r="I61429" s="63"/>
      <c r="R61429" s="64"/>
    </row>
    <row r="61430" spans="3:18" s="8" customFormat="1" x14ac:dyDescent="0.25">
      <c r="C61430" s="60"/>
      <c r="I61430" s="63"/>
      <c r="R61430" s="64"/>
    </row>
    <row r="61431" spans="3:18" s="8" customFormat="1" x14ac:dyDescent="0.25">
      <c r="C61431" s="60"/>
      <c r="I61431" s="63"/>
      <c r="R61431" s="64"/>
    </row>
    <row r="61432" spans="3:18" s="8" customFormat="1" x14ac:dyDescent="0.25">
      <c r="C61432" s="60"/>
      <c r="I61432" s="63"/>
      <c r="R61432" s="64"/>
    </row>
    <row r="61433" spans="3:18" s="8" customFormat="1" x14ac:dyDescent="0.25">
      <c r="C61433" s="60"/>
      <c r="I61433" s="63"/>
      <c r="R61433" s="64"/>
    </row>
    <row r="61434" spans="3:18" s="8" customFormat="1" x14ac:dyDescent="0.25">
      <c r="C61434" s="60"/>
      <c r="I61434" s="63"/>
      <c r="R61434" s="64"/>
    </row>
    <row r="61435" spans="3:18" s="8" customFormat="1" x14ac:dyDescent="0.25">
      <c r="C61435" s="60"/>
      <c r="I61435" s="63"/>
      <c r="R61435" s="64"/>
    </row>
    <row r="61436" spans="3:18" s="8" customFormat="1" x14ac:dyDescent="0.25">
      <c r="C61436" s="60"/>
      <c r="I61436" s="63"/>
      <c r="R61436" s="64"/>
    </row>
    <row r="61437" spans="3:18" s="8" customFormat="1" x14ac:dyDescent="0.25">
      <c r="C61437" s="60"/>
      <c r="I61437" s="63"/>
      <c r="R61437" s="64"/>
    </row>
    <row r="61438" spans="3:18" s="8" customFormat="1" x14ac:dyDescent="0.25">
      <c r="C61438" s="60"/>
      <c r="I61438" s="63"/>
      <c r="R61438" s="64"/>
    </row>
    <row r="61439" spans="3:18" s="8" customFormat="1" x14ac:dyDescent="0.25">
      <c r="C61439" s="60"/>
      <c r="I61439" s="63"/>
      <c r="R61439" s="64"/>
    </row>
    <row r="61440" spans="3:18" s="8" customFormat="1" x14ac:dyDescent="0.25">
      <c r="C61440" s="60"/>
      <c r="I61440" s="63"/>
      <c r="R61440" s="64"/>
    </row>
    <row r="61441" spans="3:18" s="8" customFormat="1" x14ac:dyDescent="0.25">
      <c r="C61441" s="60"/>
      <c r="I61441" s="63"/>
      <c r="R61441" s="64"/>
    </row>
    <row r="61442" spans="3:18" s="8" customFormat="1" x14ac:dyDescent="0.25">
      <c r="C61442" s="60"/>
      <c r="I61442" s="63"/>
      <c r="R61442" s="64"/>
    </row>
    <row r="61443" spans="3:18" s="8" customFormat="1" x14ac:dyDescent="0.25">
      <c r="C61443" s="60"/>
      <c r="I61443" s="63"/>
      <c r="R61443" s="64"/>
    </row>
    <row r="61444" spans="3:18" s="8" customFormat="1" x14ac:dyDescent="0.25">
      <c r="C61444" s="60"/>
      <c r="I61444" s="63"/>
      <c r="R61444" s="64"/>
    </row>
    <row r="61445" spans="3:18" s="8" customFormat="1" x14ac:dyDescent="0.25">
      <c r="C61445" s="60"/>
      <c r="I61445" s="63"/>
      <c r="R61445" s="64"/>
    </row>
    <row r="61446" spans="3:18" s="8" customFormat="1" x14ac:dyDescent="0.25">
      <c r="C61446" s="60"/>
      <c r="I61446" s="63"/>
      <c r="R61446" s="64"/>
    </row>
    <row r="61447" spans="3:18" s="8" customFormat="1" x14ac:dyDescent="0.25">
      <c r="C61447" s="60"/>
      <c r="I61447" s="63"/>
      <c r="R61447" s="64"/>
    </row>
    <row r="61448" spans="3:18" s="8" customFormat="1" x14ac:dyDescent="0.25">
      <c r="C61448" s="60"/>
      <c r="I61448" s="63"/>
      <c r="R61448" s="64"/>
    </row>
    <row r="61449" spans="3:18" s="8" customFormat="1" x14ac:dyDescent="0.25">
      <c r="C61449" s="60"/>
      <c r="I61449" s="63"/>
      <c r="R61449" s="64"/>
    </row>
    <row r="61450" spans="3:18" s="8" customFormat="1" x14ac:dyDescent="0.25">
      <c r="C61450" s="60"/>
      <c r="I61450" s="63"/>
      <c r="R61450" s="64"/>
    </row>
    <row r="61451" spans="3:18" s="8" customFormat="1" x14ac:dyDescent="0.25">
      <c r="C61451" s="60"/>
      <c r="I61451" s="63"/>
      <c r="R61451" s="64"/>
    </row>
    <row r="61452" spans="3:18" s="8" customFormat="1" x14ac:dyDescent="0.25">
      <c r="C61452" s="60"/>
      <c r="I61452" s="63"/>
      <c r="R61452" s="64"/>
    </row>
    <row r="61453" spans="3:18" s="8" customFormat="1" x14ac:dyDescent="0.25">
      <c r="C61453" s="60"/>
      <c r="I61453" s="63"/>
      <c r="R61453" s="64"/>
    </row>
    <row r="61454" spans="3:18" s="8" customFormat="1" x14ac:dyDescent="0.25">
      <c r="C61454" s="60"/>
      <c r="I61454" s="63"/>
      <c r="R61454" s="64"/>
    </row>
    <row r="61455" spans="3:18" s="8" customFormat="1" x14ac:dyDescent="0.25">
      <c r="C61455" s="60"/>
      <c r="I61455" s="63"/>
      <c r="R61455" s="64"/>
    </row>
    <row r="61456" spans="3:18" s="8" customFormat="1" x14ac:dyDescent="0.25">
      <c r="C61456" s="60"/>
      <c r="I61456" s="63"/>
      <c r="R61456" s="64"/>
    </row>
    <row r="61457" spans="3:18" s="8" customFormat="1" x14ac:dyDescent="0.25">
      <c r="C61457" s="60"/>
      <c r="I61457" s="63"/>
      <c r="R61457" s="64"/>
    </row>
    <row r="61458" spans="3:18" s="8" customFormat="1" x14ac:dyDescent="0.25">
      <c r="C61458" s="60"/>
      <c r="I61458" s="63"/>
      <c r="R61458" s="64"/>
    </row>
    <row r="61459" spans="3:18" s="8" customFormat="1" x14ac:dyDescent="0.25">
      <c r="C61459" s="60"/>
      <c r="I61459" s="63"/>
      <c r="R61459" s="64"/>
    </row>
    <row r="61460" spans="3:18" s="8" customFormat="1" x14ac:dyDescent="0.25">
      <c r="C61460" s="60"/>
      <c r="I61460" s="63"/>
      <c r="R61460" s="64"/>
    </row>
    <row r="61461" spans="3:18" s="8" customFormat="1" x14ac:dyDescent="0.25">
      <c r="C61461" s="60"/>
      <c r="I61461" s="63"/>
      <c r="R61461" s="64"/>
    </row>
    <row r="61462" spans="3:18" s="8" customFormat="1" x14ac:dyDescent="0.25">
      <c r="C61462" s="60"/>
      <c r="I61462" s="63"/>
      <c r="R61462" s="64"/>
    </row>
    <row r="61463" spans="3:18" s="8" customFormat="1" x14ac:dyDescent="0.25">
      <c r="C61463" s="60"/>
      <c r="I61463" s="63"/>
      <c r="R61463" s="64"/>
    </row>
    <row r="61464" spans="3:18" s="8" customFormat="1" x14ac:dyDescent="0.25">
      <c r="C61464" s="60"/>
      <c r="I61464" s="63"/>
      <c r="R61464" s="64"/>
    </row>
    <row r="61465" spans="3:18" s="8" customFormat="1" x14ac:dyDescent="0.25">
      <c r="C61465" s="60"/>
      <c r="I61465" s="63"/>
      <c r="R61465" s="64"/>
    </row>
    <row r="61466" spans="3:18" s="8" customFormat="1" x14ac:dyDescent="0.25">
      <c r="C61466" s="60"/>
      <c r="I61466" s="63"/>
      <c r="R61466" s="64"/>
    </row>
    <row r="61467" spans="3:18" s="8" customFormat="1" x14ac:dyDescent="0.25">
      <c r="C61467" s="60"/>
      <c r="I61467" s="63"/>
      <c r="R61467" s="64"/>
    </row>
    <row r="61468" spans="3:18" s="8" customFormat="1" x14ac:dyDescent="0.25">
      <c r="C61468" s="60"/>
      <c r="I61468" s="63"/>
      <c r="R61468" s="64"/>
    </row>
    <row r="61469" spans="3:18" s="8" customFormat="1" x14ac:dyDescent="0.25">
      <c r="C61469" s="60"/>
      <c r="I61469" s="63"/>
      <c r="R61469" s="64"/>
    </row>
    <row r="61470" spans="3:18" s="8" customFormat="1" x14ac:dyDescent="0.25">
      <c r="C61470" s="60"/>
      <c r="I61470" s="63"/>
      <c r="R61470" s="64"/>
    </row>
    <row r="61471" spans="3:18" s="8" customFormat="1" x14ac:dyDescent="0.25">
      <c r="C61471" s="60"/>
      <c r="I61471" s="63"/>
      <c r="R61471" s="64"/>
    </row>
    <row r="61472" spans="3:18" s="8" customFormat="1" x14ac:dyDescent="0.25">
      <c r="C61472" s="60"/>
      <c r="I61472" s="63"/>
      <c r="R61472" s="64"/>
    </row>
    <row r="61473" spans="3:18" s="8" customFormat="1" x14ac:dyDescent="0.25">
      <c r="C61473" s="60"/>
      <c r="I61473" s="63"/>
      <c r="R61473" s="64"/>
    </row>
    <row r="61474" spans="3:18" s="8" customFormat="1" x14ac:dyDescent="0.25">
      <c r="C61474" s="60"/>
      <c r="I61474" s="63"/>
      <c r="R61474" s="64"/>
    </row>
    <row r="61475" spans="3:18" s="8" customFormat="1" x14ac:dyDescent="0.25">
      <c r="C61475" s="60"/>
      <c r="I61475" s="63"/>
      <c r="R61475" s="64"/>
    </row>
    <row r="61476" spans="3:18" s="8" customFormat="1" x14ac:dyDescent="0.25">
      <c r="C61476" s="60"/>
      <c r="I61476" s="63"/>
      <c r="R61476" s="64"/>
    </row>
    <row r="61477" spans="3:18" s="8" customFormat="1" x14ac:dyDescent="0.25">
      <c r="C61477" s="60"/>
      <c r="I61477" s="63"/>
      <c r="R61477" s="64"/>
    </row>
    <row r="61478" spans="3:18" s="8" customFormat="1" x14ac:dyDescent="0.25">
      <c r="C61478" s="60"/>
      <c r="I61478" s="63"/>
      <c r="R61478" s="64"/>
    </row>
    <row r="61479" spans="3:18" s="8" customFormat="1" x14ac:dyDescent="0.25">
      <c r="C61479" s="60"/>
      <c r="I61479" s="63"/>
      <c r="R61479" s="64"/>
    </row>
    <row r="61480" spans="3:18" s="8" customFormat="1" x14ac:dyDescent="0.25">
      <c r="C61480" s="60"/>
      <c r="I61480" s="63"/>
      <c r="R61480" s="64"/>
    </row>
    <row r="61481" spans="3:18" s="8" customFormat="1" x14ac:dyDescent="0.25">
      <c r="C61481" s="60"/>
      <c r="I61481" s="63"/>
      <c r="R61481" s="64"/>
    </row>
    <row r="61482" spans="3:18" s="8" customFormat="1" x14ac:dyDescent="0.25">
      <c r="C61482" s="60"/>
      <c r="I61482" s="63"/>
      <c r="R61482" s="64"/>
    </row>
    <row r="61483" spans="3:18" s="8" customFormat="1" x14ac:dyDescent="0.25">
      <c r="C61483" s="60"/>
      <c r="I61483" s="63"/>
      <c r="R61483" s="64"/>
    </row>
    <row r="61484" spans="3:18" s="8" customFormat="1" x14ac:dyDescent="0.25">
      <c r="C61484" s="60"/>
      <c r="I61484" s="63"/>
      <c r="R61484" s="64"/>
    </row>
    <row r="61485" spans="3:18" s="8" customFormat="1" x14ac:dyDescent="0.25">
      <c r="C61485" s="60"/>
      <c r="I61485" s="63"/>
      <c r="R61485" s="64"/>
    </row>
    <row r="61486" spans="3:18" s="8" customFormat="1" x14ac:dyDescent="0.25">
      <c r="C61486" s="60"/>
      <c r="I61486" s="63"/>
      <c r="R61486" s="64"/>
    </row>
    <row r="61487" spans="3:18" s="8" customFormat="1" x14ac:dyDescent="0.25">
      <c r="C61487" s="60"/>
      <c r="I61487" s="63"/>
      <c r="R61487" s="64"/>
    </row>
    <row r="61488" spans="3:18" s="8" customFormat="1" x14ac:dyDescent="0.25">
      <c r="C61488" s="60"/>
      <c r="I61488" s="63"/>
      <c r="R61488" s="64"/>
    </row>
    <row r="61489" spans="3:18" s="8" customFormat="1" x14ac:dyDescent="0.25">
      <c r="C61489" s="60"/>
      <c r="I61489" s="63"/>
      <c r="R61489" s="64"/>
    </row>
    <row r="61490" spans="3:18" s="8" customFormat="1" x14ac:dyDescent="0.25">
      <c r="C61490" s="60"/>
      <c r="I61490" s="63"/>
      <c r="R61490" s="64"/>
    </row>
    <row r="61491" spans="3:18" s="8" customFormat="1" x14ac:dyDescent="0.25">
      <c r="C61491" s="60"/>
      <c r="I61491" s="63"/>
      <c r="R61491" s="64"/>
    </row>
    <row r="61492" spans="3:18" s="8" customFormat="1" x14ac:dyDescent="0.25">
      <c r="C61492" s="60"/>
      <c r="I61492" s="63"/>
      <c r="R61492" s="64"/>
    </row>
    <row r="61493" spans="3:18" s="8" customFormat="1" x14ac:dyDescent="0.25">
      <c r="C61493" s="60"/>
      <c r="I61493" s="63"/>
      <c r="R61493" s="64"/>
    </row>
    <row r="61494" spans="3:18" s="8" customFormat="1" x14ac:dyDescent="0.25">
      <c r="C61494" s="60"/>
      <c r="I61494" s="63"/>
      <c r="R61494" s="64"/>
    </row>
    <row r="61495" spans="3:18" s="8" customFormat="1" x14ac:dyDescent="0.25">
      <c r="C61495" s="60"/>
      <c r="I61495" s="63"/>
      <c r="R61495" s="64"/>
    </row>
    <row r="61496" spans="3:18" s="8" customFormat="1" x14ac:dyDescent="0.25">
      <c r="C61496" s="60"/>
      <c r="I61496" s="63"/>
      <c r="R61496" s="64"/>
    </row>
    <row r="61497" spans="3:18" s="8" customFormat="1" x14ac:dyDescent="0.25">
      <c r="C61497" s="60"/>
      <c r="I61497" s="63"/>
      <c r="R61497" s="64"/>
    </row>
    <row r="61498" spans="3:18" s="8" customFormat="1" x14ac:dyDescent="0.25">
      <c r="C61498" s="60"/>
      <c r="I61498" s="63"/>
      <c r="R61498" s="64"/>
    </row>
    <row r="61499" spans="3:18" s="8" customFormat="1" x14ac:dyDescent="0.25">
      <c r="C61499" s="60"/>
      <c r="I61499" s="63"/>
      <c r="R61499" s="64"/>
    </row>
    <row r="61500" spans="3:18" s="8" customFormat="1" x14ac:dyDescent="0.25">
      <c r="C61500" s="60"/>
      <c r="I61500" s="63"/>
      <c r="R61500" s="64"/>
    </row>
    <row r="61501" spans="3:18" s="8" customFormat="1" x14ac:dyDescent="0.25">
      <c r="C61501" s="60"/>
      <c r="I61501" s="63"/>
      <c r="R61501" s="64"/>
    </row>
    <row r="61502" spans="3:18" s="8" customFormat="1" x14ac:dyDescent="0.25">
      <c r="C61502" s="60"/>
      <c r="I61502" s="63"/>
      <c r="R61502" s="64"/>
    </row>
    <row r="61503" spans="3:18" s="8" customFormat="1" x14ac:dyDescent="0.25">
      <c r="C61503" s="60"/>
      <c r="I61503" s="63"/>
      <c r="R61503" s="64"/>
    </row>
    <row r="61504" spans="3:18" s="8" customFormat="1" x14ac:dyDescent="0.25">
      <c r="C61504" s="60"/>
      <c r="I61504" s="63"/>
      <c r="R61504" s="64"/>
    </row>
    <row r="61505" spans="3:18" s="8" customFormat="1" x14ac:dyDescent="0.25">
      <c r="C61505" s="60"/>
      <c r="I61505" s="63"/>
      <c r="R61505" s="64"/>
    </row>
    <row r="61506" spans="3:18" s="8" customFormat="1" x14ac:dyDescent="0.25">
      <c r="C61506" s="60"/>
      <c r="I61506" s="63"/>
      <c r="R61506" s="64"/>
    </row>
    <row r="61507" spans="3:18" s="8" customFormat="1" x14ac:dyDescent="0.25">
      <c r="C61507" s="60"/>
      <c r="I61507" s="63"/>
      <c r="R61507" s="64"/>
    </row>
    <row r="61508" spans="3:18" s="8" customFormat="1" x14ac:dyDescent="0.25">
      <c r="C61508" s="60"/>
      <c r="I61508" s="63"/>
      <c r="R61508" s="64"/>
    </row>
    <row r="61509" spans="3:18" s="8" customFormat="1" x14ac:dyDescent="0.25">
      <c r="C61509" s="60"/>
      <c r="I61509" s="63"/>
      <c r="R61509" s="64"/>
    </row>
    <row r="61510" spans="3:18" s="8" customFormat="1" x14ac:dyDescent="0.25">
      <c r="C61510" s="60"/>
      <c r="I61510" s="63"/>
      <c r="R61510" s="64"/>
    </row>
    <row r="61511" spans="3:18" s="8" customFormat="1" x14ac:dyDescent="0.25">
      <c r="C61511" s="60"/>
      <c r="I61511" s="63"/>
      <c r="R61511" s="64"/>
    </row>
    <row r="61512" spans="3:18" s="8" customFormat="1" x14ac:dyDescent="0.25">
      <c r="C61512" s="60"/>
      <c r="I61512" s="63"/>
      <c r="R61512" s="64"/>
    </row>
    <row r="61513" spans="3:18" s="8" customFormat="1" x14ac:dyDescent="0.25">
      <c r="C61513" s="60"/>
      <c r="I61513" s="63"/>
      <c r="R61513" s="64"/>
    </row>
    <row r="61514" spans="3:18" s="8" customFormat="1" x14ac:dyDescent="0.25">
      <c r="C61514" s="60"/>
      <c r="I61514" s="63"/>
      <c r="R61514" s="64"/>
    </row>
    <row r="61515" spans="3:18" s="8" customFormat="1" x14ac:dyDescent="0.25">
      <c r="C61515" s="60"/>
      <c r="I61515" s="63"/>
      <c r="R61515" s="64"/>
    </row>
    <row r="61516" spans="3:18" s="8" customFormat="1" x14ac:dyDescent="0.25">
      <c r="C61516" s="60"/>
      <c r="I61516" s="63"/>
      <c r="R61516" s="64"/>
    </row>
    <row r="61517" spans="3:18" s="8" customFormat="1" x14ac:dyDescent="0.25">
      <c r="C61517" s="60"/>
      <c r="I61517" s="63"/>
      <c r="R61517" s="64"/>
    </row>
    <row r="61518" spans="3:18" s="8" customFormat="1" x14ac:dyDescent="0.25">
      <c r="C61518" s="60"/>
      <c r="I61518" s="63"/>
      <c r="R61518" s="64"/>
    </row>
    <row r="61519" spans="3:18" s="8" customFormat="1" x14ac:dyDescent="0.25">
      <c r="C61519" s="60"/>
      <c r="I61519" s="63"/>
      <c r="R61519" s="64"/>
    </row>
    <row r="61520" spans="3:18" s="8" customFormat="1" x14ac:dyDescent="0.25">
      <c r="C61520" s="60"/>
      <c r="I61520" s="63"/>
      <c r="R61520" s="64"/>
    </row>
    <row r="61521" spans="3:18" s="8" customFormat="1" x14ac:dyDescent="0.25">
      <c r="C61521" s="60"/>
      <c r="I61521" s="63"/>
      <c r="R61521" s="64"/>
    </row>
    <row r="61522" spans="3:18" s="8" customFormat="1" x14ac:dyDescent="0.25">
      <c r="C61522" s="60"/>
      <c r="I61522" s="63"/>
      <c r="R61522" s="64"/>
    </row>
    <row r="61523" spans="3:18" s="8" customFormat="1" x14ac:dyDescent="0.25">
      <c r="C61523" s="60"/>
      <c r="I61523" s="63"/>
      <c r="R61523" s="64"/>
    </row>
    <row r="61524" spans="3:18" s="8" customFormat="1" x14ac:dyDescent="0.25">
      <c r="C61524" s="60"/>
      <c r="I61524" s="63"/>
      <c r="R61524" s="64"/>
    </row>
    <row r="61525" spans="3:18" s="8" customFormat="1" x14ac:dyDescent="0.25">
      <c r="C61525" s="60"/>
      <c r="I61525" s="63"/>
      <c r="R61525" s="64"/>
    </row>
    <row r="61526" spans="3:18" s="8" customFormat="1" x14ac:dyDescent="0.25">
      <c r="C61526" s="60"/>
      <c r="I61526" s="63"/>
      <c r="R61526" s="64"/>
    </row>
    <row r="61527" spans="3:18" s="8" customFormat="1" x14ac:dyDescent="0.25">
      <c r="C61527" s="60"/>
      <c r="I61527" s="63"/>
      <c r="R61527" s="64"/>
    </row>
    <row r="61528" spans="3:18" s="8" customFormat="1" x14ac:dyDescent="0.25">
      <c r="C61528" s="60"/>
      <c r="I61528" s="63"/>
      <c r="R61528" s="64"/>
    </row>
    <row r="61529" spans="3:18" s="8" customFormat="1" x14ac:dyDescent="0.25">
      <c r="C61529" s="60"/>
      <c r="I61529" s="63"/>
      <c r="R61529" s="64"/>
    </row>
    <row r="61530" spans="3:18" s="8" customFormat="1" x14ac:dyDescent="0.25">
      <c r="C61530" s="60"/>
      <c r="I61530" s="63"/>
      <c r="R61530" s="64"/>
    </row>
    <row r="61531" spans="3:18" s="8" customFormat="1" x14ac:dyDescent="0.25">
      <c r="C61531" s="60"/>
      <c r="I61531" s="63"/>
      <c r="R61531" s="64"/>
    </row>
    <row r="61532" spans="3:18" s="8" customFormat="1" x14ac:dyDescent="0.25">
      <c r="C61532" s="60"/>
      <c r="I61532" s="63"/>
      <c r="R61532" s="64"/>
    </row>
    <row r="61533" spans="3:18" s="8" customFormat="1" x14ac:dyDescent="0.25">
      <c r="C61533" s="60"/>
      <c r="I61533" s="63"/>
      <c r="R61533" s="64"/>
    </row>
    <row r="61534" spans="3:18" s="8" customFormat="1" x14ac:dyDescent="0.25">
      <c r="C61534" s="60"/>
      <c r="I61534" s="63"/>
      <c r="R61534" s="64"/>
    </row>
    <row r="61535" spans="3:18" s="8" customFormat="1" x14ac:dyDescent="0.25">
      <c r="C61535" s="60"/>
      <c r="I61535" s="63"/>
      <c r="R61535" s="64"/>
    </row>
    <row r="61536" spans="3:18" s="8" customFormat="1" x14ac:dyDescent="0.25">
      <c r="C61536" s="60"/>
      <c r="I61536" s="63"/>
      <c r="R61536" s="64"/>
    </row>
    <row r="61537" spans="3:18" s="8" customFormat="1" x14ac:dyDescent="0.25">
      <c r="C61537" s="60"/>
      <c r="I61537" s="63"/>
      <c r="R61537" s="64"/>
    </row>
    <row r="61538" spans="3:18" s="8" customFormat="1" x14ac:dyDescent="0.25">
      <c r="C61538" s="60"/>
      <c r="I61538" s="63"/>
      <c r="R61538" s="64"/>
    </row>
    <row r="61539" spans="3:18" s="8" customFormat="1" x14ac:dyDescent="0.25">
      <c r="C61539" s="60"/>
      <c r="I61539" s="63"/>
      <c r="R61539" s="64"/>
    </row>
    <row r="61540" spans="3:18" s="8" customFormat="1" x14ac:dyDescent="0.25">
      <c r="C61540" s="60"/>
      <c r="I61540" s="63"/>
      <c r="R61540" s="64"/>
    </row>
    <row r="61541" spans="3:18" s="8" customFormat="1" x14ac:dyDescent="0.25">
      <c r="C61541" s="60"/>
      <c r="I61541" s="63"/>
      <c r="R61541" s="64"/>
    </row>
    <row r="61542" spans="3:18" s="8" customFormat="1" x14ac:dyDescent="0.25">
      <c r="C61542" s="60"/>
      <c r="I61542" s="63"/>
      <c r="R61542" s="64"/>
    </row>
    <row r="61543" spans="3:18" s="8" customFormat="1" x14ac:dyDescent="0.25">
      <c r="C61543" s="60"/>
      <c r="I61543" s="63"/>
      <c r="R61543" s="64"/>
    </row>
    <row r="61544" spans="3:18" s="8" customFormat="1" x14ac:dyDescent="0.25">
      <c r="C61544" s="60"/>
      <c r="I61544" s="63"/>
      <c r="R61544" s="64"/>
    </row>
    <row r="61545" spans="3:18" s="8" customFormat="1" x14ac:dyDescent="0.25">
      <c r="C61545" s="60"/>
      <c r="I61545" s="63"/>
      <c r="R61545" s="64"/>
    </row>
    <row r="61546" spans="3:18" s="8" customFormat="1" x14ac:dyDescent="0.25">
      <c r="C61546" s="60"/>
      <c r="I61546" s="63"/>
      <c r="R61546" s="64"/>
    </row>
    <row r="61547" spans="3:18" s="8" customFormat="1" x14ac:dyDescent="0.25">
      <c r="C61547" s="60"/>
      <c r="I61547" s="63"/>
      <c r="R61547" s="64"/>
    </row>
    <row r="61548" spans="3:18" s="8" customFormat="1" x14ac:dyDescent="0.25">
      <c r="C61548" s="60"/>
      <c r="I61548" s="63"/>
      <c r="R61548" s="64"/>
    </row>
    <row r="61549" spans="3:18" s="8" customFormat="1" x14ac:dyDescent="0.25">
      <c r="C61549" s="60"/>
      <c r="I61549" s="63"/>
      <c r="R61549" s="64"/>
    </row>
    <row r="61550" spans="3:18" s="8" customFormat="1" x14ac:dyDescent="0.25">
      <c r="C61550" s="60"/>
      <c r="I61550" s="63"/>
      <c r="R61550" s="64"/>
    </row>
    <row r="61551" spans="3:18" s="8" customFormat="1" x14ac:dyDescent="0.25">
      <c r="C61551" s="60"/>
      <c r="I61551" s="63"/>
      <c r="R61551" s="64"/>
    </row>
    <row r="61552" spans="3:18" s="8" customFormat="1" x14ac:dyDescent="0.25">
      <c r="C61552" s="60"/>
      <c r="I61552" s="63"/>
      <c r="R61552" s="64"/>
    </row>
    <row r="61553" spans="3:18" s="8" customFormat="1" x14ac:dyDescent="0.25">
      <c r="C61553" s="60"/>
      <c r="I61553" s="63"/>
      <c r="R61553" s="64"/>
    </row>
    <row r="61554" spans="3:18" s="8" customFormat="1" x14ac:dyDescent="0.25">
      <c r="C61554" s="60"/>
      <c r="I61554" s="63"/>
      <c r="R61554" s="64"/>
    </row>
    <row r="61555" spans="3:18" s="8" customFormat="1" x14ac:dyDescent="0.25">
      <c r="C61555" s="60"/>
      <c r="I61555" s="63"/>
      <c r="R61555" s="64"/>
    </row>
    <row r="61556" spans="3:18" s="8" customFormat="1" x14ac:dyDescent="0.25">
      <c r="C61556" s="60"/>
      <c r="I61556" s="63"/>
      <c r="R61556" s="64"/>
    </row>
    <row r="61557" spans="3:18" s="8" customFormat="1" x14ac:dyDescent="0.25">
      <c r="C61557" s="60"/>
      <c r="I61557" s="63"/>
      <c r="R61557" s="64"/>
    </row>
    <row r="61558" spans="3:18" s="8" customFormat="1" x14ac:dyDescent="0.25">
      <c r="C61558" s="60"/>
      <c r="I61558" s="63"/>
      <c r="R61558" s="64"/>
    </row>
    <row r="61559" spans="3:18" s="8" customFormat="1" x14ac:dyDescent="0.25">
      <c r="C61559" s="60"/>
      <c r="I61559" s="63"/>
      <c r="R61559" s="64"/>
    </row>
    <row r="61560" spans="3:18" s="8" customFormat="1" x14ac:dyDescent="0.25">
      <c r="C61560" s="60"/>
      <c r="I61560" s="63"/>
      <c r="R61560" s="64"/>
    </row>
    <row r="61561" spans="3:18" s="8" customFormat="1" x14ac:dyDescent="0.25">
      <c r="C61561" s="60"/>
      <c r="I61561" s="63"/>
      <c r="R61561" s="64"/>
    </row>
    <row r="61562" spans="3:18" s="8" customFormat="1" x14ac:dyDescent="0.25">
      <c r="C61562" s="60"/>
      <c r="I61562" s="63"/>
      <c r="R61562" s="64"/>
    </row>
    <row r="61563" spans="3:18" s="8" customFormat="1" x14ac:dyDescent="0.25">
      <c r="C61563" s="60"/>
      <c r="I61563" s="63"/>
      <c r="R61563" s="64"/>
    </row>
    <row r="61564" spans="3:18" s="8" customFormat="1" x14ac:dyDescent="0.25">
      <c r="C61564" s="60"/>
      <c r="I61564" s="63"/>
      <c r="R61564" s="64"/>
    </row>
    <row r="61565" spans="3:18" s="8" customFormat="1" x14ac:dyDescent="0.25">
      <c r="C61565" s="60"/>
      <c r="I61565" s="63"/>
      <c r="R61565" s="64"/>
    </row>
    <row r="61566" spans="3:18" s="8" customFormat="1" x14ac:dyDescent="0.25">
      <c r="C61566" s="60"/>
      <c r="I61566" s="63"/>
      <c r="R61566" s="64"/>
    </row>
    <row r="61567" spans="3:18" s="8" customFormat="1" x14ac:dyDescent="0.25">
      <c r="C61567" s="60"/>
      <c r="I61567" s="63"/>
      <c r="R61567" s="64"/>
    </row>
    <row r="61568" spans="3:18" s="8" customFormat="1" x14ac:dyDescent="0.25">
      <c r="C61568" s="60"/>
      <c r="I61568" s="63"/>
      <c r="R61568" s="64"/>
    </row>
    <row r="61569" spans="3:18" s="8" customFormat="1" x14ac:dyDescent="0.25">
      <c r="C61569" s="60"/>
      <c r="I61569" s="63"/>
      <c r="R61569" s="64"/>
    </row>
    <row r="61570" spans="3:18" s="8" customFormat="1" x14ac:dyDescent="0.25">
      <c r="C61570" s="60"/>
      <c r="I61570" s="63"/>
      <c r="R61570" s="64"/>
    </row>
    <row r="61571" spans="3:18" s="8" customFormat="1" x14ac:dyDescent="0.25">
      <c r="C61571" s="60"/>
      <c r="I61571" s="63"/>
      <c r="R61571" s="64"/>
    </row>
    <row r="61572" spans="3:18" s="8" customFormat="1" x14ac:dyDescent="0.25">
      <c r="C61572" s="60"/>
      <c r="I61572" s="63"/>
      <c r="R61572" s="64"/>
    </row>
    <row r="61573" spans="3:18" s="8" customFormat="1" x14ac:dyDescent="0.25">
      <c r="C61573" s="60"/>
      <c r="I61573" s="63"/>
      <c r="R61573" s="64"/>
    </row>
    <row r="61574" spans="3:18" s="8" customFormat="1" x14ac:dyDescent="0.25">
      <c r="C61574" s="60"/>
      <c r="I61574" s="63"/>
      <c r="R61574" s="64"/>
    </row>
    <row r="61575" spans="3:18" s="8" customFormat="1" x14ac:dyDescent="0.25">
      <c r="C61575" s="60"/>
      <c r="I61575" s="63"/>
      <c r="R61575" s="64"/>
    </row>
    <row r="61576" spans="3:18" s="8" customFormat="1" x14ac:dyDescent="0.25">
      <c r="C61576" s="60"/>
      <c r="I61576" s="63"/>
      <c r="R61576" s="64"/>
    </row>
    <row r="61577" spans="3:18" s="8" customFormat="1" x14ac:dyDescent="0.25">
      <c r="C61577" s="60"/>
      <c r="I61577" s="63"/>
      <c r="R61577" s="64"/>
    </row>
    <row r="61578" spans="3:18" s="8" customFormat="1" x14ac:dyDescent="0.25">
      <c r="C61578" s="60"/>
      <c r="I61578" s="63"/>
      <c r="R61578" s="64"/>
    </row>
    <row r="61579" spans="3:18" s="8" customFormat="1" x14ac:dyDescent="0.25">
      <c r="C61579" s="60"/>
      <c r="I61579" s="63"/>
      <c r="R61579" s="64"/>
    </row>
    <row r="61580" spans="3:18" s="8" customFormat="1" x14ac:dyDescent="0.25">
      <c r="C61580" s="60"/>
      <c r="I61580" s="63"/>
      <c r="R61580" s="64"/>
    </row>
    <row r="61581" spans="3:18" s="8" customFormat="1" x14ac:dyDescent="0.25">
      <c r="C61581" s="60"/>
      <c r="I61581" s="63"/>
      <c r="R61581" s="64"/>
    </row>
    <row r="61582" spans="3:18" s="8" customFormat="1" x14ac:dyDescent="0.25">
      <c r="C61582" s="60"/>
      <c r="I61582" s="63"/>
      <c r="R61582" s="64"/>
    </row>
    <row r="61583" spans="3:18" s="8" customFormat="1" x14ac:dyDescent="0.25">
      <c r="C61583" s="60"/>
      <c r="I61583" s="63"/>
      <c r="R61583" s="64"/>
    </row>
    <row r="61584" spans="3:18" s="8" customFormat="1" x14ac:dyDescent="0.25">
      <c r="C61584" s="60"/>
      <c r="I61584" s="63"/>
      <c r="R61584" s="64"/>
    </row>
    <row r="61585" spans="3:18" s="8" customFormat="1" x14ac:dyDescent="0.25">
      <c r="C61585" s="60"/>
      <c r="I61585" s="63"/>
      <c r="R61585" s="64"/>
    </row>
    <row r="61586" spans="3:18" s="8" customFormat="1" x14ac:dyDescent="0.25">
      <c r="C61586" s="60"/>
      <c r="I61586" s="63"/>
      <c r="R61586" s="64"/>
    </row>
    <row r="61587" spans="3:18" s="8" customFormat="1" x14ac:dyDescent="0.25">
      <c r="C61587" s="60"/>
      <c r="I61587" s="63"/>
      <c r="R61587" s="64"/>
    </row>
    <row r="61588" spans="3:18" s="8" customFormat="1" x14ac:dyDescent="0.25">
      <c r="C61588" s="60"/>
      <c r="I61588" s="63"/>
      <c r="R61588" s="64"/>
    </row>
    <row r="61589" spans="3:18" s="8" customFormat="1" x14ac:dyDescent="0.25">
      <c r="C61589" s="60"/>
      <c r="I61589" s="63"/>
      <c r="R61589" s="64"/>
    </row>
    <row r="61590" spans="3:18" s="8" customFormat="1" x14ac:dyDescent="0.25">
      <c r="C61590" s="60"/>
      <c r="I61590" s="63"/>
      <c r="R61590" s="64"/>
    </row>
    <row r="61591" spans="3:18" s="8" customFormat="1" x14ac:dyDescent="0.25">
      <c r="C61591" s="60"/>
      <c r="I61591" s="63"/>
      <c r="R61591" s="64"/>
    </row>
    <row r="61592" spans="3:18" s="8" customFormat="1" x14ac:dyDescent="0.25">
      <c r="C61592" s="60"/>
      <c r="I61592" s="63"/>
      <c r="R61592" s="64"/>
    </row>
    <row r="61593" spans="3:18" s="8" customFormat="1" x14ac:dyDescent="0.25">
      <c r="C61593" s="60"/>
      <c r="I61593" s="63"/>
      <c r="R61593" s="64"/>
    </row>
    <row r="61594" spans="3:18" s="8" customFormat="1" x14ac:dyDescent="0.25">
      <c r="C61594" s="60"/>
      <c r="I61594" s="63"/>
      <c r="R61594" s="64"/>
    </row>
    <row r="61595" spans="3:18" s="8" customFormat="1" x14ac:dyDescent="0.25">
      <c r="C61595" s="60"/>
      <c r="I61595" s="63"/>
      <c r="R61595" s="64"/>
    </row>
    <row r="61596" spans="3:18" s="8" customFormat="1" x14ac:dyDescent="0.25">
      <c r="C61596" s="60"/>
      <c r="I61596" s="63"/>
      <c r="R61596" s="64"/>
    </row>
    <row r="61597" spans="3:18" s="8" customFormat="1" x14ac:dyDescent="0.25">
      <c r="C61597" s="60"/>
      <c r="I61597" s="63"/>
      <c r="R61597" s="64"/>
    </row>
    <row r="61598" spans="3:18" s="8" customFormat="1" x14ac:dyDescent="0.25">
      <c r="C61598" s="60"/>
      <c r="I61598" s="63"/>
      <c r="R61598" s="64"/>
    </row>
    <row r="61599" spans="3:18" s="8" customFormat="1" x14ac:dyDescent="0.25">
      <c r="C61599" s="60"/>
      <c r="I61599" s="63"/>
      <c r="R61599" s="64"/>
    </row>
    <row r="61600" spans="3:18" s="8" customFormat="1" x14ac:dyDescent="0.25">
      <c r="C61600" s="60"/>
      <c r="I61600" s="63"/>
      <c r="R61600" s="64"/>
    </row>
    <row r="61601" spans="3:18" s="8" customFormat="1" x14ac:dyDescent="0.25">
      <c r="C61601" s="60"/>
      <c r="I61601" s="63"/>
      <c r="R61601" s="64"/>
    </row>
    <row r="61602" spans="3:18" s="8" customFormat="1" x14ac:dyDescent="0.25">
      <c r="C61602" s="60"/>
      <c r="I61602" s="63"/>
      <c r="R61602" s="64"/>
    </row>
    <row r="61603" spans="3:18" s="8" customFormat="1" x14ac:dyDescent="0.25">
      <c r="C61603" s="60"/>
      <c r="I61603" s="63"/>
      <c r="R61603" s="64"/>
    </row>
    <row r="61604" spans="3:18" s="8" customFormat="1" x14ac:dyDescent="0.25">
      <c r="C61604" s="60"/>
      <c r="I61604" s="63"/>
      <c r="R61604" s="64"/>
    </row>
    <row r="61605" spans="3:18" s="8" customFormat="1" x14ac:dyDescent="0.25">
      <c r="C61605" s="60"/>
      <c r="I61605" s="63"/>
      <c r="R61605" s="64"/>
    </row>
    <row r="61606" spans="3:18" s="8" customFormat="1" x14ac:dyDescent="0.25">
      <c r="C61606" s="60"/>
      <c r="I61606" s="63"/>
      <c r="R61606" s="64"/>
    </row>
    <row r="61607" spans="3:18" s="8" customFormat="1" x14ac:dyDescent="0.25">
      <c r="C61607" s="60"/>
      <c r="I61607" s="63"/>
      <c r="R61607" s="64"/>
    </row>
    <row r="61608" spans="3:18" s="8" customFormat="1" x14ac:dyDescent="0.25">
      <c r="C61608" s="60"/>
      <c r="I61608" s="63"/>
      <c r="R61608" s="64"/>
    </row>
    <row r="61609" spans="3:18" s="8" customFormat="1" x14ac:dyDescent="0.25">
      <c r="C61609" s="60"/>
      <c r="I61609" s="63"/>
      <c r="R61609" s="64"/>
    </row>
    <row r="61610" spans="3:18" s="8" customFormat="1" x14ac:dyDescent="0.25">
      <c r="C61610" s="60"/>
      <c r="I61610" s="63"/>
      <c r="R61610" s="64"/>
    </row>
    <row r="61611" spans="3:18" s="8" customFormat="1" x14ac:dyDescent="0.25">
      <c r="C61611" s="60"/>
      <c r="I61611" s="63"/>
      <c r="R61611" s="64"/>
    </row>
    <row r="61612" spans="3:18" s="8" customFormat="1" x14ac:dyDescent="0.25">
      <c r="C61612" s="60"/>
      <c r="I61612" s="63"/>
      <c r="R61612" s="64"/>
    </row>
    <row r="61613" spans="3:18" s="8" customFormat="1" x14ac:dyDescent="0.25">
      <c r="C61613" s="60"/>
      <c r="I61613" s="63"/>
      <c r="R61613" s="64"/>
    </row>
    <row r="61614" spans="3:18" s="8" customFormat="1" x14ac:dyDescent="0.25">
      <c r="C61614" s="60"/>
      <c r="I61614" s="63"/>
      <c r="R61614" s="64"/>
    </row>
    <row r="61615" spans="3:18" s="8" customFormat="1" x14ac:dyDescent="0.25">
      <c r="C61615" s="60"/>
      <c r="I61615" s="63"/>
      <c r="R61615" s="64"/>
    </row>
    <row r="61616" spans="3:18" s="8" customFormat="1" x14ac:dyDescent="0.25">
      <c r="C61616" s="60"/>
      <c r="I61616" s="63"/>
      <c r="R61616" s="64"/>
    </row>
    <row r="61617" spans="3:18" s="8" customFormat="1" x14ac:dyDescent="0.25">
      <c r="C61617" s="60"/>
      <c r="I61617" s="63"/>
      <c r="R61617" s="64"/>
    </row>
    <row r="61618" spans="3:18" s="8" customFormat="1" x14ac:dyDescent="0.25">
      <c r="C61618" s="60"/>
      <c r="I61618" s="63"/>
      <c r="R61618" s="64"/>
    </row>
    <row r="61619" spans="3:18" s="8" customFormat="1" x14ac:dyDescent="0.25">
      <c r="C61619" s="60"/>
      <c r="I61619" s="63"/>
      <c r="R61619" s="64"/>
    </row>
    <row r="61620" spans="3:18" s="8" customFormat="1" x14ac:dyDescent="0.25">
      <c r="C61620" s="60"/>
      <c r="I61620" s="63"/>
      <c r="R61620" s="64"/>
    </row>
    <row r="61621" spans="3:18" s="8" customFormat="1" x14ac:dyDescent="0.25">
      <c r="C61621" s="60"/>
      <c r="I61621" s="63"/>
      <c r="R61621" s="64"/>
    </row>
    <row r="61622" spans="3:18" s="8" customFormat="1" x14ac:dyDescent="0.25">
      <c r="C61622" s="60"/>
      <c r="I61622" s="63"/>
      <c r="R61622" s="64"/>
    </row>
    <row r="61623" spans="3:18" s="8" customFormat="1" x14ac:dyDescent="0.25">
      <c r="C61623" s="60"/>
      <c r="I61623" s="63"/>
      <c r="R61623" s="64"/>
    </row>
    <row r="61624" spans="3:18" s="8" customFormat="1" x14ac:dyDescent="0.25">
      <c r="C61624" s="60"/>
      <c r="I61624" s="63"/>
      <c r="R61624" s="64"/>
    </row>
    <row r="61625" spans="3:18" s="8" customFormat="1" x14ac:dyDescent="0.25">
      <c r="C61625" s="60"/>
      <c r="I61625" s="63"/>
      <c r="R61625" s="64"/>
    </row>
    <row r="61626" spans="3:18" s="8" customFormat="1" x14ac:dyDescent="0.25">
      <c r="C61626" s="60"/>
      <c r="I61626" s="63"/>
      <c r="R61626" s="64"/>
    </row>
    <row r="61627" spans="3:18" s="8" customFormat="1" x14ac:dyDescent="0.25">
      <c r="C61627" s="60"/>
      <c r="I61627" s="63"/>
      <c r="R61627" s="64"/>
    </row>
    <row r="61628" spans="3:18" s="8" customFormat="1" x14ac:dyDescent="0.25">
      <c r="C61628" s="60"/>
      <c r="I61628" s="63"/>
      <c r="R61628" s="64"/>
    </row>
    <row r="61629" spans="3:18" s="8" customFormat="1" x14ac:dyDescent="0.25">
      <c r="C61629" s="60"/>
      <c r="I61629" s="63"/>
      <c r="R61629" s="64"/>
    </row>
    <row r="61630" spans="3:18" s="8" customFormat="1" x14ac:dyDescent="0.25">
      <c r="C61630" s="60"/>
      <c r="I61630" s="63"/>
      <c r="R61630" s="64"/>
    </row>
    <row r="61631" spans="3:18" s="8" customFormat="1" x14ac:dyDescent="0.25">
      <c r="C61631" s="60"/>
      <c r="I61631" s="63"/>
      <c r="R61631" s="64"/>
    </row>
    <row r="61632" spans="3:18" s="8" customFormat="1" x14ac:dyDescent="0.25">
      <c r="C61632" s="60"/>
      <c r="I61632" s="63"/>
      <c r="R61632" s="64"/>
    </row>
    <row r="61633" spans="3:18" s="8" customFormat="1" x14ac:dyDescent="0.25">
      <c r="C61633" s="60"/>
      <c r="I61633" s="63"/>
      <c r="R61633" s="64"/>
    </row>
    <row r="61634" spans="3:18" s="8" customFormat="1" x14ac:dyDescent="0.25">
      <c r="C61634" s="60"/>
      <c r="I61634" s="63"/>
      <c r="R61634" s="64"/>
    </row>
    <row r="61635" spans="3:18" s="8" customFormat="1" x14ac:dyDescent="0.25">
      <c r="C61635" s="60"/>
      <c r="I61635" s="63"/>
      <c r="R61635" s="64"/>
    </row>
    <row r="61636" spans="3:18" s="8" customFormat="1" x14ac:dyDescent="0.25">
      <c r="C61636" s="60"/>
      <c r="I61636" s="63"/>
      <c r="R61636" s="64"/>
    </row>
    <row r="61637" spans="3:18" s="8" customFormat="1" x14ac:dyDescent="0.25">
      <c r="C61637" s="60"/>
      <c r="I61637" s="63"/>
      <c r="R61637" s="64"/>
    </row>
    <row r="61638" spans="3:18" s="8" customFormat="1" x14ac:dyDescent="0.25">
      <c r="C61638" s="60"/>
      <c r="I61638" s="63"/>
      <c r="R61638" s="64"/>
    </row>
    <row r="61639" spans="3:18" s="8" customFormat="1" x14ac:dyDescent="0.25">
      <c r="C61639" s="60"/>
      <c r="I61639" s="63"/>
      <c r="R61639" s="64"/>
    </row>
    <row r="61640" spans="3:18" s="8" customFormat="1" x14ac:dyDescent="0.25">
      <c r="C61640" s="60"/>
      <c r="I61640" s="63"/>
      <c r="R61640" s="64"/>
    </row>
    <row r="61641" spans="3:18" s="8" customFormat="1" x14ac:dyDescent="0.25">
      <c r="C61641" s="60"/>
      <c r="I61641" s="63"/>
      <c r="R61641" s="64"/>
    </row>
    <row r="61642" spans="3:18" s="8" customFormat="1" x14ac:dyDescent="0.25">
      <c r="C61642" s="60"/>
      <c r="I61642" s="63"/>
      <c r="R61642" s="64"/>
    </row>
    <row r="61643" spans="3:18" s="8" customFormat="1" x14ac:dyDescent="0.25">
      <c r="C61643" s="60"/>
      <c r="I61643" s="63"/>
      <c r="R61643" s="64"/>
    </row>
    <row r="61644" spans="3:18" s="8" customFormat="1" x14ac:dyDescent="0.25">
      <c r="C61644" s="60"/>
      <c r="I61644" s="63"/>
      <c r="R61644" s="64"/>
    </row>
    <row r="61645" spans="3:18" s="8" customFormat="1" x14ac:dyDescent="0.25">
      <c r="C61645" s="60"/>
      <c r="I61645" s="63"/>
      <c r="R61645" s="64"/>
    </row>
    <row r="61646" spans="3:18" s="8" customFormat="1" x14ac:dyDescent="0.25">
      <c r="C61646" s="60"/>
      <c r="I61646" s="63"/>
      <c r="R61646" s="64"/>
    </row>
    <row r="61647" spans="3:18" s="8" customFormat="1" x14ac:dyDescent="0.25">
      <c r="C61647" s="60"/>
      <c r="I61647" s="63"/>
      <c r="R61647" s="64"/>
    </row>
    <row r="61648" spans="3:18" s="8" customFormat="1" x14ac:dyDescent="0.25">
      <c r="C61648" s="60"/>
      <c r="I61648" s="63"/>
      <c r="R61648" s="64"/>
    </row>
    <row r="61649" spans="3:18" s="8" customFormat="1" x14ac:dyDescent="0.25">
      <c r="C61649" s="60"/>
      <c r="I61649" s="63"/>
      <c r="R61649" s="64"/>
    </row>
    <row r="61650" spans="3:18" s="8" customFormat="1" x14ac:dyDescent="0.25">
      <c r="C61650" s="60"/>
      <c r="I61650" s="63"/>
      <c r="R61650" s="64"/>
    </row>
    <row r="61651" spans="3:18" s="8" customFormat="1" x14ac:dyDescent="0.25">
      <c r="C61651" s="60"/>
      <c r="I61651" s="63"/>
      <c r="R61651" s="64"/>
    </row>
    <row r="61652" spans="3:18" s="8" customFormat="1" x14ac:dyDescent="0.25">
      <c r="C61652" s="60"/>
      <c r="I61652" s="63"/>
      <c r="R61652" s="64"/>
    </row>
    <row r="61653" spans="3:18" s="8" customFormat="1" x14ac:dyDescent="0.25">
      <c r="C61653" s="60"/>
      <c r="I61653" s="63"/>
      <c r="R61653" s="64"/>
    </row>
    <row r="61654" spans="3:18" s="8" customFormat="1" x14ac:dyDescent="0.25">
      <c r="C61654" s="60"/>
      <c r="I61654" s="63"/>
      <c r="R61654" s="64"/>
    </row>
    <row r="61655" spans="3:18" s="8" customFormat="1" x14ac:dyDescent="0.25">
      <c r="C61655" s="60"/>
      <c r="I61655" s="63"/>
      <c r="R61655" s="64"/>
    </row>
    <row r="61656" spans="3:18" s="8" customFormat="1" x14ac:dyDescent="0.25">
      <c r="C61656" s="60"/>
      <c r="I61656" s="63"/>
      <c r="R61656" s="64"/>
    </row>
    <row r="61657" spans="3:18" s="8" customFormat="1" x14ac:dyDescent="0.25">
      <c r="C61657" s="60"/>
      <c r="I61657" s="63"/>
      <c r="R61657" s="64"/>
    </row>
    <row r="61658" spans="3:18" s="8" customFormat="1" x14ac:dyDescent="0.25">
      <c r="C61658" s="60"/>
      <c r="I61658" s="63"/>
      <c r="R61658" s="64"/>
    </row>
    <row r="61659" spans="3:18" s="8" customFormat="1" x14ac:dyDescent="0.25">
      <c r="C61659" s="60"/>
      <c r="I61659" s="63"/>
      <c r="R61659" s="64"/>
    </row>
    <row r="61660" spans="3:18" s="8" customFormat="1" x14ac:dyDescent="0.25">
      <c r="C61660" s="60"/>
      <c r="I61660" s="63"/>
      <c r="R61660" s="64"/>
    </row>
    <row r="61661" spans="3:18" s="8" customFormat="1" x14ac:dyDescent="0.25">
      <c r="C61661" s="60"/>
      <c r="I61661" s="63"/>
      <c r="R61661" s="64"/>
    </row>
    <row r="61662" spans="3:18" s="8" customFormat="1" x14ac:dyDescent="0.25">
      <c r="C61662" s="60"/>
      <c r="I61662" s="63"/>
      <c r="R61662" s="64"/>
    </row>
    <row r="61663" spans="3:18" s="8" customFormat="1" x14ac:dyDescent="0.25">
      <c r="C61663" s="60"/>
      <c r="I61663" s="63"/>
      <c r="R61663" s="64"/>
    </row>
    <row r="61664" spans="3:18" s="8" customFormat="1" x14ac:dyDescent="0.25">
      <c r="C61664" s="60"/>
      <c r="I61664" s="63"/>
      <c r="R61664" s="64"/>
    </row>
    <row r="61665" spans="3:18" s="8" customFormat="1" x14ac:dyDescent="0.25">
      <c r="C61665" s="60"/>
      <c r="I61665" s="63"/>
      <c r="R61665" s="64"/>
    </row>
    <row r="61666" spans="3:18" s="8" customFormat="1" x14ac:dyDescent="0.25">
      <c r="C61666" s="60"/>
      <c r="I61666" s="63"/>
      <c r="R61666" s="64"/>
    </row>
    <row r="61667" spans="3:18" s="8" customFormat="1" x14ac:dyDescent="0.25">
      <c r="C61667" s="60"/>
      <c r="I61667" s="63"/>
      <c r="R61667" s="64"/>
    </row>
    <row r="61668" spans="3:18" s="8" customFormat="1" x14ac:dyDescent="0.25">
      <c r="C61668" s="60"/>
      <c r="I61668" s="63"/>
      <c r="R61668" s="64"/>
    </row>
    <row r="61669" spans="3:18" s="8" customFormat="1" x14ac:dyDescent="0.25">
      <c r="C61669" s="60"/>
      <c r="I61669" s="63"/>
      <c r="R61669" s="64"/>
    </row>
    <row r="61670" spans="3:18" s="8" customFormat="1" x14ac:dyDescent="0.25">
      <c r="C61670" s="60"/>
      <c r="I61670" s="63"/>
      <c r="R61670" s="64"/>
    </row>
    <row r="61671" spans="3:18" s="8" customFormat="1" x14ac:dyDescent="0.25">
      <c r="C61671" s="60"/>
      <c r="I61671" s="63"/>
      <c r="R61671" s="64"/>
    </row>
    <row r="61672" spans="3:18" s="8" customFormat="1" x14ac:dyDescent="0.25">
      <c r="C61672" s="60"/>
      <c r="I61672" s="63"/>
      <c r="R61672" s="64"/>
    </row>
    <row r="61673" spans="3:18" s="8" customFormat="1" x14ac:dyDescent="0.25">
      <c r="C61673" s="60"/>
      <c r="I61673" s="63"/>
      <c r="R61673" s="64"/>
    </row>
    <row r="61674" spans="3:18" s="8" customFormat="1" x14ac:dyDescent="0.25">
      <c r="C61674" s="60"/>
      <c r="I61674" s="63"/>
      <c r="R61674" s="64"/>
    </row>
    <row r="61675" spans="3:18" s="8" customFormat="1" x14ac:dyDescent="0.25">
      <c r="C61675" s="60"/>
      <c r="I61675" s="63"/>
      <c r="R61675" s="64"/>
    </row>
    <row r="61676" spans="3:18" s="8" customFormat="1" x14ac:dyDescent="0.25">
      <c r="C61676" s="60"/>
      <c r="I61676" s="63"/>
      <c r="R61676" s="64"/>
    </row>
    <row r="61677" spans="3:18" s="8" customFormat="1" x14ac:dyDescent="0.25">
      <c r="C61677" s="60"/>
      <c r="I61677" s="63"/>
      <c r="R61677" s="64"/>
    </row>
    <row r="61678" spans="3:18" s="8" customFormat="1" x14ac:dyDescent="0.25">
      <c r="C61678" s="60"/>
      <c r="I61678" s="63"/>
      <c r="R61678" s="64"/>
    </row>
    <row r="61679" spans="3:18" s="8" customFormat="1" x14ac:dyDescent="0.25">
      <c r="C61679" s="60"/>
      <c r="I61679" s="63"/>
      <c r="R61679" s="64"/>
    </row>
    <row r="61680" spans="3:18" s="8" customFormat="1" x14ac:dyDescent="0.25">
      <c r="C61680" s="60"/>
      <c r="I61680" s="63"/>
      <c r="R61680" s="64"/>
    </row>
    <row r="61681" spans="3:18" s="8" customFormat="1" x14ac:dyDescent="0.25">
      <c r="C61681" s="60"/>
      <c r="I61681" s="63"/>
      <c r="R61681" s="64"/>
    </row>
    <row r="61682" spans="3:18" s="8" customFormat="1" x14ac:dyDescent="0.25">
      <c r="C61682" s="60"/>
      <c r="I61682" s="63"/>
      <c r="R61682" s="64"/>
    </row>
    <row r="61683" spans="3:18" s="8" customFormat="1" x14ac:dyDescent="0.25">
      <c r="C61683" s="60"/>
      <c r="I61683" s="63"/>
      <c r="R61683" s="64"/>
    </row>
    <row r="61684" spans="3:18" s="8" customFormat="1" x14ac:dyDescent="0.25">
      <c r="C61684" s="60"/>
      <c r="I61684" s="63"/>
      <c r="R61684" s="64"/>
    </row>
    <row r="61685" spans="3:18" s="8" customFormat="1" x14ac:dyDescent="0.25">
      <c r="C61685" s="60"/>
      <c r="I61685" s="63"/>
      <c r="R61685" s="64"/>
    </row>
    <row r="61686" spans="3:18" s="8" customFormat="1" x14ac:dyDescent="0.25">
      <c r="C61686" s="60"/>
      <c r="I61686" s="63"/>
      <c r="R61686" s="64"/>
    </row>
    <row r="61687" spans="3:18" s="8" customFormat="1" x14ac:dyDescent="0.25">
      <c r="C61687" s="60"/>
      <c r="I61687" s="63"/>
      <c r="R61687" s="64"/>
    </row>
    <row r="61688" spans="3:18" s="8" customFormat="1" x14ac:dyDescent="0.25">
      <c r="C61688" s="60"/>
      <c r="I61688" s="63"/>
      <c r="R61688" s="64"/>
    </row>
    <row r="61689" spans="3:18" s="8" customFormat="1" x14ac:dyDescent="0.25">
      <c r="C61689" s="60"/>
      <c r="I61689" s="63"/>
      <c r="R61689" s="64"/>
    </row>
    <row r="61690" spans="3:18" s="8" customFormat="1" x14ac:dyDescent="0.25">
      <c r="C61690" s="60"/>
      <c r="I61690" s="63"/>
      <c r="R61690" s="64"/>
    </row>
    <row r="61691" spans="3:18" s="8" customFormat="1" x14ac:dyDescent="0.25">
      <c r="C61691" s="60"/>
      <c r="I61691" s="63"/>
      <c r="R61691" s="64"/>
    </row>
    <row r="61692" spans="3:18" s="8" customFormat="1" x14ac:dyDescent="0.25">
      <c r="C61692" s="60"/>
      <c r="I61692" s="63"/>
      <c r="R61692" s="64"/>
    </row>
    <row r="61693" spans="3:18" s="8" customFormat="1" x14ac:dyDescent="0.25">
      <c r="C61693" s="60"/>
      <c r="I61693" s="63"/>
      <c r="R61693" s="64"/>
    </row>
    <row r="61694" spans="3:18" s="8" customFormat="1" x14ac:dyDescent="0.25">
      <c r="C61694" s="60"/>
      <c r="I61694" s="63"/>
      <c r="R61694" s="64"/>
    </row>
    <row r="61695" spans="3:18" s="8" customFormat="1" x14ac:dyDescent="0.25">
      <c r="C61695" s="60"/>
      <c r="I61695" s="63"/>
      <c r="R61695" s="64"/>
    </row>
    <row r="61696" spans="3:18" s="8" customFormat="1" x14ac:dyDescent="0.25">
      <c r="C61696" s="60"/>
      <c r="I61696" s="63"/>
      <c r="R61696" s="64"/>
    </row>
    <row r="61697" spans="3:18" s="8" customFormat="1" x14ac:dyDescent="0.25">
      <c r="C61697" s="60"/>
      <c r="I61697" s="63"/>
      <c r="R61697" s="64"/>
    </row>
    <row r="61698" spans="3:18" s="8" customFormat="1" x14ac:dyDescent="0.25">
      <c r="C61698" s="60"/>
      <c r="I61698" s="63"/>
      <c r="R61698" s="64"/>
    </row>
    <row r="61699" spans="3:18" s="8" customFormat="1" x14ac:dyDescent="0.25">
      <c r="C61699" s="60"/>
      <c r="I61699" s="63"/>
      <c r="R61699" s="64"/>
    </row>
    <row r="61700" spans="3:18" s="8" customFormat="1" x14ac:dyDescent="0.25">
      <c r="C61700" s="60"/>
      <c r="I61700" s="63"/>
      <c r="R61700" s="64"/>
    </row>
    <row r="61701" spans="3:18" s="8" customFormat="1" x14ac:dyDescent="0.25">
      <c r="C61701" s="60"/>
      <c r="I61701" s="63"/>
      <c r="R61701" s="64"/>
    </row>
    <row r="61702" spans="3:18" s="8" customFormat="1" x14ac:dyDescent="0.25">
      <c r="C61702" s="60"/>
      <c r="I61702" s="63"/>
      <c r="R61702" s="64"/>
    </row>
    <row r="61703" spans="3:18" s="8" customFormat="1" x14ac:dyDescent="0.25">
      <c r="C61703" s="60"/>
      <c r="I61703" s="63"/>
      <c r="R61703" s="64"/>
    </row>
    <row r="61704" spans="3:18" s="8" customFormat="1" x14ac:dyDescent="0.25">
      <c r="C61704" s="60"/>
      <c r="I61704" s="63"/>
      <c r="R61704" s="64"/>
    </row>
    <row r="61705" spans="3:18" s="8" customFormat="1" x14ac:dyDescent="0.25">
      <c r="C61705" s="60"/>
      <c r="I61705" s="63"/>
      <c r="R61705" s="64"/>
    </row>
    <row r="61706" spans="3:18" s="8" customFormat="1" x14ac:dyDescent="0.25">
      <c r="C61706" s="60"/>
      <c r="I61706" s="63"/>
      <c r="R61706" s="64"/>
    </row>
    <row r="61707" spans="3:18" s="8" customFormat="1" x14ac:dyDescent="0.25">
      <c r="C61707" s="60"/>
      <c r="I61707" s="63"/>
      <c r="R61707" s="64"/>
    </row>
    <row r="61708" spans="3:18" s="8" customFormat="1" x14ac:dyDescent="0.25">
      <c r="C61708" s="60"/>
      <c r="I61708" s="63"/>
      <c r="R61708" s="64"/>
    </row>
    <row r="61709" spans="3:18" s="8" customFormat="1" x14ac:dyDescent="0.25">
      <c r="C61709" s="60"/>
      <c r="I61709" s="63"/>
      <c r="R61709" s="64"/>
    </row>
    <row r="61710" spans="3:18" s="8" customFormat="1" x14ac:dyDescent="0.25">
      <c r="C61710" s="60"/>
      <c r="I61710" s="63"/>
      <c r="R61710" s="64"/>
    </row>
    <row r="61711" spans="3:18" s="8" customFormat="1" x14ac:dyDescent="0.25">
      <c r="C61711" s="60"/>
      <c r="I61711" s="63"/>
      <c r="R61711" s="64"/>
    </row>
    <row r="61712" spans="3:18" s="8" customFormat="1" x14ac:dyDescent="0.25">
      <c r="C61712" s="60"/>
      <c r="I61712" s="63"/>
      <c r="R61712" s="64"/>
    </row>
    <row r="61713" spans="3:18" s="8" customFormat="1" x14ac:dyDescent="0.25">
      <c r="C61713" s="60"/>
      <c r="I61713" s="63"/>
      <c r="R61713" s="64"/>
    </row>
    <row r="61714" spans="3:18" s="8" customFormat="1" x14ac:dyDescent="0.25">
      <c r="C61714" s="60"/>
      <c r="I61714" s="63"/>
      <c r="R61714" s="64"/>
    </row>
    <row r="61715" spans="3:18" s="8" customFormat="1" x14ac:dyDescent="0.25">
      <c r="C61715" s="60"/>
      <c r="I61715" s="63"/>
      <c r="R61715" s="64"/>
    </row>
    <row r="61716" spans="3:18" s="8" customFormat="1" x14ac:dyDescent="0.25">
      <c r="C61716" s="60"/>
      <c r="I61716" s="63"/>
      <c r="R61716" s="64"/>
    </row>
    <row r="61717" spans="3:18" s="8" customFormat="1" x14ac:dyDescent="0.25">
      <c r="C61717" s="60"/>
      <c r="I61717" s="63"/>
      <c r="R61717" s="64"/>
    </row>
    <row r="61718" spans="3:18" s="8" customFormat="1" x14ac:dyDescent="0.25">
      <c r="C61718" s="60"/>
      <c r="I61718" s="63"/>
      <c r="R61718" s="64"/>
    </row>
    <row r="61719" spans="3:18" s="8" customFormat="1" x14ac:dyDescent="0.25">
      <c r="C61719" s="60"/>
      <c r="I61719" s="63"/>
      <c r="R61719" s="64"/>
    </row>
    <row r="61720" spans="3:18" s="8" customFormat="1" x14ac:dyDescent="0.25">
      <c r="C61720" s="60"/>
      <c r="I61720" s="63"/>
      <c r="R61720" s="64"/>
    </row>
    <row r="61721" spans="3:18" s="8" customFormat="1" x14ac:dyDescent="0.25">
      <c r="C61721" s="60"/>
      <c r="I61721" s="63"/>
      <c r="R61721" s="64"/>
    </row>
    <row r="61722" spans="3:18" s="8" customFormat="1" x14ac:dyDescent="0.25">
      <c r="C61722" s="60"/>
      <c r="I61722" s="63"/>
      <c r="R61722" s="64"/>
    </row>
    <row r="61723" spans="3:18" s="8" customFormat="1" x14ac:dyDescent="0.25">
      <c r="C61723" s="60"/>
      <c r="I61723" s="63"/>
      <c r="R61723" s="64"/>
    </row>
    <row r="61724" spans="3:18" s="8" customFormat="1" x14ac:dyDescent="0.25">
      <c r="C61724" s="60"/>
      <c r="I61724" s="63"/>
      <c r="R61724" s="64"/>
    </row>
    <row r="61725" spans="3:18" s="8" customFormat="1" x14ac:dyDescent="0.25">
      <c r="C61725" s="60"/>
      <c r="I61725" s="63"/>
      <c r="R61725" s="64"/>
    </row>
    <row r="61726" spans="3:18" s="8" customFormat="1" x14ac:dyDescent="0.25">
      <c r="C61726" s="60"/>
      <c r="I61726" s="63"/>
      <c r="R61726" s="64"/>
    </row>
    <row r="61727" spans="3:18" s="8" customFormat="1" x14ac:dyDescent="0.25">
      <c r="C61727" s="60"/>
      <c r="I61727" s="63"/>
      <c r="R61727" s="64"/>
    </row>
    <row r="61728" spans="3:18" s="8" customFormat="1" x14ac:dyDescent="0.25">
      <c r="C61728" s="60"/>
      <c r="I61728" s="63"/>
      <c r="R61728" s="64"/>
    </row>
    <row r="61729" spans="3:18" s="8" customFormat="1" x14ac:dyDescent="0.25">
      <c r="C61729" s="60"/>
      <c r="I61729" s="63"/>
      <c r="R61729" s="64"/>
    </row>
    <row r="61730" spans="3:18" s="8" customFormat="1" x14ac:dyDescent="0.25">
      <c r="C61730" s="60"/>
      <c r="I61730" s="63"/>
      <c r="R61730" s="64"/>
    </row>
    <row r="61731" spans="3:18" s="8" customFormat="1" x14ac:dyDescent="0.25">
      <c r="C61731" s="60"/>
      <c r="I61731" s="63"/>
      <c r="R61731" s="64"/>
    </row>
    <row r="61732" spans="3:18" s="8" customFormat="1" x14ac:dyDescent="0.25">
      <c r="C61732" s="60"/>
      <c r="I61732" s="63"/>
      <c r="R61732" s="64"/>
    </row>
    <row r="61733" spans="3:18" s="8" customFormat="1" x14ac:dyDescent="0.25">
      <c r="C61733" s="60"/>
      <c r="I61733" s="63"/>
      <c r="R61733" s="64"/>
    </row>
    <row r="61734" spans="3:18" s="8" customFormat="1" x14ac:dyDescent="0.25">
      <c r="C61734" s="60"/>
      <c r="I61734" s="63"/>
      <c r="R61734" s="64"/>
    </row>
    <row r="61735" spans="3:18" s="8" customFormat="1" x14ac:dyDescent="0.25">
      <c r="C61735" s="60"/>
      <c r="I61735" s="63"/>
      <c r="R61735" s="64"/>
    </row>
    <row r="61736" spans="3:18" s="8" customFormat="1" x14ac:dyDescent="0.25">
      <c r="C61736" s="60"/>
      <c r="I61736" s="63"/>
      <c r="R61736" s="64"/>
    </row>
    <row r="61737" spans="3:18" s="8" customFormat="1" x14ac:dyDescent="0.25">
      <c r="C61737" s="60"/>
      <c r="I61737" s="63"/>
      <c r="R61737" s="64"/>
    </row>
    <row r="61738" spans="3:18" s="8" customFormat="1" x14ac:dyDescent="0.25">
      <c r="C61738" s="60"/>
      <c r="I61738" s="63"/>
      <c r="R61738" s="64"/>
    </row>
    <row r="61739" spans="3:18" s="8" customFormat="1" x14ac:dyDescent="0.25">
      <c r="C61739" s="60"/>
      <c r="I61739" s="63"/>
      <c r="R61739" s="64"/>
    </row>
    <row r="61740" spans="3:18" s="8" customFormat="1" x14ac:dyDescent="0.25">
      <c r="C61740" s="60"/>
      <c r="I61740" s="63"/>
      <c r="R61740" s="64"/>
    </row>
    <row r="61741" spans="3:18" s="8" customFormat="1" x14ac:dyDescent="0.25">
      <c r="C61741" s="60"/>
      <c r="I61741" s="63"/>
      <c r="R61741" s="64"/>
    </row>
    <row r="61742" spans="3:18" s="8" customFormat="1" x14ac:dyDescent="0.25">
      <c r="C61742" s="60"/>
      <c r="I61742" s="63"/>
      <c r="R61742" s="64"/>
    </row>
    <row r="61743" spans="3:18" s="8" customFormat="1" x14ac:dyDescent="0.25">
      <c r="C61743" s="60"/>
      <c r="I61743" s="63"/>
      <c r="R61743" s="64"/>
    </row>
    <row r="61744" spans="3:18" s="8" customFormat="1" x14ac:dyDescent="0.25">
      <c r="C61744" s="60"/>
      <c r="I61744" s="63"/>
      <c r="R61744" s="64"/>
    </row>
    <row r="61745" spans="3:18" s="8" customFormat="1" x14ac:dyDescent="0.25">
      <c r="C61745" s="60"/>
      <c r="I61745" s="63"/>
      <c r="R61745" s="64"/>
    </row>
    <row r="61746" spans="3:18" s="8" customFormat="1" x14ac:dyDescent="0.25">
      <c r="C61746" s="60"/>
      <c r="I61746" s="63"/>
      <c r="R61746" s="64"/>
    </row>
    <row r="61747" spans="3:18" s="8" customFormat="1" x14ac:dyDescent="0.25">
      <c r="C61747" s="60"/>
      <c r="I61747" s="63"/>
      <c r="R61747" s="64"/>
    </row>
    <row r="61748" spans="3:18" s="8" customFormat="1" x14ac:dyDescent="0.25">
      <c r="C61748" s="60"/>
      <c r="I61748" s="63"/>
      <c r="R61748" s="64"/>
    </row>
    <row r="61749" spans="3:18" s="8" customFormat="1" x14ac:dyDescent="0.25">
      <c r="C61749" s="60"/>
      <c r="I61749" s="63"/>
      <c r="R61749" s="64"/>
    </row>
    <row r="61750" spans="3:18" s="8" customFormat="1" x14ac:dyDescent="0.25">
      <c r="C61750" s="60"/>
      <c r="I61750" s="63"/>
      <c r="R61750" s="64"/>
    </row>
    <row r="61751" spans="3:18" s="8" customFormat="1" x14ac:dyDescent="0.25">
      <c r="C61751" s="60"/>
      <c r="I61751" s="63"/>
      <c r="R61751" s="64"/>
    </row>
    <row r="61752" spans="3:18" s="8" customFormat="1" x14ac:dyDescent="0.25">
      <c r="C61752" s="60"/>
      <c r="I61752" s="63"/>
      <c r="R61752" s="64"/>
    </row>
    <row r="61753" spans="3:18" s="8" customFormat="1" x14ac:dyDescent="0.25">
      <c r="C61753" s="60"/>
      <c r="I61753" s="63"/>
      <c r="R61753" s="64"/>
    </row>
    <row r="61754" spans="3:18" s="8" customFormat="1" x14ac:dyDescent="0.25">
      <c r="C61754" s="60"/>
      <c r="I61754" s="63"/>
      <c r="R61754" s="64"/>
    </row>
    <row r="61755" spans="3:18" s="8" customFormat="1" x14ac:dyDescent="0.25">
      <c r="C61755" s="60"/>
      <c r="I61755" s="63"/>
      <c r="R61755" s="64"/>
    </row>
    <row r="61756" spans="3:18" s="8" customFormat="1" x14ac:dyDescent="0.25">
      <c r="C61756" s="60"/>
      <c r="I61756" s="63"/>
      <c r="R61756" s="64"/>
    </row>
    <row r="61757" spans="3:18" s="8" customFormat="1" x14ac:dyDescent="0.25">
      <c r="C61757" s="60"/>
      <c r="I61757" s="63"/>
      <c r="R61757" s="64"/>
    </row>
    <row r="61758" spans="3:18" s="8" customFormat="1" x14ac:dyDescent="0.25">
      <c r="C61758" s="60"/>
      <c r="I61758" s="63"/>
      <c r="R61758" s="64"/>
    </row>
    <row r="61759" spans="3:18" s="8" customFormat="1" x14ac:dyDescent="0.25">
      <c r="C61759" s="60"/>
      <c r="I61759" s="63"/>
      <c r="R61759" s="64"/>
    </row>
    <row r="61760" spans="3:18" s="8" customFormat="1" x14ac:dyDescent="0.25">
      <c r="C61760" s="60"/>
      <c r="I61760" s="63"/>
      <c r="R61760" s="64"/>
    </row>
    <row r="61761" spans="3:18" s="8" customFormat="1" x14ac:dyDescent="0.25">
      <c r="C61761" s="60"/>
      <c r="I61761" s="63"/>
      <c r="R61761" s="64"/>
    </row>
    <row r="61762" spans="3:18" s="8" customFormat="1" x14ac:dyDescent="0.25">
      <c r="C61762" s="60"/>
      <c r="I61762" s="63"/>
      <c r="R61762" s="64"/>
    </row>
    <row r="61763" spans="3:18" s="8" customFormat="1" x14ac:dyDescent="0.25">
      <c r="C61763" s="60"/>
      <c r="I61763" s="63"/>
      <c r="R61763" s="64"/>
    </row>
    <row r="61764" spans="3:18" s="8" customFormat="1" x14ac:dyDescent="0.25">
      <c r="C61764" s="60"/>
      <c r="I61764" s="63"/>
      <c r="R61764" s="64"/>
    </row>
    <row r="61765" spans="3:18" s="8" customFormat="1" x14ac:dyDescent="0.25">
      <c r="C61765" s="60"/>
      <c r="I61765" s="63"/>
      <c r="R61765" s="64"/>
    </row>
    <row r="61766" spans="3:18" s="8" customFormat="1" x14ac:dyDescent="0.25">
      <c r="C61766" s="60"/>
      <c r="I61766" s="63"/>
      <c r="R61766" s="64"/>
    </row>
    <row r="61767" spans="3:18" s="8" customFormat="1" x14ac:dyDescent="0.25">
      <c r="C61767" s="60"/>
      <c r="I61767" s="63"/>
      <c r="R61767" s="64"/>
    </row>
    <row r="61768" spans="3:18" s="8" customFormat="1" x14ac:dyDescent="0.25">
      <c r="C61768" s="60"/>
      <c r="I61768" s="63"/>
      <c r="R61768" s="64"/>
    </row>
    <row r="61769" spans="3:18" s="8" customFormat="1" x14ac:dyDescent="0.25">
      <c r="C61769" s="60"/>
      <c r="I61769" s="63"/>
      <c r="R61769" s="64"/>
    </row>
    <row r="61770" spans="3:18" s="8" customFormat="1" x14ac:dyDescent="0.25">
      <c r="C61770" s="60"/>
      <c r="I61770" s="63"/>
      <c r="R61770" s="64"/>
    </row>
    <row r="61771" spans="3:18" s="8" customFormat="1" x14ac:dyDescent="0.25">
      <c r="C61771" s="60"/>
      <c r="I61771" s="63"/>
      <c r="R61771" s="64"/>
    </row>
    <row r="61772" spans="3:18" s="8" customFormat="1" x14ac:dyDescent="0.25">
      <c r="C61772" s="60"/>
      <c r="I61772" s="63"/>
      <c r="R61772" s="64"/>
    </row>
    <row r="61773" spans="3:18" s="8" customFormat="1" x14ac:dyDescent="0.25">
      <c r="C61773" s="60"/>
      <c r="I61773" s="63"/>
      <c r="R61773" s="64"/>
    </row>
    <row r="61774" spans="3:18" s="8" customFormat="1" x14ac:dyDescent="0.25">
      <c r="C61774" s="60"/>
      <c r="I61774" s="63"/>
      <c r="R61774" s="64"/>
    </row>
    <row r="61775" spans="3:18" s="8" customFormat="1" x14ac:dyDescent="0.25">
      <c r="C61775" s="60"/>
      <c r="I61775" s="63"/>
      <c r="R61775" s="64"/>
    </row>
    <row r="61776" spans="3:18" s="8" customFormat="1" x14ac:dyDescent="0.25">
      <c r="C61776" s="60"/>
      <c r="I61776" s="63"/>
      <c r="R61776" s="64"/>
    </row>
    <row r="61777" spans="3:18" s="8" customFormat="1" x14ac:dyDescent="0.25">
      <c r="C61777" s="60"/>
      <c r="I61777" s="63"/>
      <c r="R61777" s="64"/>
    </row>
    <row r="61778" spans="3:18" s="8" customFormat="1" x14ac:dyDescent="0.25">
      <c r="C61778" s="60"/>
      <c r="I61778" s="63"/>
      <c r="R61778" s="64"/>
    </row>
    <row r="61779" spans="3:18" s="8" customFormat="1" x14ac:dyDescent="0.25">
      <c r="C61779" s="60"/>
      <c r="I61779" s="63"/>
      <c r="R61779" s="64"/>
    </row>
    <row r="61780" spans="3:18" s="8" customFormat="1" x14ac:dyDescent="0.25">
      <c r="C61780" s="60"/>
      <c r="I61780" s="63"/>
      <c r="R61780" s="64"/>
    </row>
    <row r="61781" spans="3:18" s="8" customFormat="1" x14ac:dyDescent="0.25">
      <c r="C61781" s="60"/>
      <c r="I61781" s="63"/>
      <c r="R61781" s="64"/>
    </row>
    <row r="61782" spans="3:18" s="8" customFormat="1" x14ac:dyDescent="0.25">
      <c r="C61782" s="60"/>
      <c r="I61782" s="63"/>
      <c r="R61782" s="64"/>
    </row>
    <row r="61783" spans="3:18" s="8" customFormat="1" x14ac:dyDescent="0.25">
      <c r="C61783" s="60"/>
      <c r="I61783" s="63"/>
      <c r="R61783" s="64"/>
    </row>
    <row r="61784" spans="3:18" s="8" customFormat="1" x14ac:dyDescent="0.25">
      <c r="C61784" s="60"/>
      <c r="I61784" s="63"/>
      <c r="R61784" s="64"/>
    </row>
    <row r="61785" spans="3:18" s="8" customFormat="1" x14ac:dyDescent="0.25">
      <c r="C61785" s="60"/>
      <c r="I61785" s="63"/>
      <c r="R61785" s="64"/>
    </row>
    <row r="61786" spans="3:18" s="8" customFormat="1" x14ac:dyDescent="0.25">
      <c r="C61786" s="60"/>
      <c r="I61786" s="63"/>
      <c r="R61786" s="64"/>
    </row>
    <row r="61787" spans="3:18" s="8" customFormat="1" x14ac:dyDescent="0.25">
      <c r="C61787" s="60"/>
      <c r="I61787" s="63"/>
      <c r="R61787" s="64"/>
    </row>
    <row r="61788" spans="3:18" s="8" customFormat="1" x14ac:dyDescent="0.25">
      <c r="C61788" s="60"/>
      <c r="I61788" s="63"/>
      <c r="R61788" s="64"/>
    </row>
    <row r="61789" spans="3:18" s="8" customFormat="1" x14ac:dyDescent="0.25">
      <c r="C61789" s="60"/>
      <c r="I61789" s="63"/>
      <c r="R61789" s="64"/>
    </row>
    <row r="61790" spans="3:18" s="8" customFormat="1" x14ac:dyDescent="0.25">
      <c r="C61790" s="60"/>
      <c r="I61790" s="63"/>
      <c r="R61790" s="64"/>
    </row>
    <row r="61791" spans="3:18" s="8" customFormat="1" x14ac:dyDescent="0.25">
      <c r="C61791" s="60"/>
      <c r="I61791" s="63"/>
      <c r="R61791" s="64"/>
    </row>
    <row r="61792" spans="3:18" s="8" customFormat="1" x14ac:dyDescent="0.25">
      <c r="C61792" s="60"/>
      <c r="I61792" s="63"/>
      <c r="R61792" s="64"/>
    </row>
    <row r="61793" spans="3:18" s="8" customFormat="1" x14ac:dyDescent="0.25">
      <c r="C61793" s="60"/>
      <c r="I61793" s="63"/>
      <c r="R61793" s="64"/>
    </row>
    <row r="61794" spans="3:18" s="8" customFormat="1" x14ac:dyDescent="0.25">
      <c r="C61794" s="60"/>
      <c r="I61794" s="63"/>
      <c r="R61794" s="64"/>
    </row>
    <row r="61795" spans="3:18" s="8" customFormat="1" x14ac:dyDescent="0.25">
      <c r="C61795" s="60"/>
      <c r="I61795" s="63"/>
      <c r="R61795" s="64"/>
    </row>
    <row r="61796" spans="3:18" s="8" customFormat="1" x14ac:dyDescent="0.25">
      <c r="C61796" s="60"/>
      <c r="I61796" s="63"/>
      <c r="R61796" s="64"/>
    </row>
    <row r="61797" spans="3:18" s="8" customFormat="1" x14ac:dyDescent="0.25">
      <c r="C61797" s="60"/>
      <c r="I61797" s="63"/>
      <c r="R61797" s="64"/>
    </row>
    <row r="61798" spans="3:18" s="8" customFormat="1" x14ac:dyDescent="0.25">
      <c r="C61798" s="60"/>
      <c r="I61798" s="63"/>
      <c r="R61798" s="64"/>
    </row>
    <row r="61799" spans="3:18" s="8" customFormat="1" x14ac:dyDescent="0.25">
      <c r="C61799" s="60"/>
      <c r="I61799" s="63"/>
      <c r="R61799" s="64"/>
    </row>
    <row r="61800" spans="3:18" s="8" customFormat="1" x14ac:dyDescent="0.25">
      <c r="C61800" s="60"/>
      <c r="I61800" s="63"/>
      <c r="R61800" s="64"/>
    </row>
    <row r="61801" spans="3:18" s="8" customFormat="1" x14ac:dyDescent="0.25">
      <c r="C61801" s="60"/>
      <c r="I61801" s="63"/>
      <c r="R61801" s="64"/>
    </row>
    <row r="61802" spans="3:18" s="8" customFormat="1" x14ac:dyDescent="0.25">
      <c r="C61802" s="60"/>
      <c r="I61802" s="63"/>
      <c r="R61802" s="64"/>
    </row>
    <row r="61803" spans="3:18" s="8" customFormat="1" x14ac:dyDescent="0.25">
      <c r="C61803" s="60"/>
      <c r="I61803" s="63"/>
      <c r="R61803" s="64"/>
    </row>
    <row r="61804" spans="3:18" s="8" customFormat="1" x14ac:dyDescent="0.25">
      <c r="C61804" s="60"/>
      <c r="I61804" s="63"/>
      <c r="R61804" s="64"/>
    </row>
    <row r="61805" spans="3:18" s="8" customFormat="1" x14ac:dyDescent="0.25">
      <c r="C61805" s="60"/>
      <c r="I61805" s="63"/>
      <c r="R61805" s="64"/>
    </row>
    <row r="61806" spans="3:18" s="8" customFormat="1" x14ac:dyDescent="0.25">
      <c r="C61806" s="60"/>
      <c r="I61806" s="63"/>
      <c r="R61806" s="64"/>
    </row>
    <row r="61807" spans="3:18" s="8" customFormat="1" x14ac:dyDescent="0.25">
      <c r="C61807" s="60"/>
      <c r="I61807" s="63"/>
      <c r="R61807" s="64"/>
    </row>
    <row r="61808" spans="3:18" s="8" customFormat="1" x14ac:dyDescent="0.25">
      <c r="C61808" s="60"/>
      <c r="I61808" s="63"/>
      <c r="R61808" s="64"/>
    </row>
    <row r="61809" spans="3:18" s="8" customFormat="1" x14ac:dyDescent="0.25">
      <c r="C61809" s="60"/>
      <c r="I61809" s="63"/>
      <c r="R61809" s="64"/>
    </row>
    <row r="61810" spans="3:18" s="8" customFormat="1" x14ac:dyDescent="0.25">
      <c r="C61810" s="60"/>
      <c r="I61810" s="63"/>
      <c r="R61810" s="64"/>
    </row>
    <row r="61811" spans="3:18" s="8" customFormat="1" x14ac:dyDescent="0.25">
      <c r="C61811" s="60"/>
      <c r="I61811" s="63"/>
      <c r="R61811" s="64"/>
    </row>
    <row r="61812" spans="3:18" s="8" customFormat="1" x14ac:dyDescent="0.25">
      <c r="C61812" s="60"/>
      <c r="I61812" s="63"/>
      <c r="R61812" s="64"/>
    </row>
    <row r="61813" spans="3:18" s="8" customFormat="1" x14ac:dyDescent="0.25">
      <c r="C61813" s="60"/>
      <c r="I61813" s="63"/>
      <c r="R61813" s="64"/>
    </row>
    <row r="61814" spans="3:18" s="8" customFormat="1" x14ac:dyDescent="0.25">
      <c r="C61814" s="60"/>
      <c r="I61814" s="63"/>
      <c r="R61814" s="64"/>
    </row>
    <row r="61815" spans="3:18" s="8" customFormat="1" x14ac:dyDescent="0.25">
      <c r="C61815" s="60"/>
      <c r="I61815" s="63"/>
      <c r="R61815" s="64"/>
    </row>
    <row r="61816" spans="3:18" s="8" customFormat="1" x14ac:dyDescent="0.25">
      <c r="C61816" s="60"/>
      <c r="I61816" s="63"/>
      <c r="R61816" s="64"/>
    </row>
    <row r="61817" spans="3:18" s="8" customFormat="1" x14ac:dyDescent="0.25">
      <c r="C61817" s="60"/>
      <c r="I61817" s="63"/>
      <c r="R61817" s="64"/>
    </row>
    <row r="61818" spans="3:18" s="8" customFormat="1" x14ac:dyDescent="0.25">
      <c r="C61818" s="60"/>
      <c r="I61818" s="63"/>
      <c r="R61818" s="64"/>
    </row>
    <row r="61819" spans="3:18" s="8" customFormat="1" x14ac:dyDescent="0.25">
      <c r="C61819" s="60"/>
      <c r="I61819" s="63"/>
      <c r="R61819" s="64"/>
    </row>
    <row r="61820" spans="3:18" s="8" customFormat="1" x14ac:dyDescent="0.25">
      <c r="C61820" s="60"/>
      <c r="I61820" s="63"/>
      <c r="R61820" s="64"/>
    </row>
    <row r="61821" spans="3:18" s="8" customFormat="1" x14ac:dyDescent="0.25">
      <c r="C61821" s="60"/>
      <c r="I61821" s="63"/>
      <c r="R61821" s="64"/>
    </row>
    <row r="61822" spans="3:18" s="8" customFormat="1" x14ac:dyDescent="0.25">
      <c r="C61822" s="60"/>
      <c r="I61822" s="63"/>
      <c r="R61822" s="64"/>
    </row>
    <row r="61823" spans="3:18" s="8" customFormat="1" x14ac:dyDescent="0.25">
      <c r="C61823" s="60"/>
      <c r="I61823" s="63"/>
      <c r="R61823" s="64"/>
    </row>
    <row r="61824" spans="3:18" s="8" customFormat="1" x14ac:dyDescent="0.25">
      <c r="C61824" s="60"/>
      <c r="I61824" s="63"/>
      <c r="R61824" s="64"/>
    </row>
    <row r="61825" spans="3:18" s="8" customFormat="1" x14ac:dyDescent="0.25">
      <c r="C61825" s="60"/>
      <c r="I61825" s="63"/>
      <c r="R61825" s="64"/>
    </row>
    <row r="61826" spans="3:18" s="8" customFormat="1" x14ac:dyDescent="0.25">
      <c r="C61826" s="60"/>
      <c r="I61826" s="63"/>
      <c r="R61826" s="64"/>
    </row>
    <row r="61827" spans="3:18" s="8" customFormat="1" x14ac:dyDescent="0.25">
      <c r="C61827" s="60"/>
      <c r="I61827" s="63"/>
      <c r="R61827" s="64"/>
    </row>
    <row r="61828" spans="3:18" s="8" customFormat="1" x14ac:dyDescent="0.25">
      <c r="C61828" s="60"/>
      <c r="I61828" s="63"/>
      <c r="R61828" s="64"/>
    </row>
    <row r="61829" spans="3:18" s="8" customFormat="1" x14ac:dyDescent="0.25">
      <c r="C61829" s="60"/>
      <c r="I61829" s="63"/>
      <c r="R61829" s="64"/>
    </row>
    <row r="61830" spans="3:18" s="8" customFormat="1" x14ac:dyDescent="0.25">
      <c r="C61830" s="60"/>
      <c r="I61830" s="63"/>
      <c r="R61830" s="64"/>
    </row>
    <row r="61831" spans="3:18" s="8" customFormat="1" x14ac:dyDescent="0.25">
      <c r="C61831" s="60"/>
      <c r="I61831" s="63"/>
      <c r="R61831" s="64"/>
    </row>
    <row r="61832" spans="3:18" s="8" customFormat="1" x14ac:dyDescent="0.25">
      <c r="C61832" s="60"/>
      <c r="I61832" s="63"/>
      <c r="R61832" s="64"/>
    </row>
    <row r="61833" spans="3:18" s="8" customFormat="1" x14ac:dyDescent="0.25">
      <c r="C61833" s="60"/>
      <c r="I61833" s="63"/>
      <c r="R61833" s="64"/>
    </row>
    <row r="61834" spans="3:18" s="8" customFormat="1" x14ac:dyDescent="0.25">
      <c r="C61834" s="60"/>
      <c r="I61834" s="63"/>
      <c r="R61834" s="64"/>
    </row>
    <row r="61835" spans="3:18" s="8" customFormat="1" x14ac:dyDescent="0.25">
      <c r="C61835" s="60"/>
      <c r="I61835" s="63"/>
      <c r="R61835" s="64"/>
    </row>
    <row r="61836" spans="3:18" s="8" customFormat="1" x14ac:dyDescent="0.25">
      <c r="C61836" s="60"/>
      <c r="I61836" s="63"/>
      <c r="R61836" s="64"/>
    </row>
    <row r="61837" spans="3:18" s="8" customFormat="1" x14ac:dyDescent="0.25">
      <c r="C61837" s="60"/>
      <c r="I61837" s="63"/>
      <c r="R61837" s="64"/>
    </row>
    <row r="61838" spans="3:18" s="8" customFormat="1" x14ac:dyDescent="0.25">
      <c r="C61838" s="60"/>
      <c r="I61838" s="63"/>
      <c r="R61838" s="64"/>
    </row>
    <row r="61839" spans="3:18" s="8" customFormat="1" x14ac:dyDescent="0.25">
      <c r="C61839" s="60"/>
      <c r="I61839" s="63"/>
      <c r="R61839" s="64"/>
    </row>
    <row r="61840" spans="3:18" s="8" customFormat="1" x14ac:dyDescent="0.25">
      <c r="C61840" s="60"/>
      <c r="I61840" s="63"/>
      <c r="R61840" s="64"/>
    </row>
    <row r="61841" spans="3:18" s="8" customFormat="1" x14ac:dyDescent="0.25">
      <c r="C61841" s="60"/>
      <c r="I61841" s="63"/>
      <c r="R61841" s="64"/>
    </row>
    <row r="61842" spans="3:18" s="8" customFormat="1" x14ac:dyDescent="0.25">
      <c r="C61842" s="60"/>
      <c r="I61842" s="63"/>
      <c r="R61842" s="64"/>
    </row>
    <row r="61843" spans="3:18" s="8" customFormat="1" x14ac:dyDescent="0.25">
      <c r="C61843" s="60"/>
      <c r="I61843" s="63"/>
      <c r="R61843" s="64"/>
    </row>
    <row r="61844" spans="3:18" s="8" customFormat="1" x14ac:dyDescent="0.25">
      <c r="C61844" s="60"/>
      <c r="I61844" s="63"/>
      <c r="R61844" s="64"/>
    </row>
    <row r="61845" spans="3:18" s="8" customFormat="1" x14ac:dyDescent="0.25">
      <c r="C61845" s="60"/>
      <c r="I61845" s="63"/>
      <c r="R61845" s="64"/>
    </row>
    <row r="61846" spans="3:18" s="8" customFormat="1" x14ac:dyDescent="0.25">
      <c r="C61846" s="60"/>
      <c r="I61846" s="63"/>
      <c r="R61846" s="64"/>
    </row>
    <row r="61847" spans="3:18" s="8" customFormat="1" x14ac:dyDescent="0.25">
      <c r="C61847" s="60"/>
      <c r="I61847" s="63"/>
      <c r="R61847" s="64"/>
    </row>
    <row r="61848" spans="3:18" s="8" customFormat="1" x14ac:dyDescent="0.25">
      <c r="C61848" s="60"/>
      <c r="I61848" s="63"/>
      <c r="R61848" s="64"/>
    </row>
    <row r="61849" spans="3:18" s="8" customFormat="1" x14ac:dyDescent="0.25">
      <c r="C61849" s="60"/>
      <c r="I61849" s="63"/>
      <c r="R61849" s="64"/>
    </row>
    <row r="61850" spans="3:18" s="8" customFormat="1" x14ac:dyDescent="0.25">
      <c r="C61850" s="60"/>
      <c r="I61850" s="63"/>
      <c r="R61850" s="64"/>
    </row>
    <row r="61851" spans="3:18" s="8" customFormat="1" x14ac:dyDescent="0.25">
      <c r="C61851" s="60"/>
      <c r="I61851" s="63"/>
      <c r="R61851" s="64"/>
    </row>
    <row r="61852" spans="3:18" s="8" customFormat="1" x14ac:dyDescent="0.25">
      <c r="C61852" s="60"/>
      <c r="I61852" s="63"/>
      <c r="R61852" s="64"/>
    </row>
    <row r="61853" spans="3:18" s="8" customFormat="1" x14ac:dyDescent="0.25">
      <c r="C61853" s="60"/>
      <c r="I61853" s="63"/>
      <c r="R61853" s="64"/>
    </row>
    <row r="61854" spans="3:18" s="8" customFormat="1" x14ac:dyDescent="0.25">
      <c r="C61854" s="60"/>
      <c r="I61854" s="63"/>
      <c r="R61854" s="64"/>
    </row>
    <row r="61855" spans="3:18" s="8" customFormat="1" x14ac:dyDescent="0.25">
      <c r="C61855" s="60"/>
      <c r="I61855" s="63"/>
      <c r="R61855" s="64"/>
    </row>
    <row r="61856" spans="3:18" s="8" customFormat="1" x14ac:dyDescent="0.25">
      <c r="C61856" s="60"/>
      <c r="I61856" s="63"/>
      <c r="R61856" s="64"/>
    </row>
    <row r="61857" spans="3:18" s="8" customFormat="1" x14ac:dyDescent="0.25">
      <c r="C61857" s="60"/>
      <c r="I61857" s="63"/>
      <c r="R61857" s="64"/>
    </row>
    <row r="61858" spans="3:18" s="8" customFormat="1" x14ac:dyDescent="0.25">
      <c r="C61858" s="60"/>
      <c r="I61858" s="63"/>
      <c r="R61858" s="64"/>
    </row>
    <row r="61859" spans="3:18" s="8" customFormat="1" x14ac:dyDescent="0.25">
      <c r="C61859" s="60"/>
      <c r="I61859" s="63"/>
      <c r="R61859" s="64"/>
    </row>
    <row r="61860" spans="3:18" s="8" customFormat="1" x14ac:dyDescent="0.25">
      <c r="C61860" s="60"/>
      <c r="I61860" s="63"/>
      <c r="R61860" s="64"/>
    </row>
    <row r="61861" spans="3:18" s="8" customFormat="1" x14ac:dyDescent="0.25">
      <c r="C61861" s="60"/>
      <c r="I61861" s="63"/>
      <c r="R61861" s="64"/>
    </row>
    <row r="61862" spans="3:18" s="8" customFormat="1" x14ac:dyDescent="0.25">
      <c r="C61862" s="60"/>
      <c r="I61862" s="63"/>
      <c r="R61862" s="64"/>
    </row>
    <row r="61863" spans="3:18" s="8" customFormat="1" x14ac:dyDescent="0.25">
      <c r="C61863" s="60"/>
      <c r="I61863" s="63"/>
      <c r="R61863" s="64"/>
    </row>
    <row r="61864" spans="3:18" s="8" customFormat="1" x14ac:dyDescent="0.25">
      <c r="C61864" s="60"/>
      <c r="I61864" s="63"/>
      <c r="R61864" s="64"/>
    </row>
    <row r="61865" spans="3:18" s="8" customFormat="1" x14ac:dyDescent="0.25">
      <c r="C61865" s="60"/>
      <c r="I61865" s="63"/>
      <c r="R61865" s="64"/>
    </row>
    <row r="61866" spans="3:18" s="8" customFormat="1" x14ac:dyDescent="0.25">
      <c r="C61866" s="60"/>
      <c r="I61866" s="63"/>
      <c r="R61866" s="64"/>
    </row>
    <row r="61867" spans="3:18" s="8" customFormat="1" x14ac:dyDescent="0.25">
      <c r="C61867" s="60"/>
      <c r="I61867" s="63"/>
      <c r="R61867" s="64"/>
    </row>
    <row r="61868" spans="3:18" s="8" customFormat="1" x14ac:dyDescent="0.25">
      <c r="C61868" s="60"/>
      <c r="I61868" s="63"/>
      <c r="R61868" s="64"/>
    </row>
    <row r="61869" spans="3:18" s="8" customFormat="1" x14ac:dyDescent="0.25">
      <c r="C61869" s="60"/>
      <c r="I61869" s="63"/>
      <c r="R61869" s="64"/>
    </row>
    <row r="61870" spans="3:18" s="8" customFormat="1" x14ac:dyDescent="0.25">
      <c r="C61870" s="60"/>
      <c r="I61870" s="63"/>
      <c r="R61870" s="64"/>
    </row>
    <row r="61871" spans="3:18" s="8" customFormat="1" x14ac:dyDescent="0.25">
      <c r="C61871" s="60"/>
      <c r="I61871" s="63"/>
      <c r="R61871" s="64"/>
    </row>
    <row r="61872" spans="3:18" s="8" customFormat="1" x14ac:dyDescent="0.25">
      <c r="C61872" s="60"/>
      <c r="I61872" s="63"/>
      <c r="R61872" s="64"/>
    </row>
    <row r="61873" spans="3:18" s="8" customFormat="1" x14ac:dyDescent="0.25">
      <c r="C61873" s="60"/>
      <c r="I61873" s="63"/>
      <c r="R61873" s="64"/>
    </row>
    <row r="61874" spans="3:18" s="8" customFormat="1" x14ac:dyDescent="0.25">
      <c r="C61874" s="60"/>
      <c r="I61874" s="63"/>
      <c r="R61874" s="64"/>
    </row>
    <row r="61875" spans="3:18" s="8" customFormat="1" x14ac:dyDescent="0.25">
      <c r="C61875" s="60"/>
      <c r="I61875" s="63"/>
      <c r="R61875" s="64"/>
    </row>
    <row r="61876" spans="3:18" s="8" customFormat="1" x14ac:dyDescent="0.25">
      <c r="C61876" s="60"/>
      <c r="I61876" s="63"/>
      <c r="R61876" s="64"/>
    </row>
    <row r="61877" spans="3:18" s="8" customFormat="1" x14ac:dyDescent="0.25">
      <c r="C61877" s="60"/>
      <c r="I61877" s="63"/>
      <c r="R61877" s="64"/>
    </row>
    <row r="61878" spans="3:18" s="8" customFormat="1" x14ac:dyDescent="0.25">
      <c r="C61878" s="60"/>
      <c r="I61878" s="63"/>
      <c r="R61878" s="64"/>
    </row>
    <row r="61879" spans="3:18" s="8" customFormat="1" x14ac:dyDescent="0.25">
      <c r="C61879" s="60"/>
      <c r="I61879" s="63"/>
      <c r="R61879" s="64"/>
    </row>
    <row r="61880" spans="3:18" s="8" customFormat="1" x14ac:dyDescent="0.25">
      <c r="C61880" s="60"/>
      <c r="I61880" s="63"/>
      <c r="R61880" s="64"/>
    </row>
    <row r="61881" spans="3:18" s="8" customFormat="1" x14ac:dyDescent="0.25">
      <c r="C61881" s="60"/>
      <c r="I61881" s="63"/>
      <c r="R61881" s="64"/>
    </row>
    <row r="61882" spans="3:18" s="8" customFormat="1" x14ac:dyDescent="0.25">
      <c r="C61882" s="60"/>
      <c r="I61882" s="63"/>
      <c r="R61882" s="64"/>
    </row>
    <row r="61883" spans="3:18" s="8" customFormat="1" x14ac:dyDescent="0.25">
      <c r="C61883" s="60"/>
      <c r="I61883" s="63"/>
      <c r="R61883" s="64"/>
    </row>
    <row r="61884" spans="3:18" s="8" customFormat="1" x14ac:dyDescent="0.25">
      <c r="C61884" s="60"/>
      <c r="I61884" s="63"/>
      <c r="R61884" s="64"/>
    </row>
    <row r="61885" spans="3:18" s="8" customFormat="1" x14ac:dyDescent="0.25">
      <c r="C61885" s="60"/>
      <c r="I61885" s="63"/>
      <c r="R61885" s="64"/>
    </row>
    <row r="61886" spans="3:18" s="8" customFormat="1" x14ac:dyDescent="0.25">
      <c r="C61886" s="60"/>
      <c r="I61886" s="63"/>
      <c r="R61886" s="64"/>
    </row>
    <row r="61887" spans="3:18" s="8" customFormat="1" x14ac:dyDescent="0.25">
      <c r="C61887" s="60"/>
      <c r="I61887" s="63"/>
      <c r="R61887" s="64"/>
    </row>
    <row r="61888" spans="3:18" s="8" customFormat="1" x14ac:dyDescent="0.25">
      <c r="C61888" s="60"/>
      <c r="I61888" s="63"/>
      <c r="R61888" s="64"/>
    </row>
    <row r="61889" spans="3:18" s="8" customFormat="1" x14ac:dyDescent="0.25">
      <c r="C61889" s="60"/>
      <c r="I61889" s="63"/>
      <c r="R61889" s="64"/>
    </row>
    <row r="61890" spans="3:18" s="8" customFormat="1" x14ac:dyDescent="0.25">
      <c r="C61890" s="60"/>
      <c r="I61890" s="63"/>
      <c r="R61890" s="64"/>
    </row>
    <row r="61891" spans="3:18" s="8" customFormat="1" x14ac:dyDescent="0.25">
      <c r="C61891" s="60"/>
      <c r="I61891" s="63"/>
      <c r="R61891" s="64"/>
    </row>
    <row r="61892" spans="3:18" s="8" customFormat="1" x14ac:dyDescent="0.25">
      <c r="C61892" s="60"/>
      <c r="I61892" s="63"/>
      <c r="R61892" s="64"/>
    </row>
    <row r="61893" spans="3:18" s="8" customFormat="1" x14ac:dyDescent="0.25">
      <c r="C61893" s="60"/>
      <c r="I61893" s="63"/>
      <c r="R61893" s="64"/>
    </row>
    <row r="61894" spans="3:18" s="8" customFormat="1" x14ac:dyDescent="0.25">
      <c r="C61894" s="60"/>
      <c r="I61894" s="63"/>
      <c r="R61894" s="64"/>
    </row>
    <row r="61895" spans="3:18" s="8" customFormat="1" x14ac:dyDescent="0.25">
      <c r="C61895" s="60"/>
      <c r="I61895" s="63"/>
      <c r="R61895" s="64"/>
    </row>
    <row r="61896" spans="3:18" s="8" customFormat="1" x14ac:dyDescent="0.25">
      <c r="C61896" s="60"/>
      <c r="I61896" s="63"/>
      <c r="R61896" s="64"/>
    </row>
    <row r="61897" spans="3:18" s="8" customFormat="1" x14ac:dyDescent="0.25">
      <c r="C61897" s="60"/>
      <c r="I61897" s="63"/>
      <c r="R61897" s="64"/>
    </row>
    <row r="61898" spans="3:18" s="8" customFormat="1" x14ac:dyDescent="0.25">
      <c r="C61898" s="60"/>
      <c r="I61898" s="63"/>
      <c r="R61898" s="64"/>
    </row>
    <row r="61899" spans="3:18" s="8" customFormat="1" x14ac:dyDescent="0.25">
      <c r="C61899" s="60"/>
      <c r="I61899" s="63"/>
      <c r="R61899" s="64"/>
    </row>
    <row r="61900" spans="3:18" s="8" customFormat="1" x14ac:dyDescent="0.25">
      <c r="C61900" s="60"/>
      <c r="I61900" s="63"/>
      <c r="R61900" s="64"/>
    </row>
    <row r="61901" spans="3:18" s="8" customFormat="1" x14ac:dyDescent="0.25">
      <c r="C61901" s="60"/>
      <c r="I61901" s="63"/>
      <c r="R61901" s="64"/>
    </row>
    <row r="61902" spans="3:18" s="8" customFormat="1" x14ac:dyDescent="0.25">
      <c r="C61902" s="60"/>
      <c r="I61902" s="63"/>
      <c r="R61902" s="64"/>
    </row>
    <row r="61903" spans="3:18" s="8" customFormat="1" x14ac:dyDescent="0.25">
      <c r="C61903" s="60"/>
      <c r="I61903" s="63"/>
      <c r="R61903" s="64"/>
    </row>
    <row r="61904" spans="3:18" s="8" customFormat="1" x14ac:dyDescent="0.25">
      <c r="C61904" s="60"/>
      <c r="I61904" s="63"/>
      <c r="R61904" s="64"/>
    </row>
    <row r="61905" spans="3:18" s="8" customFormat="1" x14ac:dyDescent="0.25">
      <c r="C61905" s="60"/>
      <c r="I61905" s="63"/>
      <c r="R61905" s="64"/>
    </row>
    <row r="61906" spans="3:18" s="8" customFormat="1" x14ac:dyDescent="0.25">
      <c r="C61906" s="60"/>
      <c r="I61906" s="63"/>
      <c r="R61906" s="64"/>
    </row>
    <row r="61907" spans="3:18" s="8" customFormat="1" x14ac:dyDescent="0.25">
      <c r="C61907" s="60"/>
      <c r="I61907" s="63"/>
      <c r="R61907" s="64"/>
    </row>
    <row r="61908" spans="3:18" s="8" customFormat="1" x14ac:dyDescent="0.25">
      <c r="C61908" s="60"/>
      <c r="I61908" s="63"/>
      <c r="R61908" s="64"/>
    </row>
    <row r="61909" spans="3:18" s="8" customFormat="1" x14ac:dyDescent="0.25">
      <c r="C61909" s="60"/>
      <c r="I61909" s="63"/>
      <c r="R61909" s="64"/>
    </row>
    <row r="61910" spans="3:18" s="8" customFormat="1" x14ac:dyDescent="0.25">
      <c r="C61910" s="60"/>
      <c r="I61910" s="63"/>
      <c r="R61910" s="64"/>
    </row>
    <row r="61911" spans="3:18" s="8" customFormat="1" x14ac:dyDescent="0.25">
      <c r="C61911" s="60"/>
      <c r="I61911" s="63"/>
      <c r="R61911" s="64"/>
    </row>
    <row r="61912" spans="3:18" s="8" customFormat="1" x14ac:dyDescent="0.25">
      <c r="C61912" s="60"/>
      <c r="I61912" s="63"/>
      <c r="R61912" s="64"/>
    </row>
    <row r="61913" spans="3:18" s="8" customFormat="1" x14ac:dyDescent="0.25">
      <c r="C61913" s="60"/>
      <c r="I61913" s="63"/>
      <c r="R61913" s="64"/>
    </row>
    <row r="61914" spans="3:18" s="8" customFormat="1" x14ac:dyDescent="0.25">
      <c r="C61914" s="60"/>
      <c r="I61914" s="63"/>
      <c r="R61914" s="64"/>
    </row>
    <row r="61915" spans="3:18" s="8" customFormat="1" x14ac:dyDescent="0.25">
      <c r="C61915" s="60"/>
      <c r="I61915" s="63"/>
      <c r="R61915" s="64"/>
    </row>
    <row r="61916" spans="3:18" s="8" customFormat="1" x14ac:dyDescent="0.25">
      <c r="C61916" s="60"/>
      <c r="I61916" s="63"/>
      <c r="R61916" s="64"/>
    </row>
    <row r="61917" spans="3:18" s="8" customFormat="1" x14ac:dyDescent="0.25">
      <c r="C61917" s="60"/>
      <c r="I61917" s="63"/>
      <c r="R61917" s="64"/>
    </row>
    <row r="61918" spans="3:18" s="8" customFormat="1" x14ac:dyDescent="0.25">
      <c r="C61918" s="60"/>
      <c r="I61918" s="63"/>
      <c r="R61918" s="64"/>
    </row>
    <row r="61919" spans="3:18" s="8" customFormat="1" x14ac:dyDescent="0.25">
      <c r="C61919" s="60"/>
      <c r="I61919" s="63"/>
      <c r="R61919" s="64"/>
    </row>
    <row r="61920" spans="3:18" s="8" customFormat="1" x14ac:dyDescent="0.25">
      <c r="C61920" s="60"/>
      <c r="I61920" s="63"/>
      <c r="R61920" s="64"/>
    </row>
    <row r="61921" spans="3:18" s="8" customFormat="1" x14ac:dyDescent="0.25">
      <c r="C61921" s="60"/>
      <c r="I61921" s="63"/>
      <c r="R61921" s="64"/>
    </row>
    <row r="61922" spans="3:18" s="8" customFormat="1" x14ac:dyDescent="0.25">
      <c r="C61922" s="60"/>
      <c r="I61922" s="63"/>
      <c r="R61922" s="64"/>
    </row>
    <row r="61923" spans="3:18" s="8" customFormat="1" x14ac:dyDescent="0.25">
      <c r="C61923" s="60"/>
      <c r="I61923" s="63"/>
      <c r="R61923" s="64"/>
    </row>
    <row r="61924" spans="3:18" s="8" customFormat="1" x14ac:dyDescent="0.25">
      <c r="C61924" s="60"/>
      <c r="I61924" s="63"/>
      <c r="R61924" s="64"/>
    </row>
    <row r="61925" spans="3:18" s="8" customFormat="1" x14ac:dyDescent="0.25">
      <c r="C61925" s="60"/>
      <c r="I61925" s="63"/>
      <c r="R61925" s="64"/>
    </row>
    <row r="61926" spans="3:18" s="8" customFormat="1" x14ac:dyDescent="0.25">
      <c r="C61926" s="60"/>
      <c r="I61926" s="63"/>
      <c r="R61926" s="64"/>
    </row>
    <row r="61927" spans="3:18" s="8" customFormat="1" x14ac:dyDescent="0.25">
      <c r="C61927" s="60"/>
      <c r="I61927" s="63"/>
      <c r="R61927" s="64"/>
    </row>
    <row r="61928" spans="3:18" s="8" customFormat="1" x14ac:dyDescent="0.25">
      <c r="C61928" s="60"/>
      <c r="I61928" s="63"/>
      <c r="R61928" s="64"/>
    </row>
    <row r="61929" spans="3:18" s="8" customFormat="1" x14ac:dyDescent="0.25">
      <c r="C61929" s="60"/>
      <c r="I61929" s="63"/>
      <c r="R61929" s="64"/>
    </row>
    <row r="61930" spans="3:18" s="8" customFormat="1" x14ac:dyDescent="0.25">
      <c r="C61930" s="60"/>
      <c r="I61930" s="63"/>
      <c r="R61930" s="64"/>
    </row>
    <row r="61931" spans="3:18" s="8" customFormat="1" x14ac:dyDescent="0.25">
      <c r="C61931" s="60"/>
      <c r="I61931" s="63"/>
      <c r="R61931" s="64"/>
    </row>
    <row r="61932" spans="3:18" s="8" customFormat="1" x14ac:dyDescent="0.25">
      <c r="C61932" s="60"/>
      <c r="I61932" s="63"/>
      <c r="R61932" s="64"/>
    </row>
    <row r="61933" spans="3:18" s="8" customFormat="1" x14ac:dyDescent="0.25">
      <c r="C61933" s="60"/>
      <c r="I61933" s="63"/>
      <c r="R61933" s="64"/>
    </row>
    <row r="61934" spans="3:18" s="8" customFormat="1" x14ac:dyDescent="0.25">
      <c r="C61934" s="60"/>
      <c r="I61934" s="63"/>
      <c r="R61934" s="64"/>
    </row>
    <row r="61935" spans="3:18" s="8" customFormat="1" x14ac:dyDescent="0.25">
      <c r="C61935" s="60"/>
      <c r="I61935" s="63"/>
      <c r="R61935" s="64"/>
    </row>
    <row r="61936" spans="3:18" s="8" customFormat="1" x14ac:dyDescent="0.25">
      <c r="C61936" s="60"/>
      <c r="I61936" s="63"/>
      <c r="R61936" s="64"/>
    </row>
    <row r="61937" spans="3:18" s="8" customFormat="1" x14ac:dyDescent="0.25">
      <c r="C61937" s="60"/>
      <c r="I61937" s="63"/>
      <c r="R61937" s="64"/>
    </row>
    <row r="61938" spans="3:18" s="8" customFormat="1" x14ac:dyDescent="0.25">
      <c r="C61938" s="60"/>
      <c r="I61938" s="63"/>
      <c r="R61938" s="64"/>
    </row>
    <row r="61939" spans="3:18" s="8" customFormat="1" x14ac:dyDescent="0.25">
      <c r="C61939" s="60"/>
      <c r="I61939" s="63"/>
      <c r="R61939" s="64"/>
    </row>
    <row r="61940" spans="3:18" s="8" customFormat="1" x14ac:dyDescent="0.25">
      <c r="C61940" s="60"/>
      <c r="I61940" s="63"/>
      <c r="R61940" s="64"/>
    </row>
    <row r="61941" spans="3:18" s="8" customFormat="1" x14ac:dyDescent="0.25">
      <c r="C61941" s="60"/>
      <c r="I61941" s="63"/>
      <c r="R61941" s="64"/>
    </row>
    <row r="61942" spans="3:18" s="8" customFormat="1" x14ac:dyDescent="0.25">
      <c r="C61942" s="60"/>
      <c r="I61942" s="63"/>
      <c r="R61942" s="64"/>
    </row>
    <row r="61943" spans="3:18" s="8" customFormat="1" x14ac:dyDescent="0.25">
      <c r="C61943" s="60"/>
      <c r="I61943" s="63"/>
      <c r="R61943" s="64"/>
    </row>
    <row r="61944" spans="3:18" s="8" customFormat="1" x14ac:dyDescent="0.25">
      <c r="C61944" s="60"/>
      <c r="I61944" s="63"/>
      <c r="R61944" s="64"/>
    </row>
    <row r="61945" spans="3:18" s="8" customFormat="1" x14ac:dyDescent="0.25">
      <c r="C61945" s="60"/>
      <c r="I61945" s="63"/>
      <c r="R61945" s="64"/>
    </row>
    <row r="61946" spans="3:18" s="8" customFormat="1" x14ac:dyDescent="0.25">
      <c r="C61946" s="60"/>
      <c r="I61946" s="63"/>
      <c r="R61946" s="64"/>
    </row>
    <row r="61947" spans="3:18" s="8" customFormat="1" x14ac:dyDescent="0.25">
      <c r="C61947" s="60"/>
      <c r="I61947" s="63"/>
      <c r="R61947" s="64"/>
    </row>
    <row r="61948" spans="3:18" s="8" customFormat="1" x14ac:dyDescent="0.25">
      <c r="C61948" s="60"/>
      <c r="I61948" s="63"/>
      <c r="R61948" s="64"/>
    </row>
    <row r="61949" spans="3:18" s="8" customFormat="1" x14ac:dyDescent="0.25">
      <c r="C61949" s="60"/>
      <c r="I61949" s="63"/>
      <c r="R61949" s="64"/>
    </row>
    <row r="61950" spans="3:18" s="8" customFormat="1" x14ac:dyDescent="0.25">
      <c r="C61950" s="60"/>
      <c r="I61950" s="63"/>
      <c r="R61950" s="64"/>
    </row>
    <row r="61951" spans="3:18" s="8" customFormat="1" x14ac:dyDescent="0.25">
      <c r="C61951" s="60"/>
      <c r="I61951" s="63"/>
      <c r="R61951" s="64"/>
    </row>
    <row r="61952" spans="3:18" s="8" customFormat="1" x14ac:dyDescent="0.25">
      <c r="C61952" s="60"/>
      <c r="I61952" s="63"/>
      <c r="R61952" s="64"/>
    </row>
    <row r="61953" spans="3:18" s="8" customFormat="1" x14ac:dyDescent="0.25">
      <c r="C61953" s="60"/>
      <c r="I61953" s="63"/>
      <c r="R61953" s="64"/>
    </row>
    <row r="61954" spans="3:18" s="8" customFormat="1" x14ac:dyDescent="0.25">
      <c r="C61954" s="60"/>
      <c r="I61954" s="63"/>
      <c r="R61954" s="64"/>
    </row>
    <row r="61955" spans="3:18" s="8" customFormat="1" x14ac:dyDescent="0.25">
      <c r="C61955" s="60"/>
      <c r="I61955" s="63"/>
      <c r="R61955" s="64"/>
    </row>
    <row r="61956" spans="3:18" s="8" customFormat="1" x14ac:dyDescent="0.25">
      <c r="C61956" s="60"/>
      <c r="I61956" s="63"/>
      <c r="R61956" s="64"/>
    </row>
    <row r="61957" spans="3:18" s="8" customFormat="1" x14ac:dyDescent="0.25">
      <c r="C61957" s="60"/>
      <c r="I61957" s="63"/>
      <c r="R61957" s="64"/>
    </row>
    <row r="61958" spans="3:18" s="8" customFormat="1" x14ac:dyDescent="0.25">
      <c r="C61958" s="60"/>
      <c r="I61958" s="63"/>
      <c r="R61958" s="64"/>
    </row>
    <row r="61959" spans="3:18" s="8" customFormat="1" x14ac:dyDescent="0.25">
      <c r="C61959" s="60"/>
      <c r="I61959" s="63"/>
      <c r="R61959" s="64"/>
    </row>
    <row r="61960" spans="3:18" s="8" customFormat="1" x14ac:dyDescent="0.25">
      <c r="C61960" s="60"/>
      <c r="I61960" s="63"/>
      <c r="R61960" s="64"/>
    </row>
    <row r="61961" spans="3:18" s="8" customFormat="1" x14ac:dyDescent="0.25">
      <c r="C61961" s="60"/>
      <c r="I61961" s="63"/>
      <c r="R61961" s="64"/>
    </row>
    <row r="61962" spans="3:18" s="8" customFormat="1" x14ac:dyDescent="0.25">
      <c r="C61962" s="60"/>
      <c r="I61962" s="63"/>
      <c r="R61962" s="64"/>
    </row>
    <row r="61963" spans="3:18" s="8" customFormat="1" x14ac:dyDescent="0.25">
      <c r="C61963" s="60"/>
      <c r="I61963" s="63"/>
      <c r="R61963" s="64"/>
    </row>
    <row r="61964" spans="3:18" s="8" customFormat="1" x14ac:dyDescent="0.25">
      <c r="C61964" s="60"/>
      <c r="I61964" s="63"/>
      <c r="R61964" s="64"/>
    </row>
    <row r="61965" spans="3:18" s="8" customFormat="1" x14ac:dyDescent="0.25">
      <c r="C61965" s="60"/>
      <c r="I61965" s="63"/>
      <c r="R61965" s="64"/>
    </row>
    <row r="61966" spans="3:18" s="8" customFormat="1" x14ac:dyDescent="0.25">
      <c r="C61966" s="60"/>
      <c r="I61966" s="63"/>
      <c r="R61966" s="64"/>
    </row>
    <row r="61967" spans="3:18" s="8" customFormat="1" x14ac:dyDescent="0.25">
      <c r="C61967" s="60"/>
      <c r="I61967" s="63"/>
      <c r="R61967" s="64"/>
    </row>
    <row r="61968" spans="3:18" s="8" customFormat="1" x14ac:dyDescent="0.25">
      <c r="C61968" s="60"/>
      <c r="I61968" s="63"/>
      <c r="R61968" s="64"/>
    </row>
    <row r="61969" spans="3:18" s="8" customFormat="1" x14ac:dyDescent="0.25">
      <c r="C61969" s="60"/>
      <c r="I61969" s="63"/>
      <c r="R61969" s="64"/>
    </row>
    <row r="61970" spans="3:18" s="8" customFormat="1" x14ac:dyDescent="0.25">
      <c r="C61970" s="60"/>
      <c r="I61970" s="63"/>
      <c r="R61970" s="64"/>
    </row>
    <row r="61971" spans="3:18" s="8" customFormat="1" x14ac:dyDescent="0.25">
      <c r="C61971" s="60"/>
      <c r="I61971" s="63"/>
      <c r="R61971" s="64"/>
    </row>
    <row r="61972" spans="3:18" s="8" customFormat="1" x14ac:dyDescent="0.25">
      <c r="C61972" s="60"/>
      <c r="I61972" s="63"/>
      <c r="R61972" s="64"/>
    </row>
    <row r="61973" spans="3:18" s="8" customFormat="1" x14ac:dyDescent="0.25">
      <c r="C61973" s="60"/>
      <c r="I61973" s="63"/>
      <c r="R61973" s="64"/>
    </row>
    <row r="61974" spans="3:18" s="8" customFormat="1" x14ac:dyDescent="0.25">
      <c r="C61974" s="60"/>
      <c r="I61974" s="63"/>
      <c r="R61974" s="64"/>
    </row>
    <row r="61975" spans="3:18" s="8" customFormat="1" x14ac:dyDescent="0.25">
      <c r="C61975" s="60"/>
      <c r="I61975" s="63"/>
      <c r="R61975" s="64"/>
    </row>
    <row r="61976" spans="3:18" s="8" customFormat="1" x14ac:dyDescent="0.25">
      <c r="C61976" s="60"/>
      <c r="I61976" s="63"/>
      <c r="R61976" s="64"/>
    </row>
    <row r="61977" spans="3:18" s="8" customFormat="1" x14ac:dyDescent="0.25">
      <c r="C61977" s="60"/>
      <c r="I61977" s="63"/>
      <c r="R61977" s="64"/>
    </row>
    <row r="61978" spans="3:18" s="8" customFormat="1" x14ac:dyDescent="0.25">
      <c r="C61978" s="60"/>
      <c r="I61978" s="63"/>
      <c r="R61978" s="64"/>
    </row>
    <row r="61979" spans="3:18" s="8" customFormat="1" x14ac:dyDescent="0.25">
      <c r="C61979" s="60"/>
      <c r="I61979" s="63"/>
      <c r="R61979" s="64"/>
    </row>
    <row r="61980" spans="3:18" s="8" customFormat="1" x14ac:dyDescent="0.25">
      <c r="C61980" s="60"/>
      <c r="I61980" s="63"/>
      <c r="R61980" s="64"/>
    </row>
    <row r="61981" spans="3:18" s="8" customFormat="1" x14ac:dyDescent="0.25">
      <c r="C61981" s="60"/>
      <c r="I61981" s="63"/>
      <c r="R61981" s="64"/>
    </row>
    <row r="61982" spans="3:18" s="8" customFormat="1" x14ac:dyDescent="0.25">
      <c r="C61982" s="60"/>
      <c r="I61982" s="63"/>
      <c r="R61982" s="64"/>
    </row>
    <row r="61983" spans="3:18" s="8" customFormat="1" x14ac:dyDescent="0.25">
      <c r="C61983" s="60"/>
      <c r="I61983" s="63"/>
      <c r="R61983" s="64"/>
    </row>
    <row r="61984" spans="3:18" s="8" customFormat="1" x14ac:dyDescent="0.25">
      <c r="C61984" s="60"/>
      <c r="I61984" s="63"/>
      <c r="R61984" s="64"/>
    </row>
    <row r="61985" spans="3:18" s="8" customFormat="1" x14ac:dyDescent="0.25">
      <c r="C61985" s="60"/>
      <c r="I61985" s="63"/>
      <c r="R61985" s="64"/>
    </row>
    <row r="61986" spans="3:18" s="8" customFormat="1" x14ac:dyDescent="0.25">
      <c r="C61986" s="60"/>
      <c r="I61986" s="63"/>
      <c r="R61986" s="64"/>
    </row>
    <row r="61987" spans="3:18" s="8" customFormat="1" x14ac:dyDescent="0.25">
      <c r="C61987" s="60"/>
      <c r="I61987" s="63"/>
      <c r="R61987" s="64"/>
    </row>
    <row r="61988" spans="3:18" s="8" customFormat="1" x14ac:dyDescent="0.25">
      <c r="C61988" s="60"/>
      <c r="I61988" s="63"/>
      <c r="R61988" s="64"/>
    </row>
    <row r="61989" spans="3:18" s="8" customFormat="1" x14ac:dyDescent="0.25">
      <c r="C61989" s="60"/>
      <c r="I61989" s="63"/>
      <c r="R61989" s="64"/>
    </row>
    <row r="61990" spans="3:18" s="8" customFormat="1" x14ac:dyDescent="0.25">
      <c r="C61990" s="60"/>
      <c r="I61990" s="63"/>
      <c r="R61990" s="64"/>
    </row>
    <row r="61991" spans="3:18" s="8" customFormat="1" x14ac:dyDescent="0.25">
      <c r="C61991" s="60"/>
      <c r="I61991" s="63"/>
      <c r="R61991" s="64"/>
    </row>
    <row r="61992" spans="3:18" s="8" customFormat="1" x14ac:dyDescent="0.25">
      <c r="C61992" s="60"/>
      <c r="I61992" s="63"/>
      <c r="R61992" s="64"/>
    </row>
    <row r="61993" spans="3:18" s="8" customFormat="1" x14ac:dyDescent="0.25">
      <c r="C61993" s="60"/>
      <c r="I61993" s="63"/>
      <c r="R61993" s="64"/>
    </row>
    <row r="61994" spans="3:18" s="8" customFormat="1" x14ac:dyDescent="0.25">
      <c r="C61994" s="60"/>
      <c r="I61994" s="63"/>
      <c r="R61994" s="64"/>
    </row>
    <row r="61995" spans="3:18" s="8" customFormat="1" x14ac:dyDescent="0.25">
      <c r="C61995" s="60"/>
      <c r="I61995" s="63"/>
      <c r="R61995" s="64"/>
    </row>
    <row r="61996" spans="3:18" s="8" customFormat="1" x14ac:dyDescent="0.25">
      <c r="C61996" s="60"/>
      <c r="I61996" s="63"/>
      <c r="R61996" s="64"/>
    </row>
    <row r="61997" spans="3:18" s="8" customFormat="1" x14ac:dyDescent="0.25">
      <c r="C61997" s="60"/>
      <c r="I61997" s="63"/>
      <c r="R61997" s="64"/>
    </row>
    <row r="61998" spans="3:18" s="8" customFormat="1" x14ac:dyDescent="0.25">
      <c r="C61998" s="60"/>
      <c r="I61998" s="63"/>
      <c r="R61998" s="64"/>
    </row>
    <row r="61999" spans="3:18" s="8" customFormat="1" x14ac:dyDescent="0.25">
      <c r="C61999" s="60"/>
      <c r="I61999" s="63"/>
      <c r="R61999" s="64"/>
    </row>
    <row r="62000" spans="3:18" s="8" customFormat="1" x14ac:dyDescent="0.25">
      <c r="C62000" s="60"/>
      <c r="I62000" s="63"/>
      <c r="R62000" s="64"/>
    </row>
    <row r="62001" spans="3:18" s="8" customFormat="1" x14ac:dyDescent="0.25">
      <c r="C62001" s="60"/>
      <c r="I62001" s="63"/>
      <c r="R62001" s="64"/>
    </row>
    <row r="62002" spans="3:18" s="8" customFormat="1" x14ac:dyDescent="0.25">
      <c r="C62002" s="60"/>
      <c r="I62002" s="63"/>
      <c r="R62002" s="64"/>
    </row>
    <row r="62003" spans="3:18" s="8" customFormat="1" x14ac:dyDescent="0.25">
      <c r="C62003" s="60"/>
      <c r="I62003" s="63"/>
      <c r="R62003" s="64"/>
    </row>
    <row r="62004" spans="3:18" s="8" customFormat="1" x14ac:dyDescent="0.25">
      <c r="C62004" s="60"/>
      <c r="I62004" s="63"/>
      <c r="R62004" s="64"/>
    </row>
    <row r="62005" spans="3:18" s="8" customFormat="1" x14ac:dyDescent="0.25">
      <c r="C62005" s="60"/>
      <c r="I62005" s="63"/>
      <c r="R62005" s="64"/>
    </row>
    <row r="62006" spans="3:18" s="8" customFormat="1" x14ac:dyDescent="0.25">
      <c r="C62006" s="60"/>
      <c r="I62006" s="63"/>
      <c r="R62006" s="64"/>
    </row>
    <row r="62007" spans="3:18" s="8" customFormat="1" x14ac:dyDescent="0.25">
      <c r="C62007" s="60"/>
      <c r="I62007" s="63"/>
      <c r="R62007" s="64"/>
    </row>
    <row r="62008" spans="3:18" s="8" customFormat="1" x14ac:dyDescent="0.25">
      <c r="C62008" s="60"/>
      <c r="I62008" s="63"/>
      <c r="R62008" s="64"/>
    </row>
    <row r="62009" spans="3:18" s="8" customFormat="1" x14ac:dyDescent="0.25">
      <c r="C62009" s="60"/>
      <c r="I62009" s="63"/>
      <c r="R62009" s="64"/>
    </row>
    <row r="62010" spans="3:18" s="8" customFormat="1" x14ac:dyDescent="0.25">
      <c r="C62010" s="60"/>
      <c r="I62010" s="63"/>
      <c r="R62010" s="64"/>
    </row>
    <row r="62011" spans="3:18" s="8" customFormat="1" x14ac:dyDescent="0.25">
      <c r="C62011" s="60"/>
      <c r="I62011" s="63"/>
      <c r="R62011" s="64"/>
    </row>
    <row r="62012" spans="3:18" s="8" customFormat="1" x14ac:dyDescent="0.25">
      <c r="C62012" s="60"/>
      <c r="I62012" s="63"/>
      <c r="R62012" s="64"/>
    </row>
    <row r="62013" spans="3:18" s="8" customFormat="1" x14ac:dyDescent="0.25">
      <c r="C62013" s="60"/>
      <c r="I62013" s="63"/>
      <c r="R62013" s="64"/>
    </row>
    <row r="62014" spans="3:18" s="8" customFormat="1" x14ac:dyDescent="0.25">
      <c r="C62014" s="60"/>
      <c r="I62014" s="63"/>
      <c r="R62014" s="64"/>
    </row>
    <row r="62015" spans="3:18" s="8" customFormat="1" x14ac:dyDescent="0.25">
      <c r="C62015" s="60"/>
      <c r="I62015" s="63"/>
      <c r="R62015" s="64"/>
    </row>
    <row r="62016" spans="3:18" s="8" customFormat="1" x14ac:dyDescent="0.25">
      <c r="C62016" s="60"/>
      <c r="I62016" s="63"/>
      <c r="R62016" s="64"/>
    </row>
    <row r="62017" spans="3:18" s="8" customFormat="1" x14ac:dyDescent="0.25">
      <c r="C62017" s="60"/>
      <c r="I62017" s="63"/>
      <c r="R62017" s="64"/>
    </row>
    <row r="62018" spans="3:18" s="8" customFormat="1" x14ac:dyDescent="0.25">
      <c r="C62018" s="60"/>
      <c r="I62018" s="63"/>
      <c r="R62018" s="64"/>
    </row>
    <row r="62019" spans="3:18" s="8" customFormat="1" x14ac:dyDescent="0.25">
      <c r="C62019" s="60"/>
      <c r="I62019" s="63"/>
      <c r="R62019" s="64"/>
    </row>
    <row r="62020" spans="3:18" s="8" customFormat="1" x14ac:dyDescent="0.25">
      <c r="C62020" s="60"/>
      <c r="I62020" s="63"/>
      <c r="R62020" s="64"/>
    </row>
    <row r="62021" spans="3:18" s="8" customFormat="1" x14ac:dyDescent="0.25">
      <c r="C62021" s="60"/>
      <c r="I62021" s="63"/>
      <c r="R62021" s="64"/>
    </row>
    <row r="62022" spans="3:18" s="8" customFormat="1" x14ac:dyDescent="0.25">
      <c r="C62022" s="60"/>
      <c r="I62022" s="63"/>
      <c r="R62022" s="64"/>
    </row>
    <row r="62023" spans="3:18" s="8" customFormat="1" x14ac:dyDescent="0.25">
      <c r="C62023" s="60"/>
      <c r="I62023" s="63"/>
      <c r="R62023" s="64"/>
    </row>
    <row r="62024" spans="3:18" s="8" customFormat="1" x14ac:dyDescent="0.25">
      <c r="C62024" s="60"/>
      <c r="I62024" s="63"/>
      <c r="R62024" s="64"/>
    </row>
    <row r="62025" spans="3:18" s="8" customFormat="1" x14ac:dyDescent="0.25">
      <c r="C62025" s="60"/>
      <c r="I62025" s="63"/>
      <c r="R62025" s="64"/>
    </row>
    <row r="62026" spans="3:18" s="8" customFormat="1" x14ac:dyDescent="0.25">
      <c r="C62026" s="60"/>
      <c r="I62026" s="63"/>
      <c r="R62026" s="64"/>
    </row>
    <row r="62027" spans="3:18" s="8" customFormat="1" x14ac:dyDescent="0.25">
      <c r="C62027" s="60"/>
      <c r="I62027" s="63"/>
      <c r="R62027" s="64"/>
    </row>
    <row r="62028" spans="3:18" s="8" customFormat="1" x14ac:dyDescent="0.25">
      <c r="C62028" s="60"/>
      <c r="I62028" s="63"/>
      <c r="R62028" s="64"/>
    </row>
    <row r="62029" spans="3:18" s="8" customFormat="1" x14ac:dyDescent="0.25">
      <c r="C62029" s="60"/>
      <c r="I62029" s="63"/>
      <c r="R62029" s="64"/>
    </row>
    <row r="62030" spans="3:18" s="8" customFormat="1" x14ac:dyDescent="0.25">
      <c r="C62030" s="60"/>
      <c r="I62030" s="63"/>
      <c r="R62030" s="64"/>
    </row>
    <row r="62031" spans="3:18" s="8" customFormat="1" x14ac:dyDescent="0.25">
      <c r="C62031" s="60"/>
      <c r="I62031" s="63"/>
      <c r="R62031" s="64"/>
    </row>
    <row r="62032" spans="3:18" s="8" customFormat="1" x14ac:dyDescent="0.25">
      <c r="C62032" s="60"/>
      <c r="I62032" s="63"/>
      <c r="R62032" s="64"/>
    </row>
    <row r="62033" spans="3:18" s="8" customFormat="1" x14ac:dyDescent="0.25">
      <c r="C62033" s="60"/>
      <c r="I62033" s="63"/>
      <c r="R62033" s="64"/>
    </row>
    <row r="62034" spans="3:18" s="8" customFormat="1" x14ac:dyDescent="0.25">
      <c r="C62034" s="60"/>
      <c r="I62034" s="63"/>
      <c r="R62034" s="64"/>
    </row>
    <row r="62035" spans="3:18" s="8" customFormat="1" x14ac:dyDescent="0.25">
      <c r="C62035" s="60"/>
      <c r="I62035" s="63"/>
      <c r="R62035" s="64"/>
    </row>
    <row r="62036" spans="3:18" s="8" customFormat="1" x14ac:dyDescent="0.25">
      <c r="C62036" s="60"/>
      <c r="I62036" s="63"/>
      <c r="R62036" s="64"/>
    </row>
    <row r="62037" spans="3:18" s="8" customFormat="1" x14ac:dyDescent="0.25">
      <c r="C62037" s="60"/>
      <c r="I62037" s="63"/>
      <c r="R62037" s="64"/>
    </row>
    <row r="62038" spans="3:18" s="8" customFormat="1" x14ac:dyDescent="0.25">
      <c r="C62038" s="60"/>
      <c r="I62038" s="63"/>
      <c r="R62038" s="64"/>
    </row>
    <row r="62039" spans="3:18" s="8" customFormat="1" x14ac:dyDescent="0.25">
      <c r="C62039" s="60"/>
      <c r="I62039" s="63"/>
      <c r="R62039" s="64"/>
    </row>
    <row r="62040" spans="3:18" s="8" customFormat="1" x14ac:dyDescent="0.25">
      <c r="C62040" s="60"/>
      <c r="I62040" s="63"/>
      <c r="R62040" s="64"/>
    </row>
    <row r="62041" spans="3:18" s="8" customFormat="1" x14ac:dyDescent="0.25">
      <c r="C62041" s="60"/>
      <c r="I62041" s="63"/>
      <c r="R62041" s="64"/>
    </row>
    <row r="62042" spans="3:18" s="8" customFormat="1" x14ac:dyDescent="0.25">
      <c r="C62042" s="60"/>
      <c r="I62042" s="63"/>
      <c r="R62042" s="64"/>
    </row>
    <row r="62043" spans="3:18" s="8" customFormat="1" x14ac:dyDescent="0.25">
      <c r="C62043" s="60"/>
      <c r="I62043" s="63"/>
      <c r="R62043" s="64"/>
    </row>
    <row r="62044" spans="3:18" s="8" customFormat="1" x14ac:dyDescent="0.25">
      <c r="C62044" s="60"/>
      <c r="I62044" s="63"/>
      <c r="R62044" s="64"/>
    </row>
    <row r="62045" spans="3:18" s="8" customFormat="1" x14ac:dyDescent="0.25">
      <c r="C62045" s="60"/>
      <c r="I62045" s="63"/>
      <c r="R62045" s="64"/>
    </row>
    <row r="62046" spans="3:18" s="8" customFormat="1" x14ac:dyDescent="0.25">
      <c r="C62046" s="60"/>
      <c r="I62046" s="63"/>
      <c r="R62046" s="64"/>
    </row>
    <row r="62047" spans="3:18" s="8" customFormat="1" x14ac:dyDescent="0.25">
      <c r="C62047" s="60"/>
      <c r="I62047" s="63"/>
      <c r="R62047" s="64"/>
    </row>
    <row r="62048" spans="3:18" s="8" customFormat="1" x14ac:dyDescent="0.25">
      <c r="C62048" s="60"/>
      <c r="I62048" s="63"/>
      <c r="R62048" s="64"/>
    </row>
    <row r="62049" spans="3:18" s="8" customFormat="1" x14ac:dyDescent="0.25">
      <c r="C62049" s="60"/>
      <c r="I62049" s="63"/>
      <c r="R62049" s="64"/>
    </row>
    <row r="62050" spans="3:18" s="8" customFormat="1" x14ac:dyDescent="0.25">
      <c r="C62050" s="60"/>
      <c r="I62050" s="63"/>
      <c r="R62050" s="64"/>
    </row>
    <row r="62051" spans="3:18" s="8" customFormat="1" x14ac:dyDescent="0.25">
      <c r="C62051" s="60"/>
      <c r="I62051" s="63"/>
      <c r="R62051" s="64"/>
    </row>
    <row r="62052" spans="3:18" s="8" customFormat="1" x14ac:dyDescent="0.25">
      <c r="C62052" s="60"/>
      <c r="I62052" s="63"/>
      <c r="R62052" s="64"/>
    </row>
    <row r="62053" spans="3:18" s="8" customFormat="1" x14ac:dyDescent="0.25">
      <c r="C62053" s="60"/>
      <c r="I62053" s="63"/>
      <c r="R62053" s="64"/>
    </row>
    <row r="62054" spans="3:18" s="8" customFormat="1" x14ac:dyDescent="0.25">
      <c r="C62054" s="60"/>
      <c r="I62054" s="63"/>
      <c r="R62054" s="64"/>
    </row>
    <row r="62055" spans="3:18" s="8" customFormat="1" x14ac:dyDescent="0.25">
      <c r="C62055" s="60"/>
      <c r="I62055" s="63"/>
      <c r="R62055" s="64"/>
    </row>
    <row r="62056" spans="3:18" s="8" customFormat="1" x14ac:dyDescent="0.25">
      <c r="C62056" s="60"/>
      <c r="I62056" s="63"/>
      <c r="R62056" s="64"/>
    </row>
    <row r="62057" spans="3:18" s="8" customFormat="1" x14ac:dyDescent="0.25">
      <c r="C62057" s="60"/>
      <c r="I62057" s="63"/>
      <c r="R62057" s="64"/>
    </row>
    <row r="62058" spans="3:18" s="8" customFormat="1" x14ac:dyDescent="0.25">
      <c r="C62058" s="60"/>
      <c r="I62058" s="63"/>
      <c r="R62058" s="64"/>
    </row>
    <row r="62059" spans="3:18" s="8" customFormat="1" x14ac:dyDescent="0.25">
      <c r="C62059" s="60"/>
      <c r="I62059" s="63"/>
      <c r="R62059" s="64"/>
    </row>
    <row r="62060" spans="3:18" s="8" customFormat="1" x14ac:dyDescent="0.25">
      <c r="C62060" s="60"/>
      <c r="I62060" s="63"/>
      <c r="R62060" s="64"/>
    </row>
    <row r="62061" spans="3:18" s="8" customFormat="1" x14ac:dyDescent="0.25">
      <c r="C62061" s="60"/>
      <c r="I62061" s="63"/>
      <c r="R62061" s="64"/>
    </row>
    <row r="62062" spans="3:18" s="8" customFormat="1" x14ac:dyDescent="0.25">
      <c r="C62062" s="60"/>
      <c r="I62062" s="63"/>
      <c r="R62062" s="64"/>
    </row>
    <row r="62063" spans="3:18" s="8" customFormat="1" x14ac:dyDescent="0.25">
      <c r="C62063" s="60"/>
      <c r="I62063" s="63"/>
      <c r="R62063" s="64"/>
    </row>
    <row r="62064" spans="3:18" s="8" customFormat="1" x14ac:dyDescent="0.25">
      <c r="C62064" s="60"/>
      <c r="I62064" s="63"/>
      <c r="R62064" s="64"/>
    </row>
    <row r="62065" spans="3:18" s="8" customFormat="1" x14ac:dyDescent="0.25">
      <c r="C62065" s="60"/>
      <c r="I62065" s="63"/>
      <c r="R62065" s="64"/>
    </row>
    <row r="62066" spans="3:18" s="8" customFormat="1" x14ac:dyDescent="0.25">
      <c r="C62066" s="60"/>
      <c r="I62066" s="63"/>
      <c r="R62066" s="64"/>
    </row>
    <row r="62067" spans="3:18" s="8" customFormat="1" x14ac:dyDescent="0.25">
      <c r="C62067" s="60"/>
      <c r="I62067" s="63"/>
      <c r="R62067" s="64"/>
    </row>
    <row r="62068" spans="3:18" s="8" customFormat="1" x14ac:dyDescent="0.25">
      <c r="C62068" s="60"/>
      <c r="I62068" s="63"/>
      <c r="R62068" s="64"/>
    </row>
    <row r="62069" spans="3:18" s="8" customFormat="1" x14ac:dyDescent="0.25">
      <c r="C62069" s="60"/>
      <c r="I62069" s="63"/>
      <c r="R62069" s="64"/>
    </row>
    <row r="62070" spans="3:18" s="8" customFormat="1" x14ac:dyDescent="0.25">
      <c r="C62070" s="60"/>
      <c r="I62070" s="63"/>
      <c r="R62070" s="64"/>
    </row>
    <row r="62071" spans="3:18" s="8" customFormat="1" x14ac:dyDescent="0.25">
      <c r="C62071" s="60"/>
      <c r="I62071" s="63"/>
      <c r="R62071" s="64"/>
    </row>
    <row r="62072" spans="3:18" s="8" customFormat="1" x14ac:dyDescent="0.25">
      <c r="C62072" s="60"/>
      <c r="I62072" s="63"/>
      <c r="R62072" s="64"/>
    </row>
    <row r="62073" spans="3:18" s="8" customFormat="1" x14ac:dyDescent="0.25">
      <c r="C62073" s="60"/>
      <c r="I62073" s="63"/>
      <c r="R62073" s="64"/>
    </row>
    <row r="62074" spans="3:18" s="8" customFormat="1" x14ac:dyDescent="0.25">
      <c r="C62074" s="60"/>
      <c r="I62074" s="63"/>
      <c r="R62074" s="64"/>
    </row>
    <row r="62075" spans="3:18" s="8" customFormat="1" x14ac:dyDescent="0.25">
      <c r="C62075" s="60"/>
      <c r="I62075" s="63"/>
      <c r="R62075" s="64"/>
    </row>
    <row r="62076" spans="3:18" s="8" customFormat="1" x14ac:dyDescent="0.25">
      <c r="C62076" s="60"/>
      <c r="I62076" s="63"/>
      <c r="R62076" s="64"/>
    </row>
    <row r="62077" spans="3:18" s="8" customFormat="1" x14ac:dyDescent="0.25">
      <c r="C62077" s="60"/>
      <c r="I62077" s="63"/>
      <c r="R62077" s="64"/>
    </row>
    <row r="62078" spans="3:18" s="8" customFormat="1" x14ac:dyDescent="0.25">
      <c r="C62078" s="60"/>
      <c r="I62078" s="63"/>
      <c r="R62078" s="64"/>
    </row>
    <row r="62079" spans="3:18" s="8" customFormat="1" x14ac:dyDescent="0.25">
      <c r="C62079" s="60"/>
      <c r="I62079" s="63"/>
      <c r="R62079" s="64"/>
    </row>
    <row r="62080" spans="3:18" s="8" customFormat="1" x14ac:dyDescent="0.25">
      <c r="C62080" s="60"/>
      <c r="I62080" s="63"/>
      <c r="R62080" s="64"/>
    </row>
    <row r="62081" spans="3:18" s="8" customFormat="1" x14ac:dyDescent="0.25">
      <c r="C62081" s="60"/>
      <c r="I62081" s="63"/>
      <c r="R62081" s="64"/>
    </row>
    <row r="62082" spans="3:18" s="8" customFormat="1" x14ac:dyDescent="0.25">
      <c r="C62082" s="60"/>
      <c r="I62082" s="63"/>
      <c r="R62082" s="64"/>
    </row>
    <row r="62083" spans="3:18" s="8" customFormat="1" x14ac:dyDescent="0.25">
      <c r="C62083" s="60"/>
      <c r="I62083" s="63"/>
      <c r="R62083" s="64"/>
    </row>
    <row r="62084" spans="3:18" s="8" customFormat="1" x14ac:dyDescent="0.25">
      <c r="C62084" s="60"/>
      <c r="I62084" s="63"/>
      <c r="R62084" s="64"/>
    </row>
    <row r="62085" spans="3:18" s="8" customFormat="1" x14ac:dyDescent="0.25">
      <c r="C62085" s="60"/>
      <c r="I62085" s="63"/>
      <c r="R62085" s="64"/>
    </row>
    <row r="62086" spans="3:18" s="8" customFormat="1" x14ac:dyDescent="0.25">
      <c r="C62086" s="60"/>
      <c r="I62086" s="63"/>
      <c r="R62086" s="64"/>
    </row>
    <row r="62087" spans="3:18" s="8" customFormat="1" x14ac:dyDescent="0.25">
      <c r="C62087" s="60"/>
      <c r="I62087" s="63"/>
      <c r="R62087" s="64"/>
    </row>
    <row r="62088" spans="3:18" s="8" customFormat="1" x14ac:dyDescent="0.25">
      <c r="C62088" s="60"/>
      <c r="I62088" s="63"/>
      <c r="R62088" s="64"/>
    </row>
    <row r="62089" spans="3:18" s="8" customFormat="1" x14ac:dyDescent="0.25">
      <c r="C62089" s="60"/>
      <c r="I62089" s="63"/>
      <c r="R62089" s="64"/>
    </row>
    <row r="62090" spans="3:18" s="8" customFormat="1" x14ac:dyDescent="0.25">
      <c r="C62090" s="60"/>
      <c r="I62090" s="63"/>
      <c r="R62090" s="64"/>
    </row>
    <row r="62091" spans="3:18" s="8" customFormat="1" x14ac:dyDescent="0.25">
      <c r="C62091" s="60"/>
      <c r="I62091" s="63"/>
      <c r="R62091" s="64"/>
    </row>
    <row r="62092" spans="3:18" s="8" customFormat="1" x14ac:dyDescent="0.25">
      <c r="C62092" s="60"/>
      <c r="I62092" s="63"/>
      <c r="R62092" s="64"/>
    </row>
    <row r="62093" spans="3:18" s="8" customFormat="1" x14ac:dyDescent="0.25">
      <c r="C62093" s="60"/>
      <c r="I62093" s="63"/>
      <c r="R62093" s="64"/>
    </row>
    <row r="62094" spans="3:18" s="8" customFormat="1" x14ac:dyDescent="0.25">
      <c r="C62094" s="60"/>
      <c r="I62094" s="63"/>
      <c r="R62094" s="64"/>
    </row>
    <row r="62095" spans="3:18" s="8" customFormat="1" x14ac:dyDescent="0.25">
      <c r="C62095" s="60"/>
      <c r="I62095" s="63"/>
      <c r="R62095" s="64"/>
    </row>
    <row r="62096" spans="3:18" s="8" customFormat="1" x14ac:dyDescent="0.25">
      <c r="C62096" s="60"/>
      <c r="I62096" s="63"/>
      <c r="R62096" s="64"/>
    </row>
    <row r="62097" spans="3:18" s="8" customFormat="1" x14ac:dyDescent="0.25">
      <c r="C62097" s="60"/>
      <c r="I62097" s="63"/>
      <c r="R62097" s="64"/>
    </row>
    <row r="62098" spans="3:18" s="8" customFormat="1" x14ac:dyDescent="0.25">
      <c r="C62098" s="60"/>
      <c r="I62098" s="63"/>
      <c r="R62098" s="64"/>
    </row>
    <row r="62099" spans="3:18" s="8" customFormat="1" x14ac:dyDescent="0.25">
      <c r="C62099" s="60"/>
      <c r="I62099" s="63"/>
      <c r="R62099" s="64"/>
    </row>
    <row r="62100" spans="3:18" s="8" customFormat="1" x14ac:dyDescent="0.25">
      <c r="C62100" s="60"/>
      <c r="I62100" s="63"/>
      <c r="R62100" s="64"/>
    </row>
    <row r="62101" spans="3:18" s="8" customFormat="1" x14ac:dyDescent="0.25">
      <c r="C62101" s="60"/>
      <c r="I62101" s="63"/>
      <c r="R62101" s="64"/>
    </row>
    <row r="62102" spans="3:18" s="8" customFormat="1" x14ac:dyDescent="0.25">
      <c r="C62102" s="60"/>
      <c r="I62102" s="63"/>
      <c r="R62102" s="64"/>
    </row>
    <row r="62103" spans="3:18" s="8" customFormat="1" x14ac:dyDescent="0.25">
      <c r="C62103" s="60"/>
      <c r="I62103" s="63"/>
      <c r="R62103" s="64"/>
    </row>
    <row r="62104" spans="3:18" s="8" customFormat="1" x14ac:dyDescent="0.25">
      <c r="C62104" s="60"/>
      <c r="I62104" s="63"/>
      <c r="R62104" s="64"/>
    </row>
    <row r="62105" spans="3:18" s="8" customFormat="1" x14ac:dyDescent="0.25">
      <c r="C62105" s="60"/>
      <c r="I62105" s="63"/>
      <c r="R62105" s="64"/>
    </row>
    <row r="62106" spans="3:18" s="8" customFormat="1" x14ac:dyDescent="0.25">
      <c r="C62106" s="60"/>
      <c r="I62106" s="63"/>
      <c r="R62106" s="64"/>
    </row>
    <row r="62107" spans="3:18" s="8" customFormat="1" x14ac:dyDescent="0.25">
      <c r="C62107" s="60"/>
      <c r="I62107" s="63"/>
      <c r="R62107" s="64"/>
    </row>
    <row r="62108" spans="3:18" s="8" customFormat="1" x14ac:dyDescent="0.25">
      <c r="C62108" s="60"/>
      <c r="I62108" s="63"/>
      <c r="R62108" s="64"/>
    </row>
    <row r="62109" spans="3:18" s="8" customFormat="1" x14ac:dyDescent="0.25">
      <c r="C62109" s="60"/>
      <c r="I62109" s="63"/>
      <c r="R62109" s="64"/>
    </row>
    <row r="62110" spans="3:18" s="8" customFormat="1" x14ac:dyDescent="0.25">
      <c r="C62110" s="60"/>
      <c r="I62110" s="63"/>
      <c r="R62110" s="64"/>
    </row>
    <row r="62111" spans="3:18" s="8" customFormat="1" x14ac:dyDescent="0.25">
      <c r="C62111" s="60"/>
      <c r="I62111" s="63"/>
      <c r="R62111" s="64"/>
    </row>
    <row r="62112" spans="3:18" s="8" customFormat="1" x14ac:dyDescent="0.25">
      <c r="C62112" s="60"/>
      <c r="I62112" s="63"/>
      <c r="R62112" s="64"/>
    </row>
    <row r="62113" spans="3:18" s="8" customFormat="1" x14ac:dyDescent="0.25">
      <c r="C62113" s="60"/>
      <c r="I62113" s="63"/>
      <c r="R62113" s="64"/>
    </row>
    <row r="62114" spans="3:18" s="8" customFormat="1" x14ac:dyDescent="0.25">
      <c r="C62114" s="60"/>
      <c r="I62114" s="63"/>
      <c r="R62114" s="64"/>
    </row>
    <row r="62115" spans="3:18" s="8" customFormat="1" x14ac:dyDescent="0.25">
      <c r="C62115" s="60"/>
      <c r="I62115" s="63"/>
      <c r="R62115" s="64"/>
    </row>
    <row r="62116" spans="3:18" s="8" customFormat="1" x14ac:dyDescent="0.25">
      <c r="C62116" s="60"/>
      <c r="I62116" s="63"/>
      <c r="R62116" s="64"/>
    </row>
    <row r="62117" spans="3:18" s="8" customFormat="1" x14ac:dyDescent="0.25">
      <c r="C62117" s="60"/>
      <c r="I62117" s="63"/>
      <c r="R62117" s="64"/>
    </row>
    <row r="62118" spans="3:18" s="8" customFormat="1" x14ac:dyDescent="0.25">
      <c r="C62118" s="60"/>
      <c r="I62118" s="63"/>
      <c r="R62118" s="64"/>
    </row>
    <row r="62119" spans="3:18" s="8" customFormat="1" x14ac:dyDescent="0.25">
      <c r="C62119" s="60"/>
      <c r="I62119" s="63"/>
      <c r="R62119" s="64"/>
    </row>
    <row r="62120" spans="3:18" s="8" customFormat="1" x14ac:dyDescent="0.25">
      <c r="C62120" s="60"/>
      <c r="I62120" s="63"/>
      <c r="R62120" s="64"/>
    </row>
    <row r="62121" spans="3:18" s="8" customFormat="1" x14ac:dyDescent="0.25">
      <c r="C62121" s="60"/>
      <c r="I62121" s="63"/>
      <c r="R62121" s="64"/>
    </row>
    <row r="62122" spans="3:18" s="8" customFormat="1" x14ac:dyDescent="0.25">
      <c r="C62122" s="60"/>
      <c r="I62122" s="63"/>
      <c r="R62122" s="64"/>
    </row>
    <row r="62123" spans="3:18" s="8" customFormat="1" x14ac:dyDescent="0.25">
      <c r="C62123" s="60"/>
      <c r="I62123" s="63"/>
      <c r="R62123" s="64"/>
    </row>
    <row r="62124" spans="3:18" s="8" customFormat="1" x14ac:dyDescent="0.25">
      <c r="C62124" s="60"/>
      <c r="I62124" s="63"/>
      <c r="R62124" s="64"/>
    </row>
    <row r="62125" spans="3:18" s="8" customFormat="1" x14ac:dyDescent="0.25">
      <c r="C62125" s="60"/>
      <c r="I62125" s="63"/>
      <c r="R62125" s="64"/>
    </row>
    <row r="62126" spans="3:18" s="8" customFormat="1" x14ac:dyDescent="0.25">
      <c r="C62126" s="60"/>
      <c r="I62126" s="63"/>
      <c r="R62126" s="64"/>
    </row>
    <row r="62127" spans="3:18" s="8" customFormat="1" x14ac:dyDescent="0.25">
      <c r="C62127" s="60"/>
      <c r="I62127" s="63"/>
      <c r="R62127" s="64"/>
    </row>
    <row r="62128" spans="3:18" s="8" customFormat="1" x14ac:dyDescent="0.25">
      <c r="C62128" s="60"/>
      <c r="I62128" s="63"/>
      <c r="R62128" s="64"/>
    </row>
    <row r="62129" spans="3:18" s="8" customFormat="1" x14ac:dyDescent="0.25">
      <c r="C62129" s="60"/>
      <c r="I62129" s="63"/>
      <c r="R62129" s="64"/>
    </row>
    <row r="62130" spans="3:18" s="8" customFormat="1" x14ac:dyDescent="0.25">
      <c r="C62130" s="60"/>
      <c r="I62130" s="63"/>
      <c r="R62130" s="64"/>
    </row>
    <row r="62131" spans="3:18" s="8" customFormat="1" x14ac:dyDescent="0.25">
      <c r="C62131" s="60"/>
      <c r="I62131" s="63"/>
      <c r="R62131" s="64"/>
    </row>
    <row r="62132" spans="3:18" s="8" customFormat="1" x14ac:dyDescent="0.25">
      <c r="C62132" s="60"/>
      <c r="I62132" s="63"/>
      <c r="R62132" s="64"/>
    </row>
    <row r="62133" spans="3:18" s="8" customFormat="1" x14ac:dyDescent="0.25">
      <c r="C62133" s="60"/>
      <c r="I62133" s="63"/>
      <c r="R62133" s="64"/>
    </row>
    <row r="62134" spans="3:18" s="8" customFormat="1" x14ac:dyDescent="0.25">
      <c r="C62134" s="60"/>
      <c r="I62134" s="63"/>
      <c r="R62134" s="64"/>
    </row>
    <row r="62135" spans="3:18" s="8" customFormat="1" x14ac:dyDescent="0.25">
      <c r="C62135" s="60"/>
      <c r="I62135" s="63"/>
      <c r="R62135" s="64"/>
    </row>
    <row r="62136" spans="3:18" s="8" customFormat="1" x14ac:dyDescent="0.25">
      <c r="C62136" s="60"/>
      <c r="I62136" s="63"/>
      <c r="R62136" s="64"/>
    </row>
    <row r="62137" spans="3:18" s="8" customFormat="1" x14ac:dyDescent="0.25">
      <c r="C62137" s="60"/>
      <c r="I62137" s="63"/>
      <c r="R62137" s="64"/>
    </row>
    <row r="62138" spans="3:18" s="8" customFormat="1" x14ac:dyDescent="0.25">
      <c r="C62138" s="60"/>
      <c r="I62138" s="63"/>
      <c r="R62138" s="64"/>
    </row>
    <row r="62139" spans="3:18" s="8" customFormat="1" x14ac:dyDescent="0.25">
      <c r="C62139" s="60"/>
      <c r="I62139" s="63"/>
      <c r="R62139" s="64"/>
    </row>
    <row r="62140" spans="3:18" s="8" customFormat="1" x14ac:dyDescent="0.25">
      <c r="C62140" s="60"/>
      <c r="I62140" s="63"/>
      <c r="R62140" s="64"/>
    </row>
    <row r="62141" spans="3:18" s="8" customFormat="1" x14ac:dyDescent="0.25">
      <c r="C62141" s="60"/>
      <c r="I62141" s="63"/>
      <c r="R62141" s="64"/>
    </row>
    <row r="62142" spans="3:18" s="8" customFormat="1" x14ac:dyDescent="0.25">
      <c r="C62142" s="60"/>
      <c r="I62142" s="63"/>
      <c r="R62142" s="64"/>
    </row>
    <row r="62143" spans="3:18" s="8" customFormat="1" x14ac:dyDescent="0.25">
      <c r="C62143" s="60"/>
      <c r="I62143" s="63"/>
      <c r="R62143" s="64"/>
    </row>
    <row r="62144" spans="3:18" s="8" customFormat="1" x14ac:dyDescent="0.25">
      <c r="C62144" s="60"/>
      <c r="I62144" s="63"/>
      <c r="R62144" s="64"/>
    </row>
    <row r="62145" spans="3:18" s="8" customFormat="1" x14ac:dyDescent="0.25">
      <c r="C62145" s="60"/>
      <c r="I62145" s="63"/>
      <c r="R62145" s="64"/>
    </row>
    <row r="62146" spans="3:18" s="8" customFormat="1" x14ac:dyDescent="0.25">
      <c r="C62146" s="60"/>
      <c r="I62146" s="63"/>
      <c r="R62146" s="64"/>
    </row>
    <row r="62147" spans="3:18" s="8" customFormat="1" x14ac:dyDescent="0.25">
      <c r="C62147" s="60"/>
      <c r="I62147" s="63"/>
      <c r="R62147" s="64"/>
    </row>
    <row r="62148" spans="3:18" s="8" customFormat="1" x14ac:dyDescent="0.25">
      <c r="C62148" s="60"/>
      <c r="I62148" s="63"/>
      <c r="R62148" s="64"/>
    </row>
    <row r="62149" spans="3:18" s="8" customFormat="1" x14ac:dyDescent="0.25">
      <c r="C62149" s="60"/>
      <c r="I62149" s="63"/>
      <c r="R62149" s="64"/>
    </row>
    <row r="62150" spans="3:18" s="8" customFormat="1" x14ac:dyDescent="0.25">
      <c r="C62150" s="60"/>
      <c r="I62150" s="63"/>
      <c r="R62150" s="64"/>
    </row>
    <row r="62151" spans="3:18" s="8" customFormat="1" x14ac:dyDescent="0.25">
      <c r="C62151" s="60"/>
      <c r="I62151" s="63"/>
      <c r="R62151" s="64"/>
    </row>
    <row r="62152" spans="3:18" s="8" customFormat="1" x14ac:dyDescent="0.25">
      <c r="C62152" s="60"/>
      <c r="I62152" s="63"/>
      <c r="R62152" s="64"/>
    </row>
    <row r="62153" spans="3:18" s="8" customFormat="1" x14ac:dyDescent="0.25">
      <c r="C62153" s="60"/>
      <c r="I62153" s="63"/>
      <c r="R62153" s="64"/>
    </row>
    <row r="62154" spans="3:18" s="8" customFormat="1" x14ac:dyDescent="0.25">
      <c r="C62154" s="60"/>
      <c r="I62154" s="63"/>
      <c r="R62154" s="64"/>
    </row>
    <row r="62155" spans="3:18" s="8" customFormat="1" x14ac:dyDescent="0.25">
      <c r="C62155" s="60"/>
      <c r="I62155" s="63"/>
      <c r="R62155" s="64"/>
    </row>
    <row r="62156" spans="3:18" s="8" customFormat="1" x14ac:dyDescent="0.25">
      <c r="C62156" s="60"/>
      <c r="I62156" s="63"/>
      <c r="R62156" s="64"/>
    </row>
    <row r="62157" spans="3:18" s="8" customFormat="1" x14ac:dyDescent="0.25">
      <c r="C62157" s="60"/>
      <c r="I62157" s="63"/>
      <c r="R62157" s="64"/>
    </row>
    <row r="62158" spans="3:18" s="8" customFormat="1" x14ac:dyDescent="0.25">
      <c r="C62158" s="60"/>
      <c r="I62158" s="63"/>
      <c r="R62158" s="64"/>
    </row>
    <row r="62159" spans="3:18" s="8" customFormat="1" x14ac:dyDescent="0.25">
      <c r="C62159" s="60"/>
      <c r="I62159" s="63"/>
      <c r="R62159" s="64"/>
    </row>
    <row r="62160" spans="3:18" s="8" customFormat="1" x14ac:dyDescent="0.25">
      <c r="C62160" s="60"/>
      <c r="I62160" s="63"/>
      <c r="R62160" s="64"/>
    </row>
    <row r="62161" spans="3:18" s="8" customFormat="1" x14ac:dyDescent="0.25">
      <c r="C62161" s="60"/>
      <c r="I62161" s="63"/>
      <c r="R62161" s="64"/>
    </row>
    <row r="62162" spans="3:18" s="8" customFormat="1" x14ac:dyDescent="0.25">
      <c r="C62162" s="60"/>
      <c r="I62162" s="63"/>
      <c r="R62162" s="64"/>
    </row>
    <row r="62163" spans="3:18" s="8" customFormat="1" x14ac:dyDescent="0.25">
      <c r="C62163" s="60"/>
      <c r="I62163" s="63"/>
      <c r="R62163" s="64"/>
    </row>
    <row r="62164" spans="3:18" s="8" customFormat="1" x14ac:dyDescent="0.25">
      <c r="C62164" s="60"/>
      <c r="I62164" s="63"/>
      <c r="R62164" s="64"/>
    </row>
    <row r="62165" spans="3:18" s="8" customFormat="1" x14ac:dyDescent="0.25">
      <c r="C62165" s="60"/>
      <c r="I62165" s="63"/>
      <c r="R62165" s="64"/>
    </row>
    <row r="62166" spans="3:18" s="8" customFormat="1" x14ac:dyDescent="0.25">
      <c r="C62166" s="60"/>
      <c r="I62166" s="63"/>
      <c r="R62166" s="64"/>
    </row>
    <row r="62167" spans="3:18" s="8" customFormat="1" x14ac:dyDescent="0.25">
      <c r="C62167" s="60"/>
      <c r="I62167" s="63"/>
      <c r="R62167" s="64"/>
    </row>
    <row r="62168" spans="3:18" s="8" customFormat="1" x14ac:dyDescent="0.25">
      <c r="C62168" s="60"/>
      <c r="I62168" s="63"/>
      <c r="R62168" s="64"/>
    </row>
    <row r="62169" spans="3:18" s="8" customFormat="1" x14ac:dyDescent="0.25">
      <c r="C62169" s="60"/>
      <c r="I62169" s="63"/>
      <c r="R62169" s="64"/>
    </row>
    <row r="62170" spans="3:18" s="8" customFormat="1" x14ac:dyDescent="0.25">
      <c r="C62170" s="60"/>
      <c r="I62170" s="63"/>
      <c r="R62170" s="64"/>
    </row>
    <row r="62171" spans="3:18" s="8" customFormat="1" x14ac:dyDescent="0.25">
      <c r="C62171" s="60"/>
      <c r="I62171" s="63"/>
      <c r="R62171" s="64"/>
    </row>
    <row r="62172" spans="3:18" s="8" customFormat="1" x14ac:dyDescent="0.25">
      <c r="C62172" s="60"/>
      <c r="I62172" s="63"/>
      <c r="R62172" s="64"/>
    </row>
    <row r="62173" spans="3:18" s="8" customFormat="1" x14ac:dyDescent="0.25">
      <c r="C62173" s="60"/>
      <c r="I62173" s="63"/>
      <c r="R62173" s="64"/>
    </row>
    <row r="62174" spans="3:18" s="8" customFormat="1" x14ac:dyDescent="0.25">
      <c r="C62174" s="60"/>
      <c r="I62174" s="63"/>
      <c r="R62174" s="64"/>
    </row>
    <row r="62175" spans="3:18" s="8" customFormat="1" x14ac:dyDescent="0.25">
      <c r="C62175" s="60"/>
      <c r="I62175" s="63"/>
      <c r="R62175" s="64"/>
    </row>
    <row r="62176" spans="3:18" s="8" customFormat="1" x14ac:dyDescent="0.25">
      <c r="C62176" s="60"/>
      <c r="I62176" s="63"/>
      <c r="R62176" s="64"/>
    </row>
    <row r="62177" spans="3:18" s="8" customFormat="1" x14ac:dyDescent="0.25">
      <c r="C62177" s="60"/>
      <c r="I62177" s="63"/>
      <c r="R62177" s="64"/>
    </row>
    <row r="62178" spans="3:18" s="8" customFormat="1" x14ac:dyDescent="0.25">
      <c r="C62178" s="60"/>
      <c r="I62178" s="63"/>
      <c r="R62178" s="64"/>
    </row>
    <row r="62179" spans="3:18" s="8" customFormat="1" x14ac:dyDescent="0.25">
      <c r="C62179" s="60"/>
      <c r="I62179" s="63"/>
      <c r="R62179" s="64"/>
    </row>
    <row r="62180" spans="3:18" s="8" customFormat="1" x14ac:dyDescent="0.25">
      <c r="C62180" s="60"/>
      <c r="I62180" s="63"/>
      <c r="R62180" s="64"/>
    </row>
    <row r="62181" spans="3:18" s="8" customFormat="1" x14ac:dyDescent="0.25">
      <c r="C62181" s="60"/>
      <c r="I62181" s="63"/>
      <c r="R62181" s="64"/>
    </row>
    <row r="62182" spans="3:18" s="8" customFormat="1" x14ac:dyDescent="0.25">
      <c r="C62182" s="60"/>
      <c r="I62182" s="63"/>
      <c r="R62182" s="64"/>
    </row>
    <row r="62183" spans="3:18" s="8" customFormat="1" x14ac:dyDescent="0.25">
      <c r="C62183" s="60"/>
      <c r="I62183" s="63"/>
      <c r="R62183" s="64"/>
    </row>
    <row r="62184" spans="3:18" s="8" customFormat="1" x14ac:dyDescent="0.25">
      <c r="C62184" s="60"/>
      <c r="I62184" s="63"/>
      <c r="R62184" s="64"/>
    </row>
    <row r="62185" spans="3:18" s="8" customFormat="1" x14ac:dyDescent="0.25">
      <c r="C62185" s="60"/>
      <c r="I62185" s="63"/>
      <c r="R62185" s="64"/>
    </row>
    <row r="62186" spans="3:18" s="8" customFormat="1" x14ac:dyDescent="0.25">
      <c r="C62186" s="60"/>
      <c r="I62186" s="63"/>
      <c r="R62186" s="64"/>
    </row>
    <row r="62187" spans="3:18" s="8" customFormat="1" x14ac:dyDescent="0.25">
      <c r="C62187" s="60"/>
      <c r="I62187" s="63"/>
      <c r="R62187" s="64"/>
    </row>
    <row r="62188" spans="3:18" s="8" customFormat="1" x14ac:dyDescent="0.25">
      <c r="C62188" s="60"/>
      <c r="I62188" s="63"/>
      <c r="R62188" s="64"/>
    </row>
    <row r="62189" spans="3:18" s="8" customFormat="1" x14ac:dyDescent="0.25">
      <c r="C62189" s="60"/>
      <c r="I62189" s="63"/>
      <c r="R62189" s="64"/>
    </row>
    <row r="62190" spans="3:18" s="8" customFormat="1" x14ac:dyDescent="0.25">
      <c r="C62190" s="60"/>
      <c r="I62190" s="63"/>
      <c r="R62190" s="64"/>
    </row>
    <row r="62191" spans="3:18" s="8" customFormat="1" x14ac:dyDescent="0.25">
      <c r="C62191" s="60"/>
      <c r="I62191" s="63"/>
      <c r="R62191" s="64"/>
    </row>
    <row r="62192" spans="3:18" s="8" customFormat="1" x14ac:dyDescent="0.25">
      <c r="C62192" s="60"/>
      <c r="I62192" s="63"/>
      <c r="R62192" s="64"/>
    </row>
    <row r="62193" spans="3:18" s="8" customFormat="1" x14ac:dyDescent="0.25">
      <c r="C62193" s="60"/>
      <c r="I62193" s="63"/>
      <c r="R62193" s="64"/>
    </row>
    <row r="62194" spans="3:18" s="8" customFormat="1" x14ac:dyDescent="0.25">
      <c r="C62194" s="60"/>
      <c r="I62194" s="63"/>
      <c r="R62194" s="64"/>
    </row>
    <row r="62195" spans="3:18" s="8" customFormat="1" x14ac:dyDescent="0.25">
      <c r="C62195" s="60"/>
      <c r="I62195" s="63"/>
      <c r="R62195" s="64"/>
    </row>
    <row r="62196" spans="3:18" s="8" customFormat="1" x14ac:dyDescent="0.25">
      <c r="C62196" s="60"/>
      <c r="I62196" s="63"/>
      <c r="R62196" s="64"/>
    </row>
    <row r="62197" spans="3:18" s="8" customFormat="1" x14ac:dyDescent="0.25">
      <c r="C62197" s="60"/>
      <c r="I62197" s="63"/>
      <c r="R62197" s="64"/>
    </row>
    <row r="62198" spans="3:18" s="8" customFormat="1" x14ac:dyDescent="0.25">
      <c r="C62198" s="60"/>
      <c r="I62198" s="63"/>
      <c r="R62198" s="64"/>
    </row>
    <row r="62199" spans="3:18" s="8" customFormat="1" x14ac:dyDescent="0.25">
      <c r="C62199" s="60"/>
      <c r="I62199" s="63"/>
      <c r="R62199" s="64"/>
    </row>
    <row r="62200" spans="3:18" s="8" customFormat="1" x14ac:dyDescent="0.25">
      <c r="C62200" s="60"/>
      <c r="I62200" s="63"/>
      <c r="R62200" s="64"/>
    </row>
    <row r="62201" spans="3:18" s="8" customFormat="1" x14ac:dyDescent="0.25">
      <c r="C62201" s="60"/>
      <c r="I62201" s="63"/>
      <c r="R62201" s="64"/>
    </row>
    <row r="62202" spans="3:18" s="8" customFormat="1" x14ac:dyDescent="0.25">
      <c r="C62202" s="60"/>
      <c r="I62202" s="63"/>
      <c r="R62202" s="64"/>
    </row>
    <row r="62203" spans="3:18" s="8" customFormat="1" x14ac:dyDescent="0.25">
      <c r="C62203" s="60"/>
      <c r="I62203" s="63"/>
      <c r="R62203" s="64"/>
    </row>
    <row r="62204" spans="3:18" s="8" customFormat="1" x14ac:dyDescent="0.25">
      <c r="C62204" s="60"/>
      <c r="I62204" s="63"/>
      <c r="R62204" s="64"/>
    </row>
    <row r="62205" spans="3:18" s="8" customFormat="1" x14ac:dyDescent="0.25">
      <c r="C62205" s="60"/>
      <c r="I62205" s="63"/>
      <c r="R62205" s="64"/>
    </row>
    <row r="62206" spans="3:18" s="8" customFormat="1" x14ac:dyDescent="0.25">
      <c r="C62206" s="60"/>
      <c r="I62206" s="63"/>
      <c r="R62206" s="64"/>
    </row>
    <row r="62207" spans="3:18" s="8" customFormat="1" x14ac:dyDescent="0.25">
      <c r="C62207" s="60"/>
      <c r="I62207" s="63"/>
      <c r="R62207" s="64"/>
    </row>
    <row r="62208" spans="3:18" s="8" customFormat="1" x14ac:dyDescent="0.25">
      <c r="C62208" s="60"/>
      <c r="I62208" s="63"/>
      <c r="R62208" s="64"/>
    </row>
    <row r="62209" spans="3:18" s="8" customFormat="1" x14ac:dyDescent="0.25">
      <c r="C62209" s="60"/>
      <c r="I62209" s="63"/>
      <c r="R62209" s="64"/>
    </row>
    <row r="62210" spans="3:18" s="8" customFormat="1" x14ac:dyDescent="0.25">
      <c r="C62210" s="60"/>
      <c r="I62210" s="63"/>
      <c r="R62210" s="64"/>
    </row>
    <row r="62211" spans="3:18" s="8" customFormat="1" x14ac:dyDescent="0.25">
      <c r="C62211" s="60"/>
      <c r="I62211" s="63"/>
      <c r="R62211" s="64"/>
    </row>
    <row r="62212" spans="3:18" s="8" customFormat="1" x14ac:dyDescent="0.25">
      <c r="C62212" s="60"/>
      <c r="I62212" s="63"/>
      <c r="R62212" s="64"/>
    </row>
    <row r="62213" spans="3:18" s="8" customFormat="1" x14ac:dyDescent="0.25">
      <c r="C62213" s="60"/>
      <c r="I62213" s="63"/>
      <c r="R62213" s="64"/>
    </row>
    <row r="62214" spans="3:18" s="8" customFormat="1" x14ac:dyDescent="0.25">
      <c r="C62214" s="60"/>
      <c r="I62214" s="63"/>
      <c r="R62214" s="64"/>
    </row>
    <row r="62215" spans="3:18" s="8" customFormat="1" x14ac:dyDescent="0.25">
      <c r="C62215" s="60"/>
      <c r="I62215" s="63"/>
      <c r="R62215" s="64"/>
    </row>
    <row r="62216" spans="3:18" s="8" customFormat="1" x14ac:dyDescent="0.25">
      <c r="C62216" s="60"/>
      <c r="I62216" s="63"/>
      <c r="R62216" s="64"/>
    </row>
    <row r="62217" spans="3:18" s="8" customFormat="1" x14ac:dyDescent="0.25">
      <c r="C62217" s="60"/>
      <c r="I62217" s="63"/>
      <c r="R62217" s="64"/>
    </row>
    <row r="62218" spans="3:18" s="8" customFormat="1" x14ac:dyDescent="0.25">
      <c r="C62218" s="60"/>
      <c r="I62218" s="63"/>
      <c r="R62218" s="64"/>
    </row>
    <row r="62219" spans="3:18" s="8" customFormat="1" x14ac:dyDescent="0.25">
      <c r="C62219" s="60"/>
      <c r="I62219" s="63"/>
      <c r="R62219" s="64"/>
    </row>
    <row r="62220" spans="3:18" s="8" customFormat="1" x14ac:dyDescent="0.25">
      <c r="C62220" s="60"/>
      <c r="I62220" s="63"/>
      <c r="R62220" s="64"/>
    </row>
    <row r="62221" spans="3:18" s="8" customFormat="1" x14ac:dyDescent="0.25">
      <c r="C62221" s="60"/>
      <c r="I62221" s="63"/>
      <c r="R62221" s="64"/>
    </row>
    <row r="62222" spans="3:18" s="8" customFormat="1" x14ac:dyDescent="0.25">
      <c r="C62222" s="60"/>
      <c r="I62222" s="63"/>
      <c r="R62222" s="64"/>
    </row>
    <row r="62223" spans="3:18" s="8" customFormat="1" x14ac:dyDescent="0.25">
      <c r="C62223" s="60"/>
      <c r="I62223" s="63"/>
      <c r="R62223" s="64"/>
    </row>
    <row r="62224" spans="3:18" s="8" customFormat="1" x14ac:dyDescent="0.25">
      <c r="C62224" s="60"/>
      <c r="I62224" s="63"/>
      <c r="R62224" s="64"/>
    </row>
    <row r="62225" spans="3:18" s="8" customFormat="1" x14ac:dyDescent="0.25">
      <c r="C62225" s="60"/>
      <c r="I62225" s="63"/>
      <c r="R62225" s="64"/>
    </row>
    <row r="62226" spans="3:18" s="8" customFormat="1" x14ac:dyDescent="0.25">
      <c r="C62226" s="60"/>
      <c r="I62226" s="63"/>
      <c r="R62226" s="64"/>
    </row>
    <row r="62227" spans="3:18" s="8" customFormat="1" x14ac:dyDescent="0.25">
      <c r="C62227" s="60"/>
      <c r="I62227" s="63"/>
      <c r="R62227" s="64"/>
    </row>
    <row r="62228" spans="3:18" s="8" customFormat="1" x14ac:dyDescent="0.25">
      <c r="C62228" s="60"/>
      <c r="I62228" s="63"/>
      <c r="R62228" s="64"/>
    </row>
    <row r="62229" spans="3:18" s="8" customFormat="1" x14ac:dyDescent="0.25">
      <c r="C62229" s="60"/>
      <c r="I62229" s="63"/>
      <c r="R62229" s="64"/>
    </row>
    <row r="62230" spans="3:18" s="8" customFormat="1" x14ac:dyDescent="0.25">
      <c r="C62230" s="60"/>
      <c r="I62230" s="63"/>
      <c r="R62230" s="64"/>
    </row>
    <row r="62231" spans="3:18" s="8" customFormat="1" x14ac:dyDescent="0.25">
      <c r="C62231" s="60"/>
      <c r="I62231" s="63"/>
      <c r="R62231" s="64"/>
    </row>
    <row r="62232" spans="3:18" s="8" customFormat="1" x14ac:dyDescent="0.25">
      <c r="C62232" s="60"/>
      <c r="I62232" s="63"/>
      <c r="R62232" s="64"/>
    </row>
    <row r="62233" spans="3:18" s="8" customFormat="1" x14ac:dyDescent="0.25">
      <c r="C62233" s="60"/>
      <c r="I62233" s="63"/>
      <c r="R62233" s="64"/>
    </row>
    <row r="62234" spans="3:18" s="8" customFormat="1" x14ac:dyDescent="0.25">
      <c r="C62234" s="60"/>
      <c r="I62234" s="63"/>
      <c r="R62234" s="64"/>
    </row>
    <row r="62235" spans="3:18" s="8" customFormat="1" x14ac:dyDescent="0.25">
      <c r="C62235" s="60"/>
      <c r="I62235" s="63"/>
      <c r="R62235" s="64"/>
    </row>
    <row r="62236" spans="3:18" s="8" customFormat="1" x14ac:dyDescent="0.25">
      <c r="C62236" s="60"/>
      <c r="I62236" s="63"/>
      <c r="R62236" s="64"/>
    </row>
    <row r="62237" spans="3:18" s="8" customFormat="1" x14ac:dyDescent="0.25">
      <c r="C62237" s="60"/>
      <c r="I62237" s="63"/>
      <c r="R62237" s="64"/>
    </row>
    <row r="62238" spans="3:18" s="8" customFormat="1" x14ac:dyDescent="0.25">
      <c r="C62238" s="60"/>
      <c r="I62238" s="63"/>
      <c r="R62238" s="64"/>
    </row>
    <row r="62239" spans="3:18" s="8" customFormat="1" x14ac:dyDescent="0.25">
      <c r="C62239" s="60"/>
      <c r="I62239" s="63"/>
      <c r="R62239" s="64"/>
    </row>
    <row r="62240" spans="3:18" s="8" customFormat="1" x14ac:dyDescent="0.25">
      <c r="C62240" s="60"/>
      <c r="I62240" s="63"/>
      <c r="R62240" s="64"/>
    </row>
    <row r="62241" spans="3:18" s="8" customFormat="1" x14ac:dyDescent="0.25">
      <c r="C62241" s="60"/>
      <c r="I62241" s="63"/>
      <c r="R62241" s="64"/>
    </row>
    <row r="62242" spans="3:18" s="8" customFormat="1" x14ac:dyDescent="0.25">
      <c r="C62242" s="60"/>
      <c r="I62242" s="63"/>
      <c r="R62242" s="64"/>
    </row>
    <row r="62243" spans="3:18" s="8" customFormat="1" x14ac:dyDescent="0.25">
      <c r="C62243" s="60"/>
      <c r="I62243" s="63"/>
      <c r="R62243" s="64"/>
    </row>
    <row r="62244" spans="3:18" s="8" customFormat="1" x14ac:dyDescent="0.25">
      <c r="C62244" s="60"/>
      <c r="I62244" s="63"/>
      <c r="R62244" s="64"/>
    </row>
    <row r="62245" spans="3:18" s="8" customFormat="1" x14ac:dyDescent="0.25">
      <c r="C62245" s="60"/>
      <c r="I62245" s="63"/>
      <c r="R62245" s="64"/>
    </row>
    <row r="62246" spans="3:18" s="8" customFormat="1" x14ac:dyDescent="0.25">
      <c r="C62246" s="60"/>
      <c r="I62246" s="63"/>
      <c r="R62246" s="64"/>
    </row>
    <row r="62247" spans="3:18" s="8" customFormat="1" x14ac:dyDescent="0.25">
      <c r="C62247" s="60"/>
      <c r="I62247" s="63"/>
      <c r="R62247" s="64"/>
    </row>
    <row r="62248" spans="3:18" s="8" customFormat="1" x14ac:dyDescent="0.25">
      <c r="C62248" s="60"/>
      <c r="I62248" s="63"/>
      <c r="R62248" s="64"/>
    </row>
    <row r="62249" spans="3:18" s="8" customFormat="1" x14ac:dyDescent="0.25">
      <c r="C62249" s="60"/>
      <c r="I62249" s="63"/>
      <c r="R62249" s="64"/>
    </row>
    <row r="62250" spans="3:18" s="8" customFormat="1" x14ac:dyDescent="0.25">
      <c r="C62250" s="60"/>
      <c r="I62250" s="63"/>
      <c r="R62250" s="64"/>
    </row>
    <row r="62251" spans="3:18" s="8" customFormat="1" x14ac:dyDescent="0.25">
      <c r="C62251" s="60"/>
      <c r="I62251" s="63"/>
      <c r="R62251" s="64"/>
    </row>
    <row r="62252" spans="3:18" s="8" customFormat="1" x14ac:dyDescent="0.25">
      <c r="C62252" s="60"/>
      <c r="I62252" s="63"/>
      <c r="R62252" s="64"/>
    </row>
    <row r="62253" spans="3:18" s="8" customFormat="1" x14ac:dyDescent="0.25">
      <c r="C62253" s="60"/>
      <c r="I62253" s="63"/>
      <c r="R62253" s="64"/>
    </row>
    <row r="62254" spans="3:18" s="8" customFormat="1" x14ac:dyDescent="0.25">
      <c r="C62254" s="60"/>
      <c r="I62254" s="63"/>
      <c r="R62254" s="64"/>
    </row>
    <row r="62255" spans="3:18" s="8" customFormat="1" x14ac:dyDescent="0.25">
      <c r="C62255" s="60"/>
      <c r="I62255" s="63"/>
      <c r="R62255" s="64"/>
    </row>
    <row r="62256" spans="3:18" s="8" customFormat="1" x14ac:dyDescent="0.25">
      <c r="C62256" s="60"/>
      <c r="I62256" s="63"/>
      <c r="R62256" s="64"/>
    </row>
    <row r="62257" spans="3:18" s="8" customFormat="1" x14ac:dyDescent="0.25">
      <c r="C62257" s="60"/>
      <c r="I62257" s="63"/>
      <c r="R62257" s="64"/>
    </row>
    <row r="62258" spans="3:18" s="8" customFormat="1" x14ac:dyDescent="0.25">
      <c r="C62258" s="60"/>
      <c r="I62258" s="63"/>
      <c r="R62258" s="64"/>
    </row>
    <row r="62259" spans="3:18" s="8" customFormat="1" x14ac:dyDescent="0.25">
      <c r="C62259" s="60"/>
      <c r="I62259" s="63"/>
      <c r="R62259" s="64"/>
    </row>
    <row r="62260" spans="3:18" s="8" customFormat="1" x14ac:dyDescent="0.25">
      <c r="C62260" s="60"/>
      <c r="I62260" s="63"/>
      <c r="R62260" s="64"/>
    </row>
    <row r="62261" spans="3:18" s="8" customFormat="1" x14ac:dyDescent="0.25">
      <c r="C62261" s="60"/>
      <c r="I62261" s="63"/>
      <c r="R62261" s="64"/>
    </row>
    <row r="62262" spans="3:18" s="8" customFormat="1" x14ac:dyDescent="0.25">
      <c r="C62262" s="60"/>
      <c r="I62262" s="63"/>
      <c r="R62262" s="64"/>
    </row>
    <row r="62263" spans="3:18" s="8" customFormat="1" x14ac:dyDescent="0.25">
      <c r="C62263" s="60"/>
      <c r="I62263" s="63"/>
      <c r="R62263" s="64"/>
    </row>
    <row r="62264" spans="3:18" s="8" customFormat="1" x14ac:dyDescent="0.25">
      <c r="C62264" s="60"/>
      <c r="I62264" s="63"/>
      <c r="R62264" s="64"/>
    </row>
    <row r="62265" spans="3:18" s="8" customFormat="1" x14ac:dyDescent="0.25">
      <c r="C62265" s="60"/>
      <c r="I62265" s="63"/>
      <c r="R62265" s="64"/>
    </row>
    <row r="62266" spans="3:18" s="8" customFormat="1" x14ac:dyDescent="0.25">
      <c r="C62266" s="60"/>
      <c r="I62266" s="63"/>
      <c r="R62266" s="64"/>
    </row>
    <row r="62267" spans="3:18" s="8" customFormat="1" x14ac:dyDescent="0.25">
      <c r="C62267" s="60"/>
      <c r="I62267" s="63"/>
      <c r="R62267" s="64"/>
    </row>
    <row r="62268" spans="3:18" s="8" customFormat="1" x14ac:dyDescent="0.25">
      <c r="C62268" s="60"/>
      <c r="I62268" s="63"/>
      <c r="R62268" s="64"/>
    </row>
    <row r="62269" spans="3:18" s="8" customFormat="1" x14ac:dyDescent="0.25">
      <c r="C62269" s="60"/>
      <c r="I62269" s="63"/>
      <c r="R62269" s="64"/>
    </row>
    <row r="62270" spans="3:18" s="8" customFormat="1" x14ac:dyDescent="0.25">
      <c r="C62270" s="60"/>
      <c r="I62270" s="63"/>
      <c r="R62270" s="64"/>
    </row>
    <row r="62271" spans="3:18" s="8" customFormat="1" x14ac:dyDescent="0.25">
      <c r="C62271" s="60"/>
      <c r="I62271" s="63"/>
      <c r="R62271" s="64"/>
    </row>
    <row r="62272" spans="3:18" s="8" customFormat="1" x14ac:dyDescent="0.25">
      <c r="C62272" s="60"/>
      <c r="I62272" s="63"/>
      <c r="R62272" s="64"/>
    </row>
    <row r="62273" spans="3:18" s="8" customFormat="1" x14ac:dyDescent="0.25">
      <c r="C62273" s="60"/>
      <c r="I62273" s="63"/>
      <c r="R62273" s="64"/>
    </row>
    <row r="62274" spans="3:18" s="8" customFormat="1" x14ac:dyDescent="0.25">
      <c r="C62274" s="60"/>
      <c r="I62274" s="63"/>
      <c r="R62274" s="64"/>
    </row>
    <row r="62275" spans="3:18" s="8" customFormat="1" x14ac:dyDescent="0.25">
      <c r="C62275" s="60"/>
      <c r="I62275" s="63"/>
      <c r="R62275" s="64"/>
    </row>
    <row r="62276" spans="3:18" s="8" customFormat="1" x14ac:dyDescent="0.25">
      <c r="C62276" s="60"/>
      <c r="I62276" s="63"/>
      <c r="R62276" s="64"/>
    </row>
    <row r="62277" spans="3:18" s="8" customFormat="1" x14ac:dyDescent="0.25">
      <c r="C62277" s="60"/>
      <c r="I62277" s="63"/>
      <c r="R62277" s="64"/>
    </row>
    <row r="62278" spans="3:18" s="8" customFormat="1" x14ac:dyDescent="0.25">
      <c r="C62278" s="60"/>
      <c r="I62278" s="63"/>
      <c r="R62278" s="64"/>
    </row>
    <row r="62279" spans="3:18" s="8" customFormat="1" x14ac:dyDescent="0.25">
      <c r="C62279" s="60"/>
      <c r="I62279" s="63"/>
      <c r="R62279" s="64"/>
    </row>
    <row r="62280" spans="3:18" s="8" customFormat="1" x14ac:dyDescent="0.25">
      <c r="C62280" s="60"/>
      <c r="I62280" s="63"/>
      <c r="R62280" s="64"/>
    </row>
    <row r="62281" spans="3:18" s="8" customFormat="1" x14ac:dyDescent="0.25">
      <c r="C62281" s="60"/>
      <c r="I62281" s="63"/>
      <c r="R62281" s="64"/>
    </row>
    <row r="62282" spans="3:18" s="8" customFormat="1" x14ac:dyDescent="0.25">
      <c r="C62282" s="60"/>
      <c r="I62282" s="63"/>
      <c r="R62282" s="64"/>
    </row>
    <row r="62283" spans="3:18" s="8" customFormat="1" x14ac:dyDescent="0.25">
      <c r="C62283" s="60"/>
      <c r="I62283" s="63"/>
      <c r="R62283" s="64"/>
    </row>
    <row r="62284" spans="3:18" s="8" customFormat="1" x14ac:dyDescent="0.25">
      <c r="C62284" s="60"/>
      <c r="I62284" s="63"/>
      <c r="R62284" s="64"/>
    </row>
    <row r="62285" spans="3:18" s="8" customFormat="1" x14ac:dyDescent="0.25">
      <c r="C62285" s="60"/>
      <c r="I62285" s="63"/>
      <c r="R62285" s="64"/>
    </row>
    <row r="62286" spans="3:18" s="8" customFormat="1" x14ac:dyDescent="0.25">
      <c r="C62286" s="60"/>
      <c r="I62286" s="63"/>
      <c r="R62286" s="64"/>
    </row>
    <row r="62287" spans="3:18" s="8" customFormat="1" x14ac:dyDescent="0.25">
      <c r="C62287" s="60"/>
      <c r="I62287" s="63"/>
      <c r="R62287" s="64"/>
    </row>
    <row r="62288" spans="3:18" s="8" customFormat="1" x14ac:dyDescent="0.25">
      <c r="C62288" s="60"/>
      <c r="I62288" s="63"/>
      <c r="R62288" s="64"/>
    </row>
    <row r="62289" spans="3:18" s="8" customFormat="1" x14ac:dyDescent="0.25">
      <c r="C62289" s="60"/>
      <c r="I62289" s="63"/>
      <c r="R62289" s="64"/>
    </row>
    <row r="62290" spans="3:18" s="8" customFormat="1" x14ac:dyDescent="0.25">
      <c r="C62290" s="60"/>
      <c r="I62290" s="63"/>
      <c r="R62290" s="64"/>
    </row>
    <row r="62291" spans="3:18" s="8" customFormat="1" x14ac:dyDescent="0.25">
      <c r="C62291" s="60"/>
      <c r="I62291" s="63"/>
      <c r="R62291" s="64"/>
    </row>
    <row r="62292" spans="3:18" s="8" customFormat="1" x14ac:dyDescent="0.25">
      <c r="C62292" s="60"/>
      <c r="I62292" s="63"/>
      <c r="R62292" s="64"/>
    </row>
    <row r="62293" spans="3:18" s="8" customFormat="1" x14ac:dyDescent="0.25">
      <c r="C62293" s="60"/>
      <c r="I62293" s="63"/>
      <c r="R62293" s="64"/>
    </row>
    <row r="62294" spans="3:18" s="8" customFormat="1" x14ac:dyDescent="0.25">
      <c r="C62294" s="60"/>
      <c r="I62294" s="63"/>
      <c r="R62294" s="64"/>
    </row>
    <row r="62295" spans="3:18" s="8" customFormat="1" x14ac:dyDescent="0.25">
      <c r="C62295" s="60"/>
      <c r="I62295" s="63"/>
      <c r="R62295" s="64"/>
    </row>
    <row r="62296" spans="3:18" s="8" customFormat="1" x14ac:dyDescent="0.25">
      <c r="C62296" s="60"/>
      <c r="I62296" s="63"/>
      <c r="R62296" s="64"/>
    </row>
    <row r="62297" spans="3:18" s="8" customFormat="1" x14ac:dyDescent="0.25">
      <c r="C62297" s="60"/>
      <c r="I62297" s="63"/>
      <c r="R62297" s="64"/>
    </row>
    <row r="62298" spans="3:18" s="8" customFormat="1" x14ac:dyDescent="0.25">
      <c r="C62298" s="60"/>
      <c r="I62298" s="63"/>
      <c r="R62298" s="64"/>
    </row>
    <row r="62299" spans="3:18" s="8" customFormat="1" x14ac:dyDescent="0.25">
      <c r="C62299" s="60"/>
      <c r="I62299" s="63"/>
      <c r="R62299" s="64"/>
    </row>
    <row r="62300" spans="3:18" s="8" customFormat="1" x14ac:dyDescent="0.25">
      <c r="C62300" s="60"/>
      <c r="I62300" s="63"/>
      <c r="R62300" s="64"/>
    </row>
    <row r="62301" spans="3:18" s="8" customFormat="1" x14ac:dyDescent="0.25">
      <c r="C62301" s="60"/>
      <c r="I62301" s="63"/>
      <c r="R62301" s="64"/>
    </row>
    <row r="62302" spans="3:18" s="8" customFormat="1" x14ac:dyDescent="0.25">
      <c r="C62302" s="60"/>
      <c r="I62302" s="63"/>
      <c r="R62302" s="64"/>
    </row>
    <row r="62303" spans="3:18" s="8" customFormat="1" x14ac:dyDescent="0.25">
      <c r="C62303" s="60"/>
      <c r="I62303" s="63"/>
      <c r="R62303" s="64"/>
    </row>
    <row r="62304" spans="3:18" s="8" customFormat="1" x14ac:dyDescent="0.25">
      <c r="C62304" s="60"/>
      <c r="I62304" s="63"/>
      <c r="R62304" s="64"/>
    </row>
    <row r="62305" spans="3:18" s="8" customFormat="1" x14ac:dyDescent="0.25">
      <c r="C62305" s="60"/>
      <c r="I62305" s="63"/>
      <c r="R62305" s="64"/>
    </row>
    <row r="62306" spans="3:18" s="8" customFormat="1" x14ac:dyDescent="0.25">
      <c r="C62306" s="60"/>
      <c r="I62306" s="63"/>
      <c r="R62306" s="64"/>
    </row>
    <row r="62307" spans="3:18" s="8" customFormat="1" x14ac:dyDescent="0.25">
      <c r="C62307" s="60"/>
      <c r="I62307" s="63"/>
      <c r="R62307" s="64"/>
    </row>
    <row r="62308" spans="3:18" s="8" customFormat="1" x14ac:dyDescent="0.25">
      <c r="C62308" s="60"/>
      <c r="I62308" s="63"/>
      <c r="R62308" s="64"/>
    </row>
    <row r="62309" spans="3:18" s="8" customFormat="1" x14ac:dyDescent="0.25">
      <c r="C62309" s="60"/>
      <c r="I62309" s="63"/>
      <c r="R62309" s="64"/>
    </row>
    <row r="62310" spans="3:18" s="8" customFormat="1" x14ac:dyDescent="0.25">
      <c r="C62310" s="60"/>
      <c r="I62310" s="63"/>
      <c r="R62310" s="64"/>
    </row>
    <row r="62311" spans="3:18" s="8" customFormat="1" x14ac:dyDescent="0.25">
      <c r="C62311" s="60"/>
      <c r="I62311" s="63"/>
      <c r="R62311" s="64"/>
    </row>
    <row r="62312" spans="3:18" s="8" customFormat="1" x14ac:dyDescent="0.25">
      <c r="C62312" s="60"/>
      <c r="I62312" s="63"/>
      <c r="R62312" s="64"/>
    </row>
    <row r="62313" spans="3:18" s="8" customFormat="1" x14ac:dyDescent="0.25">
      <c r="C62313" s="60"/>
      <c r="I62313" s="63"/>
      <c r="R62313" s="64"/>
    </row>
    <row r="62314" spans="3:18" s="8" customFormat="1" x14ac:dyDescent="0.25">
      <c r="C62314" s="60"/>
      <c r="I62314" s="63"/>
      <c r="R62314" s="64"/>
    </row>
    <row r="62315" spans="3:18" s="8" customFormat="1" x14ac:dyDescent="0.25">
      <c r="C62315" s="60"/>
      <c r="I62315" s="63"/>
      <c r="R62315" s="64"/>
    </row>
    <row r="62316" spans="3:18" s="8" customFormat="1" x14ac:dyDescent="0.25">
      <c r="C62316" s="60"/>
      <c r="I62316" s="63"/>
      <c r="R62316" s="64"/>
    </row>
    <row r="62317" spans="3:18" s="8" customFormat="1" x14ac:dyDescent="0.25">
      <c r="C62317" s="60"/>
      <c r="I62317" s="63"/>
      <c r="R62317" s="64"/>
    </row>
    <row r="62318" spans="3:18" s="8" customFormat="1" x14ac:dyDescent="0.25">
      <c r="C62318" s="60"/>
      <c r="I62318" s="63"/>
      <c r="R62318" s="64"/>
    </row>
    <row r="62319" spans="3:18" s="8" customFormat="1" x14ac:dyDescent="0.25">
      <c r="C62319" s="60"/>
      <c r="I62319" s="63"/>
      <c r="R62319" s="64"/>
    </row>
    <row r="62320" spans="3:18" s="8" customFormat="1" x14ac:dyDescent="0.25">
      <c r="C62320" s="60"/>
      <c r="I62320" s="63"/>
      <c r="R62320" s="64"/>
    </row>
    <row r="62321" spans="3:18" s="8" customFormat="1" x14ac:dyDescent="0.25">
      <c r="C62321" s="60"/>
      <c r="I62321" s="63"/>
      <c r="R62321" s="64"/>
    </row>
    <row r="62322" spans="3:18" s="8" customFormat="1" x14ac:dyDescent="0.25">
      <c r="C62322" s="60"/>
      <c r="I62322" s="63"/>
      <c r="R62322" s="64"/>
    </row>
    <row r="62323" spans="3:18" s="8" customFormat="1" x14ac:dyDescent="0.25">
      <c r="C62323" s="60"/>
      <c r="I62323" s="63"/>
      <c r="R62323" s="64"/>
    </row>
    <row r="62324" spans="3:18" s="8" customFormat="1" x14ac:dyDescent="0.25">
      <c r="C62324" s="60"/>
      <c r="I62324" s="63"/>
      <c r="R62324" s="64"/>
    </row>
    <row r="62325" spans="3:18" s="8" customFormat="1" x14ac:dyDescent="0.25">
      <c r="C62325" s="60"/>
      <c r="I62325" s="63"/>
      <c r="R62325" s="64"/>
    </row>
    <row r="62326" spans="3:18" s="8" customFormat="1" x14ac:dyDescent="0.25">
      <c r="C62326" s="60"/>
      <c r="I62326" s="63"/>
      <c r="R62326" s="64"/>
    </row>
    <row r="62327" spans="3:18" s="8" customFormat="1" x14ac:dyDescent="0.25">
      <c r="C62327" s="60"/>
      <c r="I62327" s="63"/>
      <c r="R62327" s="64"/>
    </row>
    <row r="62328" spans="3:18" s="8" customFormat="1" x14ac:dyDescent="0.25">
      <c r="C62328" s="60"/>
      <c r="I62328" s="63"/>
      <c r="R62328" s="64"/>
    </row>
    <row r="62329" spans="3:18" s="8" customFormat="1" x14ac:dyDescent="0.25">
      <c r="C62329" s="60"/>
      <c r="I62329" s="63"/>
      <c r="R62329" s="64"/>
    </row>
    <row r="62330" spans="3:18" s="8" customFormat="1" x14ac:dyDescent="0.25">
      <c r="C62330" s="60"/>
      <c r="I62330" s="63"/>
      <c r="R62330" s="64"/>
    </row>
    <row r="62331" spans="3:18" s="8" customFormat="1" x14ac:dyDescent="0.25">
      <c r="C62331" s="60"/>
      <c r="I62331" s="63"/>
      <c r="R62331" s="64"/>
    </row>
    <row r="62332" spans="3:18" s="8" customFormat="1" x14ac:dyDescent="0.25">
      <c r="C62332" s="60"/>
      <c r="I62332" s="63"/>
      <c r="R62332" s="64"/>
    </row>
    <row r="62333" spans="3:18" s="8" customFormat="1" x14ac:dyDescent="0.25">
      <c r="C62333" s="60"/>
      <c r="I62333" s="63"/>
      <c r="R62333" s="64"/>
    </row>
    <row r="62334" spans="3:18" s="8" customFormat="1" x14ac:dyDescent="0.25">
      <c r="C62334" s="60"/>
      <c r="I62334" s="63"/>
      <c r="R62334" s="64"/>
    </row>
    <row r="62335" spans="3:18" s="8" customFormat="1" x14ac:dyDescent="0.25">
      <c r="C62335" s="60"/>
      <c r="I62335" s="63"/>
      <c r="R62335" s="64"/>
    </row>
    <row r="62336" spans="3:18" s="8" customFormat="1" x14ac:dyDescent="0.25">
      <c r="C62336" s="60"/>
      <c r="I62336" s="63"/>
      <c r="R62336" s="64"/>
    </row>
    <row r="62337" spans="3:18" s="8" customFormat="1" x14ac:dyDescent="0.25">
      <c r="C62337" s="60"/>
      <c r="I62337" s="63"/>
      <c r="R62337" s="64"/>
    </row>
    <row r="62338" spans="3:18" s="8" customFormat="1" x14ac:dyDescent="0.25">
      <c r="C62338" s="60"/>
      <c r="I62338" s="63"/>
      <c r="R62338" s="64"/>
    </row>
    <row r="62339" spans="3:18" s="8" customFormat="1" x14ac:dyDescent="0.25">
      <c r="C62339" s="60"/>
      <c r="I62339" s="63"/>
      <c r="R62339" s="64"/>
    </row>
    <row r="62340" spans="3:18" s="8" customFormat="1" x14ac:dyDescent="0.25">
      <c r="C62340" s="60"/>
      <c r="I62340" s="63"/>
      <c r="R62340" s="64"/>
    </row>
    <row r="62341" spans="3:18" s="8" customFormat="1" x14ac:dyDescent="0.25">
      <c r="C62341" s="60"/>
      <c r="I62341" s="63"/>
      <c r="R62341" s="64"/>
    </row>
    <row r="62342" spans="3:18" s="8" customFormat="1" x14ac:dyDescent="0.25">
      <c r="C62342" s="60"/>
      <c r="I62342" s="63"/>
      <c r="R62342" s="64"/>
    </row>
    <row r="62343" spans="3:18" s="8" customFormat="1" x14ac:dyDescent="0.25">
      <c r="C62343" s="60"/>
      <c r="I62343" s="63"/>
      <c r="R62343" s="64"/>
    </row>
    <row r="62344" spans="3:18" s="8" customFormat="1" x14ac:dyDescent="0.25">
      <c r="C62344" s="60"/>
      <c r="I62344" s="63"/>
      <c r="R62344" s="64"/>
    </row>
    <row r="62345" spans="3:18" s="8" customFormat="1" x14ac:dyDescent="0.25">
      <c r="C62345" s="60"/>
      <c r="I62345" s="63"/>
      <c r="R62345" s="64"/>
    </row>
    <row r="62346" spans="3:18" s="8" customFormat="1" x14ac:dyDescent="0.25">
      <c r="C62346" s="60"/>
      <c r="I62346" s="63"/>
      <c r="R62346" s="64"/>
    </row>
    <row r="62347" spans="3:18" s="8" customFormat="1" x14ac:dyDescent="0.25">
      <c r="C62347" s="60"/>
      <c r="I62347" s="63"/>
      <c r="R62347" s="64"/>
    </row>
    <row r="62348" spans="3:18" s="8" customFormat="1" x14ac:dyDescent="0.25">
      <c r="C62348" s="60"/>
      <c r="I62348" s="63"/>
      <c r="R62348" s="64"/>
    </row>
    <row r="62349" spans="3:18" s="8" customFormat="1" x14ac:dyDescent="0.25">
      <c r="C62349" s="60"/>
      <c r="I62349" s="63"/>
      <c r="R62349" s="64"/>
    </row>
    <row r="62350" spans="3:18" s="8" customFormat="1" x14ac:dyDescent="0.25">
      <c r="C62350" s="60"/>
      <c r="I62350" s="63"/>
      <c r="R62350" s="64"/>
    </row>
    <row r="62351" spans="3:18" s="8" customFormat="1" x14ac:dyDescent="0.25">
      <c r="C62351" s="60"/>
      <c r="I62351" s="63"/>
      <c r="R62351" s="64"/>
    </row>
    <row r="62352" spans="3:18" s="8" customFormat="1" x14ac:dyDescent="0.25">
      <c r="C62352" s="60"/>
      <c r="I62352" s="63"/>
      <c r="R62352" s="64"/>
    </row>
    <row r="62353" spans="3:18" s="8" customFormat="1" x14ac:dyDescent="0.25">
      <c r="C62353" s="60"/>
      <c r="I62353" s="63"/>
      <c r="R62353" s="64"/>
    </row>
    <row r="62354" spans="3:18" s="8" customFormat="1" x14ac:dyDescent="0.25">
      <c r="C62354" s="60"/>
      <c r="I62354" s="63"/>
      <c r="R62354" s="64"/>
    </row>
    <row r="62355" spans="3:18" s="8" customFormat="1" x14ac:dyDescent="0.25">
      <c r="C62355" s="60"/>
      <c r="I62355" s="63"/>
      <c r="R62355" s="64"/>
    </row>
    <row r="62356" spans="3:18" s="8" customFormat="1" x14ac:dyDescent="0.25">
      <c r="C62356" s="60"/>
      <c r="I62356" s="63"/>
      <c r="R62356" s="64"/>
    </row>
    <row r="62357" spans="3:18" s="8" customFormat="1" x14ac:dyDescent="0.25">
      <c r="C62357" s="60"/>
      <c r="I62357" s="63"/>
      <c r="R62357" s="64"/>
    </row>
    <row r="62358" spans="3:18" s="8" customFormat="1" x14ac:dyDescent="0.25">
      <c r="C62358" s="60"/>
      <c r="I62358" s="63"/>
      <c r="R62358" s="64"/>
    </row>
    <row r="62359" spans="3:18" s="8" customFormat="1" x14ac:dyDescent="0.25">
      <c r="C62359" s="60"/>
      <c r="I62359" s="63"/>
      <c r="R62359" s="64"/>
    </row>
    <row r="62360" spans="3:18" s="8" customFormat="1" x14ac:dyDescent="0.25">
      <c r="C62360" s="60"/>
      <c r="I62360" s="63"/>
      <c r="R62360" s="64"/>
    </row>
    <row r="62361" spans="3:18" s="8" customFormat="1" x14ac:dyDescent="0.25">
      <c r="C62361" s="60"/>
      <c r="I62361" s="63"/>
      <c r="R62361" s="64"/>
    </row>
    <row r="62362" spans="3:18" s="8" customFormat="1" x14ac:dyDescent="0.25">
      <c r="C62362" s="60"/>
      <c r="I62362" s="63"/>
      <c r="R62362" s="64"/>
    </row>
    <row r="62363" spans="3:18" s="8" customFormat="1" x14ac:dyDescent="0.25">
      <c r="C62363" s="60"/>
      <c r="I62363" s="63"/>
      <c r="R62363" s="64"/>
    </row>
    <row r="62364" spans="3:18" s="8" customFormat="1" x14ac:dyDescent="0.25">
      <c r="C62364" s="60"/>
      <c r="I62364" s="63"/>
      <c r="R62364" s="64"/>
    </row>
    <row r="62365" spans="3:18" s="8" customFormat="1" x14ac:dyDescent="0.25">
      <c r="C62365" s="60"/>
      <c r="I62365" s="63"/>
      <c r="R62365" s="64"/>
    </row>
    <row r="62366" spans="3:18" s="8" customFormat="1" x14ac:dyDescent="0.25">
      <c r="C62366" s="60"/>
      <c r="I62366" s="63"/>
      <c r="R62366" s="64"/>
    </row>
    <row r="62367" spans="3:18" s="8" customFormat="1" x14ac:dyDescent="0.25">
      <c r="C62367" s="60"/>
      <c r="I62367" s="63"/>
      <c r="R62367" s="64"/>
    </row>
    <row r="62368" spans="3:18" s="8" customFormat="1" x14ac:dyDescent="0.25">
      <c r="C62368" s="60"/>
      <c r="I62368" s="63"/>
      <c r="R62368" s="64"/>
    </row>
    <row r="62369" spans="3:18" s="8" customFormat="1" x14ac:dyDescent="0.25">
      <c r="C62369" s="60"/>
      <c r="I62369" s="63"/>
      <c r="R62369" s="64"/>
    </row>
    <row r="62370" spans="3:18" s="8" customFormat="1" x14ac:dyDescent="0.25">
      <c r="C62370" s="60"/>
      <c r="I62370" s="63"/>
      <c r="R62370" s="64"/>
    </row>
    <row r="62371" spans="3:18" s="8" customFormat="1" x14ac:dyDescent="0.25">
      <c r="C62371" s="60"/>
      <c r="I62371" s="63"/>
      <c r="R62371" s="64"/>
    </row>
    <row r="62372" spans="3:18" s="8" customFormat="1" x14ac:dyDescent="0.25">
      <c r="C62372" s="60"/>
      <c r="I62372" s="63"/>
      <c r="R62372" s="64"/>
    </row>
    <row r="62373" spans="3:18" s="8" customFormat="1" x14ac:dyDescent="0.25">
      <c r="C62373" s="60"/>
      <c r="I62373" s="63"/>
      <c r="R62373" s="64"/>
    </row>
    <row r="62374" spans="3:18" s="8" customFormat="1" x14ac:dyDescent="0.25">
      <c r="C62374" s="60"/>
      <c r="I62374" s="63"/>
      <c r="R62374" s="64"/>
    </row>
    <row r="62375" spans="3:18" s="8" customFormat="1" x14ac:dyDescent="0.25">
      <c r="C62375" s="60"/>
      <c r="I62375" s="63"/>
      <c r="R62375" s="64"/>
    </row>
    <row r="62376" spans="3:18" s="8" customFormat="1" x14ac:dyDescent="0.25">
      <c r="C62376" s="60"/>
      <c r="I62376" s="63"/>
      <c r="R62376" s="64"/>
    </row>
    <row r="62377" spans="3:18" s="8" customFormat="1" x14ac:dyDescent="0.25">
      <c r="C62377" s="60"/>
      <c r="I62377" s="63"/>
      <c r="R62377" s="64"/>
    </row>
    <row r="62378" spans="3:18" s="8" customFormat="1" x14ac:dyDescent="0.25">
      <c r="C62378" s="60"/>
      <c r="I62378" s="63"/>
      <c r="R62378" s="64"/>
    </row>
    <row r="62379" spans="3:18" s="8" customFormat="1" x14ac:dyDescent="0.25">
      <c r="C62379" s="60"/>
      <c r="I62379" s="63"/>
      <c r="R62379" s="64"/>
    </row>
    <row r="62380" spans="3:18" s="8" customFormat="1" x14ac:dyDescent="0.25">
      <c r="C62380" s="60"/>
      <c r="I62380" s="63"/>
      <c r="R62380" s="64"/>
    </row>
    <row r="62381" spans="3:18" s="8" customFormat="1" x14ac:dyDescent="0.25">
      <c r="C62381" s="60"/>
      <c r="I62381" s="63"/>
      <c r="R62381" s="64"/>
    </row>
    <row r="62382" spans="3:18" s="8" customFormat="1" x14ac:dyDescent="0.25">
      <c r="C62382" s="60"/>
      <c r="I62382" s="63"/>
      <c r="R62382" s="64"/>
    </row>
    <row r="62383" spans="3:18" s="8" customFormat="1" x14ac:dyDescent="0.25">
      <c r="C62383" s="60"/>
      <c r="I62383" s="63"/>
      <c r="R62383" s="64"/>
    </row>
    <row r="62384" spans="3:18" s="8" customFormat="1" x14ac:dyDescent="0.25">
      <c r="C62384" s="60"/>
      <c r="I62384" s="63"/>
      <c r="R62384" s="64"/>
    </row>
    <row r="62385" spans="3:18" s="8" customFormat="1" x14ac:dyDescent="0.25">
      <c r="C62385" s="60"/>
      <c r="I62385" s="63"/>
      <c r="R62385" s="64"/>
    </row>
    <row r="62386" spans="3:18" s="8" customFormat="1" x14ac:dyDescent="0.25">
      <c r="C62386" s="60"/>
      <c r="I62386" s="63"/>
      <c r="R62386" s="64"/>
    </row>
    <row r="62387" spans="3:18" s="8" customFormat="1" x14ac:dyDescent="0.25">
      <c r="C62387" s="60"/>
      <c r="I62387" s="63"/>
      <c r="R62387" s="64"/>
    </row>
    <row r="62388" spans="3:18" s="8" customFormat="1" x14ac:dyDescent="0.25">
      <c r="C62388" s="60"/>
      <c r="I62388" s="63"/>
      <c r="R62388" s="64"/>
    </row>
    <row r="62389" spans="3:18" s="8" customFormat="1" x14ac:dyDescent="0.25">
      <c r="C62389" s="60"/>
      <c r="I62389" s="63"/>
      <c r="R62389" s="64"/>
    </row>
    <row r="62390" spans="3:18" s="8" customFormat="1" x14ac:dyDescent="0.25">
      <c r="C62390" s="60"/>
      <c r="I62390" s="63"/>
      <c r="R62390" s="64"/>
    </row>
    <row r="62391" spans="3:18" s="8" customFormat="1" x14ac:dyDescent="0.25">
      <c r="C62391" s="60"/>
      <c r="I62391" s="63"/>
      <c r="R62391" s="64"/>
    </row>
    <row r="62392" spans="3:18" s="8" customFormat="1" x14ac:dyDescent="0.25">
      <c r="C62392" s="60"/>
      <c r="I62392" s="63"/>
      <c r="R62392" s="64"/>
    </row>
    <row r="62393" spans="3:18" s="8" customFormat="1" x14ac:dyDescent="0.25">
      <c r="C62393" s="60"/>
      <c r="I62393" s="63"/>
      <c r="R62393" s="64"/>
    </row>
    <row r="62394" spans="3:18" s="8" customFormat="1" x14ac:dyDescent="0.25">
      <c r="C62394" s="60"/>
      <c r="I62394" s="63"/>
      <c r="R62394" s="64"/>
    </row>
    <row r="62395" spans="3:18" s="8" customFormat="1" x14ac:dyDescent="0.25">
      <c r="C62395" s="60"/>
      <c r="I62395" s="63"/>
      <c r="R62395" s="64"/>
    </row>
    <row r="62396" spans="3:18" s="8" customFormat="1" x14ac:dyDescent="0.25">
      <c r="C62396" s="60"/>
      <c r="I62396" s="63"/>
      <c r="R62396" s="64"/>
    </row>
    <row r="62397" spans="3:18" s="8" customFormat="1" x14ac:dyDescent="0.25">
      <c r="C62397" s="60"/>
      <c r="I62397" s="63"/>
      <c r="R62397" s="64"/>
    </row>
    <row r="62398" spans="3:18" s="8" customFormat="1" x14ac:dyDescent="0.25">
      <c r="C62398" s="60"/>
      <c r="I62398" s="63"/>
      <c r="R62398" s="64"/>
    </row>
    <row r="62399" spans="3:18" s="8" customFormat="1" x14ac:dyDescent="0.25">
      <c r="C62399" s="60"/>
      <c r="I62399" s="63"/>
      <c r="R62399" s="64"/>
    </row>
    <row r="62400" spans="3:18" s="8" customFormat="1" x14ac:dyDescent="0.25">
      <c r="C62400" s="60"/>
      <c r="I62400" s="63"/>
      <c r="R62400" s="64"/>
    </row>
    <row r="62401" spans="3:18" s="8" customFormat="1" x14ac:dyDescent="0.25">
      <c r="C62401" s="60"/>
      <c r="I62401" s="63"/>
      <c r="R62401" s="64"/>
    </row>
    <row r="62402" spans="3:18" s="8" customFormat="1" x14ac:dyDescent="0.25">
      <c r="C62402" s="60"/>
      <c r="I62402" s="63"/>
      <c r="R62402" s="64"/>
    </row>
    <row r="62403" spans="3:18" s="8" customFormat="1" x14ac:dyDescent="0.25">
      <c r="C62403" s="60"/>
      <c r="I62403" s="63"/>
      <c r="R62403" s="64"/>
    </row>
    <row r="62404" spans="3:18" s="8" customFormat="1" x14ac:dyDescent="0.25">
      <c r="C62404" s="60"/>
      <c r="I62404" s="63"/>
      <c r="R62404" s="64"/>
    </row>
    <row r="62405" spans="3:18" s="8" customFormat="1" x14ac:dyDescent="0.25">
      <c r="C62405" s="60"/>
      <c r="I62405" s="63"/>
      <c r="R62405" s="64"/>
    </row>
    <row r="62406" spans="3:18" s="8" customFormat="1" x14ac:dyDescent="0.25">
      <c r="C62406" s="60"/>
      <c r="I62406" s="63"/>
      <c r="R62406" s="64"/>
    </row>
    <row r="62407" spans="3:18" s="8" customFormat="1" x14ac:dyDescent="0.25">
      <c r="C62407" s="60"/>
      <c r="I62407" s="63"/>
      <c r="R62407" s="64"/>
    </row>
    <row r="62408" spans="3:18" s="8" customFormat="1" x14ac:dyDescent="0.25">
      <c r="C62408" s="60"/>
      <c r="I62408" s="63"/>
      <c r="R62408" s="64"/>
    </row>
    <row r="62409" spans="3:18" s="8" customFormat="1" x14ac:dyDescent="0.25">
      <c r="C62409" s="60"/>
      <c r="I62409" s="63"/>
      <c r="R62409" s="64"/>
    </row>
    <row r="62410" spans="3:18" s="8" customFormat="1" x14ac:dyDescent="0.25">
      <c r="C62410" s="60"/>
      <c r="I62410" s="63"/>
      <c r="R62410" s="64"/>
    </row>
    <row r="62411" spans="3:18" s="8" customFormat="1" x14ac:dyDescent="0.25">
      <c r="C62411" s="60"/>
      <c r="I62411" s="63"/>
      <c r="R62411" s="64"/>
    </row>
    <row r="62412" spans="3:18" s="8" customFormat="1" x14ac:dyDescent="0.25">
      <c r="C62412" s="60"/>
      <c r="I62412" s="63"/>
      <c r="R62412" s="64"/>
    </row>
    <row r="62413" spans="3:18" s="8" customFormat="1" x14ac:dyDescent="0.25">
      <c r="C62413" s="60"/>
      <c r="I62413" s="63"/>
      <c r="R62413" s="64"/>
    </row>
    <row r="62414" spans="3:18" s="8" customFormat="1" x14ac:dyDescent="0.25">
      <c r="C62414" s="60"/>
      <c r="I62414" s="63"/>
      <c r="R62414" s="64"/>
    </row>
    <row r="62415" spans="3:18" s="8" customFormat="1" x14ac:dyDescent="0.25">
      <c r="C62415" s="60"/>
      <c r="I62415" s="63"/>
      <c r="R62415" s="64"/>
    </row>
    <row r="62416" spans="3:18" s="8" customFormat="1" x14ac:dyDescent="0.25">
      <c r="C62416" s="60"/>
      <c r="I62416" s="63"/>
      <c r="R62416" s="64"/>
    </row>
    <row r="62417" spans="3:18" s="8" customFormat="1" x14ac:dyDescent="0.25">
      <c r="C62417" s="60"/>
      <c r="I62417" s="63"/>
      <c r="R62417" s="64"/>
    </row>
    <row r="62418" spans="3:18" s="8" customFormat="1" x14ac:dyDescent="0.25">
      <c r="C62418" s="60"/>
      <c r="I62418" s="63"/>
      <c r="R62418" s="64"/>
    </row>
    <row r="62419" spans="3:18" s="8" customFormat="1" x14ac:dyDescent="0.25">
      <c r="C62419" s="60"/>
      <c r="I62419" s="63"/>
      <c r="R62419" s="64"/>
    </row>
    <row r="62420" spans="3:18" s="8" customFormat="1" x14ac:dyDescent="0.25">
      <c r="C62420" s="60"/>
      <c r="I62420" s="63"/>
      <c r="R62420" s="64"/>
    </row>
    <row r="62421" spans="3:18" s="8" customFormat="1" x14ac:dyDescent="0.25">
      <c r="C62421" s="60"/>
      <c r="I62421" s="63"/>
      <c r="R62421" s="64"/>
    </row>
    <row r="62422" spans="3:18" s="8" customFormat="1" x14ac:dyDescent="0.25">
      <c r="C62422" s="60"/>
      <c r="I62422" s="63"/>
      <c r="R62422" s="64"/>
    </row>
    <row r="62423" spans="3:18" s="8" customFormat="1" x14ac:dyDescent="0.25">
      <c r="C62423" s="60"/>
      <c r="I62423" s="63"/>
      <c r="R62423" s="64"/>
    </row>
    <row r="62424" spans="3:18" s="8" customFormat="1" x14ac:dyDescent="0.25">
      <c r="C62424" s="60"/>
      <c r="I62424" s="63"/>
      <c r="R62424" s="64"/>
    </row>
    <row r="62425" spans="3:18" s="8" customFormat="1" x14ac:dyDescent="0.25">
      <c r="C62425" s="60"/>
      <c r="I62425" s="63"/>
      <c r="R62425" s="64"/>
    </row>
    <row r="62426" spans="3:18" s="8" customFormat="1" x14ac:dyDescent="0.25">
      <c r="C62426" s="60"/>
      <c r="I62426" s="63"/>
      <c r="R62426" s="64"/>
    </row>
    <row r="62427" spans="3:18" s="8" customFormat="1" x14ac:dyDescent="0.25">
      <c r="C62427" s="60"/>
      <c r="I62427" s="63"/>
      <c r="R62427" s="64"/>
    </row>
    <row r="62428" spans="3:18" s="8" customFormat="1" x14ac:dyDescent="0.25">
      <c r="C62428" s="60"/>
      <c r="I62428" s="63"/>
      <c r="R62428" s="64"/>
    </row>
    <row r="62429" spans="3:18" s="8" customFormat="1" x14ac:dyDescent="0.25">
      <c r="C62429" s="60"/>
      <c r="I62429" s="63"/>
      <c r="R62429" s="64"/>
    </row>
    <row r="62430" spans="3:18" s="8" customFormat="1" x14ac:dyDescent="0.25">
      <c r="C62430" s="60"/>
      <c r="I62430" s="63"/>
      <c r="R62430" s="64"/>
    </row>
    <row r="62431" spans="3:18" s="8" customFormat="1" x14ac:dyDescent="0.25">
      <c r="C62431" s="60"/>
      <c r="I62431" s="63"/>
      <c r="R62431" s="64"/>
    </row>
    <row r="62432" spans="3:18" s="8" customFormat="1" x14ac:dyDescent="0.25">
      <c r="C62432" s="60"/>
      <c r="I62432" s="63"/>
      <c r="R62432" s="64"/>
    </row>
    <row r="62433" spans="3:18" s="8" customFormat="1" x14ac:dyDescent="0.25">
      <c r="C62433" s="60"/>
      <c r="I62433" s="63"/>
      <c r="R62433" s="64"/>
    </row>
    <row r="62434" spans="3:18" s="8" customFormat="1" x14ac:dyDescent="0.25">
      <c r="C62434" s="60"/>
      <c r="I62434" s="63"/>
      <c r="R62434" s="64"/>
    </row>
    <row r="62435" spans="3:18" s="8" customFormat="1" x14ac:dyDescent="0.25">
      <c r="C62435" s="60"/>
      <c r="I62435" s="63"/>
      <c r="R62435" s="64"/>
    </row>
    <row r="62436" spans="3:18" s="8" customFormat="1" x14ac:dyDescent="0.25">
      <c r="C62436" s="60"/>
      <c r="I62436" s="63"/>
      <c r="R62436" s="64"/>
    </row>
    <row r="62437" spans="3:18" s="8" customFormat="1" x14ac:dyDescent="0.25">
      <c r="C62437" s="60"/>
      <c r="I62437" s="63"/>
      <c r="R62437" s="64"/>
    </row>
    <row r="62438" spans="3:18" s="8" customFormat="1" x14ac:dyDescent="0.25">
      <c r="C62438" s="60"/>
      <c r="I62438" s="63"/>
      <c r="R62438" s="64"/>
    </row>
    <row r="62439" spans="3:18" s="8" customFormat="1" x14ac:dyDescent="0.25">
      <c r="C62439" s="60"/>
      <c r="I62439" s="63"/>
      <c r="R62439" s="64"/>
    </row>
    <row r="62440" spans="3:18" s="8" customFormat="1" x14ac:dyDescent="0.25">
      <c r="C62440" s="60"/>
      <c r="I62440" s="63"/>
      <c r="R62440" s="64"/>
    </row>
    <row r="62441" spans="3:18" s="8" customFormat="1" x14ac:dyDescent="0.25">
      <c r="C62441" s="60"/>
      <c r="I62441" s="63"/>
      <c r="R62441" s="64"/>
    </row>
    <row r="62442" spans="3:18" s="8" customFormat="1" x14ac:dyDescent="0.25">
      <c r="C62442" s="60"/>
      <c r="I62442" s="63"/>
      <c r="R62442" s="64"/>
    </row>
    <row r="62443" spans="3:18" s="8" customFormat="1" x14ac:dyDescent="0.25">
      <c r="C62443" s="60"/>
      <c r="I62443" s="63"/>
      <c r="R62443" s="64"/>
    </row>
    <row r="62444" spans="3:18" s="8" customFormat="1" x14ac:dyDescent="0.25">
      <c r="C62444" s="60"/>
      <c r="I62444" s="63"/>
      <c r="R62444" s="64"/>
    </row>
    <row r="62445" spans="3:18" s="8" customFormat="1" x14ac:dyDescent="0.25">
      <c r="C62445" s="60"/>
      <c r="I62445" s="63"/>
      <c r="R62445" s="64"/>
    </row>
    <row r="62446" spans="3:18" s="8" customFormat="1" x14ac:dyDescent="0.25">
      <c r="C62446" s="60"/>
      <c r="I62446" s="63"/>
      <c r="R62446" s="64"/>
    </row>
    <row r="62447" spans="3:18" s="8" customFormat="1" x14ac:dyDescent="0.25">
      <c r="C62447" s="60"/>
      <c r="I62447" s="63"/>
      <c r="R62447" s="64"/>
    </row>
    <row r="62448" spans="3:18" s="8" customFormat="1" x14ac:dyDescent="0.25">
      <c r="C62448" s="60"/>
      <c r="I62448" s="63"/>
      <c r="R62448" s="64"/>
    </row>
    <row r="62449" spans="3:18" s="8" customFormat="1" x14ac:dyDescent="0.25">
      <c r="C62449" s="60"/>
      <c r="I62449" s="63"/>
      <c r="R62449" s="64"/>
    </row>
    <row r="62450" spans="3:18" s="8" customFormat="1" x14ac:dyDescent="0.25">
      <c r="C62450" s="60"/>
      <c r="I62450" s="63"/>
      <c r="R62450" s="64"/>
    </row>
    <row r="62451" spans="3:18" s="8" customFormat="1" x14ac:dyDescent="0.25">
      <c r="C62451" s="60"/>
      <c r="I62451" s="63"/>
      <c r="R62451" s="64"/>
    </row>
    <row r="62452" spans="3:18" s="8" customFormat="1" x14ac:dyDescent="0.25">
      <c r="C62452" s="60"/>
      <c r="I62452" s="63"/>
      <c r="R62452" s="64"/>
    </row>
    <row r="62453" spans="3:18" s="8" customFormat="1" x14ac:dyDescent="0.25">
      <c r="C62453" s="60"/>
      <c r="I62453" s="63"/>
      <c r="R62453" s="64"/>
    </row>
    <row r="62454" spans="3:18" s="8" customFormat="1" x14ac:dyDescent="0.25">
      <c r="C62454" s="60"/>
      <c r="I62454" s="63"/>
      <c r="R62454" s="64"/>
    </row>
    <row r="62455" spans="3:18" s="8" customFormat="1" x14ac:dyDescent="0.25">
      <c r="C62455" s="60"/>
      <c r="I62455" s="63"/>
      <c r="R62455" s="64"/>
    </row>
    <row r="62456" spans="3:18" s="8" customFormat="1" x14ac:dyDescent="0.25">
      <c r="C62456" s="60"/>
      <c r="I62456" s="63"/>
      <c r="R62456" s="64"/>
    </row>
    <row r="62457" spans="3:18" s="8" customFormat="1" x14ac:dyDescent="0.25">
      <c r="C62457" s="60"/>
      <c r="I62457" s="63"/>
      <c r="R62457" s="64"/>
    </row>
    <row r="62458" spans="3:18" s="8" customFormat="1" x14ac:dyDescent="0.25">
      <c r="C62458" s="60"/>
      <c r="I62458" s="63"/>
      <c r="R62458" s="64"/>
    </row>
    <row r="62459" spans="3:18" s="8" customFormat="1" x14ac:dyDescent="0.25">
      <c r="C62459" s="60"/>
      <c r="I62459" s="63"/>
      <c r="R62459" s="64"/>
    </row>
    <row r="62460" spans="3:18" s="8" customFormat="1" x14ac:dyDescent="0.25">
      <c r="C62460" s="60"/>
      <c r="I62460" s="63"/>
      <c r="R62460" s="64"/>
    </row>
    <row r="62461" spans="3:18" s="8" customFormat="1" x14ac:dyDescent="0.25">
      <c r="C62461" s="60"/>
      <c r="I62461" s="63"/>
      <c r="R62461" s="64"/>
    </row>
    <row r="62462" spans="3:18" s="8" customFormat="1" x14ac:dyDescent="0.25">
      <c r="C62462" s="60"/>
      <c r="I62462" s="63"/>
      <c r="R62462" s="64"/>
    </row>
    <row r="62463" spans="3:18" s="8" customFormat="1" x14ac:dyDescent="0.25">
      <c r="C62463" s="60"/>
      <c r="I62463" s="63"/>
      <c r="R62463" s="64"/>
    </row>
    <row r="62464" spans="3:18" s="8" customFormat="1" x14ac:dyDescent="0.25">
      <c r="C62464" s="60"/>
      <c r="I62464" s="63"/>
      <c r="R62464" s="64"/>
    </row>
    <row r="62465" spans="3:18" s="8" customFormat="1" x14ac:dyDescent="0.25">
      <c r="C62465" s="60"/>
      <c r="I62465" s="63"/>
      <c r="R62465" s="64"/>
    </row>
    <row r="62466" spans="3:18" s="8" customFormat="1" x14ac:dyDescent="0.25">
      <c r="C62466" s="60"/>
      <c r="I62466" s="63"/>
      <c r="R62466" s="64"/>
    </row>
    <row r="62467" spans="3:18" s="8" customFormat="1" x14ac:dyDescent="0.25">
      <c r="C62467" s="60"/>
      <c r="I62467" s="63"/>
      <c r="R62467" s="64"/>
    </row>
    <row r="62468" spans="3:18" s="8" customFormat="1" x14ac:dyDescent="0.25">
      <c r="C62468" s="60"/>
      <c r="I62468" s="63"/>
      <c r="R62468" s="64"/>
    </row>
    <row r="62469" spans="3:18" s="8" customFormat="1" x14ac:dyDescent="0.25">
      <c r="C62469" s="60"/>
      <c r="I62469" s="63"/>
      <c r="R62469" s="64"/>
    </row>
    <row r="62470" spans="3:18" s="8" customFormat="1" x14ac:dyDescent="0.25">
      <c r="C62470" s="60"/>
      <c r="I62470" s="63"/>
      <c r="R62470" s="64"/>
    </row>
    <row r="62471" spans="3:18" s="8" customFormat="1" x14ac:dyDescent="0.25">
      <c r="C62471" s="60"/>
      <c r="I62471" s="63"/>
      <c r="R62471" s="64"/>
    </row>
    <row r="62472" spans="3:18" s="8" customFormat="1" x14ac:dyDescent="0.25">
      <c r="C62472" s="60"/>
      <c r="I62472" s="63"/>
      <c r="R62472" s="64"/>
    </row>
    <row r="62473" spans="3:18" s="8" customFormat="1" x14ac:dyDescent="0.25">
      <c r="C62473" s="60"/>
      <c r="I62473" s="63"/>
      <c r="R62473" s="64"/>
    </row>
    <row r="62474" spans="3:18" s="8" customFormat="1" x14ac:dyDescent="0.25">
      <c r="C62474" s="60"/>
      <c r="I62474" s="63"/>
      <c r="R62474" s="64"/>
    </row>
    <row r="62475" spans="3:18" s="8" customFormat="1" x14ac:dyDescent="0.25">
      <c r="C62475" s="60"/>
      <c r="I62475" s="63"/>
      <c r="R62475" s="64"/>
    </row>
    <row r="62476" spans="3:18" s="8" customFormat="1" x14ac:dyDescent="0.25">
      <c r="C62476" s="60"/>
      <c r="I62476" s="63"/>
      <c r="R62476" s="64"/>
    </row>
    <row r="62477" spans="3:18" s="8" customFormat="1" x14ac:dyDescent="0.25">
      <c r="C62477" s="60"/>
      <c r="I62477" s="63"/>
      <c r="R62477" s="64"/>
    </row>
    <row r="62478" spans="3:18" s="8" customFormat="1" x14ac:dyDescent="0.25">
      <c r="C62478" s="60"/>
      <c r="I62478" s="63"/>
      <c r="R62478" s="64"/>
    </row>
    <row r="62479" spans="3:18" s="8" customFormat="1" x14ac:dyDescent="0.25">
      <c r="C62479" s="60"/>
      <c r="I62479" s="63"/>
      <c r="R62479" s="64"/>
    </row>
    <row r="62480" spans="3:18" s="8" customFormat="1" x14ac:dyDescent="0.25">
      <c r="C62480" s="60"/>
      <c r="I62480" s="63"/>
      <c r="R62480" s="64"/>
    </row>
    <row r="62481" spans="3:18" s="8" customFormat="1" x14ac:dyDescent="0.25">
      <c r="C62481" s="60"/>
      <c r="I62481" s="63"/>
      <c r="R62481" s="64"/>
    </row>
    <row r="62482" spans="3:18" s="8" customFormat="1" x14ac:dyDescent="0.25">
      <c r="C62482" s="60"/>
      <c r="I62482" s="63"/>
      <c r="R62482" s="64"/>
    </row>
    <row r="62483" spans="3:18" s="8" customFormat="1" x14ac:dyDescent="0.25">
      <c r="C62483" s="60"/>
      <c r="I62483" s="63"/>
      <c r="R62483" s="64"/>
    </row>
    <row r="62484" spans="3:18" s="8" customFormat="1" x14ac:dyDescent="0.25">
      <c r="C62484" s="60"/>
      <c r="I62484" s="63"/>
      <c r="R62484" s="64"/>
    </row>
    <row r="62485" spans="3:18" s="8" customFormat="1" x14ac:dyDescent="0.25">
      <c r="C62485" s="60"/>
      <c r="I62485" s="63"/>
      <c r="R62485" s="64"/>
    </row>
    <row r="62486" spans="3:18" s="8" customFormat="1" x14ac:dyDescent="0.25">
      <c r="C62486" s="60"/>
      <c r="I62486" s="63"/>
      <c r="R62486" s="64"/>
    </row>
    <row r="62487" spans="3:18" s="8" customFormat="1" x14ac:dyDescent="0.25">
      <c r="C62487" s="60"/>
      <c r="I62487" s="63"/>
      <c r="R62487" s="64"/>
    </row>
    <row r="62488" spans="3:18" s="8" customFormat="1" x14ac:dyDescent="0.25">
      <c r="C62488" s="60"/>
      <c r="I62488" s="63"/>
      <c r="R62488" s="64"/>
    </row>
    <row r="62489" spans="3:18" s="8" customFormat="1" x14ac:dyDescent="0.25">
      <c r="C62489" s="60"/>
      <c r="I62489" s="63"/>
      <c r="R62489" s="64"/>
    </row>
    <row r="62490" spans="3:18" s="8" customFormat="1" x14ac:dyDescent="0.25">
      <c r="C62490" s="60"/>
      <c r="I62490" s="63"/>
      <c r="R62490" s="64"/>
    </row>
    <row r="62491" spans="3:18" s="8" customFormat="1" x14ac:dyDescent="0.25">
      <c r="C62491" s="60"/>
      <c r="I62491" s="63"/>
      <c r="R62491" s="64"/>
    </row>
    <row r="62492" spans="3:18" s="8" customFormat="1" x14ac:dyDescent="0.25">
      <c r="C62492" s="60"/>
      <c r="I62492" s="63"/>
      <c r="R62492" s="64"/>
    </row>
    <row r="62493" spans="3:18" s="8" customFormat="1" x14ac:dyDescent="0.25">
      <c r="C62493" s="60"/>
      <c r="I62493" s="63"/>
      <c r="R62493" s="64"/>
    </row>
    <row r="62494" spans="3:18" s="8" customFormat="1" x14ac:dyDescent="0.25">
      <c r="C62494" s="60"/>
      <c r="I62494" s="63"/>
      <c r="R62494" s="64"/>
    </row>
    <row r="62495" spans="3:18" s="8" customFormat="1" x14ac:dyDescent="0.25">
      <c r="C62495" s="60"/>
      <c r="I62495" s="63"/>
      <c r="R62495" s="64"/>
    </row>
    <row r="62496" spans="3:18" s="8" customFormat="1" x14ac:dyDescent="0.25">
      <c r="C62496" s="60"/>
      <c r="I62496" s="63"/>
      <c r="R62496" s="64"/>
    </row>
    <row r="62497" spans="3:18" s="8" customFormat="1" x14ac:dyDescent="0.25">
      <c r="C62497" s="60"/>
      <c r="I62497" s="63"/>
      <c r="R62497" s="64"/>
    </row>
    <row r="62498" spans="3:18" s="8" customFormat="1" x14ac:dyDescent="0.25">
      <c r="C62498" s="60"/>
      <c r="I62498" s="63"/>
      <c r="R62498" s="64"/>
    </row>
    <row r="62499" spans="3:18" s="8" customFormat="1" x14ac:dyDescent="0.25">
      <c r="C62499" s="60"/>
      <c r="I62499" s="63"/>
      <c r="R62499" s="64"/>
    </row>
    <row r="62500" spans="3:18" s="8" customFormat="1" x14ac:dyDescent="0.25">
      <c r="C62500" s="60"/>
      <c r="I62500" s="63"/>
      <c r="R62500" s="64"/>
    </row>
    <row r="62501" spans="3:18" s="8" customFormat="1" x14ac:dyDescent="0.25">
      <c r="C62501" s="60"/>
      <c r="I62501" s="63"/>
      <c r="R62501" s="64"/>
    </row>
    <row r="62502" spans="3:18" s="8" customFormat="1" x14ac:dyDescent="0.25">
      <c r="C62502" s="60"/>
      <c r="I62502" s="63"/>
      <c r="R62502" s="64"/>
    </row>
    <row r="62503" spans="3:18" s="8" customFormat="1" x14ac:dyDescent="0.25">
      <c r="C62503" s="60"/>
      <c r="I62503" s="63"/>
      <c r="R62503" s="64"/>
    </row>
    <row r="62504" spans="3:18" s="8" customFormat="1" x14ac:dyDescent="0.25">
      <c r="C62504" s="60"/>
      <c r="I62504" s="63"/>
      <c r="R62504" s="64"/>
    </row>
    <row r="62505" spans="3:18" s="8" customFormat="1" x14ac:dyDescent="0.25">
      <c r="C62505" s="60"/>
      <c r="I62505" s="63"/>
      <c r="R62505" s="64"/>
    </row>
    <row r="62506" spans="3:18" s="8" customFormat="1" x14ac:dyDescent="0.25">
      <c r="C62506" s="60"/>
      <c r="I62506" s="63"/>
      <c r="R62506" s="64"/>
    </row>
    <row r="62507" spans="3:18" s="8" customFormat="1" x14ac:dyDescent="0.25">
      <c r="C62507" s="60"/>
      <c r="I62507" s="63"/>
      <c r="R62507" s="64"/>
    </row>
    <row r="62508" spans="3:18" s="8" customFormat="1" x14ac:dyDescent="0.25">
      <c r="C62508" s="60"/>
      <c r="I62508" s="63"/>
      <c r="R62508" s="64"/>
    </row>
    <row r="62509" spans="3:18" s="8" customFormat="1" x14ac:dyDescent="0.25">
      <c r="C62509" s="60"/>
      <c r="I62509" s="63"/>
      <c r="R62509" s="64"/>
    </row>
    <row r="62510" spans="3:18" s="8" customFormat="1" x14ac:dyDescent="0.25">
      <c r="C62510" s="60"/>
      <c r="I62510" s="63"/>
      <c r="R62510" s="64"/>
    </row>
    <row r="62511" spans="3:18" s="8" customFormat="1" x14ac:dyDescent="0.25">
      <c r="C62511" s="60"/>
      <c r="I62511" s="63"/>
      <c r="R62511" s="64"/>
    </row>
    <row r="62512" spans="3:18" s="8" customFormat="1" x14ac:dyDescent="0.25">
      <c r="C62512" s="60"/>
      <c r="I62512" s="63"/>
      <c r="R62512" s="64"/>
    </row>
    <row r="62513" spans="3:18" s="8" customFormat="1" x14ac:dyDescent="0.25">
      <c r="C62513" s="60"/>
      <c r="I62513" s="63"/>
      <c r="R62513" s="64"/>
    </row>
    <row r="62514" spans="3:18" s="8" customFormat="1" x14ac:dyDescent="0.25">
      <c r="C62514" s="60"/>
      <c r="I62514" s="63"/>
      <c r="R62514" s="64"/>
    </row>
    <row r="62515" spans="3:18" s="8" customFormat="1" x14ac:dyDescent="0.25">
      <c r="C62515" s="60"/>
      <c r="I62515" s="63"/>
      <c r="R62515" s="64"/>
    </row>
    <row r="62516" spans="3:18" s="8" customFormat="1" x14ac:dyDescent="0.25">
      <c r="C62516" s="60"/>
      <c r="I62516" s="63"/>
      <c r="R62516" s="64"/>
    </row>
    <row r="62517" spans="3:18" s="8" customFormat="1" x14ac:dyDescent="0.25">
      <c r="C62517" s="60"/>
      <c r="I62517" s="63"/>
      <c r="R62517" s="64"/>
    </row>
    <row r="62518" spans="3:18" s="8" customFormat="1" x14ac:dyDescent="0.25">
      <c r="C62518" s="60"/>
      <c r="I62518" s="63"/>
      <c r="R62518" s="64"/>
    </row>
    <row r="62519" spans="3:18" s="8" customFormat="1" x14ac:dyDescent="0.25">
      <c r="C62519" s="60"/>
      <c r="I62519" s="63"/>
      <c r="R62519" s="64"/>
    </row>
    <row r="62520" spans="3:18" s="8" customFormat="1" x14ac:dyDescent="0.25">
      <c r="C62520" s="60"/>
      <c r="I62520" s="63"/>
      <c r="R62520" s="64"/>
    </row>
    <row r="62521" spans="3:18" s="8" customFormat="1" x14ac:dyDescent="0.25">
      <c r="C62521" s="60"/>
      <c r="I62521" s="63"/>
      <c r="R62521" s="64"/>
    </row>
    <row r="62522" spans="3:18" s="8" customFormat="1" x14ac:dyDescent="0.25">
      <c r="C62522" s="60"/>
      <c r="I62522" s="63"/>
      <c r="R62522" s="64"/>
    </row>
    <row r="62523" spans="3:18" s="8" customFormat="1" x14ac:dyDescent="0.25">
      <c r="C62523" s="60"/>
      <c r="I62523" s="63"/>
      <c r="R62523" s="64"/>
    </row>
    <row r="62524" spans="3:18" s="8" customFormat="1" x14ac:dyDescent="0.25">
      <c r="C62524" s="60"/>
      <c r="I62524" s="63"/>
      <c r="R62524" s="64"/>
    </row>
    <row r="62525" spans="3:18" s="8" customFormat="1" x14ac:dyDescent="0.25">
      <c r="C62525" s="60"/>
      <c r="I62525" s="63"/>
      <c r="R62525" s="64"/>
    </row>
    <row r="62526" spans="3:18" s="8" customFormat="1" x14ac:dyDescent="0.25">
      <c r="C62526" s="60"/>
      <c r="I62526" s="63"/>
      <c r="R62526" s="64"/>
    </row>
    <row r="62527" spans="3:18" s="8" customFormat="1" x14ac:dyDescent="0.25">
      <c r="C62527" s="60"/>
      <c r="I62527" s="63"/>
      <c r="R62527" s="64"/>
    </row>
    <row r="62528" spans="3:18" s="8" customFormat="1" x14ac:dyDescent="0.25">
      <c r="C62528" s="60"/>
      <c r="I62528" s="63"/>
      <c r="R62528" s="64"/>
    </row>
    <row r="62529" spans="3:18" s="8" customFormat="1" x14ac:dyDescent="0.25">
      <c r="C62529" s="60"/>
      <c r="I62529" s="63"/>
      <c r="R62529" s="64"/>
    </row>
    <row r="62530" spans="3:18" s="8" customFormat="1" x14ac:dyDescent="0.25">
      <c r="C62530" s="60"/>
      <c r="I62530" s="63"/>
      <c r="R62530" s="64"/>
    </row>
    <row r="62531" spans="3:18" s="8" customFormat="1" x14ac:dyDescent="0.25">
      <c r="C62531" s="60"/>
      <c r="I62531" s="63"/>
      <c r="R62531" s="64"/>
    </row>
    <row r="62532" spans="3:18" s="8" customFormat="1" x14ac:dyDescent="0.25">
      <c r="C62532" s="60"/>
      <c r="I62532" s="63"/>
      <c r="R62532" s="64"/>
    </row>
    <row r="62533" spans="3:18" s="8" customFormat="1" x14ac:dyDescent="0.25">
      <c r="C62533" s="60"/>
      <c r="I62533" s="63"/>
      <c r="R62533" s="64"/>
    </row>
    <row r="62534" spans="3:18" s="8" customFormat="1" x14ac:dyDescent="0.25">
      <c r="C62534" s="60"/>
      <c r="I62534" s="63"/>
      <c r="R62534" s="64"/>
    </row>
    <row r="62535" spans="3:18" s="8" customFormat="1" x14ac:dyDescent="0.25">
      <c r="C62535" s="60"/>
      <c r="I62535" s="63"/>
      <c r="R62535" s="64"/>
    </row>
    <row r="62536" spans="3:18" s="8" customFormat="1" x14ac:dyDescent="0.25">
      <c r="C62536" s="60"/>
      <c r="I62536" s="63"/>
      <c r="R62536" s="64"/>
    </row>
    <row r="62537" spans="3:18" s="8" customFormat="1" x14ac:dyDescent="0.25">
      <c r="C62537" s="60"/>
      <c r="I62537" s="63"/>
      <c r="R62537" s="64"/>
    </row>
    <row r="62538" spans="3:18" s="8" customFormat="1" x14ac:dyDescent="0.25">
      <c r="C62538" s="60"/>
      <c r="I62538" s="63"/>
      <c r="R62538" s="64"/>
    </row>
    <row r="62539" spans="3:18" s="8" customFormat="1" x14ac:dyDescent="0.25">
      <c r="C62539" s="60"/>
      <c r="I62539" s="63"/>
      <c r="R62539" s="64"/>
    </row>
    <row r="62540" spans="3:18" s="8" customFormat="1" x14ac:dyDescent="0.25">
      <c r="C62540" s="60"/>
      <c r="I62540" s="63"/>
      <c r="R62540" s="64"/>
    </row>
    <row r="62541" spans="3:18" s="8" customFormat="1" x14ac:dyDescent="0.25">
      <c r="C62541" s="60"/>
      <c r="I62541" s="63"/>
      <c r="R62541" s="64"/>
    </row>
    <row r="62542" spans="3:18" s="8" customFormat="1" x14ac:dyDescent="0.25">
      <c r="C62542" s="60"/>
      <c r="I62542" s="63"/>
      <c r="R62542" s="64"/>
    </row>
    <row r="62543" spans="3:18" s="8" customFormat="1" x14ac:dyDescent="0.25">
      <c r="C62543" s="60"/>
      <c r="I62543" s="63"/>
      <c r="R62543" s="64"/>
    </row>
    <row r="62544" spans="3:18" s="8" customFormat="1" x14ac:dyDescent="0.25">
      <c r="C62544" s="60"/>
      <c r="I62544" s="63"/>
      <c r="R62544" s="64"/>
    </row>
    <row r="62545" spans="3:18" s="8" customFormat="1" x14ac:dyDescent="0.25">
      <c r="C62545" s="60"/>
      <c r="I62545" s="63"/>
      <c r="R62545" s="64"/>
    </row>
    <row r="62546" spans="3:18" s="8" customFormat="1" x14ac:dyDescent="0.25">
      <c r="C62546" s="60"/>
      <c r="I62546" s="63"/>
      <c r="R62546" s="64"/>
    </row>
    <row r="62547" spans="3:18" s="8" customFormat="1" x14ac:dyDescent="0.25">
      <c r="C62547" s="60"/>
      <c r="I62547" s="63"/>
      <c r="R62547" s="64"/>
    </row>
    <row r="62548" spans="3:18" s="8" customFormat="1" x14ac:dyDescent="0.25">
      <c r="C62548" s="60"/>
      <c r="I62548" s="63"/>
      <c r="R62548" s="64"/>
    </row>
    <row r="62549" spans="3:18" s="8" customFormat="1" x14ac:dyDescent="0.25">
      <c r="C62549" s="60"/>
      <c r="I62549" s="63"/>
      <c r="R62549" s="64"/>
    </row>
    <row r="62550" spans="3:18" s="8" customFormat="1" x14ac:dyDescent="0.25">
      <c r="C62550" s="60"/>
      <c r="I62550" s="63"/>
      <c r="R62550" s="64"/>
    </row>
    <row r="62551" spans="3:18" s="8" customFormat="1" x14ac:dyDescent="0.25">
      <c r="C62551" s="60"/>
      <c r="I62551" s="63"/>
      <c r="R62551" s="64"/>
    </row>
    <row r="62552" spans="3:18" s="8" customFormat="1" x14ac:dyDescent="0.25">
      <c r="C62552" s="60"/>
      <c r="I62552" s="63"/>
      <c r="R62552" s="64"/>
    </row>
    <row r="62553" spans="3:18" s="8" customFormat="1" x14ac:dyDescent="0.25">
      <c r="C62553" s="60"/>
      <c r="I62553" s="63"/>
      <c r="R62553" s="64"/>
    </row>
    <row r="62554" spans="3:18" s="8" customFormat="1" x14ac:dyDescent="0.25">
      <c r="C62554" s="60"/>
      <c r="I62554" s="63"/>
      <c r="R62554" s="64"/>
    </row>
    <row r="62555" spans="3:18" s="8" customFormat="1" x14ac:dyDescent="0.25">
      <c r="C62555" s="60"/>
      <c r="I62555" s="63"/>
      <c r="R62555" s="64"/>
    </row>
    <row r="62556" spans="3:18" s="8" customFormat="1" x14ac:dyDescent="0.25">
      <c r="C62556" s="60"/>
      <c r="I62556" s="63"/>
      <c r="R62556" s="64"/>
    </row>
    <row r="62557" spans="3:18" s="8" customFormat="1" x14ac:dyDescent="0.25">
      <c r="C62557" s="60"/>
      <c r="I62557" s="63"/>
      <c r="R62557" s="64"/>
    </row>
    <row r="62558" spans="3:18" s="8" customFormat="1" x14ac:dyDescent="0.25">
      <c r="C62558" s="60"/>
      <c r="I62558" s="63"/>
      <c r="R62558" s="64"/>
    </row>
    <row r="62559" spans="3:18" s="8" customFormat="1" x14ac:dyDescent="0.25">
      <c r="C62559" s="60"/>
      <c r="I62559" s="63"/>
      <c r="R62559" s="64"/>
    </row>
    <row r="62560" spans="3:18" s="8" customFormat="1" x14ac:dyDescent="0.25">
      <c r="C62560" s="60"/>
      <c r="I62560" s="63"/>
      <c r="R62560" s="64"/>
    </row>
    <row r="62561" spans="3:18" s="8" customFormat="1" x14ac:dyDescent="0.25">
      <c r="C62561" s="60"/>
      <c r="I62561" s="63"/>
      <c r="R62561" s="64"/>
    </row>
    <row r="62562" spans="3:18" s="8" customFormat="1" x14ac:dyDescent="0.25">
      <c r="C62562" s="60"/>
      <c r="I62562" s="63"/>
      <c r="R62562" s="64"/>
    </row>
    <row r="62563" spans="3:18" s="8" customFormat="1" x14ac:dyDescent="0.25">
      <c r="C62563" s="60"/>
      <c r="I62563" s="63"/>
      <c r="R62563" s="64"/>
    </row>
    <row r="62564" spans="3:18" s="8" customFormat="1" x14ac:dyDescent="0.25">
      <c r="C62564" s="60"/>
      <c r="I62564" s="63"/>
      <c r="R62564" s="64"/>
    </row>
    <row r="62565" spans="3:18" s="8" customFormat="1" x14ac:dyDescent="0.25">
      <c r="C62565" s="60"/>
      <c r="I62565" s="63"/>
      <c r="R62565" s="64"/>
    </row>
    <row r="62566" spans="3:18" s="8" customFormat="1" x14ac:dyDescent="0.25">
      <c r="C62566" s="60"/>
      <c r="I62566" s="63"/>
      <c r="R62566" s="64"/>
    </row>
    <row r="62567" spans="3:18" s="8" customFormat="1" x14ac:dyDescent="0.25">
      <c r="C62567" s="60"/>
      <c r="I62567" s="63"/>
      <c r="R62567" s="64"/>
    </row>
    <row r="62568" spans="3:18" s="8" customFormat="1" x14ac:dyDescent="0.25">
      <c r="C62568" s="60"/>
      <c r="I62568" s="63"/>
      <c r="R62568" s="64"/>
    </row>
    <row r="62569" spans="3:18" s="8" customFormat="1" x14ac:dyDescent="0.25">
      <c r="C62569" s="60"/>
      <c r="I62569" s="63"/>
      <c r="R62569" s="64"/>
    </row>
    <row r="62570" spans="3:18" s="8" customFormat="1" x14ac:dyDescent="0.25">
      <c r="C62570" s="60"/>
      <c r="I62570" s="63"/>
      <c r="R62570" s="64"/>
    </row>
    <row r="62571" spans="3:18" s="8" customFormat="1" x14ac:dyDescent="0.25">
      <c r="C62571" s="60"/>
      <c r="I62571" s="63"/>
      <c r="R62571" s="64"/>
    </row>
    <row r="62572" spans="3:18" s="8" customFormat="1" x14ac:dyDescent="0.25">
      <c r="C62572" s="60"/>
      <c r="I62572" s="63"/>
      <c r="R62572" s="64"/>
    </row>
    <row r="62573" spans="3:18" s="8" customFormat="1" x14ac:dyDescent="0.25">
      <c r="C62573" s="60"/>
      <c r="I62573" s="63"/>
      <c r="R62573" s="64"/>
    </row>
    <row r="62574" spans="3:18" s="8" customFormat="1" x14ac:dyDescent="0.25">
      <c r="C62574" s="60"/>
      <c r="I62574" s="63"/>
      <c r="R62574" s="64"/>
    </row>
    <row r="62575" spans="3:18" s="8" customFormat="1" x14ac:dyDescent="0.25">
      <c r="C62575" s="60"/>
      <c r="I62575" s="63"/>
      <c r="R62575" s="64"/>
    </row>
    <row r="62576" spans="3:18" s="8" customFormat="1" x14ac:dyDescent="0.25">
      <c r="C62576" s="60"/>
      <c r="I62576" s="63"/>
      <c r="R62576" s="64"/>
    </row>
    <row r="62577" spans="3:18" s="8" customFormat="1" x14ac:dyDescent="0.25">
      <c r="C62577" s="60"/>
      <c r="I62577" s="63"/>
      <c r="R62577" s="64"/>
    </row>
    <row r="62578" spans="3:18" s="8" customFormat="1" x14ac:dyDescent="0.25">
      <c r="C62578" s="60"/>
      <c r="I62578" s="63"/>
      <c r="R62578" s="64"/>
    </row>
    <row r="62579" spans="3:18" s="8" customFormat="1" x14ac:dyDescent="0.25">
      <c r="C62579" s="60"/>
      <c r="I62579" s="63"/>
      <c r="R62579" s="64"/>
    </row>
    <row r="62580" spans="3:18" s="8" customFormat="1" x14ac:dyDescent="0.25">
      <c r="C62580" s="60"/>
      <c r="I62580" s="63"/>
      <c r="R62580" s="64"/>
    </row>
    <row r="62581" spans="3:18" s="8" customFormat="1" x14ac:dyDescent="0.25">
      <c r="C62581" s="60"/>
      <c r="I62581" s="63"/>
      <c r="R62581" s="64"/>
    </row>
    <row r="62582" spans="3:18" s="8" customFormat="1" x14ac:dyDescent="0.25">
      <c r="C62582" s="60"/>
      <c r="I62582" s="63"/>
      <c r="R62582" s="64"/>
    </row>
    <row r="62583" spans="3:18" s="8" customFormat="1" x14ac:dyDescent="0.25">
      <c r="C62583" s="60"/>
      <c r="I62583" s="63"/>
      <c r="R62583" s="64"/>
    </row>
    <row r="62584" spans="3:18" s="8" customFormat="1" x14ac:dyDescent="0.25">
      <c r="C62584" s="60"/>
      <c r="I62584" s="63"/>
      <c r="R62584" s="64"/>
    </row>
    <row r="62585" spans="3:18" s="8" customFormat="1" x14ac:dyDescent="0.25">
      <c r="C62585" s="60"/>
      <c r="I62585" s="63"/>
      <c r="R62585" s="64"/>
    </row>
    <row r="62586" spans="3:18" s="8" customFormat="1" x14ac:dyDescent="0.25">
      <c r="C62586" s="60"/>
      <c r="I62586" s="63"/>
      <c r="R62586" s="64"/>
    </row>
    <row r="62587" spans="3:18" s="8" customFormat="1" x14ac:dyDescent="0.25">
      <c r="C62587" s="60"/>
      <c r="I62587" s="63"/>
      <c r="R62587" s="64"/>
    </row>
    <row r="62588" spans="3:18" s="8" customFormat="1" x14ac:dyDescent="0.25">
      <c r="C62588" s="60"/>
      <c r="I62588" s="63"/>
      <c r="R62588" s="64"/>
    </row>
    <row r="62589" spans="3:18" s="8" customFormat="1" x14ac:dyDescent="0.25">
      <c r="C62589" s="60"/>
      <c r="I62589" s="63"/>
      <c r="R62589" s="64"/>
    </row>
    <row r="62590" spans="3:18" s="8" customFormat="1" x14ac:dyDescent="0.25">
      <c r="C62590" s="60"/>
      <c r="I62590" s="63"/>
      <c r="R62590" s="64"/>
    </row>
    <row r="62591" spans="3:18" s="8" customFormat="1" x14ac:dyDescent="0.25">
      <c r="C62591" s="60"/>
      <c r="I62591" s="63"/>
      <c r="R62591" s="64"/>
    </row>
    <row r="62592" spans="3:18" s="8" customFormat="1" x14ac:dyDescent="0.25">
      <c r="C62592" s="60"/>
      <c r="I62592" s="63"/>
      <c r="R62592" s="64"/>
    </row>
    <row r="62593" spans="3:18" s="8" customFormat="1" x14ac:dyDescent="0.25">
      <c r="C62593" s="60"/>
      <c r="I62593" s="63"/>
      <c r="R62593" s="64"/>
    </row>
    <row r="62594" spans="3:18" s="8" customFormat="1" x14ac:dyDescent="0.25">
      <c r="C62594" s="60"/>
      <c r="I62594" s="63"/>
      <c r="R62594" s="64"/>
    </row>
    <row r="62595" spans="3:18" s="8" customFormat="1" x14ac:dyDescent="0.25">
      <c r="C62595" s="60"/>
      <c r="I62595" s="63"/>
      <c r="R62595" s="64"/>
    </row>
    <row r="62596" spans="3:18" s="8" customFormat="1" x14ac:dyDescent="0.25">
      <c r="C62596" s="60"/>
      <c r="I62596" s="63"/>
      <c r="R62596" s="64"/>
    </row>
    <row r="62597" spans="3:18" s="8" customFormat="1" x14ac:dyDescent="0.25">
      <c r="C62597" s="60"/>
      <c r="I62597" s="63"/>
      <c r="R62597" s="64"/>
    </row>
    <row r="62598" spans="3:18" s="8" customFormat="1" x14ac:dyDescent="0.25">
      <c r="C62598" s="60"/>
      <c r="I62598" s="63"/>
      <c r="R62598" s="64"/>
    </row>
    <row r="62599" spans="3:18" s="8" customFormat="1" x14ac:dyDescent="0.25">
      <c r="C62599" s="60"/>
      <c r="I62599" s="63"/>
      <c r="R62599" s="64"/>
    </row>
    <row r="62600" spans="3:18" s="8" customFormat="1" x14ac:dyDescent="0.25">
      <c r="C62600" s="60"/>
      <c r="I62600" s="63"/>
      <c r="R62600" s="64"/>
    </row>
    <row r="62601" spans="3:18" s="8" customFormat="1" x14ac:dyDescent="0.25">
      <c r="C62601" s="60"/>
      <c r="I62601" s="63"/>
      <c r="R62601" s="64"/>
    </row>
    <row r="62602" spans="3:18" s="8" customFormat="1" x14ac:dyDescent="0.25">
      <c r="C62602" s="60"/>
      <c r="I62602" s="63"/>
      <c r="R62602" s="64"/>
    </row>
    <row r="62603" spans="3:18" s="8" customFormat="1" x14ac:dyDescent="0.25">
      <c r="C62603" s="60"/>
      <c r="I62603" s="63"/>
      <c r="R62603" s="64"/>
    </row>
    <row r="62604" spans="3:18" s="8" customFormat="1" x14ac:dyDescent="0.25">
      <c r="C62604" s="60"/>
      <c r="I62604" s="63"/>
      <c r="R62604" s="64"/>
    </row>
    <row r="62605" spans="3:18" s="8" customFormat="1" x14ac:dyDescent="0.25">
      <c r="C62605" s="60"/>
      <c r="I62605" s="63"/>
      <c r="R62605" s="64"/>
    </row>
    <row r="62606" spans="3:18" s="8" customFormat="1" x14ac:dyDescent="0.25">
      <c r="C62606" s="60"/>
      <c r="I62606" s="63"/>
      <c r="R62606" s="64"/>
    </row>
    <row r="62607" spans="3:18" s="8" customFormat="1" x14ac:dyDescent="0.25">
      <c r="C62607" s="60"/>
      <c r="I62607" s="63"/>
      <c r="R62607" s="64"/>
    </row>
    <row r="62608" spans="3:18" s="8" customFormat="1" x14ac:dyDescent="0.25">
      <c r="C62608" s="60"/>
      <c r="I62608" s="63"/>
      <c r="R62608" s="64"/>
    </row>
    <row r="62609" spans="3:18" s="8" customFormat="1" x14ac:dyDescent="0.25">
      <c r="C62609" s="60"/>
      <c r="I62609" s="63"/>
      <c r="R62609" s="64"/>
    </row>
    <row r="62610" spans="3:18" s="8" customFormat="1" x14ac:dyDescent="0.25">
      <c r="C62610" s="60"/>
      <c r="I62610" s="63"/>
      <c r="R62610" s="64"/>
    </row>
    <row r="62611" spans="3:18" s="8" customFormat="1" x14ac:dyDescent="0.25">
      <c r="C62611" s="60"/>
      <c r="I62611" s="63"/>
      <c r="R62611" s="64"/>
    </row>
    <row r="62612" spans="3:18" s="8" customFormat="1" x14ac:dyDescent="0.25">
      <c r="C62612" s="60"/>
      <c r="I62612" s="63"/>
      <c r="R62612" s="64"/>
    </row>
    <row r="62613" spans="3:18" s="8" customFormat="1" x14ac:dyDescent="0.25">
      <c r="C62613" s="60"/>
      <c r="I62613" s="63"/>
      <c r="R62613" s="64"/>
    </row>
    <row r="62614" spans="3:18" s="8" customFormat="1" x14ac:dyDescent="0.25">
      <c r="C62614" s="60"/>
      <c r="I62614" s="63"/>
      <c r="R62614" s="64"/>
    </row>
    <row r="62615" spans="3:18" s="8" customFormat="1" x14ac:dyDescent="0.25">
      <c r="C62615" s="60"/>
      <c r="I62615" s="63"/>
      <c r="R62615" s="64"/>
    </row>
    <row r="62616" spans="3:18" s="8" customFormat="1" x14ac:dyDescent="0.25">
      <c r="C62616" s="60"/>
      <c r="I62616" s="63"/>
      <c r="R62616" s="64"/>
    </row>
    <row r="62617" spans="3:18" s="8" customFormat="1" x14ac:dyDescent="0.25">
      <c r="C62617" s="60"/>
      <c r="I62617" s="63"/>
      <c r="R62617" s="64"/>
    </row>
    <row r="62618" spans="3:18" s="8" customFormat="1" x14ac:dyDescent="0.25">
      <c r="C62618" s="60"/>
      <c r="I62618" s="63"/>
      <c r="R62618" s="64"/>
    </row>
    <row r="62619" spans="3:18" s="8" customFormat="1" x14ac:dyDescent="0.25">
      <c r="C62619" s="60"/>
      <c r="I62619" s="63"/>
      <c r="R62619" s="64"/>
    </row>
    <row r="62620" spans="3:18" s="8" customFormat="1" x14ac:dyDescent="0.25">
      <c r="C62620" s="60"/>
      <c r="I62620" s="63"/>
      <c r="R62620" s="64"/>
    </row>
    <row r="62621" spans="3:18" s="8" customFormat="1" x14ac:dyDescent="0.25">
      <c r="C62621" s="60"/>
      <c r="I62621" s="63"/>
      <c r="R62621" s="64"/>
    </row>
    <row r="62622" spans="3:18" s="8" customFormat="1" x14ac:dyDescent="0.25">
      <c r="C62622" s="60"/>
      <c r="I62622" s="63"/>
      <c r="R62622" s="64"/>
    </row>
    <row r="62623" spans="3:18" s="8" customFormat="1" x14ac:dyDescent="0.25">
      <c r="C62623" s="60"/>
      <c r="I62623" s="63"/>
      <c r="R62623" s="64"/>
    </row>
    <row r="62624" spans="3:18" s="8" customFormat="1" x14ac:dyDescent="0.25">
      <c r="C62624" s="60"/>
      <c r="I62624" s="63"/>
      <c r="R62624" s="64"/>
    </row>
    <row r="62625" spans="3:18" s="8" customFormat="1" x14ac:dyDescent="0.25">
      <c r="C62625" s="60"/>
      <c r="I62625" s="63"/>
      <c r="R62625" s="64"/>
    </row>
    <row r="62626" spans="3:18" s="8" customFormat="1" x14ac:dyDescent="0.25">
      <c r="C62626" s="60"/>
      <c r="I62626" s="63"/>
      <c r="R62626" s="64"/>
    </row>
    <row r="62627" spans="3:18" s="8" customFormat="1" x14ac:dyDescent="0.25">
      <c r="C62627" s="60"/>
      <c r="I62627" s="63"/>
      <c r="R62627" s="64"/>
    </row>
    <row r="62628" spans="3:18" s="8" customFormat="1" x14ac:dyDescent="0.25">
      <c r="C62628" s="60"/>
      <c r="I62628" s="63"/>
      <c r="R62628" s="64"/>
    </row>
    <row r="62629" spans="3:18" s="8" customFormat="1" x14ac:dyDescent="0.25">
      <c r="C62629" s="60"/>
      <c r="I62629" s="63"/>
      <c r="R62629" s="64"/>
    </row>
    <row r="62630" spans="3:18" s="8" customFormat="1" x14ac:dyDescent="0.25">
      <c r="C62630" s="60"/>
      <c r="I62630" s="63"/>
      <c r="R62630" s="64"/>
    </row>
    <row r="62631" spans="3:18" s="8" customFormat="1" x14ac:dyDescent="0.25">
      <c r="C62631" s="60"/>
      <c r="I62631" s="63"/>
      <c r="R62631" s="64"/>
    </row>
    <row r="62632" spans="3:18" s="8" customFormat="1" x14ac:dyDescent="0.25">
      <c r="C62632" s="60"/>
      <c r="I62632" s="63"/>
      <c r="R62632" s="64"/>
    </row>
    <row r="62633" spans="3:18" s="8" customFormat="1" x14ac:dyDescent="0.25">
      <c r="C62633" s="60"/>
      <c r="I62633" s="63"/>
      <c r="R62633" s="64"/>
    </row>
    <row r="62634" spans="3:18" s="8" customFormat="1" x14ac:dyDescent="0.25">
      <c r="C62634" s="60"/>
      <c r="I62634" s="63"/>
      <c r="R62634" s="64"/>
    </row>
    <row r="62635" spans="3:18" s="8" customFormat="1" x14ac:dyDescent="0.25">
      <c r="C62635" s="60"/>
      <c r="I62635" s="63"/>
      <c r="R62635" s="64"/>
    </row>
    <row r="62636" spans="3:18" s="8" customFormat="1" x14ac:dyDescent="0.25">
      <c r="C62636" s="60"/>
      <c r="I62636" s="63"/>
      <c r="R62636" s="64"/>
    </row>
    <row r="62637" spans="3:18" s="8" customFormat="1" x14ac:dyDescent="0.25">
      <c r="C62637" s="60"/>
      <c r="I62637" s="63"/>
      <c r="R62637" s="64"/>
    </row>
    <row r="62638" spans="3:18" s="8" customFormat="1" x14ac:dyDescent="0.25">
      <c r="C62638" s="60"/>
      <c r="I62638" s="63"/>
      <c r="R62638" s="64"/>
    </row>
    <row r="62639" spans="3:18" s="8" customFormat="1" x14ac:dyDescent="0.25">
      <c r="C62639" s="60"/>
      <c r="I62639" s="63"/>
      <c r="R62639" s="64"/>
    </row>
    <row r="62640" spans="3:18" s="8" customFormat="1" x14ac:dyDescent="0.25">
      <c r="C62640" s="60"/>
      <c r="I62640" s="63"/>
      <c r="R62640" s="64"/>
    </row>
    <row r="62641" spans="3:18" s="8" customFormat="1" x14ac:dyDescent="0.25">
      <c r="C62641" s="60"/>
      <c r="I62641" s="63"/>
      <c r="R62641" s="64"/>
    </row>
    <row r="62642" spans="3:18" s="8" customFormat="1" x14ac:dyDescent="0.25">
      <c r="C62642" s="60"/>
      <c r="I62642" s="63"/>
      <c r="R62642" s="64"/>
    </row>
    <row r="62643" spans="3:18" s="8" customFormat="1" x14ac:dyDescent="0.25">
      <c r="C62643" s="60"/>
      <c r="I62643" s="63"/>
      <c r="R62643" s="64"/>
    </row>
    <row r="62644" spans="3:18" s="8" customFormat="1" x14ac:dyDescent="0.25">
      <c r="C62644" s="60"/>
      <c r="I62644" s="63"/>
      <c r="R62644" s="64"/>
    </row>
    <row r="62645" spans="3:18" s="8" customFormat="1" x14ac:dyDescent="0.25">
      <c r="C62645" s="60"/>
      <c r="I62645" s="63"/>
      <c r="R62645" s="64"/>
    </row>
    <row r="62646" spans="3:18" s="8" customFormat="1" x14ac:dyDescent="0.25">
      <c r="C62646" s="60"/>
      <c r="I62646" s="63"/>
      <c r="R62646" s="64"/>
    </row>
    <row r="62647" spans="3:18" s="8" customFormat="1" x14ac:dyDescent="0.25">
      <c r="C62647" s="60"/>
      <c r="I62647" s="63"/>
      <c r="R62647" s="64"/>
    </row>
    <row r="62648" spans="3:18" s="8" customFormat="1" x14ac:dyDescent="0.25">
      <c r="C62648" s="60"/>
      <c r="I62648" s="63"/>
      <c r="R62648" s="64"/>
    </row>
    <row r="62649" spans="3:18" s="8" customFormat="1" x14ac:dyDescent="0.25">
      <c r="C62649" s="60"/>
      <c r="I62649" s="63"/>
      <c r="R62649" s="64"/>
    </row>
    <row r="62650" spans="3:18" s="8" customFormat="1" x14ac:dyDescent="0.25">
      <c r="C62650" s="60"/>
      <c r="I62650" s="63"/>
      <c r="R62650" s="64"/>
    </row>
    <row r="62651" spans="3:18" s="8" customFormat="1" x14ac:dyDescent="0.25">
      <c r="C62651" s="60"/>
      <c r="I62651" s="63"/>
      <c r="R62651" s="64"/>
    </row>
    <row r="62652" spans="3:18" s="8" customFormat="1" x14ac:dyDescent="0.25">
      <c r="C62652" s="60"/>
      <c r="I62652" s="63"/>
      <c r="R62652" s="64"/>
    </row>
    <row r="62653" spans="3:18" s="8" customFormat="1" x14ac:dyDescent="0.25">
      <c r="C62653" s="60"/>
      <c r="I62653" s="63"/>
      <c r="R62653" s="64"/>
    </row>
    <row r="62654" spans="3:18" s="8" customFormat="1" x14ac:dyDescent="0.25">
      <c r="C62654" s="60"/>
      <c r="I62654" s="63"/>
      <c r="R62654" s="64"/>
    </row>
    <row r="62655" spans="3:18" s="8" customFormat="1" x14ac:dyDescent="0.25">
      <c r="C62655" s="60"/>
      <c r="I62655" s="63"/>
      <c r="R62655" s="64"/>
    </row>
    <row r="62656" spans="3:18" s="8" customFormat="1" x14ac:dyDescent="0.25">
      <c r="C62656" s="60"/>
      <c r="I62656" s="63"/>
      <c r="R62656" s="64"/>
    </row>
    <row r="62657" spans="3:18" s="8" customFormat="1" x14ac:dyDescent="0.25">
      <c r="C62657" s="60"/>
      <c r="I62657" s="63"/>
      <c r="R62657" s="64"/>
    </row>
    <row r="62658" spans="3:18" s="8" customFormat="1" x14ac:dyDescent="0.25">
      <c r="C62658" s="60"/>
      <c r="I62658" s="63"/>
      <c r="R62658" s="64"/>
    </row>
    <row r="62659" spans="3:18" s="8" customFormat="1" x14ac:dyDescent="0.25">
      <c r="C62659" s="60"/>
      <c r="I62659" s="63"/>
      <c r="R62659" s="64"/>
    </row>
    <row r="62660" spans="3:18" s="8" customFormat="1" x14ac:dyDescent="0.25">
      <c r="C62660" s="60"/>
      <c r="I62660" s="63"/>
      <c r="R62660" s="64"/>
    </row>
    <row r="62661" spans="3:18" s="8" customFormat="1" x14ac:dyDescent="0.25">
      <c r="C62661" s="60"/>
      <c r="I62661" s="63"/>
      <c r="R62661" s="64"/>
    </row>
    <row r="62662" spans="3:18" s="8" customFormat="1" x14ac:dyDescent="0.25">
      <c r="C62662" s="60"/>
      <c r="I62662" s="63"/>
      <c r="R62662" s="64"/>
    </row>
    <row r="62663" spans="3:18" s="8" customFormat="1" x14ac:dyDescent="0.25">
      <c r="C62663" s="60"/>
      <c r="I62663" s="63"/>
      <c r="R62663" s="64"/>
    </row>
    <row r="62664" spans="3:18" s="8" customFormat="1" x14ac:dyDescent="0.25">
      <c r="C62664" s="60"/>
      <c r="I62664" s="63"/>
      <c r="R62664" s="64"/>
    </row>
    <row r="62665" spans="3:18" s="8" customFormat="1" x14ac:dyDescent="0.25">
      <c r="C62665" s="60"/>
      <c r="I62665" s="63"/>
      <c r="R62665" s="64"/>
    </row>
    <row r="62666" spans="3:18" s="8" customFormat="1" x14ac:dyDescent="0.25">
      <c r="C62666" s="60"/>
      <c r="I62666" s="63"/>
      <c r="R62666" s="64"/>
    </row>
    <row r="62667" spans="3:18" s="8" customFormat="1" x14ac:dyDescent="0.25">
      <c r="C62667" s="60"/>
      <c r="I62667" s="63"/>
      <c r="R62667" s="64"/>
    </row>
    <row r="62668" spans="3:18" s="8" customFormat="1" x14ac:dyDescent="0.25">
      <c r="C62668" s="60"/>
      <c r="I62668" s="63"/>
      <c r="R62668" s="64"/>
    </row>
    <row r="62669" spans="3:18" s="8" customFormat="1" x14ac:dyDescent="0.25">
      <c r="C62669" s="60"/>
      <c r="I62669" s="63"/>
      <c r="R62669" s="64"/>
    </row>
    <row r="62670" spans="3:18" s="8" customFormat="1" x14ac:dyDescent="0.25">
      <c r="C62670" s="60"/>
      <c r="I62670" s="63"/>
      <c r="R62670" s="64"/>
    </row>
    <row r="62671" spans="3:18" s="8" customFormat="1" x14ac:dyDescent="0.25">
      <c r="C62671" s="60"/>
      <c r="I62671" s="63"/>
      <c r="R62671" s="64"/>
    </row>
    <row r="62672" spans="3:18" s="8" customFormat="1" x14ac:dyDescent="0.25">
      <c r="C62672" s="60"/>
      <c r="I62672" s="63"/>
      <c r="R62672" s="64"/>
    </row>
    <row r="62673" spans="3:18" s="8" customFormat="1" x14ac:dyDescent="0.25">
      <c r="C62673" s="60"/>
      <c r="I62673" s="63"/>
      <c r="R62673" s="64"/>
    </row>
    <row r="62674" spans="3:18" s="8" customFormat="1" x14ac:dyDescent="0.25">
      <c r="C62674" s="60"/>
      <c r="I62674" s="63"/>
      <c r="R62674" s="64"/>
    </row>
    <row r="62675" spans="3:18" s="8" customFormat="1" x14ac:dyDescent="0.25">
      <c r="C62675" s="60"/>
      <c r="I62675" s="63"/>
      <c r="R62675" s="64"/>
    </row>
    <row r="62676" spans="3:18" s="8" customFormat="1" x14ac:dyDescent="0.25">
      <c r="C62676" s="60"/>
      <c r="I62676" s="63"/>
      <c r="R62676" s="64"/>
    </row>
    <row r="62677" spans="3:18" s="8" customFormat="1" x14ac:dyDescent="0.25">
      <c r="C62677" s="60"/>
      <c r="I62677" s="63"/>
      <c r="R62677" s="64"/>
    </row>
    <row r="62678" spans="3:18" s="8" customFormat="1" x14ac:dyDescent="0.25">
      <c r="C62678" s="60"/>
      <c r="I62678" s="63"/>
      <c r="R62678" s="64"/>
    </row>
    <row r="62679" spans="3:18" s="8" customFormat="1" x14ac:dyDescent="0.25">
      <c r="C62679" s="60"/>
      <c r="I62679" s="63"/>
      <c r="R62679" s="64"/>
    </row>
    <row r="62680" spans="3:18" s="8" customFormat="1" x14ac:dyDescent="0.25">
      <c r="C62680" s="60"/>
      <c r="I62680" s="63"/>
      <c r="R62680" s="64"/>
    </row>
    <row r="62681" spans="3:18" s="8" customFormat="1" x14ac:dyDescent="0.25">
      <c r="C62681" s="60"/>
      <c r="I62681" s="63"/>
      <c r="R62681" s="64"/>
    </row>
    <row r="62682" spans="3:18" s="8" customFormat="1" x14ac:dyDescent="0.25">
      <c r="C62682" s="60"/>
      <c r="I62682" s="63"/>
      <c r="R62682" s="64"/>
    </row>
    <row r="62683" spans="3:18" s="8" customFormat="1" x14ac:dyDescent="0.25">
      <c r="C62683" s="60"/>
      <c r="I62683" s="63"/>
      <c r="R62683" s="64"/>
    </row>
    <row r="62684" spans="3:18" s="8" customFormat="1" x14ac:dyDescent="0.25">
      <c r="C62684" s="60"/>
      <c r="I62684" s="63"/>
      <c r="R62684" s="64"/>
    </row>
    <row r="62685" spans="3:18" s="8" customFormat="1" x14ac:dyDescent="0.25">
      <c r="C62685" s="60"/>
      <c r="I62685" s="63"/>
      <c r="R62685" s="64"/>
    </row>
    <row r="62686" spans="3:18" s="8" customFormat="1" x14ac:dyDescent="0.25">
      <c r="C62686" s="60"/>
      <c r="I62686" s="63"/>
      <c r="R62686" s="64"/>
    </row>
    <row r="62687" spans="3:18" s="8" customFormat="1" x14ac:dyDescent="0.25">
      <c r="C62687" s="60"/>
      <c r="I62687" s="63"/>
      <c r="R62687" s="64"/>
    </row>
    <row r="62688" spans="3:18" s="8" customFormat="1" x14ac:dyDescent="0.25">
      <c r="C62688" s="60"/>
      <c r="I62688" s="63"/>
      <c r="R62688" s="64"/>
    </row>
    <row r="62689" spans="3:18" s="8" customFormat="1" x14ac:dyDescent="0.25">
      <c r="C62689" s="60"/>
      <c r="I62689" s="63"/>
      <c r="R62689" s="64"/>
    </row>
    <row r="62690" spans="3:18" s="8" customFormat="1" x14ac:dyDescent="0.25">
      <c r="C62690" s="60"/>
      <c r="I62690" s="63"/>
      <c r="R62690" s="64"/>
    </row>
    <row r="62691" spans="3:18" s="8" customFormat="1" x14ac:dyDescent="0.25">
      <c r="C62691" s="60"/>
      <c r="I62691" s="63"/>
      <c r="R62691" s="64"/>
    </row>
    <row r="62692" spans="3:18" s="8" customFormat="1" x14ac:dyDescent="0.25">
      <c r="C62692" s="60"/>
      <c r="I62692" s="63"/>
      <c r="R62692" s="64"/>
    </row>
    <row r="62693" spans="3:18" s="8" customFormat="1" x14ac:dyDescent="0.25">
      <c r="C62693" s="60"/>
      <c r="I62693" s="63"/>
      <c r="R62693" s="64"/>
    </row>
    <row r="62694" spans="3:18" s="8" customFormat="1" x14ac:dyDescent="0.25">
      <c r="C62694" s="60"/>
      <c r="I62694" s="63"/>
      <c r="R62694" s="64"/>
    </row>
    <row r="62695" spans="3:18" s="8" customFormat="1" x14ac:dyDescent="0.25">
      <c r="C62695" s="60"/>
      <c r="I62695" s="63"/>
      <c r="R62695" s="64"/>
    </row>
    <row r="62696" spans="3:18" s="8" customFormat="1" x14ac:dyDescent="0.25">
      <c r="C62696" s="60"/>
      <c r="I62696" s="63"/>
      <c r="R62696" s="64"/>
    </row>
    <row r="62697" spans="3:18" s="8" customFormat="1" x14ac:dyDescent="0.25">
      <c r="C62697" s="60"/>
      <c r="I62697" s="63"/>
      <c r="R62697" s="64"/>
    </row>
    <row r="62698" spans="3:18" s="8" customFormat="1" x14ac:dyDescent="0.25">
      <c r="C62698" s="60"/>
      <c r="I62698" s="63"/>
      <c r="R62698" s="64"/>
    </row>
    <row r="62699" spans="3:18" s="8" customFormat="1" x14ac:dyDescent="0.25">
      <c r="C62699" s="60"/>
      <c r="I62699" s="63"/>
      <c r="R62699" s="64"/>
    </row>
    <row r="62700" spans="3:18" s="8" customFormat="1" x14ac:dyDescent="0.25">
      <c r="C62700" s="60"/>
      <c r="I62700" s="63"/>
      <c r="R62700" s="64"/>
    </row>
    <row r="62701" spans="3:18" s="8" customFormat="1" x14ac:dyDescent="0.25">
      <c r="C62701" s="60"/>
      <c r="I62701" s="63"/>
      <c r="R62701" s="64"/>
    </row>
    <row r="62702" spans="3:18" s="8" customFormat="1" x14ac:dyDescent="0.25">
      <c r="C62702" s="60"/>
      <c r="I62702" s="63"/>
      <c r="R62702" s="64"/>
    </row>
    <row r="62703" spans="3:18" s="8" customFormat="1" x14ac:dyDescent="0.25">
      <c r="C62703" s="60"/>
      <c r="I62703" s="63"/>
      <c r="R62703" s="64"/>
    </row>
    <row r="62704" spans="3:18" s="8" customFormat="1" x14ac:dyDescent="0.25">
      <c r="C62704" s="60"/>
      <c r="I62704" s="63"/>
      <c r="R62704" s="64"/>
    </row>
    <row r="62705" spans="3:18" s="8" customFormat="1" x14ac:dyDescent="0.25">
      <c r="C62705" s="60"/>
      <c r="I62705" s="63"/>
      <c r="R62705" s="64"/>
    </row>
    <row r="62706" spans="3:18" s="8" customFormat="1" x14ac:dyDescent="0.25">
      <c r="C62706" s="60"/>
      <c r="I62706" s="63"/>
      <c r="R62706" s="64"/>
    </row>
    <row r="62707" spans="3:18" s="8" customFormat="1" x14ac:dyDescent="0.25">
      <c r="C62707" s="60"/>
      <c r="I62707" s="63"/>
      <c r="R62707" s="64"/>
    </row>
    <row r="62708" spans="3:18" s="8" customFormat="1" x14ac:dyDescent="0.25">
      <c r="C62708" s="60"/>
      <c r="I62708" s="63"/>
      <c r="R62708" s="64"/>
    </row>
    <row r="62709" spans="3:18" s="8" customFormat="1" x14ac:dyDescent="0.25">
      <c r="C62709" s="60"/>
      <c r="I62709" s="63"/>
      <c r="R62709" s="64"/>
    </row>
    <row r="62710" spans="3:18" s="8" customFormat="1" x14ac:dyDescent="0.25">
      <c r="C62710" s="60"/>
      <c r="I62710" s="63"/>
      <c r="R62710" s="64"/>
    </row>
    <row r="62711" spans="3:18" s="8" customFormat="1" x14ac:dyDescent="0.25">
      <c r="C62711" s="60"/>
      <c r="I62711" s="63"/>
      <c r="R62711" s="64"/>
    </row>
    <row r="62712" spans="3:18" s="8" customFormat="1" x14ac:dyDescent="0.25">
      <c r="C62712" s="60"/>
      <c r="I62712" s="63"/>
      <c r="R62712" s="64"/>
    </row>
    <row r="62713" spans="3:18" s="8" customFormat="1" x14ac:dyDescent="0.25">
      <c r="C62713" s="60"/>
      <c r="I62713" s="63"/>
      <c r="R62713" s="64"/>
    </row>
    <row r="62714" spans="3:18" s="8" customFormat="1" x14ac:dyDescent="0.25">
      <c r="C62714" s="60"/>
      <c r="I62714" s="63"/>
      <c r="R62714" s="64"/>
    </row>
    <row r="62715" spans="3:18" s="8" customFormat="1" x14ac:dyDescent="0.25">
      <c r="C62715" s="60"/>
      <c r="I62715" s="63"/>
      <c r="R62715" s="64"/>
    </row>
    <row r="62716" spans="3:18" s="8" customFormat="1" x14ac:dyDescent="0.25">
      <c r="C62716" s="60"/>
      <c r="I62716" s="63"/>
      <c r="R62716" s="64"/>
    </row>
    <row r="62717" spans="3:18" s="8" customFormat="1" x14ac:dyDescent="0.25">
      <c r="C62717" s="60"/>
      <c r="I62717" s="63"/>
      <c r="R62717" s="64"/>
    </row>
    <row r="62718" spans="3:18" s="8" customFormat="1" x14ac:dyDescent="0.25">
      <c r="C62718" s="60"/>
      <c r="I62718" s="63"/>
      <c r="R62718" s="64"/>
    </row>
    <row r="62719" spans="3:18" s="8" customFormat="1" x14ac:dyDescent="0.25">
      <c r="C62719" s="60"/>
      <c r="I62719" s="63"/>
      <c r="R62719" s="64"/>
    </row>
    <row r="62720" spans="3:18" s="8" customFormat="1" x14ac:dyDescent="0.25">
      <c r="C62720" s="60"/>
      <c r="I62720" s="63"/>
      <c r="R62720" s="64"/>
    </row>
    <row r="62721" spans="3:18" s="8" customFormat="1" x14ac:dyDescent="0.25">
      <c r="C62721" s="60"/>
      <c r="I62721" s="63"/>
      <c r="R62721" s="64"/>
    </row>
    <row r="62722" spans="3:18" s="8" customFormat="1" x14ac:dyDescent="0.25">
      <c r="C62722" s="60"/>
      <c r="I62722" s="63"/>
      <c r="R62722" s="64"/>
    </row>
    <row r="62723" spans="3:18" s="8" customFormat="1" x14ac:dyDescent="0.25">
      <c r="C62723" s="60"/>
      <c r="I62723" s="63"/>
      <c r="R62723" s="64"/>
    </row>
    <row r="62724" spans="3:18" s="8" customFormat="1" x14ac:dyDescent="0.25">
      <c r="C62724" s="60"/>
      <c r="I62724" s="63"/>
      <c r="R62724" s="64"/>
    </row>
    <row r="62725" spans="3:18" s="8" customFormat="1" x14ac:dyDescent="0.25">
      <c r="C62725" s="60"/>
      <c r="I62725" s="63"/>
      <c r="R62725" s="64"/>
    </row>
    <row r="62726" spans="3:18" s="8" customFormat="1" x14ac:dyDescent="0.25">
      <c r="C62726" s="60"/>
      <c r="I62726" s="63"/>
      <c r="R62726" s="64"/>
    </row>
    <row r="62727" spans="3:18" s="8" customFormat="1" x14ac:dyDescent="0.25">
      <c r="C62727" s="60"/>
      <c r="I62727" s="63"/>
      <c r="R62727" s="64"/>
    </row>
    <row r="62728" spans="3:18" s="8" customFormat="1" x14ac:dyDescent="0.25">
      <c r="C62728" s="60"/>
      <c r="I62728" s="63"/>
      <c r="R62728" s="64"/>
    </row>
    <row r="62729" spans="3:18" s="8" customFormat="1" x14ac:dyDescent="0.25">
      <c r="C62729" s="60"/>
      <c r="I62729" s="63"/>
      <c r="R62729" s="64"/>
    </row>
    <row r="62730" spans="3:18" s="8" customFormat="1" x14ac:dyDescent="0.25">
      <c r="C62730" s="60"/>
      <c r="I62730" s="63"/>
      <c r="R62730" s="64"/>
    </row>
    <row r="62731" spans="3:18" s="8" customFormat="1" x14ac:dyDescent="0.25">
      <c r="C62731" s="60"/>
      <c r="I62731" s="63"/>
      <c r="R62731" s="64"/>
    </row>
    <row r="62732" spans="3:18" s="8" customFormat="1" x14ac:dyDescent="0.25">
      <c r="C62732" s="60"/>
      <c r="I62732" s="63"/>
      <c r="R62732" s="64"/>
    </row>
    <row r="62733" spans="3:18" s="8" customFormat="1" x14ac:dyDescent="0.25">
      <c r="C62733" s="60"/>
      <c r="I62733" s="63"/>
      <c r="R62733" s="64"/>
    </row>
    <row r="62734" spans="3:18" s="8" customFormat="1" x14ac:dyDescent="0.25">
      <c r="C62734" s="60"/>
      <c r="I62734" s="63"/>
      <c r="R62734" s="64"/>
    </row>
    <row r="62735" spans="3:18" s="8" customFormat="1" x14ac:dyDescent="0.25">
      <c r="C62735" s="60"/>
      <c r="I62735" s="63"/>
      <c r="R62735" s="64"/>
    </row>
    <row r="62736" spans="3:18" s="8" customFormat="1" x14ac:dyDescent="0.25">
      <c r="C62736" s="60"/>
      <c r="I62736" s="63"/>
      <c r="R62736" s="64"/>
    </row>
    <row r="62737" spans="3:18" s="8" customFormat="1" x14ac:dyDescent="0.25">
      <c r="C62737" s="60"/>
      <c r="I62737" s="63"/>
      <c r="R62737" s="64"/>
    </row>
    <row r="62738" spans="3:18" s="8" customFormat="1" x14ac:dyDescent="0.25">
      <c r="C62738" s="60"/>
      <c r="I62738" s="63"/>
      <c r="R62738" s="64"/>
    </row>
    <row r="62739" spans="3:18" s="8" customFormat="1" x14ac:dyDescent="0.25">
      <c r="C62739" s="60"/>
      <c r="I62739" s="63"/>
      <c r="R62739" s="64"/>
    </row>
    <row r="62740" spans="3:18" s="8" customFormat="1" x14ac:dyDescent="0.25">
      <c r="C62740" s="60"/>
      <c r="I62740" s="63"/>
      <c r="R62740" s="64"/>
    </row>
    <row r="62741" spans="3:18" s="8" customFormat="1" x14ac:dyDescent="0.25">
      <c r="C62741" s="60"/>
      <c r="I62741" s="63"/>
      <c r="R62741" s="64"/>
    </row>
    <row r="62742" spans="3:18" s="8" customFormat="1" x14ac:dyDescent="0.25">
      <c r="C62742" s="60"/>
      <c r="I62742" s="63"/>
      <c r="R62742" s="64"/>
    </row>
    <row r="62743" spans="3:18" s="8" customFormat="1" x14ac:dyDescent="0.25">
      <c r="C62743" s="60"/>
      <c r="I62743" s="63"/>
      <c r="R62743" s="64"/>
    </row>
    <row r="62744" spans="3:18" s="8" customFormat="1" x14ac:dyDescent="0.25">
      <c r="C62744" s="60"/>
      <c r="I62744" s="63"/>
      <c r="R62744" s="64"/>
    </row>
    <row r="62745" spans="3:18" s="8" customFormat="1" x14ac:dyDescent="0.25">
      <c r="C62745" s="60"/>
      <c r="I62745" s="63"/>
      <c r="R62745" s="64"/>
    </row>
    <row r="62746" spans="3:18" s="8" customFormat="1" x14ac:dyDescent="0.25">
      <c r="C62746" s="60"/>
      <c r="I62746" s="63"/>
      <c r="R62746" s="64"/>
    </row>
    <row r="62747" spans="3:18" s="8" customFormat="1" x14ac:dyDescent="0.25">
      <c r="C62747" s="60"/>
      <c r="I62747" s="63"/>
      <c r="R62747" s="64"/>
    </row>
    <row r="62748" spans="3:18" s="8" customFormat="1" x14ac:dyDescent="0.25">
      <c r="C62748" s="60"/>
      <c r="I62748" s="63"/>
      <c r="R62748" s="64"/>
    </row>
    <row r="62749" spans="3:18" s="8" customFormat="1" x14ac:dyDescent="0.25">
      <c r="C62749" s="60"/>
      <c r="I62749" s="63"/>
      <c r="R62749" s="64"/>
    </row>
    <row r="62750" spans="3:18" s="8" customFormat="1" x14ac:dyDescent="0.25">
      <c r="C62750" s="60"/>
      <c r="I62750" s="63"/>
      <c r="R62750" s="64"/>
    </row>
    <row r="62751" spans="3:18" s="8" customFormat="1" x14ac:dyDescent="0.25">
      <c r="C62751" s="60"/>
      <c r="I62751" s="63"/>
      <c r="R62751" s="64"/>
    </row>
    <row r="62752" spans="3:18" s="8" customFormat="1" x14ac:dyDescent="0.25">
      <c r="C62752" s="60"/>
      <c r="I62752" s="63"/>
      <c r="R62752" s="64"/>
    </row>
    <row r="62753" spans="3:18" s="8" customFormat="1" x14ac:dyDescent="0.25">
      <c r="C62753" s="60"/>
      <c r="I62753" s="63"/>
      <c r="R62753" s="64"/>
    </row>
    <row r="62754" spans="3:18" s="8" customFormat="1" x14ac:dyDescent="0.25">
      <c r="C62754" s="60"/>
      <c r="I62754" s="63"/>
      <c r="R62754" s="64"/>
    </row>
    <row r="62755" spans="3:18" s="8" customFormat="1" x14ac:dyDescent="0.25">
      <c r="C62755" s="60"/>
      <c r="I62755" s="63"/>
      <c r="R62755" s="64"/>
    </row>
    <row r="62756" spans="3:18" s="8" customFormat="1" x14ac:dyDescent="0.25">
      <c r="C62756" s="60"/>
      <c r="I62756" s="63"/>
      <c r="R62756" s="64"/>
    </row>
    <row r="62757" spans="3:18" s="8" customFormat="1" x14ac:dyDescent="0.25">
      <c r="C62757" s="60"/>
      <c r="I62757" s="63"/>
      <c r="R62757" s="64"/>
    </row>
    <row r="62758" spans="3:18" s="8" customFormat="1" x14ac:dyDescent="0.25">
      <c r="C62758" s="60"/>
      <c r="I62758" s="63"/>
      <c r="R62758" s="64"/>
    </row>
    <row r="62759" spans="3:18" s="8" customFormat="1" x14ac:dyDescent="0.25">
      <c r="C62759" s="60"/>
      <c r="I62759" s="63"/>
      <c r="R62759" s="64"/>
    </row>
    <row r="62760" spans="3:18" s="8" customFormat="1" x14ac:dyDescent="0.25">
      <c r="C62760" s="60"/>
      <c r="I62760" s="63"/>
      <c r="R62760" s="64"/>
    </row>
    <row r="62761" spans="3:18" s="8" customFormat="1" x14ac:dyDescent="0.25">
      <c r="C62761" s="60"/>
      <c r="I62761" s="63"/>
      <c r="R62761" s="64"/>
    </row>
    <row r="62762" spans="3:18" s="8" customFormat="1" x14ac:dyDescent="0.25">
      <c r="C62762" s="60"/>
      <c r="I62762" s="63"/>
      <c r="R62762" s="64"/>
    </row>
    <row r="62763" spans="3:18" s="8" customFormat="1" x14ac:dyDescent="0.25">
      <c r="C62763" s="60"/>
      <c r="I62763" s="63"/>
      <c r="R62763" s="64"/>
    </row>
    <row r="62764" spans="3:18" s="8" customFormat="1" x14ac:dyDescent="0.25">
      <c r="C62764" s="60"/>
      <c r="I62764" s="63"/>
      <c r="R62764" s="64"/>
    </row>
    <row r="62765" spans="3:18" s="8" customFormat="1" x14ac:dyDescent="0.25">
      <c r="C62765" s="60"/>
      <c r="I62765" s="63"/>
      <c r="R62765" s="64"/>
    </row>
    <row r="62766" spans="3:18" s="8" customFormat="1" x14ac:dyDescent="0.25">
      <c r="C62766" s="60"/>
      <c r="I62766" s="63"/>
      <c r="R62766" s="64"/>
    </row>
    <row r="62767" spans="3:18" s="8" customFormat="1" x14ac:dyDescent="0.25">
      <c r="C62767" s="60"/>
      <c r="I62767" s="63"/>
      <c r="R62767" s="64"/>
    </row>
    <row r="62768" spans="3:18" s="8" customFormat="1" x14ac:dyDescent="0.25">
      <c r="C62768" s="60"/>
      <c r="I62768" s="63"/>
      <c r="R62768" s="64"/>
    </row>
    <row r="62769" spans="3:18" s="8" customFormat="1" x14ac:dyDescent="0.25">
      <c r="C62769" s="60"/>
      <c r="I62769" s="63"/>
      <c r="R62769" s="64"/>
    </row>
    <row r="62770" spans="3:18" s="8" customFormat="1" x14ac:dyDescent="0.25">
      <c r="C62770" s="60"/>
      <c r="I62770" s="63"/>
      <c r="R62770" s="64"/>
    </row>
    <row r="62771" spans="3:18" s="8" customFormat="1" x14ac:dyDescent="0.25">
      <c r="C62771" s="60"/>
      <c r="I62771" s="63"/>
      <c r="R62771" s="64"/>
    </row>
    <row r="62772" spans="3:18" s="8" customFormat="1" x14ac:dyDescent="0.25">
      <c r="C62772" s="60"/>
      <c r="I62772" s="63"/>
      <c r="R62772" s="64"/>
    </row>
    <row r="62773" spans="3:18" s="8" customFormat="1" x14ac:dyDescent="0.25">
      <c r="C62773" s="60"/>
      <c r="I62773" s="63"/>
      <c r="R62773" s="64"/>
    </row>
    <row r="62774" spans="3:18" s="8" customFormat="1" x14ac:dyDescent="0.25">
      <c r="C62774" s="60"/>
      <c r="I62774" s="63"/>
      <c r="R62774" s="64"/>
    </row>
    <row r="62775" spans="3:18" s="8" customFormat="1" x14ac:dyDescent="0.25">
      <c r="C62775" s="60"/>
      <c r="I62775" s="63"/>
      <c r="R62775" s="64"/>
    </row>
    <row r="62776" spans="3:18" s="8" customFormat="1" x14ac:dyDescent="0.25">
      <c r="C62776" s="60"/>
      <c r="I62776" s="63"/>
      <c r="R62776" s="64"/>
    </row>
    <row r="62777" spans="3:18" s="8" customFormat="1" x14ac:dyDescent="0.25">
      <c r="C62777" s="60"/>
      <c r="I62777" s="63"/>
      <c r="R62777" s="64"/>
    </row>
    <row r="62778" spans="3:18" s="8" customFormat="1" x14ac:dyDescent="0.25">
      <c r="C62778" s="60"/>
      <c r="I62778" s="63"/>
      <c r="R62778" s="64"/>
    </row>
    <row r="62779" spans="3:18" s="8" customFormat="1" x14ac:dyDescent="0.25">
      <c r="C62779" s="60"/>
      <c r="I62779" s="63"/>
      <c r="R62779" s="64"/>
    </row>
    <row r="62780" spans="3:18" s="8" customFormat="1" x14ac:dyDescent="0.25">
      <c r="C62780" s="60"/>
      <c r="I62780" s="63"/>
      <c r="R62780" s="64"/>
    </row>
    <row r="62781" spans="3:18" s="8" customFormat="1" x14ac:dyDescent="0.25">
      <c r="C62781" s="60"/>
      <c r="I62781" s="63"/>
      <c r="R62781" s="64"/>
    </row>
    <row r="62782" spans="3:18" s="8" customFormat="1" x14ac:dyDescent="0.25">
      <c r="C62782" s="60"/>
      <c r="I62782" s="63"/>
      <c r="R62782" s="64"/>
    </row>
    <row r="62783" spans="3:18" s="8" customFormat="1" x14ac:dyDescent="0.25">
      <c r="C62783" s="60"/>
      <c r="I62783" s="63"/>
      <c r="R62783" s="64"/>
    </row>
    <row r="62784" spans="3:18" s="8" customFormat="1" x14ac:dyDescent="0.25">
      <c r="C62784" s="60"/>
      <c r="I62784" s="63"/>
      <c r="R62784" s="64"/>
    </row>
    <row r="62785" spans="3:18" s="8" customFormat="1" x14ac:dyDescent="0.25">
      <c r="C62785" s="60"/>
      <c r="I62785" s="63"/>
      <c r="R62785" s="64"/>
    </row>
    <row r="62786" spans="3:18" s="8" customFormat="1" x14ac:dyDescent="0.25">
      <c r="C62786" s="60"/>
      <c r="I62786" s="63"/>
      <c r="R62786" s="64"/>
    </row>
    <row r="62787" spans="3:18" s="8" customFormat="1" x14ac:dyDescent="0.25">
      <c r="C62787" s="60"/>
      <c r="I62787" s="63"/>
      <c r="R62787" s="64"/>
    </row>
    <row r="62788" spans="3:18" s="8" customFormat="1" x14ac:dyDescent="0.25">
      <c r="C62788" s="60"/>
      <c r="I62788" s="63"/>
      <c r="R62788" s="64"/>
    </row>
    <row r="62789" spans="3:18" s="8" customFormat="1" x14ac:dyDescent="0.25">
      <c r="C62789" s="60"/>
      <c r="I62789" s="63"/>
      <c r="R62789" s="64"/>
    </row>
    <row r="62790" spans="3:18" s="8" customFormat="1" x14ac:dyDescent="0.25">
      <c r="C62790" s="60"/>
      <c r="I62790" s="63"/>
      <c r="R62790" s="64"/>
    </row>
    <row r="62791" spans="3:18" s="8" customFormat="1" x14ac:dyDescent="0.25">
      <c r="C62791" s="60"/>
      <c r="I62791" s="63"/>
      <c r="R62791" s="64"/>
    </row>
    <row r="62792" spans="3:18" s="8" customFormat="1" x14ac:dyDescent="0.25">
      <c r="C62792" s="60"/>
      <c r="I62792" s="63"/>
      <c r="R62792" s="64"/>
    </row>
    <row r="62793" spans="3:18" s="8" customFormat="1" x14ac:dyDescent="0.25">
      <c r="C62793" s="60"/>
      <c r="I62793" s="63"/>
      <c r="R62793" s="64"/>
    </row>
    <row r="62794" spans="3:18" s="8" customFormat="1" x14ac:dyDescent="0.25">
      <c r="C62794" s="60"/>
      <c r="I62794" s="63"/>
      <c r="R62794" s="64"/>
    </row>
    <row r="62795" spans="3:18" s="8" customFormat="1" x14ac:dyDescent="0.25">
      <c r="C62795" s="60"/>
      <c r="I62795" s="63"/>
      <c r="R62795" s="64"/>
    </row>
    <row r="62796" spans="3:18" s="8" customFormat="1" x14ac:dyDescent="0.25">
      <c r="C62796" s="60"/>
      <c r="I62796" s="63"/>
      <c r="R62796" s="64"/>
    </row>
    <row r="62797" spans="3:18" s="8" customFormat="1" x14ac:dyDescent="0.25">
      <c r="C62797" s="60"/>
      <c r="I62797" s="63"/>
      <c r="R62797" s="64"/>
    </row>
    <row r="62798" spans="3:18" s="8" customFormat="1" x14ac:dyDescent="0.25">
      <c r="C62798" s="60"/>
      <c r="I62798" s="63"/>
      <c r="R62798" s="64"/>
    </row>
    <row r="62799" spans="3:18" s="8" customFormat="1" x14ac:dyDescent="0.25">
      <c r="C62799" s="60"/>
      <c r="I62799" s="63"/>
      <c r="R62799" s="64"/>
    </row>
    <row r="62800" spans="3:18" s="8" customFormat="1" x14ac:dyDescent="0.25">
      <c r="C62800" s="60"/>
      <c r="I62800" s="63"/>
      <c r="R62800" s="64"/>
    </row>
    <row r="62801" spans="3:18" s="8" customFormat="1" x14ac:dyDescent="0.25">
      <c r="C62801" s="60"/>
      <c r="I62801" s="63"/>
      <c r="R62801" s="64"/>
    </row>
    <row r="62802" spans="3:18" s="8" customFormat="1" x14ac:dyDescent="0.25">
      <c r="C62802" s="60"/>
      <c r="I62802" s="63"/>
      <c r="R62802" s="64"/>
    </row>
    <row r="62803" spans="3:18" s="8" customFormat="1" x14ac:dyDescent="0.25">
      <c r="C62803" s="60"/>
      <c r="I62803" s="63"/>
      <c r="R62803" s="64"/>
    </row>
    <row r="62804" spans="3:18" s="8" customFormat="1" x14ac:dyDescent="0.25">
      <c r="C62804" s="60"/>
      <c r="I62804" s="63"/>
      <c r="R62804" s="64"/>
    </row>
    <row r="62805" spans="3:18" s="8" customFormat="1" x14ac:dyDescent="0.25">
      <c r="C62805" s="60"/>
      <c r="I62805" s="63"/>
      <c r="R62805" s="64"/>
    </row>
    <row r="62806" spans="3:18" s="8" customFormat="1" x14ac:dyDescent="0.25">
      <c r="C62806" s="60"/>
      <c r="I62806" s="63"/>
      <c r="R62806" s="64"/>
    </row>
    <row r="62807" spans="3:18" s="8" customFormat="1" x14ac:dyDescent="0.25">
      <c r="C62807" s="60"/>
      <c r="I62807" s="63"/>
      <c r="R62807" s="64"/>
    </row>
    <row r="62808" spans="3:18" s="8" customFormat="1" x14ac:dyDescent="0.25">
      <c r="C62808" s="60"/>
      <c r="I62808" s="63"/>
      <c r="R62808" s="64"/>
    </row>
    <row r="62809" spans="3:18" s="8" customFormat="1" x14ac:dyDescent="0.25">
      <c r="C62809" s="60"/>
      <c r="I62809" s="63"/>
      <c r="R62809" s="64"/>
    </row>
    <row r="62810" spans="3:18" s="8" customFormat="1" x14ac:dyDescent="0.25">
      <c r="C62810" s="60"/>
      <c r="I62810" s="63"/>
      <c r="R62810" s="64"/>
    </row>
    <row r="62811" spans="3:18" s="8" customFormat="1" x14ac:dyDescent="0.25">
      <c r="C62811" s="60"/>
      <c r="I62811" s="63"/>
      <c r="R62811" s="64"/>
    </row>
    <row r="62812" spans="3:18" s="8" customFormat="1" x14ac:dyDescent="0.25">
      <c r="C62812" s="60"/>
      <c r="I62812" s="63"/>
      <c r="R62812" s="64"/>
    </row>
    <row r="62813" spans="3:18" s="8" customFormat="1" x14ac:dyDescent="0.25">
      <c r="C62813" s="60"/>
      <c r="I62813" s="63"/>
      <c r="R62813" s="64"/>
    </row>
    <row r="62814" spans="3:18" s="8" customFormat="1" x14ac:dyDescent="0.25">
      <c r="C62814" s="60"/>
      <c r="I62814" s="63"/>
      <c r="R62814" s="64"/>
    </row>
    <row r="62815" spans="3:18" s="8" customFormat="1" x14ac:dyDescent="0.25">
      <c r="C62815" s="60"/>
      <c r="I62815" s="63"/>
      <c r="R62815" s="64"/>
    </row>
    <row r="62816" spans="3:18" s="8" customFormat="1" x14ac:dyDescent="0.25">
      <c r="C62816" s="60"/>
      <c r="I62816" s="63"/>
      <c r="R62816" s="64"/>
    </row>
    <row r="62817" spans="3:18" s="8" customFormat="1" x14ac:dyDescent="0.25">
      <c r="C62817" s="60"/>
      <c r="I62817" s="63"/>
      <c r="R62817" s="64"/>
    </row>
    <row r="62818" spans="3:18" s="8" customFormat="1" x14ac:dyDescent="0.25">
      <c r="C62818" s="60"/>
      <c r="I62818" s="63"/>
      <c r="R62818" s="64"/>
    </row>
    <row r="62819" spans="3:18" s="8" customFormat="1" x14ac:dyDescent="0.25">
      <c r="C62819" s="60"/>
      <c r="I62819" s="63"/>
      <c r="R62819" s="64"/>
    </row>
    <row r="62820" spans="3:18" s="8" customFormat="1" x14ac:dyDescent="0.25">
      <c r="C62820" s="60"/>
      <c r="I62820" s="63"/>
      <c r="R62820" s="64"/>
    </row>
    <row r="62821" spans="3:18" s="8" customFormat="1" x14ac:dyDescent="0.25">
      <c r="C62821" s="60"/>
      <c r="I62821" s="63"/>
      <c r="R62821" s="64"/>
    </row>
    <row r="62822" spans="3:18" s="8" customFormat="1" x14ac:dyDescent="0.25">
      <c r="C62822" s="60"/>
      <c r="I62822" s="63"/>
      <c r="R62822" s="64"/>
    </row>
    <row r="62823" spans="3:18" s="8" customFormat="1" x14ac:dyDescent="0.25">
      <c r="C62823" s="60"/>
      <c r="I62823" s="63"/>
      <c r="R62823" s="64"/>
    </row>
    <row r="62824" spans="3:18" s="8" customFormat="1" x14ac:dyDescent="0.25">
      <c r="C62824" s="60"/>
      <c r="I62824" s="63"/>
      <c r="R62824" s="64"/>
    </row>
    <row r="62825" spans="3:18" s="8" customFormat="1" x14ac:dyDescent="0.25">
      <c r="C62825" s="60"/>
      <c r="I62825" s="63"/>
      <c r="R62825" s="64"/>
    </row>
    <row r="62826" spans="3:18" s="8" customFormat="1" x14ac:dyDescent="0.25">
      <c r="C62826" s="60"/>
      <c r="I62826" s="63"/>
      <c r="R62826" s="64"/>
    </row>
    <row r="62827" spans="3:18" s="8" customFormat="1" x14ac:dyDescent="0.25">
      <c r="C62827" s="60"/>
      <c r="I62827" s="63"/>
      <c r="R62827" s="64"/>
    </row>
    <row r="62828" spans="3:18" s="8" customFormat="1" x14ac:dyDescent="0.25">
      <c r="C62828" s="60"/>
      <c r="I62828" s="63"/>
      <c r="R62828" s="64"/>
    </row>
    <row r="62829" spans="3:18" s="8" customFormat="1" x14ac:dyDescent="0.25">
      <c r="C62829" s="60"/>
      <c r="I62829" s="63"/>
      <c r="R62829" s="64"/>
    </row>
    <row r="62830" spans="3:18" s="8" customFormat="1" x14ac:dyDescent="0.25">
      <c r="C62830" s="60"/>
      <c r="I62830" s="63"/>
      <c r="R62830" s="64"/>
    </row>
    <row r="62831" spans="3:18" s="8" customFormat="1" x14ac:dyDescent="0.25">
      <c r="C62831" s="60"/>
      <c r="I62831" s="63"/>
      <c r="R62831" s="64"/>
    </row>
    <row r="62832" spans="3:18" s="8" customFormat="1" x14ac:dyDescent="0.25">
      <c r="C62832" s="60"/>
      <c r="I62832" s="63"/>
      <c r="R62832" s="64"/>
    </row>
    <row r="62833" spans="3:18" s="8" customFormat="1" x14ac:dyDescent="0.25">
      <c r="C62833" s="60"/>
      <c r="I62833" s="63"/>
      <c r="R62833" s="64"/>
    </row>
    <row r="62834" spans="3:18" s="8" customFormat="1" x14ac:dyDescent="0.25">
      <c r="C62834" s="60"/>
      <c r="I62834" s="63"/>
      <c r="R62834" s="64"/>
    </row>
    <row r="62835" spans="3:18" s="8" customFormat="1" x14ac:dyDescent="0.25">
      <c r="C62835" s="60"/>
      <c r="I62835" s="63"/>
      <c r="R62835" s="64"/>
    </row>
    <row r="62836" spans="3:18" s="8" customFormat="1" x14ac:dyDescent="0.25">
      <c r="C62836" s="60"/>
      <c r="I62836" s="63"/>
      <c r="R62836" s="64"/>
    </row>
    <row r="62837" spans="3:18" s="8" customFormat="1" x14ac:dyDescent="0.25">
      <c r="C62837" s="60"/>
      <c r="I62837" s="63"/>
      <c r="R62837" s="64"/>
    </row>
    <row r="62838" spans="3:18" s="8" customFormat="1" x14ac:dyDescent="0.25">
      <c r="C62838" s="60"/>
      <c r="I62838" s="63"/>
      <c r="R62838" s="64"/>
    </row>
    <row r="62839" spans="3:18" s="8" customFormat="1" x14ac:dyDescent="0.25">
      <c r="C62839" s="60"/>
      <c r="I62839" s="63"/>
      <c r="R62839" s="64"/>
    </row>
    <row r="62840" spans="3:18" s="8" customFormat="1" x14ac:dyDescent="0.25">
      <c r="C62840" s="60"/>
      <c r="I62840" s="63"/>
      <c r="R62840" s="64"/>
    </row>
    <row r="62841" spans="3:18" s="8" customFormat="1" x14ac:dyDescent="0.25">
      <c r="C62841" s="60"/>
      <c r="I62841" s="63"/>
      <c r="R62841" s="64"/>
    </row>
    <row r="62842" spans="3:18" s="8" customFormat="1" x14ac:dyDescent="0.25">
      <c r="C62842" s="60"/>
      <c r="I62842" s="63"/>
      <c r="R62842" s="64"/>
    </row>
    <row r="62843" spans="3:18" s="8" customFormat="1" x14ac:dyDescent="0.25">
      <c r="C62843" s="60"/>
      <c r="I62843" s="63"/>
      <c r="R62843" s="64"/>
    </row>
    <row r="62844" spans="3:18" s="8" customFormat="1" x14ac:dyDescent="0.25">
      <c r="C62844" s="60"/>
      <c r="I62844" s="63"/>
      <c r="R62844" s="64"/>
    </row>
    <row r="62845" spans="3:18" s="8" customFormat="1" x14ac:dyDescent="0.25">
      <c r="C62845" s="60"/>
      <c r="I62845" s="63"/>
      <c r="R62845" s="64"/>
    </row>
    <row r="62846" spans="3:18" s="8" customFormat="1" x14ac:dyDescent="0.25">
      <c r="C62846" s="60"/>
      <c r="I62846" s="63"/>
      <c r="R62846" s="64"/>
    </row>
    <row r="62847" spans="3:18" s="8" customFormat="1" x14ac:dyDescent="0.25">
      <c r="C62847" s="60"/>
      <c r="I62847" s="63"/>
      <c r="R62847" s="64"/>
    </row>
    <row r="62848" spans="3:18" s="8" customFormat="1" x14ac:dyDescent="0.25">
      <c r="C62848" s="60"/>
      <c r="I62848" s="63"/>
      <c r="R62848" s="64"/>
    </row>
    <row r="62849" spans="3:18" s="8" customFormat="1" x14ac:dyDescent="0.25">
      <c r="C62849" s="60"/>
      <c r="I62849" s="63"/>
      <c r="R62849" s="64"/>
    </row>
    <row r="62850" spans="3:18" s="8" customFormat="1" x14ac:dyDescent="0.25">
      <c r="C62850" s="60"/>
      <c r="I62850" s="63"/>
      <c r="R62850" s="64"/>
    </row>
    <row r="62851" spans="3:18" s="8" customFormat="1" x14ac:dyDescent="0.25">
      <c r="C62851" s="60"/>
      <c r="I62851" s="63"/>
      <c r="R62851" s="64"/>
    </row>
    <row r="62852" spans="3:18" s="8" customFormat="1" x14ac:dyDescent="0.25">
      <c r="C62852" s="60"/>
      <c r="I62852" s="63"/>
      <c r="R62852" s="64"/>
    </row>
    <row r="62853" spans="3:18" s="8" customFormat="1" x14ac:dyDescent="0.25">
      <c r="C62853" s="60"/>
      <c r="I62853" s="63"/>
      <c r="R62853" s="64"/>
    </row>
    <row r="62854" spans="3:18" s="8" customFormat="1" x14ac:dyDescent="0.25">
      <c r="C62854" s="60"/>
      <c r="I62854" s="63"/>
      <c r="R62854" s="64"/>
    </row>
    <row r="62855" spans="3:18" s="8" customFormat="1" x14ac:dyDescent="0.25">
      <c r="C62855" s="60"/>
      <c r="I62855" s="63"/>
      <c r="R62855" s="64"/>
    </row>
    <row r="62856" spans="3:18" s="8" customFormat="1" x14ac:dyDescent="0.25">
      <c r="C62856" s="60"/>
      <c r="I62856" s="63"/>
      <c r="R62856" s="64"/>
    </row>
    <row r="62857" spans="3:18" s="8" customFormat="1" x14ac:dyDescent="0.25">
      <c r="C62857" s="60"/>
      <c r="I62857" s="63"/>
      <c r="R62857" s="64"/>
    </row>
    <row r="62858" spans="3:18" s="8" customFormat="1" x14ac:dyDescent="0.25">
      <c r="C62858" s="60"/>
      <c r="I62858" s="63"/>
      <c r="R62858" s="64"/>
    </row>
    <row r="62859" spans="3:18" s="8" customFormat="1" x14ac:dyDescent="0.25">
      <c r="C62859" s="60"/>
      <c r="I62859" s="63"/>
      <c r="R62859" s="64"/>
    </row>
    <row r="62860" spans="3:18" s="8" customFormat="1" x14ac:dyDescent="0.25">
      <c r="C62860" s="60"/>
      <c r="I62860" s="63"/>
      <c r="R62860" s="64"/>
    </row>
    <row r="62861" spans="3:18" s="8" customFormat="1" x14ac:dyDescent="0.25">
      <c r="C62861" s="60"/>
      <c r="I62861" s="63"/>
      <c r="R62861" s="64"/>
    </row>
    <row r="62862" spans="3:18" s="8" customFormat="1" x14ac:dyDescent="0.25">
      <c r="C62862" s="60"/>
      <c r="I62862" s="63"/>
      <c r="R62862" s="64"/>
    </row>
    <row r="62863" spans="3:18" s="8" customFormat="1" x14ac:dyDescent="0.25">
      <c r="C62863" s="60"/>
      <c r="I62863" s="63"/>
      <c r="R62863" s="64"/>
    </row>
    <row r="62864" spans="3:18" s="8" customFormat="1" x14ac:dyDescent="0.25">
      <c r="C62864" s="60"/>
      <c r="I62864" s="63"/>
      <c r="R62864" s="64"/>
    </row>
    <row r="62865" spans="3:18" s="8" customFormat="1" x14ac:dyDescent="0.25">
      <c r="C62865" s="60"/>
      <c r="I62865" s="63"/>
      <c r="R62865" s="64"/>
    </row>
    <row r="62866" spans="3:18" s="8" customFormat="1" x14ac:dyDescent="0.25">
      <c r="C62866" s="60"/>
      <c r="I62866" s="63"/>
      <c r="R62866" s="64"/>
    </row>
    <row r="62867" spans="3:18" s="8" customFormat="1" x14ac:dyDescent="0.25">
      <c r="C62867" s="60"/>
      <c r="I62867" s="63"/>
      <c r="R62867" s="64"/>
    </row>
    <row r="62868" spans="3:18" s="8" customFormat="1" x14ac:dyDescent="0.25">
      <c r="C62868" s="60"/>
      <c r="I62868" s="63"/>
      <c r="R62868" s="64"/>
    </row>
    <row r="62869" spans="3:18" s="8" customFormat="1" x14ac:dyDescent="0.25">
      <c r="C62869" s="60"/>
      <c r="I62869" s="63"/>
      <c r="R62869" s="64"/>
    </row>
    <row r="62870" spans="3:18" s="8" customFormat="1" x14ac:dyDescent="0.25">
      <c r="C62870" s="60"/>
      <c r="I62870" s="63"/>
      <c r="R62870" s="64"/>
    </row>
    <row r="62871" spans="3:18" s="8" customFormat="1" x14ac:dyDescent="0.25">
      <c r="C62871" s="60"/>
      <c r="I62871" s="63"/>
      <c r="R62871" s="64"/>
    </row>
    <row r="62872" spans="3:18" s="8" customFormat="1" x14ac:dyDescent="0.25">
      <c r="C62872" s="60"/>
      <c r="I62872" s="63"/>
      <c r="R62872" s="64"/>
    </row>
    <row r="62873" spans="3:18" s="8" customFormat="1" x14ac:dyDescent="0.25">
      <c r="C62873" s="60"/>
      <c r="I62873" s="63"/>
      <c r="R62873" s="64"/>
    </row>
    <row r="62874" spans="3:18" s="8" customFormat="1" x14ac:dyDescent="0.25">
      <c r="C62874" s="60"/>
      <c r="I62874" s="63"/>
      <c r="R62874" s="64"/>
    </row>
    <row r="62875" spans="3:18" s="8" customFormat="1" x14ac:dyDescent="0.25">
      <c r="C62875" s="60"/>
      <c r="I62875" s="63"/>
      <c r="R62875" s="64"/>
    </row>
    <row r="62876" spans="3:18" s="8" customFormat="1" x14ac:dyDescent="0.25">
      <c r="C62876" s="60"/>
      <c r="I62876" s="63"/>
      <c r="R62876" s="64"/>
    </row>
    <row r="62877" spans="3:18" s="8" customFormat="1" x14ac:dyDescent="0.25">
      <c r="C62877" s="60"/>
      <c r="I62877" s="63"/>
      <c r="R62877" s="64"/>
    </row>
    <row r="62878" spans="3:18" s="8" customFormat="1" x14ac:dyDescent="0.25">
      <c r="C62878" s="60"/>
      <c r="I62878" s="63"/>
      <c r="R62878" s="64"/>
    </row>
    <row r="62879" spans="3:18" s="8" customFormat="1" x14ac:dyDescent="0.25">
      <c r="C62879" s="60"/>
      <c r="I62879" s="63"/>
      <c r="R62879" s="64"/>
    </row>
    <row r="62880" spans="3:18" s="8" customFormat="1" x14ac:dyDescent="0.25">
      <c r="C62880" s="60"/>
      <c r="I62880" s="63"/>
      <c r="R62880" s="64"/>
    </row>
    <row r="62881" spans="3:18" s="8" customFormat="1" x14ac:dyDescent="0.25">
      <c r="C62881" s="60"/>
      <c r="I62881" s="63"/>
      <c r="R62881" s="64"/>
    </row>
    <row r="62882" spans="3:18" s="8" customFormat="1" x14ac:dyDescent="0.25">
      <c r="C62882" s="60"/>
      <c r="I62882" s="63"/>
      <c r="R62882" s="64"/>
    </row>
    <row r="62883" spans="3:18" s="8" customFormat="1" x14ac:dyDescent="0.25">
      <c r="C62883" s="60"/>
      <c r="I62883" s="63"/>
      <c r="R62883" s="64"/>
    </row>
    <row r="62884" spans="3:18" s="8" customFormat="1" x14ac:dyDescent="0.25">
      <c r="C62884" s="60"/>
      <c r="I62884" s="63"/>
      <c r="R62884" s="64"/>
    </row>
    <row r="62885" spans="3:18" s="8" customFormat="1" x14ac:dyDescent="0.25">
      <c r="C62885" s="60"/>
      <c r="I62885" s="63"/>
      <c r="R62885" s="64"/>
    </row>
    <row r="62886" spans="3:18" s="8" customFormat="1" x14ac:dyDescent="0.25">
      <c r="C62886" s="60"/>
      <c r="I62886" s="63"/>
      <c r="R62886" s="64"/>
    </row>
    <row r="62887" spans="3:18" s="8" customFormat="1" x14ac:dyDescent="0.25">
      <c r="C62887" s="60"/>
      <c r="I62887" s="63"/>
      <c r="R62887" s="64"/>
    </row>
    <row r="62888" spans="3:18" s="8" customFormat="1" x14ac:dyDescent="0.25">
      <c r="C62888" s="60"/>
      <c r="I62888" s="63"/>
      <c r="R62888" s="64"/>
    </row>
    <row r="62889" spans="3:18" s="8" customFormat="1" x14ac:dyDescent="0.25">
      <c r="C62889" s="60"/>
      <c r="I62889" s="63"/>
      <c r="R62889" s="64"/>
    </row>
    <row r="62890" spans="3:18" s="8" customFormat="1" x14ac:dyDescent="0.25">
      <c r="C62890" s="60"/>
      <c r="I62890" s="63"/>
      <c r="R62890" s="64"/>
    </row>
    <row r="62891" spans="3:18" s="8" customFormat="1" x14ac:dyDescent="0.25">
      <c r="C62891" s="60"/>
      <c r="I62891" s="63"/>
      <c r="R62891" s="64"/>
    </row>
    <row r="62892" spans="3:18" s="8" customFormat="1" x14ac:dyDescent="0.25">
      <c r="C62892" s="60"/>
      <c r="I62892" s="63"/>
      <c r="R62892" s="64"/>
    </row>
    <row r="62893" spans="3:18" s="8" customFormat="1" x14ac:dyDescent="0.25">
      <c r="C62893" s="60"/>
      <c r="I62893" s="63"/>
      <c r="R62893" s="64"/>
    </row>
    <row r="62894" spans="3:18" s="8" customFormat="1" x14ac:dyDescent="0.25">
      <c r="C62894" s="60"/>
      <c r="I62894" s="63"/>
      <c r="R62894" s="64"/>
    </row>
    <row r="62895" spans="3:18" s="8" customFormat="1" x14ac:dyDescent="0.25">
      <c r="C62895" s="60"/>
      <c r="I62895" s="63"/>
      <c r="R62895" s="64"/>
    </row>
    <row r="62896" spans="3:18" s="8" customFormat="1" x14ac:dyDescent="0.25">
      <c r="C62896" s="60"/>
      <c r="I62896" s="63"/>
      <c r="R62896" s="64"/>
    </row>
    <row r="62897" spans="3:18" s="8" customFormat="1" x14ac:dyDescent="0.25">
      <c r="C62897" s="60"/>
      <c r="I62897" s="63"/>
      <c r="R62897" s="64"/>
    </row>
    <row r="62898" spans="3:18" s="8" customFormat="1" x14ac:dyDescent="0.25">
      <c r="C62898" s="60"/>
      <c r="I62898" s="63"/>
      <c r="R62898" s="64"/>
    </row>
    <row r="62899" spans="3:18" s="8" customFormat="1" x14ac:dyDescent="0.25">
      <c r="C62899" s="60"/>
      <c r="I62899" s="63"/>
      <c r="R62899" s="64"/>
    </row>
    <row r="62900" spans="3:18" s="8" customFormat="1" x14ac:dyDescent="0.25">
      <c r="C62900" s="60"/>
      <c r="I62900" s="63"/>
      <c r="R62900" s="64"/>
    </row>
    <row r="62901" spans="3:18" s="8" customFormat="1" x14ac:dyDescent="0.25">
      <c r="C62901" s="60"/>
      <c r="I62901" s="63"/>
      <c r="R62901" s="64"/>
    </row>
    <row r="62902" spans="3:18" s="8" customFormat="1" x14ac:dyDescent="0.25">
      <c r="C62902" s="60"/>
      <c r="I62902" s="63"/>
      <c r="R62902" s="64"/>
    </row>
    <row r="62903" spans="3:18" s="8" customFormat="1" x14ac:dyDescent="0.25">
      <c r="C62903" s="60"/>
      <c r="I62903" s="63"/>
      <c r="R62903" s="64"/>
    </row>
    <row r="62904" spans="3:18" s="8" customFormat="1" x14ac:dyDescent="0.25">
      <c r="C62904" s="60"/>
      <c r="I62904" s="63"/>
      <c r="R62904" s="64"/>
    </row>
    <row r="62905" spans="3:18" s="8" customFormat="1" x14ac:dyDescent="0.25">
      <c r="C62905" s="60"/>
      <c r="I62905" s="63"/>
      <c r="R62905" s="64"/>
    </row>
    <row r="62906" spans="3:18" s="8" customFormat="1" x14ac:dyDescent="0.25">
      <c r="C62906" s="60"/>
      <c r="I62906" s="63"/>
      <c r="R62906" s="64"/>
    </row>
    <row r="62907" spans="3:18" s="8" customFormat="1" x14ac:dyDescent="0.25">
      <c r="C62907" s="60"/>
      <c r="I62907" s="63"/>
      <c r="R62907" s="64"/>
    </row>
    <row r="62908" spans="3:18" s="8" customFormat="1" x14ac:dyDescent="0.25">
      <c r="C62908" s="60"/>
      <c r="I62908" s="63"/>
      <c r="R62908" s="64"/>
    </row>
    <row r="62909" spans="3:18" s="8" customFormat="1" x14ac:dyDescent="0.25">
      <c r="C62909" s="60"/>
      <c r="I62909" s="63"/>
      <c r="R62909" s="64"/>
    </row>
    <row r="62910" spans="3:18" s="8" customFormat="1" x14ac:dyDescent="0.25">
      <c r="C62910" s="60"/>
      <c r="I62910" s="63"/>
      <c r="R62910" s="64"/>
    </row>
    <row r="62911" spans="3:18" s="8" customFormat="1" x14ac:dyDescent="0.25">
      <c r="C62911" s="60"/>
      <c r="I62911" s="63"/>
      <c r="R62911" s="64"/>
    </row>
    <row r="62912" spans="3:18" s="8" customFormat="1" x14ac:dyDescent="0.25">
      <c r="C62912" s="60"/>
      <c r="I62912" s="63"/>
      <c r="R62912" s="64"/>
    </row>
    <row r="62913" spans="3:18" s="8" customFormat="1" x14ac:dyDescent="0.25">
      <c r="C62913" s="60"/>
      <c r="I62913" s="63"/>
      <c r="R62913" s="64"/>
    </row>
    <row r="62914" spans="3:18" s="8" customFormat="1" x14ac:dyDescent="0.25">
      <c r="C62914" s="60"/>
      <c r="I62914" s="63"/>
      <c r="R62914" s="64"/>
    </row>
    <row r="62915" spans="3:18" s="8" customFormat="1" x14ac:dyDescent="0.25">
      <c r="C62915" s="60"/>
      <c r="I62915" s="63"/>
      <c r="R62915" s="64"/>
    </row>
    <row r="62916" spans="3:18" s="8" customFormat="1" x14ac:dyDescent="0.25">
      <c r="C62916" s="60"/>
      <c r="I62916" s="63"/>
      <c r="R62916" s="64"/>
    </row>
    <row r="62917" spans="3:18" s="8" customFormat="1" x14ac:dyDescent="0.25">
      <c r="C62917" s="60"/>
      <c r="I62917" s="63"/>
      <c r="R62917" s="64"/>
    </row>
    <row r="62918" spans="3:18" s="8" customFormat="1" x14ac:dyDescent="0.25">
      <c r="C62918" s="60"/>
      <c r="I62918" s="63"/>
      <c r="R62918" s="64"/>
    </row>
    <row r="62919" spans="3:18" s="8" customFormat="1" x14ac:dyDescent="0.25">
      <c r="C62919" s="60"/>
      <c r="I62919" s="63"/>
      <c r="R62919" s="64"/>
    </row>
    <row r="62920" spans="3:18" s="8" customFormat="1" x14ac:dyDescent="0.25">
      <c r="C62920" s="60"/>
      <c r="I62920" s="63"/>
      <c r="R62920" s="64"/>
    </row>
    <row r="62921" spans="3:18" s="8" customFormat="1" x14ac:dyDescent="0.25">
      <c r="C62921" s="60"/>
      <c r="I62921" s="63"/>
      <c r="R62921" s="64"/>
    </row>
    <row r="62922" spans="3:18" s="8" customFormat="1" x14ac:dyDescent="0.25">
      <c r="C62922" s="60"/>
      <c r="I62922" s="63"/>
      <c r="R62922" s="64"/>
    </row>
    <row r="62923" spans="3:18" s="8" customFormat="1" x14ac:dyDescent="0.25">
      <c r="C62923" s="60"/>
      <c r="I62923" s="63"/>
      <c r="R62923" s="64"/>
    </row>
    <row r="62924" spans="3:18" s="8" customFormat="1" x14ac:dyDescent="0.25">
      <c r="C62924" s="60"/>
      <c r="I62924" s="63"/>
      <c r="R62924" s="64"/>
    </row>
    <row r="62925" spans="3:18" s="8" customFormat="1" x14ac:dyDescent="0.25">
      <c r="C62925" s="60"/>
      <c r="I62925" s="63"/>
      <c r="R62925" s="64"/>
    </row>
    <row r="62926" spans="3:18" s="8" customFormat="1" x14ac:dyDescent="0.25">
      <c r="C62926" s="60"/>
      <c r="I62926" s="63"/>
      <c r="R62926" s="64"/>
    </row>
    <row r="62927" spans="3:18" s="8" customFormat="1" x14ac:dyDescent="0.25">
      <c r="C62927" s="60"/>
      <c r="I62927" s="63"/>
      <c r="R62927" s="64"/>
    </row>
    <row r="62928" spans="3:18" s="8" customFormat="1" x14ac:dyDescent="0.25">
      <c r="C62928" s="60"/>
      <c r="I62928" s="63"/>
      <c r="R62928" s="64"/>
    </row>
    <row r="62929" spans="3:18" s="8" customFormat="1" x14ac:dyDescent="0.25">
      <c r="C62929" s="60"/>
      <c r="I62929" s="63"/>
      <c r="R62929" s="64"/>
    </row>
    <row r="62930" spans="3:18" s="8" customFormat="1" x14ac:dyDescent="0.25">
      <c r="C62930" s="60"/>
      <c r="I62930" s="63"/>
      <c r="R62930" s="64"/>
    </row>
    <row r="62931" spans="3:18" s="8" customFormat="1" x14ac:dyDescent="0.25">
      <c r="C62931" s="60"/>
      <c r="I62931" s="63"/>
      <c r="R62931" s="64"/>
    </row>
    <row r="62932" spans="3:18" s="8" customFormat="1" x14ac:dyDescent="0.25">
      <c r="C62932" s="60"/>
      <c r="I62932" s="63"/>
      <c r="R62932" s="64"/>
    </row>
    <row r="62933" spans="3:18" s="8" customFormat="1" x14ac:dyDescent="0.25">
      <c r="C62933" s="60"/>
      <c r="I62933" s="63"/>
      <c r="R62933" s="64"/>
    </row>
    <row r="62934" spans="3:18" s="8" customFormat="1" x14ac:dyDescent="0.25">
      <c r="C62934" s="60"/>
      <c r="I62934" s="63"/>
      <c r="R62934" s="64"/>
    </row>
    <row r="62935" spans="3:18" s="8" customFormat="1" x14ac:dyDescent="0.25">
      <c r="C62935" s="60"/>
      <c r="I62935" s="63"/>
      <c r="R62935" s="64"/>
    </row>
    <row r="62936" spans="3:18" s="8" customFormat="1" x14ac:dyDescent="0.25">
      <c r="C62936" s="60"/>
      <c r="I62936" s="63"/>
      <c r="R62936" s="64"/>
    </row>
    <row r="62937" spans="3:18" s="8" customFormat="1" x14ac:dyDescent="0.25">
      <c r="C62937" s="60"/>
      <c r="I62937" s="63"/>
      <c r="R62937" s="64"/>
    </row>
    <row r="62938" spans="3:18" s="8" customFormat="1" x14ac:dyDescent="0.25">
      <c r="C62938" s="60"/>
      <c r="I62938" s="63"/>
      <c r="R62938" s="64"/>
    </row>
    <row r="62939" spans="3:18" s="8" customFormat="1" x14ac:dyDescent="0.25">
      <c r="C62939" s="60"/>
      <c r="I62939" s="63"/>
      <c r="R62939" s="64"/>
    </row>
    <row r="62940" spans="3:18" s="8" customFormat="1" x14ac:dyDescent="0.25">
      <c r="C62940" s="60"/>
      <c r="I62940" s="63"/>
      <c r="R62940" s="64"/>
    </row>
    <row r="62941" spans="3:18" s="8" customFormat="1" x14ac:dyDescent="0.25">
      <c r="C62941" s="60"/>
      <c r="I62941" s="63"/>
      <c r="R62941" s="64"/>
    </row>
    <row r="62942" spans="3:18" s="8" customFormat="1" x14ac:dyDescent="0.25">
      <c r="C62942" s="60"/>
      <c r="I62942" s="63"/>
      <c r="R62942" s="64"/>
    </row>
    <row r="62943" spans="3:18" s="8" customFormat="1" x14ac:dyDescent="0.25">
      <c r="C62943" s="60"/>
      <c r="I62943" s="63"/>
      <c r="R62943" s="64"/>
    </row>
    <row r="62944" spans="3:18" s="8" customFormat="1" x14ac:dyDescent="0.25">
      <c r="C62944" s="60"/>
      <c r="I62944" s="63"/>
      <c r="R62944" s="64"/>
    </row>
    <row r="62945" spans="3:18" s="8" customFormat="1" x14ac:dyDescent="0.25">
      <c r="C62945" s="60"/>
      <c r="I62945" s="63"/>
      <c r="R62945" s="64"/>
    </row>
    <row r="62946" spans="3:18" s="8" customFormat="1" x14ac:dyDescent="0.25">
      <c r="C62946" s="60"/>
      <c r="I62946" s="63"/>
      <c r="R62946" s="64"/>
    </row>
    <row r="62947" spans="3:18" s="8" customFormat="1" x14ac:dyDescent="0.25">
      <c r="C62947" s="60"/>
      <c r="I62947" s="63"/>
      <c r="R62947" s="64"/>
    </row>
    <row r="62948" spans="3:18" s="8" customFormat="1" x14ac:dyDescent="0.25">
      <c r="C62948" s="60"/>
      <c r="I62948" s="63"/>
      <c r="R62948" s="64"/>
    </row>
    <row r="62949" spans="3:18" s="8" customFormat="1" x14ac:dyDescent="0.25">
      <c r="C62949" s="60"/>
      <c r="I62949" s="63"/>
      <c r="R62949" s="64"/>
    </row>
    <row r="62950" spans="3:18" s="8" customFormat="1" x14ac:dyDescent="0.25">
      <c r="C62950" s="60"/>
      <c r="I62950" s="63"/>
      <c r="R62950" s="64"/>
    </row>
    <row r="62951" spans="3:18" s="8" customFormat="1" x14ac:dyDescent="0.25">
      <c r="C62951" s="60"/>
      <c r="I62951" s="63"/>
      <c r="R62951" s="64"/>
    </row>
    <row r="62952" spans="3:18" s="8" customFormat="1" x14ac:dyDescent="0.25">
      <c r="C62952" s="60"/>
      <c r="I62952" s="63"/>
      <c r="R62952" s="64"/>
    </row>
    <row r="62953" spans="3:18" s="8" customFormat="1" x14ac:dyDescent="0.25">
      <c r="C62953" s="60"/>
      <c r="I62953" s="63"/>
      <c r="R62953" s="64"/>
    </row>
    <row r="62954" spans="3:18" s="8" customFormat="1" x14ac:dyDescent="0.25">
      <c r="C62954" s="60"/>
      <c r="I62954" s="63"/>
      <c r="R62954" s="64"/>
    </row>
    <row r="62955" spans="3:18" s="8" customFormat="1" x14ac:dyDescent="0.25">
      <c r="C62955" s="60"/>
      <c r="I62955" s="63"/>
      <c r="R62955" s="64"/>
    </row>
    <row r="62956" spans="3:18" s="8" customFormat="1" x14ac:dyDescent="0.25">
      <c r="C62956" s="60"/>
      <c r="I62956" s="63"/>
      <c r="R62956" s="64"/>
    </row>
    <row r="62957" spans="3:18" s="8" customFormat="1" x14ac:dyDescent="0.25">
      <c r="C62957" s="60"/>
      <c r="I62957" s="63"/>
      <c r="R62957" s="64"/>
    </row>
    <row r="62958" spans="3:18" s="8" customFormat="1" x14ac:dyDescent="0.25">
      <c r="C62958" s="60"/>
      <c r="I62958" s="63"/>
      <c r="R62958" s="64"/>
    </row>
    <row r="62959" spans="3:18" s="8" customFormat="1" x14ac:dyDescent="0.25">
      <c r="C62959" s="60"/>
      <c r="I62959" s="63"/>
      <c r="R62959" s="64"/>
    </row>
    <row r="62960" spans="3:18" s="8" customFormat="1" x14ac:dyDescent="0.25">
      <c r="C62960" s="60"/>
      <c r="I62960" s="63"/>
      <c r="R62960" s="64"/>
    </row>
    <row r="62961" spans="3:18" s="8" customFormat="1" x14ac:dyDescent="0.25">
      <c r="C62961" s="60"/>
      <c r="I62961" s="63"/>
      <c r="R62961" s="64"/>
    </row>
    <row r="62962" spans="3:18" s="8" customFormat="1" x14ac:dyDescent="0.25">
      <c r="C62962" s="60"/>
      <c r="I62962" s="63"/>
      <c r="R62962" s="64"/>
    </row>
    <row r="62963" spans="3:18" s="8" customFormat="1" x14ac:dyDescent="0.25">
      <c r="C62963" s="60"/>
      <c r="I62963" s="63"/>
      <c r="R62963" s="64"/>
    </row>
    <row r="62964" spans="3:18" s="8" customFormat="1" x14ac:dyDescent="0.25">
      <c r="C62964" s="60"/>
      <c r="I62964" s="63"/>
      <c r="R62964" s="64"/>
    </row>
    <row r="62965" spans="3:18" s="8" customFormat="1" x14ac:dyDescent="0.25">
      <c r="C62965" s="60"/>
      <c r="I62965" s="63"/>
      <c r="R62965" s="64"/>
    </row>
    <row r="62966" spans="3:18" s="8" customFormat="1" x14ac:dyDescent="0.25">
      <c r="C62966" s="60"/>
      <c r="I62966" s="63"/>
      <c r="R62966" s="64"/>
    </row>
    <row r="62967" spans="3:18" s="8" customFormat="1" x14ac:dyDescent="0.25">
      <c r="C62967" s="60"/>
      <c r="I62967" s="63"/>
      <c r="R62967" s="64"/>
    </row>
    <row r="62968" spans="3:18" s="8" customFormat="1" x14ac:dyDescent="0.25">
      <c r="C62968" s="60"/>
      <c r="I62968" s="63"/>
      <c r="R62968" s="64"/>
    </row>
    <row r="62969" spans="3:18" s="8" customFormat="1" x14ac:dyDescent="0.25">
      <c r="C62969" s="60"/>
      <c r="I62969" s="63"/>
      <c r="R62969" s="64"/>
    </row>
    <row r="62970" spans="3:18" s="8" customFormat="1" x14ac:dyDescent="0.25">
      <c r="C62970" s="60"/>
      <c r="I62970" s="63"/>
      <c r="R62970" s="64"/>
    </row>
    <row r="62971" spans="3:18" s="8" customFormat="1" x14ac:dyDescent="0.25">
      <c r="C62971" s="60"/>
      <c r="I62971" s="63"/>
      <c r="R62971" s="64"/>
    </row>
    <row r="62972" spans="3:18" s="8" customFormat="1" x14ac:dyDescent="0.25">
      <c r="C62972" s="60"/>
      <c r="I62972" s="63"/>
      <c r="R62972" s="64"/>
    </row>
    <row r="62973" spans="3:18" s="8" customFormat="1" x14ac:dyDescent="0.25">
      <c r="C62973" s="60"/>
      <c r="I62973" s="63"/>
      <c r="R62973" s="64"/>
    </row>
    <row r="62974" spans="3:18" s="8" customFormat="1" x14ac:dyDescent="0.25">
      <c r="C62974" s="60"/>
      <c r="I62974" s="63"/>
      <c r="R62974" s="64"/>
    </row>
    <row r="62975" spans="3:18" s="8" customFormat="1" x14ac:dyDescent="0.25">
      <c r="C62975" s="60"/>
      <c r="I62975" s="63"/>
      <c r="R62975" s="64"/>
    </row>
    <row r="62976" spans="3:18" s="8" customFormat="1" x14ac:dyDescent="0.25">
      <c r="C62976" s="60"/>
      <c r="I62976" s="63"/>
      <c r="R62976" s="64"/>
    </row>
    <row r="62977" spans="3:18" s="8" customFormat="1" x14ac:dyDescent="0.25">
      <c r="C62977" s="60"/>
      <c r="I62977" s="63"/>
      <c r="R62977" s="64"/>
    </row>
    <row r="62978" spans="3:18" s="8" customFormat="1" x14ac:dyDescent="0.25">
      <c r="C62978" s="60"/>
      <c r="I62978" s="63"/>
      <c r="R62978" s="64"/>
    </row>
    <row r="62979" spans="3:18" s="8" customFormat="1" x14ac:dyDescent="0.25">
      <c r="C62979" s="60"/>
      <c r="I62979" s="63"/>
      <c r="R62979" s="64"/>
    </row>
    <row r="62980" spans="3:18" s="8" customFormat="1" x14ac:dyDescent="0.25">
      <c r="C62980" s="60"/>
      <c r="I62980" s="63"/>
      <c r="R62980" s="64"/>
    </row>
    <row r="62981" spans="3:18" s="8" customFormat="1" x14ac:dyDescent="0.25">
      <c r="C62981" s="60"/>
      <c r="I62981" s="63"/>
      <c r="R62981" s="64"/>
    </row>
    <row r="62982" spans="3:18" s="8" customFormat="1" x14ac:dyDescent="0.25">
      <c r="C62982" s="60"/>
      <c r="I62982" s="63"/>
      <c r="R62982" s="64"/>
    </row>
    <row r="62983" spans="3:18" s="8" customFormat="1" x14ac:dyDescent="0.25">
      <c r="C62983" s="60"/>
      <c r="I62983" s="63"/>
      <c r="R62983" s="64"/>
    </row>
    <row r="62984" spans="3:18" s="8" customFormat="1" x14ac:dyDescent="0.25">
      <c r="C62984" s="60"/>
      <c r="I62984" s="63"/>
      <c r="R62984" s="64"/>
    </row>
    <row r="62985" spans="3:18" s="8" customFormat="1" x14ac:dyDescent="0.25">
      <c r="C62985" s="60"/>
      <c r="I62985" s="63"/>
      <c r="R62985" s="64"/>
    </row>
    <row r="62986" spans="3:18" s="8" customFormat="1" x14ac:dyDescent="0.25">
      <c r="C62986" s="60"/>
      <c r="I62986" s="63"/>
      <c r="R62986" s="64"/>
    </row>
    <row r="62987" spans="3:18" s="8" customFormat="1" x14ac:dyDescent="0.25">
      <c r="C62987" s="60"/>
      <c r="I62987" s="63"/>
      <c r="R62987" s="64"/>
    </row>
    <row r="62988" spans="3:18" s="8" customFormat="1" x14ac:dyDescent="0.25">
      <c r="C62988" s="60"/>
      <c r="I62988" s="63"/>
      <c r="R62988" s="64"/>
    </row>
    <row r="62989" spans="3:18" s="8" customFormat="1" x14ac:dyDescent="0.25">
      <c r="C62989" s="60"/>
      <c r="I62989" s="63"/>
      <c r="R62989" s="64"/>
    </row>
    <row r="62990" spans="3:18" s="8" customFormat="1" x14ac:dyDescent="0.25">
      <c r="C62990" s="60"/>
      <c r="I62990" s="63"/>
      <c r="R62990" s="64"/>
    </row>
    <row r="62991" spans="3:18" s="8" customFormat="1" x14ac:dyDescent="0.25">
      <c r="C62991" s="60"/>
      <c r="I62991" s="63"/>
      <c r="R62991" s="64"/>
    </row>
    <row r="62992" spans="3:18" s="8" customFormat="1" x14ac:dyDescent="0.25">
      <c r="C62992" s="60"/>
      <c r="I62992" s="63"/>
      <c r="R62992" s="64"/>
    </row>
    <row r="62993" spans="3:18" s="8" customFormat="1" x14ac:dyDescent="0.25">
      <c r="C62993" s="60"/>
      <c r="I62993" s="63"/>
      <c r="R62993" s="64"/>
    </row>
    <row r="62994" spans="3:18" s="8" customFormat="1" x14ac:dyDescent="0.25">
      <c r="C62994" s="60"/>
      <c r="I62994" s="63"/>
      <c r="R62994" s="64"/>
    </row>
    <row r="62995" spans="3:18" s="8" customFormat="1" x14ac:dyDescent="0.25">
      <c r="C62995" s="60"/>
      <c r="I62995" s="63"/>
      <c r="R62995" s="64"/>
    </row>
    <row r="62996" spans="3:18" s="8" customFormat="1" x14ac:dyDescent="0.25">
      <c r="C62996" s="60"/>
      <c r="I62996" s="63"/>
      <c r="R62996" s="64"/>
    </row>
    <row r="62997" spans="3:18" s="8" customFormat="1" x14ac:dyDescent="0.25">
      <c r="C62997" s="60"/>
      <c r="I62997" s="63"/>
      <c r="R62997" s="64"/>
    </row>
    <row r="62998" spans="3:18" s="8" customFormat="1" x14ac:dyDescent="0.25">
      <c r="C62998" s="60"/>
      <c r="I62998" s="63"/>
      <c r="R62998" s="64"/>
    </row>
    <row r="62999" spans="3:18" s="8" customFormat="1" x14ac:dyDescent="0.25">
      <c r="C62999" s="60"/>
      <c r="I62999" s="63"/>
      <c r="R62999" s="64"/>
    </row>
    <row r="63000" spans="3:18" s="8" customFormat="1" x14ac:dyDescent="0.25">
      <c r="C63000" s="60"/>
      <c r="I63000" s="63"/>
      <c r="R63000" s="64"/>
    </row>
    <row r="63001" spans="3:18" s="8" customFormat="1" x14ac:dyDescent="0.25">
      <c r="C63001" s="60"/>
      <c r="I63001" s="63"/>
      <c r="R63001" s="64"/>
    </row>
    <row r="63002" spans="3:18" s="8" customFormat="1" x14ac:dyDescent="0.25">
      <c r="C63002" s="60"/>
      <c r="I63002" s="63"/>
      <c r="R63002" s="64"/>
    </row>
    <row r="63003" spans="3:18" s="8" customFormat="1" x14ac:dyDescent="0.25">
      <c r="C63003" s="60"/>
      <c r="I63003" s="63"/>
      <c r="R63003" s="64"/>
    </row>
    <row r="63004" spans="3:18" s="8" customFormat="1" x14ac:dyDescent="0.25">
      <c r="C63004" s="60"/>
      <c r="I63004" s="63"/>
      <c r="R63004" s="64"/>
    </row>
    <row r="63005" spans="3:18" s="8" customFormat="1" x14ac:dyDescent="0.25">
      <c r="C63005" s="60"/>
      <c r="I63005" s="63"/>
      <c r="R63005" s="64"/>
    </row>
    <row r="63006" spans="3:18" s="8" customFormat="1" x14ac:dyDescent="0.25">
      <c r="C63006" s="60"/>
      <c r="I63006" s="63"/>
      <c r="R63006" s="64"/>
    </row>
    <row r="63007" spans="3:18" s="8" customFormat="1" x14ac:dyDescent="0.25">
      <c r="C63007" s="60"/>
      <c r="I63007" s="63"/>
      <c r="R63007" s="64"/>
    </row>
    <row r="63008" spans="3:18" s="8" customFormat="1" x14ac:dyDescent="0.25">
      <c r="C63008" s="60"/>
      <c r="I63008" s="63"/>
      <c r="R63008" s="64"/>
    </row>
    <row r="63009" spans="3:18" s="8" customFormat="1" x14ac:dyDescent="0.25">
      <c r="C63009" s="60"/>
      <c r="I63009" s="63"/>
      <c r="R63009" s="64"/>
    </row>
    <row r="63010" spans="3:18" s="8" customFormat="1" x14ac:dyDescent="0.25">
      <c r="C63010" s="60"/>
      <c r="I63010" s="63"/>
      <c r="R63010" s="64"/>
    </row>
    <row r="63011" spans="3:18" s="8" customFormat="1" x14ac:dyDescent="0.25">
      <c r="C63011" s="60"/>
      <c r="I63011" s="63"/>
      <c r="R63011" s="64"/>
    </row>
    <row r="63012" spans="3:18" s="8" customFormat="1" x14ac:dyDescent="0.25">
      <c r="C63012" s="60"/>
      <c r="I63012" s="63"/>
      <c r="R63012" s="64"/>
    </row>
    <row r="63013" spans="3:18" s="8" customFormat="1" x14ac:dyDescent="0.25">
      <c r="C63013" s="60"/>
      <c r="I63013" s="63"/>
      <c r="R63013" s="64"/>
    </row>
    <row r="63014" spans="3:18" s="8" customFormat="1" x14ac:dyDescent="0.25">
      <c r="C63014" s="60"/>
      <c r="I63014" s="63"/>
      <c r="R63014" s="64"/>
    </row>
    <row r="63015" spans="3:18" s="8" customFormat="1" x14ac:dyDescent="0.25">
      <c r="C63015" s="60"/>
      <c r="I63015" s="63"/>
      <c r="R63015" s="64"/>
    </row>
    <row r="63016" spans="3:18" s="8" customFormat="1" x14ac:dyDescent="0.25">
      <c r="C63016" s="60"/>
      <c r="I63016" s="63"/>
      <c r="R63016" s="64"/>
    </row>
    <row r="63017" spans="3:18" s="8" customFormat="1" x14ac:dyDescent="0.25">
      <c r="C63017" s="60"/>
      <c r="I63017" s="63"/>
      <c r="R63017" s="64"/>
    </row>
    <row r="63018" spans="3:18" s="8" customFormat="1" x14ac:dyDescent="0.25">
      <c r="C63018" s="60"/>
      <c r="I63018" s="63"/>
      <c r="R63018" s="64"/>
    </row>
    <row r="63019" spans="3:18" s="8" customFormat="1" x14ac:dyDescent="0.25">
      <c r="C63019" s="60"/>
      <c r="I63019" s="63"/>
      <c r="R63019" s="64"/>
    </row>
    <row r="63020" spans="3:18" s="8" customFormat="1" x14ac:dyDescent="0.25">
      <c r="C63020" s="60"/>
      <c r="I63020" s="63"/>
      <c r="R63020" s="64"/>
    </row>
    <row r="63021" spans="3:18" s="8" customFormat="1" x14ac:dyDescent="0.25">
      <c r="C63021" s="60"/>
      <c r="I63021" s="63"/>
      <c r="R63021" s="64"/>
    </row>
    <row r="63022" spans="3:18" s="8" customFormat="1" x14ac:dyDescent="0.25">
      <c r="C63022" s="60"/>
      <c r="I63022" s="63"/>
      <c r="R63022" s="64"/>
    </row>
    <row r="63023" spans="3:18" s="8" customFormat="1" x14ac:dyDescent="0.25">
      <c r="C63023" s="60"/>
      <c r="I63023" s="63"/>
      <c r="R63023" s="64"/>
    </row>
    <row r="63024" spans="3:18" s="8" customFormat="1" x14ac:dyDescent="0.25">
      <c r="C63024" s="60"/>
      <c r="I63024" s="63"/>
      <c r="R63024" s="64"/>
    </row>
    <row r="63025" spans="3:18" s="8" customFormat="1" x14ac:dyDescent="0.25">
      <c r="C63025" s="60"/>
      <c r="I63025" s="63"/>
      <c r="R63025" s="64"/>
    </row>
    <row r="63026" spans="3:18" s="8" customFormat="1" x14ac:dyDescent="0.25">
      <c r="C63026" s="60"/>
      <c r="I63026" s="63"/>
      <c r="R63026" s="64"/>
    </row>
    <row r="63027" spans="3:18" s="8" customFormat="1" x14ac:dyDescent="0.25">
      <c r="C63027" s="60"/>
      <c r="I63027" s="63"/>
      <c r="R63027" s="64"/>
    </row>
    <row r="63028" spans="3:18" s="8" customFormat="1" x14ac:dyDescent="0.25">
      <c r="C63028" s="60"/>
      <c r="I63028" s="63"/>
      <c r="R63028" s="64"/>
    </row>
    <row r="63029" spans="3:18" s="8" customFormat="1" x14ac:dyDescent="0.25">
      <c r="C63029" s="60"/>
      <c r="I63029" s="63"/>
      <c r="R63029" s="64"/>
    </row>
    <row r="63030" spans="3:18" s="8" customFormat="1" x14ac:dyDescent="0.25">
      <c r="C63030" s="60"/>
      <c r="I63030" s="63"/>
      <c r="R63030" s="64"/>
    </row>
    <row r="63031" spans="3:18" s="8" customFormat="1" x14ac:dyDescent="0.25">
      <c r="C63031" s="60"/>
      <c r="I63031" s="63"/>
      <c r="R63031" s="64"/>
    </row>
    <row r="63032" spans="3:18" s="8" customFormat="1" x14ac:dyDescent="0.25">
      <c r="C63032" s="60"/>
      <c r="I63032" s="63"/>
      <c r="R63032" s="64"/>
    </row>
    <row r="63033" spans="3:18" s="8" customFormat="1" x14ac:dyDescent="0.25">
      <c r="C63033" s="60"/>
      <c r="I63033" s="63"/>
      <c r="R63033" s="64"/>
    </row>
    <row r="63034" spans="3:18" s="8" customFormat="1" x14ac:dyDescent="0.25">
      <c r="C63034" s="60"/>
      <c r="I63034" s="63"/>
      <c r="R63034" s="64"/>
    </row>
    <row r="63035" spans="3:18" s="8" customFormat="1" x14ac:dyDescent="0.25">
      <c r="C63035" s="60"/>
      <c r="I63035" s="63"/>
      <c r="R63035" s="64"/>
    </row>
    <row r="63036" spans="3:18" s="8" customFormat="1" x14ac:dyDescent="0.25">
      <c r="C63036" s="60"/>
      <c r="I63036" s="63"/>
      <c r="R63036" s="64"/>
    </row>
    <row r="63037" spans="3:18" s="8" customFormat="1" x14ac:dyDescent="0.25">
      <c r="C63037" s="60"/>
      <c r="I63037" s="63"/>
      <c r="R63037" s="64"/>
    </row>
    <row r="63038" spans="3:18" s="8" customFormat="1" x14ac:dyDescent="0.25">
      <c r="C63038" s="60"/>
      <c r="I63038" s="63"/>
      <c r="R63038" s="64"/>
    </row>
    <row r="63039" spans="3:18" s="8" customFormat="1" x14ac:dyDescent="0.25">
      <c r="C63039" s="60"/>
      <c r="I63039" s="63"/>
      <c r="R63039" s="64"/>
    </row>
    <row r="63040" spans="3:18" s="8" customFormat="1" x14ac:dyDescent="0.25">
      <c r="C63040" s="60"/>
      <c r="I63040" s="63"/>
      <c r="R63040" s="64"/>
    </row>
    <row r="63041" spans="3:18" s="8" customFormat="1" x14ac:dyDescent="0.25">
      <c r="C63041" s="60"/>
      <c r="I63041" s="63"/>
      <c r="R63041" s="64"/>
    </row>
    <row r="63042" spans="3:18" s="8" customFormat="1" x14ac:dyDescent="0.25">
      <c r="C63042" s="60"/>
      <c r="I63042" s="63"/>
      <c r="R63042" s="64"/>
    </row>
    <row r="63043" spans="3:18" s="8" customFormat="1" x14ac:dyDescent="0.25">
      <c r="C63043" s="60"/>
      <c r="I63043" s="63"/>
      <c r="R63043" s="64"/>
    </row>
    <row r="63044" spans="3:18" s="8" customFormat="1" x14ac:dyDescent="0.25">
      <c r="C63044" s="60"/>
      <c r="I63044" s="63"/>
      <c r="R63044" s="64"/>
    </row>
    <row r="63045" spans="3:18" s="8" customFormat="1" x14ac:dyDescent="0.25">
      <c r="C63045" s="60"/>
      <c r="I63045" s="63"/>
      <c r="R63045" s="64"/>
    </row>
    <row r="63046" spans="3:18" s="8" customFormat="1" x14ac:dyDescent="0.25">
      <c r="C63046" s="60"/>
      <c r="I63046" s="63"/>
      <c r="R63046" s="64"/>
    </row>
    <row r="63047" spans="3:18" s="8" customFormat="1" x14ac:dyDescent="0.25">
      <c r="C63047" s="60"/>
      <c r="I63047" s="63"/>
      <c r="R63047" s="64"/>
    </row>
    <row r="63048" spans="3:18" s="8" customFormat="1" x14ac:dyDescent="0.25">
      <c r="C63048" s="60"/>
      <c r="I63048" s="63"/>
      <c r="R63048" s="64"/>
    </row>
    <row r="63049" spans="3:18" s="8" customFormat="1" x14ac:dyDescent="0.25">
      <c r="C63049" s="60"/>
      <c r="I63049" s="63"/>
      <c r="R63049" s="64"/>
    </row>
    <row r="63050" spans="3:18" s="8" customFormat="1" x14ac:dyDescent="0.25">
      <c r="C63050" s="60"/>
      <c r="I63050" s="63"/>
      <c r="R63050" s="64"/>
    </row>
    <row r="63051" spans="3:18" s="8" customFormat="1" x14ac:dyDescent="0.25">
      <c r="C63051" s="60"/>
      <c r="I63051" s="63"/>
      <c r="R63051" s="64"/>
    </row>
    <row r="63052" spans="3:18" s="8" customFormat="1" x14ac:dyDescent="0.25">
      <c r="C63052" s="60"/>
      <c r="I63052" s="63"/>
      <c r="R63052" s="64"/>
    </row>
    <row r="63053" spans="3:18" s="8" customFormat="1" x14ac:dyDescent="0.25">
      <c r="C63053" s="60"/>
      <c r="I63053" s="63"/>
      <c r="R63053" s="64"/>
    </row>
    <row r="63054" spans="3:18" s="8" customFormat="1" x14ac:dyDescent="0.25">
      <c r="C63054" s="60"/>
      <c r="I63054" s="63"/>
      <c r="R63054" s="64"/>
    </row>
    <row r="63055" spans="3:18" s="8" customFormat="1" x14ac:dyDescent="0.25">
      <c r="C63055" s="60"/>
      <c r="I63055" s="63"/>
      <c r="R63055" s="64"/>
    </row>
    <row r="63056" spans="3:18" s="8" customFormat="1" x14ac:dyDescent="0.25">
      <c r="C63056" s="60"/>
      <c r="I63056" s="63"/>
      <c r="R63056" s="64"/>
    </row>
    <row r="63057" spans="3:18" s="8" customFormat="1" x14ac:dyDescent="0.25">
      <c r="C63057" s="60"/>
      <c r="I63057" s="63"/>
      <c r="R63057" s="64"/>
    </row>
    <row r="63058" spans="3:18" s="8" customFormat="1" x14ac:dyDescent="0.25">
      <c r="C63058" s="60"/>
      <c r="I63058" s="63"/>
      <c r="R63058" s="64"/>
    </row>
    <row r="63059" spans="3:18" s="8" customFormat="1" x14ac:dyDescent="0.25">
      <c r="C63059" s="60"/>
      <c r="I63059" s="63"/>
      <c r="R63059" s="64"/>
    </row>
    <row r="63060" spans="3:18" s="8" customFormat="1" x14ac:dyDescent="0.25">
      <c r="C63060" s="60"/>
      <c r="I63060" s="63"/>
      <c r="R63060" s="64"/>
    </row>
    <row r="63061" spans="3:18" s="8" customFormat="1" x14ac:dyDescent="0.25">
      <c r="C63061" s="60"/>
      <c r="I63061" s="63"/>
      <c r="R63061" s="64"/>
    </row>
    <row r="63062" spans="3:18" s="8" customFormat="1" x14ac:dyDescent="0.25">
      <c r="C63062" s="60"/>
      <c r="I63062" s="63"/>
      <c r="R63062" s="64"/>
    </row>
    <row r="63063" spans="3:18" s="8" customFormat="1" x14ac:dyDescent="0.25">
      <c r="C63063" s="60"/>
      <c r="I63063" s="63"/>
      <c r="R63063" s="64"/>
    </row>
    <row r="63064" spans="3:18" s="8" customFormat="1" x14ac:dyDescent="0.25">
      <c r="C63064" s="60"/>
      <c r="I63064" s="63"/>
      <c r="R63064" s="64"/>
    </row>
    <row r="63065" spans="3:18" s="8" customFormat="1" x14ac:dyDescent="0.25">
      <c r="C63065" s="60"/>
      <c r="I63065" s="63"/>
      <c r="R63065" s="64"/>
    </row>
    <row r="63066" spans="3:18" s="8" customFormat="1" x14ac:dyDescent="0.25">
      <c r="C63066" s="60"/>
      <c r="I63066" s="63"/>
      <c r="R63066" s="64"/>
    </row>
    <row r="63067" spans="3:18" s="8" customFormat="1" x14ac:dyDescent="0.25">
      <c r="C63067" s="60"/>
      <c r="I63067" s="63"/>
      <c r="R63067" s="64"/>
    </row>
    <row r="63068" spans="3:18" s="8" customFormat="1" x14ac:dyDescent="0.25">
      <c r="C63068" s="60"/>
      <c r="I63068" s="63"/>
      <c r="R63068" s="64"/>
    </row>
    <row r="63069" spans="3:18" s="8" customFormat="1" x14ac:dyDescent="0.25">
      <c r="C63069" s="60"/>
      <c r="I63069" s="63"/>
      <c r="R63069" s="64"/>
    </row>
    <row r="63070" spans="3:18" s="8" customFormat="1" x14ac:dyDescent="0.25">
      <c r="C63070" s="60"/>
      <c r="I63070" s="63"/>
      <c r="R63070" s="64"/>
    </row>
    <row r="63071" spans="3:18" s="8" customFormat="1" x14ac:dyDescent="0.25">
      <c r="C63071" s="60"/>
      <c r="I63071" s="63"/>
      <c r="R63071" s="64"/>
    </row>
    <row r="63072" spans="3:18" s="8" customFormat="1" x14ac:dyDescent="0.25">
      <c r="C63072" s="60"/>
      <c r="I63072" s="63"/>
      <c r="R63072" s="64"/>
    </row>
    <row r="63073" spans="3:18" s="8" customFormat="1" x14ac:dyDescent="0.25">
      <c r="C63073" s="60"/>
      <c r="I63073" s="63"/>
      <c r="R63073" s="64"/>
    </row>
    <row r="63074" spans="3:18" s="8" customFormat="1" x14ac:dyDescent="0.25">
      <c r="C63074" s="60"/>
      <c r="I63074" s="63"/>
      <c r="R63074" s="64"/>
    </row>
    <row r="63075" spans="3:18" s="8" customFormat="1" x14ac:dyDescent="0.25">
      <c r="C63075" s="60"/>
      <c r="I63075" s="63"/>
      <c r="R63075" s="64"/>
    </row>
    <row r="63076" spans="3:18" s="8" customFormat="1" x14ac:dyDescent="0.25">
      <c r="C63076" s="60"/>
      <c r="I63076" s="63"/>
      <c r="R63076" s="64"/>
    </row>
    <row r="63077" spans="3:18" s="8" customFormat="1" x14ac:dyDescent="0.25">
      <c r="C63077" s="60"/>
      <c r="I63077" s="63"/>
      <c r="R63077" s="64"/>
    </row>
    <row r="63078" spans="3:18" s="8" customFormat="1" x14ac:dyDescent="0.25">
      <c r="C63078" s="60"/>
      <c r="I63078" s="63"/>
      <c r="R63078" s="64"/>
    </row>
    <row r="63079" spans="3:18" s="8" customFormat="1" x14ac:dyDescent="0.25">
      <c r="C63079" s="60"/>
      <c r="I63079" s="63"/>
      <c r="R63079" s="64"/>
    </row>
    <row r="63080" spans="3:18" s="8" customFormat="1" x14ac:dyDescent="0.25">
      <c r="C63080" s="60"/>
      <c r="I63080" s="63"/>
      <c r="R63080" s="64"/>
    </row>
    <row r="63081" spans="3:18" s="8" customFormat="1" x14ac:dyDescent="0.25">
      <c r="C63081" s="60"/>
      <c r="I63081" s="63"/>
      <c r="R63081" s="64"/>
    </row>
    <row r="63082" spans="3:18" s="8" customFormat="1" x14ac:dyDescent="0.25">
      <c r="C63082" s="60"/>
      <c r="I63082" s="63"/>
      <c r="R63082" s="64"/>
    </row>
    <row r="63083" spans="3:18" s="8" customFormat="1" x14ac:dyDescent="0.25">
      <c r="C63083" s="60"/>
      <c r="I63083" s="63"/>
      <c r="R63083" s="64"/>
    </row>
    <row r="63084" spans="3:18" s="8" customFormat="1" x14ac:dyDescent="0.25">
      <c r="C63084" s="60"/>
      <c r="I63084" s="63"/>
      <c r="R63084" s="64"/>
    </row>
    <row r="63085" spans="3:18" s="8" customFormat="1" x14ac:dyDescent="0.25">
      <c r="C63085" s="60"/>
      <c r="I63085" s="63"/>
      <c r="R63085" s="64"/>
    </row>
    <row r="63086" spans="3:18" s="8" customFormat="1" x14ac:dyDescent="0.25">
      <c r="C63086" s="60"/>
      <c r="I63086" s="63"/>
      <c r="R63086" s="64"/>
    </row>
    <row r="63087" spans="3:18" s="8" customFormat="1" x14ac:dyDescent="0.25">
      <c r="C63087" s="60"/>
      <c r="I63087" s="63"/>
      <c r="R63087" s="64"/>
    </row>
    <row r="63088" spans="3:18" s="8" customFormat="1" x14ac:dyDescent="0.25">
      <c r="C63088" s="60"/>
      <c r="I63088" s="63"/>
      <c r="R63088" s="64"/>
    </row>
    <row r="63089" spans="3:18" s="8" customFormat="1" x14ac:dyDescent="0.25">
      <c r="C63089" s="60"/>
      <c r="I63089" s="63"/>
      <c r="R63089" s="64"/>
    </row>
    <row r="63090" spans="3:18" s="8" customFormat="1" x14ac:dyDescent="0.25">
      <c r="C63090" s="60"/>
      <c r="I63090" s="63"/>
      <c r="R63090" s="64"/>
    </row>
    <row r="63091" spans="3:18" s="8" customFormat="1" x14ac:dyDescent="0.25">
      <c r="C63091" s="60"/>
      <c r="I63091" s="63"/>
      <c r="R63091" s="64"/>
    </row>
    <row r="63092" spans="3:18" s="8" customFormat="1" x14ac:dyDescent="0.25">
      <c r="C63092" s="60"/>
      <c r="I63092" s="63"/>
      <c r="R63092" s="64"/>
    </row>
    <row r="63093" spans="3:18" s="8" customFormat="1" x14ac:dyDescent="0.25">
      <c r="C63093" s="60"/>
      <c r="I63093" s="63"/>
      <c r="R63093" s="64"/>
    </row>
    <row r="63094" spans="3:18" s="8" customFormat="1" x14ac:dyDescent="0.25">
      <c r="C63094" s="60"/>
      <c r="I63094" s="63"/>
      <c r="R63094" s="64"/>
    </row>
    <row r="63095" spans="3:18" s="8" customFormat="1" x14ac:dyDescent="0.25">
      <c r="C63095" s="60"/>
      <c r="I63095" s="63"/>
      <c r="R63095" s="64"/>
    </row>
    <row r="63096" spans="3:18" s="8" customFormat="1" x14ac:dyDescent="0.25">
      <c r="C63096" s="60"/>
      <c r="I63096" s="63"/>
      <c r="R63096" s="64"/>
    </row>
    <row r="63097" spans="3:18" s="8" customFormat="1" x14ac:dyDescent="0.25">
      <c r="C63097" s="60"/>
      <c r="I63097" s="63"/>
      <c r="R63097" s="64"/>
    </row>
    <row r="63098" spans="3:18" s="8" customFormat="1" x14ac:dyDescent="0.25">
      <c r="C63098" s="60"/>
      <c r="I63098" s="63"/>
      <c r="R63098" s="64"/>
    </row>
    <row r="63099" spans="3:18" s="8" customFormat="1" x14ac:dyDescent="0.25">
      <c r="C63099" s="60"/>
      <c r="I63099" s="63"/>
      <c r="R63099" s="64"/>
    </row>
    <row r="63100" spans="3:18" s="8" customFormat="1" x14ac:dyDescent="0.25">
      <c r="C63100" s="60"/>
      <c r="I63100" s="63"/>
      <c r="R63100" s="64"/>
    </row>
    <row r="63101" spans="3:18" s="8" customFormat="1" x14ac:dyDescent="0.25">
      <c r="C63101" s="60"/>
      <c r="I63101" s="63"/>
      <c r="R63101" s="64"/>
    </row>
    <row r="63102" spans="3:18" s="8" customFormat="1" x14ac:dyDescent="0.25">
      <c r="C63102" s="60"/>
      <c r="I63102" s="63"/>
      <c r="R63102" s="64"/>
    </row>
    <row r="63103" spans="3:18" s="8" customFormat="1" x14ac:dyDescent="0.25">
      <c r="C63103" s="60"/>
      <c r="I63103" s="63"/>
      <c r="R63103" s="64"/>
    </row>
    <row r="63104" spans="3:18" s="8" customFormat="1" x14ac:dyDescent="0.25">
      <c r="C63104" s="60"/>
      <c r="I63104" s="63"/>
      <c r="R63104" s="64"/>
    </row>
    <row r="63105" spans="3:18" s="8" customFormat="1" x14ac:dyDescent="0.25">
      <c r="C63105" s="60"/>
      <c r="I63105" s="63"/>
      <c r="R63105" s="64"/>
    </row>
    <row r="63106" spans="3:18" s="8" customFormat="1" x14ac:dyDescent="0.25">
      <c r="C63106" s="60"/>
      <c r="I63106" s="63"/>
      <c r="R63106" s="64"/>
    </row>
    <row r="63107" spans="3:18" s="8" customFormat="1" x14ac:dyDescent="0.25">
      <c r="C63107" s="60"/>
      <c r="I63107" s="63"/>
      <c r="R63107" s="64"/>
    </row>
    <row r="63108" spans="3:18" s="8" customFormat="1" x14ac:dyDescent="0.25">
      <c r="C63108" s="60"/>
      <c r="I63108" s="63"/>
      <c r="R63108" s="64"/>
    </row>
    <row r="63109" spans="3:18" s="8" customFormat="1" x14ac:dyDescent="0.25">
      <c r="C63109" s="60"/>
      <c r="I63109" s="63"/>
      <c r="R63109" s="64"/>
    </row>
    <row r="63110" spans="3:18" s="8" customFormat="1" x14ac:dyDescent="0.25">
      <c r="C63110" s="60"/>
      <c r="I63110" s="63"/>
      <c r="R63110" s="64"/>
    </row>
    <row r="63111" spans="3:18" s="8" customFormat="1" x14ac:dyDescent="0.25">
      <c r="C63111" s="60"/>
      <c r="I63111" s="63"/>
      <c r="R63111" s="64"/>
    </row>
    <row r="63112" spans="3:18" s="8" customFormat="1" x14ac:dyDescent="0.25">
      <c r="C63112" s="60"/>
      <c r="I63112" s="63"/>
      <c r="R63112" s="64"/>
    </row>
    <row r="63113" spans="3:18" s="8" customFormat="1" x14ac:dyDescent="0.25">
      <c r="C63113" s="60"/>
      <c r="I63113" s="63"/>
      <c r="R63113" s="64"/>
    </row>
    <row r="63114" spans="3:18" s="8" customFormat="1" x14ac:dyDescent="0.25">
      <c r="C63114" s="60"/>
      <c r="I63114" s="63"/>
      <c r="R63114" s="64"/>
    </row>
    <row r="63115" spans="3:18" s="8" customFormat="1" x14ac:dyDescent="0.25">
      <c r="C63115" s="60"/>
      <c r="I63115" s="63"/>
      <c r="R63115" s="64"/>
    </row>
    <row r="63116" spans="3:18" s="8" customFormat="1" x14ac:dyDescent="0.25">
      <c r="C63116" s="60"/>
      <c r="I63116" s="63"/>
      <c r="R63116" s="64"/>
    </row>
    <row r="63117" spans="3:18" s="8" customFormat="1" x14ac:dyDescent="0.25">
      <c r="C63117" s="60"/>
      <c r="I63117" s="63"/>
      <c r="R63117" s="64"/>
    </row>
    <row r="63118" spans="3:18" s="8" customFormat="1" x14ac:dyDescent="0.25">
      <c r="C63118" s="60"/>
      <c r="I63118" s="63"/>
      <c r="R63118" s="64"/>
    </row>
    <row r="63119" spans="3:18" s="8" customFormat="1" x14ac:dyDescent="0.25">
      <c r="C63119" s="60"/>
      <c r="I63119" s="63"/>
      <c r="R63119" s="64"/>
    </row>
    <row r="63120" spans="3:18" s="8" customFormat="1" x14ac:dyDescent="0.25">
      <c r="C63120" s="60"/>
      <c r="I63120" s="63"/>
      <c r="R63120" s="64"/>
    </row>
    <row r="63121" spans="3:18" s="8" customFormat="1" x14ac:dyDescent="0.25">
      <c r="C63121" s="60"/>
      <c r="I63121" s="63"/>
      <c r="R63121" s="64"/>
    </row>
    <row r="63122" spans="3:18" s="8" customFormat="1" x14ac:dyDescent="0.25">
      <c r="C63122" s="60"/>
      <c r="I63122" s="63"/>
      <c r="R63122" s="64"/>
    </row>
    <row r="63123" spans="3:18" s="8" customFormat="1" x14ac:dyDescent="0.25">
      <c r="C63123" s="60"/>
      <c r="I63123" s="63"/>
      <c r="R63123" s="64"/>
    </row>
    <row r="63124" spans="3:18" s="8" customFormat="1" x14ac:dyDescent="0.25">
      <c r="C63124" s="60"/>
      <c r="I63124" s="63"/>
      <c r="R63124" s="64"/>
    </row>
    <row r="63125" spans="3:18" s="8" customFormat="1" x14ac:dyDescent="0.25">
      <c r="C63125" s="60"/>
      <c r="I63125" s="63"/>
      <c r="R63125" s="64"/>
    </row>
    <row r="63126" spans="3:18" s="8" customFormat="1" x14ac:dyDescent="0.25">
      <c r="C63126" s="60"/>
      <c r="I63126" s="63"/>
      <c r="R63126" s="64"/>
    </row>
    <row r="63127" spans="3:18" s="8" customFormat="1" x14ac:dyDescent="0.25">
      <c r="C63127" s="60"/>
      <c r="I63127" s="63"/>
      <c r="R63127" s="64"/>
    </row>
    <row r="63128" spans="3:18" s="8" customFormat="1" x14ac:dyDescent="0.25">
      <c r="C63128" s="60"/>
      <c r="I63128" s="63"/>
      <c r="R63128" s="64"/>
    </row>
    <row r="63129" spans="3:18" s="8" customFormat="1" x14ac:dyDescent="0.25">
      <c r="C63129" s="60"/>
      <c r="I63129" s="63"/>
      <c r="R63129" s="64"/>
    </row>
    <row r="63130" spans="3:18" s="8" customFormat="1" x14ac:dyDescent="0.25">
      <c r="C63130" s="60"/>
      <c r="I63130" s="63"/>
      <c r="R63130" s="64"/>
    </row>
    <row r="63131" spans="3:18" s="8" customFormat="1" x14ac:dyDescent="0.25">
      <c r="C63131" s="60"/>
      <c r="I63131" s="63"/>
      <c r="R63131" s="64"/>
    </row>
    <row r="63132" spans="3:18" s="8" customFormat="1" x14ac:dyDescent="0.25">
      <c r="C63132" s="60"/>
      <c r="I63132" s="63"/>
      <c r="R63132" s="64"/>
    </row>
    <row r="63133" spans="3:18" s="8" customFormat="1" x14ac:dyDescent="0.25">
      <c r="C63133" s="60"/>
      <c r="I63133" s="63"/>
      <c r="R63133" s="64"/>
    </row>
    <row r="63134" spans="3:18" s="8" customFormat="1" x14ac:dyDescent="0.25">
      <c r="C63134" s="60"/>
      <c r="I63134" s="63"/>
      <c r="R63134" s="64"/>
    </row>
    <row r="63135" spans="3:18" s="8" customFormat="1" x14ac:dyDescent="0.25">
      <c r="C63135" s="60"/>
      <c r="I63135" s="63"/>
      <c r="R63135" s="64"/>
    </row>
    <row r="63136" spans="3:18" s="8" customFormat="1" x14ac:dyDescent="0.25">
      <c r="C63136" s="60"/>
      <c r="I63136" s="63"/>
      <c r="R63136" s="64"/>
    </row>
    <row r="63137" spans="3:18" s="8" customFormat="1" x14ac:dyDescent="0.25">
      <c r="C63137" s="60"/>
      <c r="I63137" s="63"/>
      <c r="R63137" s="64"/>
    </row>
    <row r="63138" spans="3:18" s="8" customFormat="1" x14ac:dyDescent="0.25">
      <c r="C63138" s="60"/>
      <c r="I63138" s="63"/>
      <c r="R63138" s="64"/>
    </row>
    <row r="63139" spans="3:18" s="8" customFormat="1" x14ac:dyDescent="0.25">
      <c r="C63139" s="60"/>
      <c r="I63139" s="63"/>
      <c r="R63139" s="64"/>
    </row>
    <row r="63140" spans="3:18" s="8" customFormat="1" x14ac:dyDescent="0.25">
      <c r="C63140" s="60"/>
      <c r="I63140" s="63"/>
      <c r="R63140" s="64"/>
    </row>
    <row r="63141" spans="3:18" s="8" customFormat="1" x14ac:dyDescent="0.25">
      <c r="C63141" s="60"/>
      <c r="I63141" s="63"/>
      <c r="R63141" s="64"/>
    </row>
    <row r="63142" spans="3:18" s="8" customFormat="1" x14ac:dyDescent="0.25">
      <c r="C63142" s="60"/>
      <c r="I63142" s="63"/>
      <c r="R63142" s="64"/>
    </row>
    <row r="63143" spans="3:18" s="8" customFormat="1" x14ac:dyDescent="0.25">
      <c r="C63143" s="60"/>
      <c r="I63143" s="63"/>
      <c r="R63143" s="64"/>
    </row>
    <row r="63144" spans="3:18" s="8" customFormat="1" x14ac:dyDescent="0.25">
      <c r="C63144" s="60"/>
      <c r="I63144" s="63"/>
      <c r="R63144" s="64"/>
    </row>
    <row r="63145" spans="3:18" s="8" customFormat="1" x14ac:dyDescent="0.25">
      <c r="C63145" s="60"/>
      <c r="I63145" s="63"/>
      <c r="R63145" s="64"/>
    </row>
    <row r="63146" spans="3:18" s="8" customFormat="1" x14ac:dyDescent="0.25">
      <c r="C63146" s="60"/>
      <c r="I63146" s="63"/>
      <c r="R63146" s="64"/>
    </row>
    <row r="63147" spans="3:18" s="8" customFormat="1" x14ac:dyDescent="0.25">
      <c r="C63147" s="60"/>
      <c r="I63147" s="63"/>
      <c r="R63147" s="64"/>
    </row>
    <row r="63148" spans="3:18" s="8" customFormat="1" x14ac:dyDescent="0.25">
      <c r="C63148" s="60"/>
      <c r="I63148" s="63"/>
      <c r="R63148" s="64"/>
    </row>
    <row r="63149" spans="3:18" s="8" customFormat="1" x14ac:dyDescent="0.25">
      <c r="C63149" s="60"/>
      <c r="I63149" s="63"/>
      <c r="R63149" s="64"/>
    </row>
    <row r="63150" spans="3:18" s="8" customFormat="1" x14ac:dyDescent="0.25">
      <c r="C63150" s="60"/>
      <c r="I63150" s="63"/>
      <c r="R63150" s="64"/>
    </row>
    <row r="63151" spans="3:18" s="8" customFormat="1" x14ac:dyDescent="0.25">
      <c r="C63151" s="60"/>
      <c r="I63151" s="63"/>
      <c r="R63151" s="64"/>
    </row>
    <row r="63152" spans="3:18" s="8" customFormat="1" x14ac:dyDescent="0.25">
      <c r="C63152" s="60"/>
      <c r="I63152" s="63"/>
      <c r="R63152" s="64"/>
    </row>
    <row r="63153" spans="3:18" s="8" customFormat="1" x14ac:dyDescent="0.25">
      <c r="C63153" s="60"/>
      <c r="I63153" s="63"/>
      <c r="R63153" s="64"/>
    </row>
    <row r="63154" spans="3:18" s="8" customFormat="1" x14ac:dyDescent="0.25">
      <c r="C63154" s="60"/>
      <c r="I63154" s="63"/>
      <c r="R63154" s="64"/>
    </row>
    <row r="63155" spans="3:18" s="8" customFormat="1" x14ac:dyDescent="0.25">
      <c r="C63155" s="60"/>
      <c r="I63155" s="63"/>
      <c r="R63155" s="64"/>
    </row>
    <row r="63156" spans="3:18" s="8" customFormat="1" x14ac:dyDescent="0.25">
      <c r="C63156" s="60"/>
      <c r="I63156" s="63"/>
      <c r="R63156" s="64"/>
    </row>
    <row r="63157" spans="3:18" s="8" customFormat="1" x14ac:dyDescent="0.25">
      <c r="C63157" s="60"/>
      <c r="I63157" s="63"/>
      <c r="R63157" s="64"/>
    </row>
    <row r="63158" spans="3:18" s="8" customFormat="1" x14ac:dyDescent="0.25">
      <c r="C63158" s="60"/>
      <c r="I63158" s="63"/>
      <c r="R63158" s="64"/>
    </row>
    <row r="63159" spans="3:18" s="8" customFormat="1" x14ac:dyDescent="0.25">
      <c r="C63159" s="60"/>
      <c r="I63159" s="63"/>
      <c r="R63159" s="64"/>
    </row>
    <row r="63160" spans="3:18" s="8" customFormat="1" x14ac:dyDescent="0.25">
      <c r="C63160" s="60"/>
      <c r="I63160" s="63"/>
      <c r="R63160" s="64"/>
    </row>
    <row r="63161" spans="3:18" s="8" customFormat="1" x14ac:dyDescent="0.25">
      <c r="C63161" s="60"/>
      <c r="I63161" s="63"/>
      <c r="R63161" s="64"/>
    </row>
    <row r="63162" spans="3:18" s="8" customFormat="1" x14ac:dyDescent="0.25">
      <c r="C63162" s="60"/>
      <c r="I63162" s="63"/>
      <c r="R63162" s="64"/>
    </row>
    <row r="63163" spans="3:18" s="8" customFormat="1" x14ac:dyDescent="0.25">
      <c r="C63163" s="60"/>
      <c r="I63163" s="63"/>
      <c r="R63163" s="64"/>
    </row>
    <row r="63164" spans="3:18" s="8" customFormat="1" x14ac:dyDescent="0.25">
      <c r="C63164" s="60"/>
      <c r="I63164" s="63"/>
      <c r="R63164" s="64"/>
    </row>
    <row r="63165" spans="3:18" s="8" customFormat="1" x14ac:dyDescent="0.25">
      <c r="C63165" s="60"/>
      <c r="I63165" s="63"/>
      <c r="R63165" s="64"/>
    </row>
    <row r="63166" spans="3:18" s="8" customFormat="1" x14ac:dyDescent="0.25">
      <c r="C63166" s="60"/>
      <c r="I63166" s="63"/>
      <c r="R63166" s="64"/>
    </row>
    <row r="63167" spans="3:18" s="8" customFormat="1" x14ac:dyDescent="0.25">
      <c r="C63167" s="60"/>
      <c r="I63167" s="63"/>
      <c r="R63167" s="64"/>
    </row>
    <row r="63168" spans="3:18" s="8" customFormat="1" x14ac:dyDescent="0.25">
      <c r="C63168" s="60"/>
      <c r="I63168" s="63"/>
      <c r="R63168" s="64"/>
    </row>
    <row r="63169" spans="3:18" s="8" customFormat="1" x14ac:dyDescent="0.25">
      <c r="C63169" s="60"/>
      <c r="I63169" s="63"/>
      <c r="R63169" s="64"/>
    </row>
    <row r="63170" spans="3:18" s="8" customFormat="1" x14ac:dyDescent="0.25">
      <c r="C63170" s="60"/>
      <c r="I63170" s="63"/>
      <c r="R63170" s="64"/>
    </row>
    <row r="63171" spans="3:18" s="8" customFormat="1" x14ac:dyDescent="0.25">
      <c r="C63171" s="60"/>
      <c r="I63171" s="63"/>
      <c r="R63171" s="64"/>
    </row>
    <row r="63172" spans="3:18" s="8" customFormat="1" x14ac:dyDescent="0.25">
      <c r="C63172" s="60"/>
      <c r="I63172" s="63"/>
      <c r="R63172" s="64"/>
    </row>
    <row r="63173" spans="3:18" s="8" customFormat="1" x14ac:dyDescent="0.25">
      <c r="C63173" s="60"/>
      <c r="I63173" s="63"/>
      <c r="R63173" s="64"/>
    </row>
    <row r="63174" spans="3:18" s="8" customFormat="1" x14ac:dyDescent="0.25">
      <c r="C63174" s="60"/>
      <c r="I63174" s="63"/>
      <c r="R63174" s="64"/>
    </row>
    <row r="63175" spans="3:18" s="8" customFormat="1" x14ac:dyDescent="0.25">
      <c r="C63175" s="60"/>
      <c r="I63175" s="63"/>
      <c r="R63175" s="64"/>
    </row>
    <row r="63176" spans="3:18" s="8" customFormat="1" x14ac:dyDescent="0.25">
      <c r="C63176" s="60"/>
      <c r="I63176" s="63"/>
      <c r="R63176" s="64"/>
    </row>
    <row r="63177" spans="3:18" s="8" customFormat="1" x14ac:dyDescent="0.25">
      <c r="C63177" s="60"/>
      <c r="I63177" s="63"/>
      <c r="R63177" s="64"/>
    </row>
    <row r="63178" spans="3:18" s="8" customFormat="1" x14ac:dyDescent="0.25">
      <c r="C63178" s="60"/>
      <c r="I63178" s="63"/>
      <c r="R63178" s="64"/>
    </row>
    <row r="63179" spans="3:18" s="8" customFormat="1" x14ac:dyDescent="0.25">
      <c r="C63179" s="60"/>
      <c r="I63179" s="63"/>
      <c r="R63179" s="64"/>
    </row>
    <row r="63180" spans="3:18" s="8" customFormat="1" x14ac:dyDescent="0.25">
      <c r="C63180" s="60"/>
      <c r="I63180" s="63"/>
      <c r="R63180" s="64"/>
    </row>
    <row r="63181" spans="3:18" s="8" customFormat="1" x14ac:dyDescent="0.25">
      <c r="C63181" s="60"/>
      <c r="I63181" s="63"/>
      <c r="R63181" s="64"/>
    </row>
    <row r="63182" spans="3:18" s="8" customFormat="1" x14ac:dyDescent="0.25">
      <c r="C63182" s="60"/>
      <c r="I63182" s="63"/>
      <c r="R63182" s="64"/>
    </row>
    <row r="63183" spans="3:18" s="8" customFormat="1" x14ac:dyDescent="0.25">
      <c r="C63183" s="60"/>
      <c r="I63183" s="63"/>
      <c r="R63183" s="64"/>
    </row>
    <row r="63184" spans="3:18" s="8" customFormat="1" x14ac:dyDescent="0.25">
      <c r="C63184" s="60"/>
      <c r="I63184" s="63"/>
      <c r="R63184" s="64"/>
    </row>
    <row r="63185" spans="3:18" s="8" customFormat="1" x14ac:dyDescent="0.25">
      <c r="C63185" s="60"/>
      <c r="I63185" s="63"/>
      <c r="R63185" s="64"/>
    </row>
    <row r="63186" spans="3:18" s="8" customFormat="1" x14ac:dyDescent="0.25">
      <c r="C63186" s="60"/>
      <c r="I63186" s="63"/>
      <c r="R63186" s="64"/>
    </row>
    <row r="63187" spans="3:18" s="8" customFormat="1" x14ac:dyDescent="0.25">
      <c r="C63187" s="60"/>
      <c r="I63187" s="63"/>
      <c r="R63187" s="64"/>
    </row>
    <row r="63188" spans="3:18" s="8" customFormat="1" x14ac:dyDescent="0.25">
      <c r="C63188" s="60"/>
      <c r="I63188" s="63"/>
      <c r="R63188" s="64"/>
    </row>
    <row r="63189" spans="3:18" s="8" customFormat="1" x14ac:dyDescent="0.25">
      <c r="C63189" s="60"/>
      <c r="I63189" s="63"/>
      <c r="R63189" s="64"/>
    </row>
    <row r="63190" spans="3:18" s="8" customFormat="1" x14ac:dyDescent="0.25">
      <c r="C63190" s="60"/>
      <c r="I63190" s="63"/>
      <c r="R63190" s="64"/>
    </row>
    <row r="63191" spans="3:18" s="8" customFormat="1" x14ac:dyDescent="0.25">
      <c r="C63191" s="60"/>
      <c r="I63191" s="63"/>
      <c r="R63191" s="64"/>
    </row>
    <row r="63192" spans="3:18" s="8" customFormat="1" x14ac:dyDescent="0.25">
      <c r="C63192" s="60"/>
      <c r="I63192" s="63"/>
      <c r="R63192" s="64"/>
    </row>
    <row r="63193" spans="3:18" s="8" customFormat="1" x14ac:dyDescent="0.25">
      <c r="C63193" s="60"/>
      <c r="I63193" s="63"/>
      <c r="R63193" s="64"/>
    </row>
    <row r="63194" spans="3:18" s="8" customFormat="1" x14ac:dyDescent="0.25">
      <c r="C63194" s="60"/>
      <c r="I63194" s="63"/>
      <c r="R63194" s="64"/>
    </row>
    <row r="63195" spans="3:18" s="8" customFormat="1" x14ac:dyDescent="0.25">
      <c r="C63195" s="60"/>
      <c r="I63195" s="63"/>
      <c r="R63195" s="64"/>
    </row>
    <row r="63196" spans="3:18" s="8" customFormat="1" x14ac:dyDescent="0.25">
      <c r="C63196" s="60"/>
      <c r="I63196" s="63"/>
      <c r="R63196" s="64"/>
    </row>
    <row r="63197" spans="3:18" s="8" customFormat="1" x14ac:dyDescent="0.25">
      <c r="C63197" s="60"/>
      <c r="I63197" s="63"/>
      <c r="R63197" s="64"/>
    </row>
    <row r="63198" spans="3:18" s="8" customFormat="1" x14ac:dyDescent="0.25">
      <c r="C63198" s="60"/>
      <c r="I63198" s="63"/>
      <c r="R63198" s="64"/>
    </row>
    <row r="63199" spans="3:18" s="8" customFormat="1" x14ac:dyDescent="0.25">
      <c r="C63199" s="60"/>
      <c r="I63199" s="63"/>
      <c r="R63199" s="64"/>
    </row>
    <row r="63200" spans="3:18" s="8" customFormat="1" x14ac:dyDescent="0.25">
      <c r="C63200" s="60"/>
      <c r="I63200" s="63"/>
      <c r="R63200" s="64"/>
    </row>
    <row r="63201" spans="3:18" s="8" customFormat="1" x14ac:dyDescent="0.25">
      <c r="C63201" s="60"/>
      <c r="I63201" s="63"/>
      <c r="R63201" s="64"/>
    </row>
    <row r="63202" spans="3:18" s="8" customFormat="1" x14ac:dyDescent="0.25">
      <c r="C63202" s="60"/>
      <c r="I63202" s="63"/>
      <c r="R63202" s="64"/>
    </row>
    <row r="63203" spans="3:18" s="8" customFormat="1" x14ac:dyDescent="0.25">
      <c r="C63203" s="60"/>
      <c r="I63203" s="63"/>
      <c r="R63203" s="64"/>
    </row>
    <row r="63204" spans="3:18" s="8" customFormat="1" x14ac:dyDescent="0.25">
      <c r="C63204" s="60"/>
      <c r="I63204" s="63"/>
      <c r="R63204" s="64"/>
    </row>
    <row r="63205" spans="3:18" s="8" customFormat="1" x14ac:dyDescent="0.25">
      <c r="C63205" s="60"/>
      <c r="I63205" s="63"/>
      <c r="R63205" s="64"/>
    </row>
    <row r="63206" spans="3:18" s="8" customFormat="1" x14ac:dyDescent="0.25">
      <c r="C63206" s="60"/>
      <c r="I63206" s="63"/>
      <c r="R63206" s="64"/>
    </row>
    <row r="63207" spans="3:18" s="8" customFormat="1" x14ac:dyDescent="0.25">
      <c r="C63207" s="60"/>
      <c r="I63207" s="63"/>
      <c r="R63207" s="64"/>
    </row>
    <row r="63208" spans="3:18" s="8" customFormat="1" x14ac:dyDescent="0.25">
      <c r="C63208" s="60"/>
      <c r="I63208" s="63"/>
      <c r="R63208" s="64"/>
    </row>
    <row r="63209" spans="3:18" s="8" customFormat="1" x14ac:dyDescent="0.25">
      <c r="C63209" s="60"/>
      <c r="I63209" s="63"/>
      <c r="R63209" s="64"/>
    </row>
    <row r="63210" spans="3:18" s="8" customFormat="1" x14ac:dyDescent="0.25">
      <c r="C63210" s="60"/>
      <c r="I63210" s="63"/>
      <c r="R63210" s="64"/>
    </row>
    <row r="63211" spans="3:18" s="8" customFormat="1" x14ac:dyDescent="0.25">
      <c r="C63211" s="60"/>
      <c r="I63211" s="63"/>
      <c r="R63211" s="64"/>
    </row>
    <row r="63212" spans="3:18" s="8" customFormat="1" x14ac:dyDescent="0.25">
      <c r="C63212" s="60"/>
      <c r="I63212" s="63"/>
      <c r="R63212" s="64"/>
    </row>
    <row r="63213" spans="3:18" s="8" customFormat="1" x14ac:dyDescent="0.25">
      <c r="C63213" s="60"/>
      <c r="I63213" s="63"/>
      <c r="R63213" s="64"/>
    </row>
    <row r="63214" spans="3:18" s="8" customFormat="1" x14ac:dyDescent="0.25">
      <c r="C63214" s="60"/>
      <c r="I63214" s="63"/>
      <c r="R63214" s="64"/>
    </row>
    <row r="63215" spans="3:18" s="8" customFormat="1" x14ac:dyDescent="0.25">
      <c r="C63215" s="60"/>
      <c r="I63215" s="63"/>
      <c r="R63215" s="64"/>
    </row>
    <row r="63216" spans="3:18" s="8" customFormat="1" x14ac:dyDescent="0.25">
      <c r="C63216" s="60"/>
      <c r="I63216" s="63"/>
      <c r="R63216" s="64"/>
    </row>
    <row r="63217" spans="3:18" s="8" customFormat="1" x14ac:dyDescent="0.25">
      <c r="C63217" s="60"/>
      <c r="I63217" s="63"/>
      <c r="R63217" s="64"/>
    </row>
    <row r="63218" spans="3:18" s="8" customFormat="1" x14ac:dyDescent="0.25">
      <c r="C63218" s="60"/>
      <c r="I63218" s="63"/>
      <c r="R63218" s="64"/>
    </row>
    <row r="63219" spans="3:18" s="8" customFormat="1" x14ac:dyDescent="0.25">
      <c r="C63219" s="60"/>
      <c r="I63219" s="63"/>
      <c r="R63219" s="64"/>
    </row>
    <row r="63220" spans="3:18" s="8" customFormat="1" x14ac:dyDescent="0.25">
      <c r="C63220" s="60"/>
      <c r="I63220" s="63"/>
      <c r="R63220" s="64"/>
    </row>
    <row r="63221" spans="3:18" s="8" customFormat="1" x14ac:dyDescent="0.25">
      <c r="C63221" s="60"/>
      <c r="I63221" s="63"/>
      <c r="R63221" s="64"/>
    </row>
    <row r="63222" spans="3:18" s="8" customFormat="1" x14ac:dyDescent="0.25">
      <c r="C63222" s="60"/>
      <c r="I63222" s="63"/>
      <c r="R63222" s="64"/>
    </row>
    <row r="63223" spans="3:18" s="8" customFormat="1" x14ac:dyDescent="0.25">
      <c r="C63223" s="60"/>
      <c r="I63223" s="63"/>
      <c r="R63223" s="64"/>
    </row>
    <row r="63224" spans="3:18" s="8" customFormat="1" x14ac:dyDescent="0.25">
      <c r="C63224" s="60"/>
      <c r="I63224" s="63"/>
      <c r="R63224" s="64"/>
    </row>
    <row r="63225" spans="3:18" s="8" customFormat="1" x14ac:dyDescent="0.25">
      <c r="C63225" s="60"/>
      <c r="I63225" s="63"/>
      <c r="R63225" s="64"/>
    </row>
    <row r="63226" spans="3:18" s="8" customFormat="1" x14ac:dyDescent="0.25">
      <c r="C63226" s="60"/>
      <c r="I63226" s="63"/>
      <c r="R63226" s="64"/>
    </row>
    <row r="63227" spans="3:18" s="8" customFormat="1" x14ac:dyDescent="0.25">
      <c r="C63227" s="60"/>
      <c r="I63227" s="63"/>
      <c r="R63227" s="64"/>
    </row>
    <row r="63228" spans="3:18" s="8" customFormat="1" x14ac:dyDescent="0.25">
      <c r="C63228" s="60"/>
      <c r="I63228" s="63"/>
      <c r="R63228" s="64"/>
    </row>
    <row r="63229" spans="3:18" s="8" customFormat="1" x14ac:dyDescent="0.25">
      <c r="C63229" s="60"/>
      <c r="I63229" s="63"/>
      <c r="R63229" s="64"/>
    </row>
    <row r="63230" spans="3:18" s="8" customFormat="1" x14ac:dyDescent="0.25">
      <c r="C63230" s="60"/>
      <c r="I63230" s="63"/>
      <c r="R63230" s="64"/>
    </row>
    <row r="63231" spans="3:18" s="8" customFormat="1" x14ac:dyDescent="0.25">
      <c r="C63231" s="60"/>
      <c r="I63231" s="63"/>
      <c r="R63231" s="64"/>
    </row>
    <row r="63232" spans="3:18" s="8" customFormat="1" x14ac:dyDescent="0.25">
      <c r="C63232" s="60"/>
      <c r="I63232" s="63"/>
      <c r="R63232" s="64"/>
    </row>
    <row r="63233" spans="3:18" s="8" customFormat="1" x14ac:dyDescent="0.25">
      <c r="C63233" s="60"/>
      <c r="I63233" s="63"/>
      <c r="R63233" s="64"/>
    </row>
    <row r="63234" spans="3:18" s="8" customFormat="1" x14ac:dyDescent="0.25">
      <c r="C63234" s="60"/>
      <c r="I63234" s="63"/>
      <c r="R63234" s="64"/>
    </row>
    <row r="63235" spans="3:18" s="8" customFormat="1" x14ac:dyDescent="0.25">
      <c r="C63235" s="60"/>
      <c r="I63235" s="63"/>
      <c r="R63235" s="64"/>
    </row>
    <row r="63236" spans="3:18" s="8" customFormat="1" x14ac:dyDescent="0.25">
      <c r="C63236" s="60"/>
      <c r="I63236" s="63"/>
      <c r="R63236" s="64"/>
    </row>
    <row r="63237" spans="3:18" s="8" customFormat="1" x14ac:dyDescent="0.25">
      <c r="C63237" s="60"/>
      <c r="I63237" s="63"/>
      <c r="R63237" s="64"/>
    </row>
    <row r="63238" spans="3:18" s="8" customFormat="1" x14ac:dyDescent="0.25">
      <c r="C63238" s="60"/>
      <c r="I63238" s="63"/>
      <c r="R63238" s="64"/>
    </row>
    <row r="63239" spans="3:18" s="8" customFormat="1" x14ac:dyDescent="0.25">
      <c r="C63239" s="60"/>
      <c r="I63239" s="63"/>
      <c r="R63239" s="64"/>
    </row>
    <row r="63240" spans="3:18" s="8" customFormat="1" x14ac:dyDescent="0.25">
      <c r="C63240" s="60"/>
      <c r="I63240" s="63"/>
      <c r="R63240" s="64"/>
    </row>
    <row r="63241" spans="3:18" s="8" customFormat="1" x14ac:dyDescent="0.25">
      <c r="C63241" s="60"/>
      <c r="I63241" s="63"/>
      <c r="R63241" s="64"/>
    </row>
    <row r="63242" spans="3:18" s="8" customFormat="1" x14ac:dyDescent="0.25">
      <c r="C63242" s="60"/>
      <c r="I63242" s="63"/>
      <c r="R63242" s="64"/>
    </row>
    <row r="63243" spans="3:18" s="8" customFormat="1" x14ac:dyDescent="0.25">
      <c r="C63243" s="60"/>
      <c r="I63243" s="63"/>
      <c r="R63243" s="64"/>
    </row>
    <row r="63244" spans="3:18" s="8" customFormat="1" x14ac:dyDescent="0.25">
      <c r="C63244" s="60"/>
      <c r="I63244" s="63"/>
      <c r="R63244" s="64"/>
    </row>
    <row r="63245" spans="3:18" s="8" customFormat="1" x14ac:dyDescent="0.25">
      <c r="C63245" s="60"/>
      <c r="I63245" s="63"/>
      <c r="R63245" s="64"/>
    </row>
    <row r="63246" spans="3:18" s="8" customFormat="1" x14ac:dyDescent="0.25">
      <c r="C63246" s="60"/>
      <c r="I63246" s="63"/>
      <c r="R63246" s="64"/>
    </row>
    <row r="63247" spans="3:18" s="8" customFormat="1" x14ac:dyDescent="0.25">
      <c r="C63247" s="60"/>
      <c r="I63247" s="63"/>
      <c r="R63247" s="64"/>
    </row>
    <row r="63248" spans="3:18" s="8" customFormat="1" x14ac:dyDescent="0.25">
      <c r="C63248" s="60"/>
      <c r="I63248" s="63"/>
      <c r="R63248" s="64"/>
    </row>
    <row r="63249" spans="3:18" s="8" customFormat="1" x14ac:dyDescent="0.25">
      <c r="C63249" s="60"/>
      <c r="I63249" s="63"/>
      <c r="R63249" s="64"/>
    </row>
    <row r="63250" spans="3:18" s="8" customFormat="1" x14ac:dyDescent="0.25">
      <c r="C63250" s="60"/>
      <c r="I63250" s="63"/>
      <c r="R63250" s="64"/>
    </row>
    <row r="63251" spans="3:18" s="8" customFormat="1" x14ac:dyDescent="0.25">
      <c r="C63251" s="60"/>
      <c r="I63251" s="63"/>
      <c r="R63251" s="64"/>
    </row>
    <row r="63252" spans="3:18" s="8" customFormat="1" x14ac:dyDescent="0.25">
      <c r="C63252" s="60"/>
      <c r="I63252" s="63"/>
      <c r="R63252" s="64"/>
    </row>
    <row r="63253" spans="3:18" s="8" customFormat="1" x14ac:dyDescent="0.25">
      <c r="C63253" s="60"/>
      <c r="I63253" s="63"/>
      <c r="R63253" s="64"/>
    </row>
    <row r="63254" spans="3:18" s="8" customFormat="1" x14ac:dyDescent="0.25">
      <c r="C63254" s="60"/>
      <c r="I63254" s="63"/>
      <c r="R63254" s="64"/>
    </row>
    <row r="63255" spans="3:18" s="8" customFormat="1" x14ac:dyDescent="0.25">
      <c r="C63255" s="60"/>
      <c r="I63255" s="63"/>
      <c r="R63255" s="64"/>
    </row>
    <row r="63256" spans="3:18" s="8" customFormat="1" x14ac:dyDescent="0.25">
      <c r="C63256" s="60"/>
      <c r="I63256" s="63"/>
      <c r="R63256" s="64"/>
    </row>
    <row r="63257" spans="3:18" s="8" customFormat="1" x14ac:dyDescent="0.25">
      <c r="C63257" s="60"/>
      <c r="I63257" s="63"/>
      <c r="R63257" s="64"/>
    </row>
    <row r="63258" spans="3:18" s="8" customFormat="1" x14ac:dyDescent="0.25">
      <c r="C63258" s="60"/>
      <c r="I63258" s="63"/>
      <c r="R63258" s="64"/>
    </row>
    <row r="63259" spans="3:18" s="8" customFormat="1" x14ac:dyDescent="0.25">
      <c r="C63259" s="60"/>
      <c r="I63259" s="63"/>
      <c r="R63259" s="64"/>
    </row>
    <row r="63260" spans="3:18" s="8" customFormat="1" x14ac:dyDescent="0.25">
      <c r="C63260" s="60"/>
      <c r="I63260" s="63"/>
      <c r="R63260" s="64"/>
    </row>
    <row r="63261" spans="3:18" s="8" customFormat="1" x14ac:dyDescent="0.25">
      <c r="C63261" s="60"/>
      <c r="I63261" s="63"/>
      <c r="R63261" s="64"/>
    </row>
    <row r="63262" spans="3:18" s="8" customFormat="1" x14ac:dyDescent="0.25">
      <c r="C63262" s="60"/>
      <c r="I63262" s="63"/>
      <c r="R63262" s="64"/>
    </row>
    <row r="63263" spans="3:18" s="8" customFormat="1" x14ac:dyDescent="0.25">
      <c r="C63263" s="60"/>
      <c r="I63263" s="63"/>
      <c r="R63263" s="64"/>
    </row>
    <row r="63264" spans="3:18" s="8" customFormat="1" x14ac:dyDescent="0.25">
      <c r="C63264" s="60"/>
      <c r="I63264" s="63"/>
      <c r="R63264" s="64"/>
    </row>
    <row r="63265" spans="3:18" s="8" customFormat="1" x14ac:dyDescent="0.25">
      <c r="C63265" s="60"/>
      <c r="I63265" s="63"/>
      <c r="R63265" s="64"/>
    </row>
    <row r="63266" spans="3:18" s="8" customFormat="1" x14ac:dyDescent="0.25">
      <c r="C63266" s="60"/>
      <c r="I63266" s="63"/>
      <c r="R63266" s="64"/>
    </row>
    <row r="63267" spans="3:18" s="8" customFormat="1" x14ac:dyDescent="0.25">
      <c r="C63267" s="60"/>
      <c r="I63267" s="63"/>
      <c r="R63267" s="64"/>
    </row>
    <row r="63268" spans="3:18" s="8" customFormat="1" x14ac:dyDescent="0.25">
      <c r="C63268" s="60"/>
      <c r="I63268" s="63"/>
      <c r="R63268" s="64"/>
    </row>
    <row r="63269" spans="3:18" s="8" customFormat="1" x14ac:dyDescent="0.25">
      <c r="C63269" s="60"/>
      <c r="I63269" s="63"/>
      <c r="R63269" s="64"/>
    </row>
    <row r="63270" spans="3:18" s="8" customFormat="1" x14ac:dyDescent="0.25">
      <c r="C63270" s="60"/>
      <c r="I63270" s="63"/>
      <c r="R63270" s="64"/>
    </row>
    <row r="63271" spans="3:18" s="8" customFormat="1" x14ac:dyDescent="0.25">
      <c r="C63271" s="60"/>
      <c r="I63271" s="63"/>
      <c r="R63271" s="64"/>
    </row>
    <row r="63272" spans="3:18" s="8" customFormat="1" x14ac:dyDescent="0.25">
      <c r="C63272" s="60"/>
      <c r="I63272" s="63"/>
      <c r="R63272" s="64"/>
    </row>
    <row r="63273" spans="3:18" s="8" customFormat="1" x14ac:dyDescent="0.25">
      <c r="C63273" s="60"/>
      <c r="I63273" s="63"/>
      <c r="R63273" s="64"/>
    </row>
    <row r="63274" spans="3:18" s="8" customFormat="1" x14ac:dyDescent="0.25">
      <c r="C63274" s="60"/>
      <c r="I63274" s="63"/>
      <c r="R63274" s="64"/>
    </row>
    <row r="63275" spans="3:18" s="8" customFormat="1" x14ac:dyDescent="0.25">
      <c r="C63275" s="60"/>
      <c r="I63275" s="63"/>
      <c r="R63275" s="64"/>
    </row>
    <row r="63276" spans="3:18" s="8" customFormat="1" x14ac:dyDescent="0.25">
      <c r="C63276" s="60"/>
      <c r="I63276" s="63"/>
      <c r="R63276" s="64"/>
    </row>
    <row r="63277" spans="3:18" s="8" customFormat="1" x14ac:dyDescent="0.25">
      <c r="C63277" s="60"/>
      <c r="I63277" s="63"/>
      <c r="R63277" s="64"/>
    </row>
    <row r="63278" spans="3:18" s="8" customFormat="1" x14ac:dyDescent="0.25">
      <c r="C63278" s="60"/>
      <c r="I63278" s="63"/>
      <c r="R63278" s="64"/>
    </row>
    <row r="63279" spans="3:18" s="8" customFormat="1" x14ac:dyDescent="0.25">
      <c r="C63279" s="60"/>
      <c r="I63279" s="63"/>
      <c r="R63279" s="64"/>
    </row>
    <row r="63280" spans="3:18" s="8" customFormat="1" x14ac:dyDescent="0.25">
      <c r="C63280" s="60"/>
      <c r="I63280" s="63"/>
      <c r="R63280" s="64"/>
    </row>
    <row r="63281" spans="3:18" s="8" customFormat="1" x14ac:dyDescent="0.25">
      <c r="C63281" s="60"/>
      <c r="I63281" s="63"/>
      <c r="R63281" s="64"/>
    </row>
    <row r="63282" spans="3:18" s="8" customFormat="1" x14ac:dyDescent="0.25">
      <c r="C63282" s="60"/>
      <c r="I63282" s="63"/>
      <c r="R63282" s="64"/>
    </row>
    <row r="63283" spans="3:18" s="8" customFormat="1" x14ac:dyDescent="0.25">
      <c r="C63283" s="60"/>
      <c r="I63283" s="63"/>
      <c r="R63283" s="64"/>
    </row>
    <row r="63284" spans="3:18" s="8" customFormat="1" x14ac:dyDescent="0.25">
      <c r="C63284" s="60"/>
      <c r="I63284" s="63"/>
      <c r="R63284" s="64"/>
    </row>
    <row r="63285" spans="3:18" s="8" customFormat="1" x14ac:dyDescent="0.25">
      <c r="C63285" s="60"/>
      <c r="I63285" s="63"/>
      <c r="R63285" s="64"/>
    </row>
    <row r="63286" spans="3:18" s="8" customFormat="1" x14ac:dyDescent="0.25">
      <c r="C63286" s="60"/>
      <c r="I63286" s="63"/>
      <c r="R63286" s="64"/>
    </row>
    <row r="63287" spans="3:18" s="8" customFormat="1" x14ac:dyDescent="0.25">
      <c r="C63287" s="60"/>
      <c r="I63287" s="63"/>
      <c r="R63287" s="64"/>
    </row>
    <row r="63288" spans="3:18" s="8" customFormat="1" x14ac:dyDescent="0.25">
      <c r="C63288" s="60"/>
      <c r="I63288" s="63"/>
      <c r="R63288" s="64"/>
    </row>
    <row r="63289" spans="3:18" s="8" customFormat="1" x14ac:dyDescent="0.25">
      <c r="C63289" s="60"/>
      <c r="I63289" s="63"/>
      <c r="R63289" s="64"/>
    </row>
    <row r="63290" spans="3:18" s="8" customFormat="1" x14ac:dyDescent="0.25">
      <c r="C63290" s="60"/>
      <c r="I63290" s="63"/>
      <c r="R63290" s="64"/>
    </row>
    <row r="63291" spans="3:18" s="8" customFormat="1" x14ac:dyDescent="0.25">
      <c r="C63291" s="60"/>
      <c r="I63291" s="63"/>
      <c r="R63291" s="64"/>
    </row>
    <row r="63292" spans="3:18" s="8" customFormat="1" x14ac:dyDescent="0.25">
      <c r="C63292" s="60"/>
      <c r="I63292" s="63"/>
      <c r="R63292" s="64"/>
    </row>
    <row r="63293" spans="3:18" s="8" customFormat="1" x14ac:dyDescent="0.25">
      <c r="C63293" s="60"/>
      <c r="I63293" s="63"/>
      <c r="R63293" s="64"/>
    </row>
    <row r="63294" spans="3:18" s="8" customFormat="1" x14ac:dyDescent="0.25">
      <c r="C63294" s="60"/>
      <c r="I63294" s="63"/>
      <c r="R63294" s="64"/>
    </row>
    <row r="63295" spans="3:18" s="8" customFormat="1" x14ac:dyDescent="0.25">
      <c r="C63295" s="60"/>
      <c r="I63295" s="63"/>
      <c r="R63295" s="64"/>
    </row>
    <row r="63296" spans="3:18" s="8" customFormat="1" x14ac:dyDescent="0.25">
      <c r="C63296" s="60"/>
      <c r="I63296" s="63"/>
      <c r="R63296" s="64"/>
    </row>
    <row r="63297" spans="3:18" s="8" customFormat="1" x14ac:dyDescent="0.25">
      <c r="C63297" s="60"/>
      <c r="I63297" s="63"/>
      <c r="R63297" s="64"/>
    </row>
    <row r="63298" spans="3:18" s="8" customFormat="1" x14ac:dyDescent="0.25">
      <c r="C63298" s="60"/>
      <c r="I63298" s="63"/>
      <c r="R63298" s="64"/>
    </row>
    <row r="63299" spans="3:18" s="8" customFormat="1" x14ac:dyDescent="0.25">
      <c r="C63299" s="60"/>
      <c r="I63299" s="63"/>
      <c r="R63299" s="64"/>
    </row>
    <row r="63300" spans="3:18" s="8" customFormat="1" x14ac:dyDescent="0.25">
      <c r="C63300" s="60"/>
      <c r="I63300" s="63"/>
      <c r="R63300" s="64"/>
    </row>
    <row r="63301" spans="3:18" s="8" customFormat="1" x14ac:dyDescent="0.25">
      <c r="C63301" s="60"/>
      <c r="I63301" s="63"/>
      <c r="R63301" s="64"/>
    </row>
    <row r="63302" spans="3:18" s="8" customFormat="1" x14ac:dyDescent="0.25">
      <c r="C63302" s="60"/>
      <c r="I63302" s="63"/>
      <c r="R63302" s="64"/>
    </row>
    <row r="63303" spans="3:18" s="8" customFormat="1" x14ac:dyDescent="0.25">
      <c r="C63303" s="60"/>
      <c r="I63303" s="63"/>
      <c r="R63303" s="64"/>
    </row>
    <row r="63304" spans="3:18" s="8" customFormat="1" x14ac:dyDescent="0.25">
      <c r="C63304" s="60"/>
      <c r="I63304" s="63"/>
      <c r="R63304" s="64"/>
    </row>
    <row r="63305" spans="3:18" s="8" customFormat="1" x14ac:dyDescent="0.25">
      <c r="C63305" s="60"/>
      <c r="I63305" s="63"/>
      <c r="R63305" s="64"/>
    </row>
    <row r="63306" spans="3:18" s="8" customFormat="1" x14ac:dyDescent="0.25">
      <c r="C63306" s="60"/>
      <c r="I63306" s="63"/>
      <c r="R63306" s="64"/>
    </row>
    <row r="63307" spans="3:18" s="8" customFormat="1" x14ac:dyDescent="0.25">
      <c r="C63307" s="60"/>
      <c r="I63307" s="63"/>
      <c r="R63307" s="64"/>
    </row>
    <row r="63308" spans="3:18" s="8" customFormat="1" x14ac:dyDescent="0.25">
      <c r="C63308" s="60"/>
      <c r="I63308" s="63"/>
      <c r="R63308" s="64"/>
    </row>
    <row r="63309" spans="3:18" s="8" customFormat="1" x14ac:dyDescent="0.25">
      <c r="C63309" s="60"/>
      <c r="I63309" s="63"/>
      <c r="R63309" s="64"/>
    </row>
    <row r="63310" spans="3:18" s="8" customFormat="1" x14ac:dyDescent="0.25">
      <c r="C63310" s="60"/>
      <c r="I63310" s="63"/>
      <c r="R63310" s="64"/>
    </row>
    <row r="63311" spans="3:18" s="8" customFormat="1" x14ac:dyDescent="0.25">
      <c r="C63311" s="60"/>
      <c r="I63311" s="63"/>
      <c r="R63311" s="64"/>
    </row>
    <row r="63312" spans="3:18" s="8" customFormat="1" x14ac:dyDescent="0.25">
      <c r="C63312" s="60"/>
      <c r="I63312" s="63"/>
      <c r="R63312" s="64"/>
    </row>
    <row r="63313" spans="3:18" s="8" customFormat="1" x14ac:dyDescent="0.25">
      <c r="C63313" s="60"/>
      <c r="I63313" s="63"/>
      <c r="R63313" s="64"/>
    </row>
    <row r="63314" spans="3:18" s="8" customFormat="1" x14ac:dyDescent="0.25">
      <c r="C63314" s="60"/>
      <c r="I63314" s="63"/>
      <c r="R63314" s="64"/>
    </row>
    <row r="63315" spans="3:18" s="8" customFormat="1" x14ac:dyDescent="0.25">
      <c r="C63315" s="60"/>
      <c r="I63315" s="63"/>
      <c r="R63315" s="64"/>
    </row>
    <row r="63316" spans="3:18" s="8" customFormat="1" x14ac:dyDescent="0.25">
      <c r="C63316" s="60"/>
      <c r="I63316" s="63"/>
      <c r="R63316" s="64"/>
    </row>
    <row r="63317" spans="3:18" s="8" customFormat="1" x14ac:dyDescent="0.25">
      <c r="C63317" s="60"/>
      <c r="I63317" s="63"/>
      <c r="R63317" s="64"/>
    </row>
    <row r="63318" spans="3:18" s="8" customFormat="1" x14ac:dyDescent="0.25">
      <c r="C63318" s="60"/>
      <c r="I63318" s="63"/>
      <c r="R63318" s="64"/>
    </row>
    <row r="63319" spans="3:18" s="8" customFormat="1" x14ac:dyDescent="0.25">
      <c r="C63319" s="60"/>
      <c r="I63319" s="63"/>
      <c r="R63319" s="64"/>
    </row>
    <row r="63320" spans="3:18" s="8" customFormat="1" x14ac:dyDescent="0.25">
      <c r="C63320" s="60"/>
      <c r="I63320" s="63"/>
      <c r="R63320" s="64"/>
    </row>
    <row r="63321" spans="3:18" s="8" customFormat="1" x14ac:dyDescent="0.25">
      <c r="C63321" s="60"/>
      <c r="I63321" s="63"/>
      <c r="R63321" s="64"/>
    </row>
    <row r="63322" spans="3:18" s="8" customFormat="1" x14ac:dyDescent="0.25">
      <c r="C63322" s="60"/>
      <c r="I63322" s="63"/>
      <c r="R63322" s="64"/>
    </row>
    <row r="63323" spans="3:18" s="8" customFormat="1" x14ac:dyDescent="0.25">
      <c r="C63323" s="60"/>
      <c r="I63323" s="63"/>
      <c r="R63323" s="64"/>
    </row>
    <row r="63324" spans="3:18" s="8" customFormat="1" x14ac:dyDescent="0.25">
      <c r="C63324" s="60"/>
      <c r="I63324" s="63"/>
      <c r="R63324" s="64"/>
    </row>
    <row r="63325" spans="3:18" s="8" customFormat="1" x14ac:dyDescent="0.25">
      <c r="C63325" s="60"/>
      <c r="I63325" s="63"/>
      <c r="R63325" s="64"/>
    </row>
    <row r="63326" spans="3:18" s="8" customFormat="1" x14ac:dyDescent="0.25">
      <c r="C63326" s="60"/>
      <c r="I63326" s="63"/>
      <c r="R63326" s="64"/>
    </row>
    <row r="63327" spans="3:18" s="8" customFormat="1" x14ac:dyDescent="0.25">
      <c r="C63327" s="60"/>
      <c r="I63327" s="63"/>
      <c r="R63327" s="64"/>
    </row>
    <row r="63328" spans="3:18" s="8" customFormat="1" x14ac:dyDescent="0.25">
      <c r="C63328" s="60"/>
      <c r="I63328" s="63"/>
      <c r="R63328" s="64"/>
    </row>
    <row r="63329" spans="3:18" s="8" customFormat="1" x14ac:dyDescent="0.25">
      <c r="C63329" s="60"/>
      <c r="I63329" s="63"/>
      <c r="R63329" s="64"/>
    </row>
    <row r="63330" spans="3:18" s="8" customFormat="1" x14ac:dyDescent="0.25">
      <c r="C63330" s="60"/>
      <c r="I63330" s="63"/>
      <c r="R63330" s="64"/>
    </row>
    <row r="63331" spans="3:18" s="8" customFormat="1" x14ac:dyDescent="0.25">
      <c r="C63331" s="60"/>
      <c r="I63331" s="63"/>
      <c r="R63331" s="64"/>
    </row>
    <row r="63332" spans="3:18" s="8" customFormat="1" x14ac:dyDescent="0.25">
      <c r="C63332" s="60"/>
      <c r="I63332" s="63"/>
      <c r="R63332" s="64"/>
    </row>
    <row r="63333" spans="3:18" s="8" customFormat="1" x14ac:dyDescent="0.25">
      <c r="C63333" s="60"/>
      <c r="I63333" s="63"/>
      <c r="R63333" s="64"/>
    </row>
    <row r="63334" spans="3:18" s="8" customFormat="1" x14ac:dyDescent="0.25">
      <c r="C63334" s="60"/>
      <c r="I63334" s="63"/>
      <c r="R63334" s="64"/>
    </row>
    <row r="63335" spans="3:18" s="8" customFormat="1" x14ac:dyDescent="0.25">
      <c r="C63335" s="60"/>
      <c r="I63335" s="63"/>
      <c r="R63335" s="64"/>
    </row>
    <row r="63336" spans="3:18" s="8" customFormat="1" x14ac:dyDescent="0.25">
      <c r="C63336" s="60"/>
      <c r="I63336" s="63"/>
      <c r="R63336" s="64"/>
    </row>
    <row r="63337" spans="3:18" s="8" customFormat="1" x14ac:dyDescent="0.25">
      <c r="C63337" s="60"/>
      <c r="I63337" s="63"/>
      <c r="R63337" s="64"/>
    </row>
    <row r="63338" spans="3:18" s="8" customFormat="1" x14ac:dyDescent="0.25">
      <c r="C63338" s="60"/>
      <c r="I63338" s="63"/>
      <c r="R63338" s="64"/>
    </row>
    <row r="63339" spans="3:18" s="8" customFormat="1" x14ac:dyDescent="0.25">
      <c r="C63339" s="60"/>
      <c r="I63339" s="63"/>
      <c r="R63339" s="64"/>
    </row>
    <row r="63340" spans="3:18" s="8" customFormat="1" x14ac:dyDescent="0.25">
      <c r="C63340" s="60"/>
      <c r="I63340" s="63"/>
      <c r="R63340" s="64"/>
    </row>
    <row r="63341" spans="3:18" s="8" customFormat="1" x14ac:dyDescent="0.25">
      <c r="C63341" s="60"/>
      <c r="I63341" s="63"/>
      <c r="R63341" s="64"/>
    </row>
    <row r="63342" spans="3:18" s="8" customFormat="1" x14ac:dyDescent="0.25">
      <c r="C63342" s="60"/>
      <c r="I63342" s="63"/>
      <c r="R63342" s="64"/>
    </row>
    <row r="63343" spans="3:18" s="8" customFormat="1" x14ac:dyDescent="0.25">
      <c r="C63343" s="60"/>
      <c r="I63343" s="63"/>
      <c r="R63343" s="64"/>
    </row>
    <row r="63344" spans="3:18" s="8" customFormat="1" x14ac:dyDescent="0.25">
      <c r="C63344" s="60"/>
      <c r="I63344" s="63"/>
      <c r="R63344" s="64"/>
    </row>
    <row r="63345" spans="3:18" s="8" customFormat="1" x14ac:dyDescent="0.25">
      <c r="C63345" s="60"/>
      <c r="I63345" s="63"/>
      <c r="R63345" s="64"/>
    </row>
    <row r="63346" spans="3:18" s="8" customFormat="1" x14ac:dyDescent="0.25">
      <c r="C63346" s="60"/>
      <c r="I63346" s="63"/>
      <c r="R63346" s="64"/>
    </row>
    <row r="63347" spans="3:18" s="8" customFormat="1" x14ac:dyDescent="0.25">
      <c r="C63347" s="60"/>
      <c r="I63347" s="63"/>
      <c r="R63347" s="64"/>
    </row>
    <row r="63348" spans="3:18" s="8" customFormat="1" x14ac:dyDescent="0.25">
      <c r="C63348" s="60"/>
      <c r="I63348" s="63"/>
      <c r="R63348" s="64"/>
    </row>
    <row r="63349" spans="3:18" s="8" customFormat="1" x14ac:dyDescent="0.25">
      <c r="C63349" s="60"/>
      <c r="I63349" s="63"/>
      <c r="R63349" s="64"/>
    </row>
    <row r="63350" spans="3:18" s="8" customFormat="1" x14ac:dyDescent="0.25">
      <c r="C63350" s="60"/>
      <c r="I63350" s="63"/>
      <c r="R63350" s="64"/>
    </row>
    <row r="63351" spans="3:18" s="8" customFormat="1" x14ac:dyDescent="0.25">
      <c r="C63351" s="60"/>
      <c r="I63351" s="63"/>
      <c r="R63351" s="64"/>
    </row>
    <row r="63352" spans="3:18" s="8" customFormat="1" x14ac:dyDescent="0.25">
      <c r="C63352" s="60"/>
      <c r="I63352" s="63"/>
      <c r="R63352" s="64"/>
    </row>
    <row r="63353" spans="3:18" s="8" customFormat="1" x14ac:dyDescent="0.25">
      <c r="C63353" s="60"/>
      <c r="I63353" s="63"/>
      <c r="R63353" s="64"/>
    </row>
    <row r="63354" spans="3:18" s="8" customFormat="1" x14ac:dyDescent="0.25">
      <c r="C63354" s="60"/>
      <c r="I63354" s="63"/>
      <c r="R63354" s="64"/>
    </row>
    <row r="63355" spans="3:18" s="8" customFormat="1" x14ac:dyDescent="0.25">
      <c r="C63355" s="60"/>
      <c r="I63355" s="63"/>
      <c r="R63355" s="64"/>
    </row>
    <row r="63356" spans="3:18" s="8" customFormat="1" x14ac:dyDescent="0.25">
      <c r="C63356" s="60"/>
      <c r="I63356" s="63"/>
      <c r="R63356" s="64"/>
    </row>
    <row r="63357" spans="3:18" s="8" customFormat="1" x14ac:dyDescent="0.25">
      <c r="C63357" s="60"/>
      <c r="I63357" s="63"/>
      <c r="R63357" s="64"/>
    </row>
    <row r="63358" spans="3:18" s="8" customFormat="1" x14ac:dyDescent="0.25">
      <c r="C63358" s="60"/>
      <c r="I63358" s="63"/>
      <c r="R63358" s="64"/>
    </row>
    <row r="63359" spans="3:18" s="8" customFormat="1" x14ac:dyDescent="0.25">
      <c r="C63359" s="60"/>
      <c r="I63359" s="63"/>
      <c r="R63359" s="64"/>
    </row>
    <row r="63360" spans="3:18" s="8" customFormat="1" x14ac:dyDescent="0.25">
      <c r="C63360" s="60"/>
      <c r="I63360" s="63"/>
      <c r="R63360" s="64"/>
    </row>
    <row r="63361" spans="3:18" s="8" customFormat="1" x14ac:dyDescent="0.25">
      <c r="C63361" s="60"/>
      <c r="I63361" s="63"/>
      <c r="R63361" s="64"/>
    </row>
    <row r="63362" spans="3:18" s="8" customFormat="1" x14ac:dyDescent="0.25">
      <c r="C63362" s="60"/>
      <c r="I63362" s="63"/>
      <c r="R63362" s="64"/>
    </row>
    <row r="63363" spans="3:18" s="8" customFormat="1" x14ac:dyDescent="0.25">
      <c r="C63363" s="60"/>
      <c r="I63363" s="63"/>
      <c r="R63363" s="64"/>
    </row>
    <row r="63364" spans="3:18" s="8" customFormat="1" x14ac:dyDescent="0.25">
      <c r="C63364" s="60"/>
      <c r="I63364" s="63"/>
      <c r="R63364" s="64"/>
    </row>
    <row r="63365" spans="3:18" s="8" customFormat="1" x14ac:dyDescent="0.25">
      <c r="C63365" s="60"/>
      <c r="I63365" s="63"/>
      <c r="R63365" s="64"/>
    </row>
    <row r="63366" spans="3:18" s="8" customFormat="1" x14ac:dyDescent="0.25">
      <c r="C63366" s="60"/>
      <c r="I63366" s="63"/>
      <c r="R63366" s="64"/>
    </row>
    <row r="63367" spans="3:18" s="8" customFormat="1" x14ac:dyDescent="0.25">
      <c r="C63367" s="60"/>
      <c r="I63367" s="63"/>
      <c r="R63367" s="64"/>
    </row>
    <row r="63368" spans="3:18" s="8" customFormat="1" x14ac:dyDescent="0.25">
      <c r="C63368" s="60"/>
      <c r="I63368" s="63"/>
      <c r="R63368" s="64"/>
    </row>
    <row r="63369" spans="3:18" s="8" customFormat="1" x14ac:dyDescent="0.25">
      <c r="C63369" s="60"/>
      <c r="I63369" s="63"/>
      <c r="R63369" s="64"/>
    </row>
    <row r="63370" spans="3:18" s="8" customFormat="1" x14ac:dyDescent="0.25">
      <c r="C63370" s="60"/>
      <c r="I63370" s="63"/>
      <c r="R63370" s="64"/>
    </row>
    <row r="63371" spans="3:18" s="8" customFormat="1" x14ac:dyDescent="0.25">
      <c r="C63371" s="60"/>
      <c r="I63371" s="63"/>
      <c r="R63371" s="64"/>
    </row>
    <row r="63372" spans="3:18" s="8" customFormat="1" x14ac:dyDescent="0.25">
      <c r="C63372" s="60"/>
      <c r="I63372" s="63"/>
      <c r="R63372" s="64"/>
    </row>
    <row r="63373" spans="3:18" s="8" customFormat="1" x14ac:dyDescent="0.25">
      <c r="C63373" s="60"/>
      <c r="I63373" s="63"/>
      <c r="R63373" s="64"/>
    </row>
    <row r="63374" spans="3:18" s="8" customFormat="1" x14ac:dyDescent="0.25">
      <c r="C63374" s="60"/>
      <c r="I63374" s="63"/>
      <c r="R63374" s="64"/>
    </row>
    <row r="63375" spans="3:18" s="8" customFormat="1" x14ac:dyDescent="0.25">
      <c r="C63375" s="60"/>
      <c r="I63375" s="63"/>
      <c r="R63375" s="64"/>
    </row>
    <row r="63376" spans="3:18" s="8" customFormat="1" x14ac:dyDescent="0.25">
      <c r="C63376" s="60"/>
      <c r="I63376" s="63"/>
      <c r="R63376" s="64"/>
    </row>
    <row r="63377" spans="3:18" s="8" customFormat="1" x14ac:dyDescent="0.25">
      <c r="C63377" s="60"/>
      <c r="I63377" s="63"/>
      <c r="R63377" s="64"/>
    </row>
    <row r="63378" spans="3:18" s="8" customFormat="1" x14ac:dyDescent="0.25">
      <c r="C63378" s="60"/>
      <c r="I63378" s="63"/>
      <c r="R63378" s="64"/>
    </row>
    <row r="63379" spans="3:18" s="8" customFormat="1" x14ac:dyDescent="0.25">
      <c r="C63379" s="60"/>
      <c r="I63379" s="63"/>
      <c r="R63379" s="64"/>
    </row>
    <row r="63380" spans="3:18" s="8" customFormat="1" x14ac:dyDescent="0.25">
      <c r="C63380" s="60"/>
      <c r="I63380" s="63"/>
      <c r="R63380" s="64"/>
    </row>
    <row r="63381" spans="3:18" s="8" customFormat="1" x14ac:dyDescent="0.25">
      <c r="C63381" s="60"/>
      <c r="I63381" s="63"/>
      <c r="R63381" s="64"/>
    </row>
    <row r="63382" spans="3:18" s="8" customFormat="1" x14ac:dyDescent="0.25">
      <c r="C63382" s="60"/>
      <c r="I63382" s="63"/>
      <c r="R63382" s="64"/>
    </row>
    <row r="63383" spans="3:18" s="8" customFormat="1" x14ac:dyDescent="0.25">
      <c r="C63383" s="60"/>
      <c r="I63383" s="63"/>
      <c r="R63383" s="64"/>
    </row>
    <row r="63384" spans="3:18" s="8" customFormat="1" x14ac:dyDescent="0.25">
      <c r="C63384" s="60"/>
      <c r="I63384" s="63"/>
      <c r="R63384" s="64"/>
    </row>
    <row r="63385" spans="3:18" s="8" customFormat="1" x14ac:dyDescent="0.25">
      <c r="C63385" s="60"/>
      <c r="I63385" s="63"/>
      <c r="R63385" s="64"/>
    </row>
    <row r="63386" spans="3:18" s="8" customFormat="1" x14ac:dyDescent="0.25">
      <c r="C63386" s="60"/>
      <c r="I63386" s="63"/>
      <c r="R63386" s="64"/>
    </row>
    <row r="63387" spans="3:18" s="8" customFormat="1" x14ac:dyDescent="0.25">
      <c r="C63387" s="60"/>
      <c r="I63387" s="63"/>
      <c r="R63387" s="64"/>
    </row>
    <row r="63388" spans="3:18" s="8" customFormat="1" x14ac:dyDescent="0.25">
      <c r="C63388" s="60"/>
      <c r="I63388" s="63"/>
      <c r="R63388" s="64"/>
    </row>
    <row r="63389" spans="3:18" s="8" customFormat="1" x14ac:dyDescent="0.25">
      <c r="C63389" s="60"/>
      <c r="I63389" s="63"/>
      <c r="R63389" s="64"/>
    </row>
    <row r="63390" spans="3:18" s="8" customFormat="1" x14ac:dyDescent="0.25">
      <c r="C63390" s="60"/>
      <c r="I63390" s="63"/>
      <c r="R63390" s="64"/>
    </row>
    <row r="63391" spans="3:18" s="8" customFormat="1" x14ac:dyDescent="0.25">
      <c r="C63391" s="60"/>
      <c r="I63391" s="63"/>
      <c r="R63391" s="64"/>
    </row>
    <row r="63392" spans="3:18" s="8" customFormat="1" x14ac:dyDescent="0.25">
      <c r="C63392" s="60"/>
      <c r="I63392" s="63"/>
      <c r="R63392" s="64"/>
    </row>
    <row r="63393" spans="3:18" s="8" customFormat="1" x14ac:dyDescent="0.25">
      <c r="C63393" s="60"/>
      <c r="I63393" s="63"/>
      <c r="R63393" s="64"/>
    </row>
    <row r="63394" spans="3:18" s="8" customFormat="1" x14ac:dyDescent="0.25">
      <c r="C63394" s="60"/>
      <c r="I63394" s="63"/>
      <c r="R63394" s="64"/>
    </row>
    <row r="63395" spans="3:18" s="8" customFormat="1" x14ac:dyDescent="0.25">
      <c r="C63395" s="60"/>
      <c r="I63395" s="63"/>
      <c r="R63395" s="64"/>
    </row>
    <row r="63396" spans="3:18" s="8" customFormat="1" x14ac:dyDescent="0.25">
      <c r="C63396" s="60"/>
      <c r="I63396" s="63"/>
      <c r="R63396" s="64"/>
    </row>
    <row r="63397" spans="3:18" s="8" customFormat="1" x14ac:dyDescent="0.25">
      <c r="C63397" s="60"/>
      <c r="I63397" s="63"/>
      <c r="R63397" s="64"/>
    </row>
    <row r="63398" spans="3:18" s="8" customFormat="1" x14ac:dyDescent="0.25">
      <c r="C63398" s="60"/>
      <c r="I63398" s="63"/>
      <c r="R63398" s="64"/>
    </row>
    <row r="63399" spans="3:18" s="8" customFormat="1" x14ac:dyDescent="0.25">
      <c r="C63399" s="60"/>
      <c r="I63399" s="63"/>
      <c r="R63399" s="64"/>
    </row>
    <row r="63400" spans="3:18" s="8" customFormat="1" x14ac:dyDescent="0.25">
      <c r="C63400" s="60"/>
      <c r="I63400" s="63"/>
      <c r="R63400" s="64"/>
    </row>
    <row r="63401" spans="3:18" s="8" customFormat="1" x14ac:dyDescent="0.25">
      <c r="C63401" s="60"/>
      <c r="I63401" s="63"/>
      <c r="R63401" s="64"/>
    </row>
    <row r="63402" spans="3:18" s="8" customFormat="1" x14ac:dyDescent="0.25">
      <c r="C63402" s="60"/>
      <c r="I63402" s="63"/>
      <c r="R63402" s="64"/>
    </row>
    <row r="63403" spans="3:18" s="8" customFormat="1" x14ac:dyDescent="0.25">
      <c r="C63403" s="60"/>
      <c r="I63403" s="63"/>
      <c r="R63403" s="64"/>
    </row>
    <row r="63404" spans="3:18" s="8" customFormat="1" x14ac:dyDescent="0.25">
      <c r="C63404" s="60"/>
      <c r="I63404" s="63"/>
      <c r="R63404" s="64"/>
    </row>
    <row r="63405" spans="3:18" s="8" customFormat="1" x14ac:dyDescent="0.25">
      <c r="C63405" s="60"/>
      <c r="I63405" s="63"/>
      <c r="R63405" s="64"/>
    </row>
    <row r="63406" spans="3:18" s="8" customFormat="1" x14ac:dyDescent="0.25">
      <c r="C63406" s="60"/>
      <c r="I63406" s="63"/>
      <c r="R63406" s="64"/>
    </row>
    <row r="63407" spans="3:18" s="8" customFormat="1" x14ac:dyDescent="0.25">
      <c r="C63407" s="60"/>
      <c r="I63407" s="63"/>
      <c r="R63407" s="64"/>
    </row>
    <row r="63408" spans="3:18" s="8" customFormat="1" x14ac:dyDescent="0.25">
      <c r="C63408" s="60"/>
      <c r="I63408" s="63"/>
      <c r="R63408" s="64"/>
    </row>
    <row r="63409" spans="3:18" s="8" customFormat="1" x14ac:dyDescent="0.25">
      <c r="C63409" s="60"/>
      <c r="I63409" s="63"/>
      <c r="R63409" s="64"/>
    </row>
    <row r="63410" spans="3:18" s="8" customFormat="1" x14ac:dyDescent="0.25">
      <c r="C63410" s="60"/>
      <c r="I63410" s="63"/>
      <c r="R63410" s="64"/>
    </row>
    <row r="63411" spans="3:18" s="8" customFormat="1" x14ac:dyDescent="0.25">
      <c r="C63411" s="60"/>
      <c r="I63411" s="63"/>
      <c r="R63411" s="64"/>
    </row>
    <row r="63412" spans="3:18" s="8" customFormat="1" x14ac:dyDescent="0.25">
      <c r="C63412" s="60"/>
      <c r="I63412" s="63"/>
      <c r="R63412" s="64"/>
    </row>
    <row r="63413" spans="3:18" s="8" customFormat="1" x14ac:dyDescent="0.25">
      <c r="C63413" s="60"/>
      <c r="I63413" s="63"/>
      <c r="R63413" s="64"/>
    </row>
    <row r="63414" spans="3:18" s="8" customFormat="1" x14ac:dyDescent="0.25">
      <c r="C63414" s="60"/>
      <c r="I63414" s="63"/>
      <c r="R63414" s="64"/>
    </row>
    <row r="63415" spans="3:18" s="8" customFormat="1" x14ac:dyDescent="0.25">
      <c r="C63415" s="60"/>
      <c r="I63415" s="63"/>
      <c r="R63415" s="64"/>
    </row>
    <row r="63416" spans="3:18" s="8" customFormat="1" x14ac:dyDescent="0.25">
      <c r="C63416" s="60"/>
      <c r="I63416" s="63"/>
      <c r="R63416" s="64"/>
    </row>
    <row r="63417" spans="3:18" s="8" customFormat="1" x14ac:dyDescent="0.25">
      <c r="C63417" s="60"/>
      <c r="I63417" s="63"/>
      <c r="R63417" s="64"/>
    </row>
    <row r="63418" spans="3:18" s="8" customFormat="1" x14ac:dyDescent="0.25">
      <c r="C63418" s="60"/>
      <c r="I63418" s="63"/>
      <c r="R63418" s="64"/>
    </row>
    <row r="63419" spans="3:18" s="8" customFormat="1" x14ac:dyDescent="0.25">
      <c r="C63419" s="60"/>
      <c r="I63419" s="63"/>
      <c r="R63419" s="64"/>
    </row>
    <row r="63420" spans="3:18" s="8" customFormat="1" x14ac:dyDescent="0.25">
      <c r="C63420" s="60"/>
      <c r="I63420" s="63"/>
      <c r="R63420" s="64"/>
    </row>
    <row r="63421" spans="3:18" s="8" customFormat="1" x14ac:dyDescent="0.25">
      <c r="C63421" s="60"/>
      <c r="I63421" s="63"/>
      <c r="R63421" s="64"/>
    </row>
    <row r="63422" spans="3:18" s="8" customFormat="1" x14ac:dyDescent="0.25">
      <c r="C63422" s="60"/>
      <c r="I63422" s="63"/>
      <c r="R63422" s="64"/>
    </row>
    <row r="63423" spans="3:18" s="8" customFormat="1" x14ac:dyDescent="0.25">
      <c r="C63423" s="60"/>
      <c r="I63423" s="63"/>
      <c r="R63423" s="64"/>
    </row>
    <row r="63424" spans="3:18" s="8" customFormat="1" x14ac:dyDescent="0.25">
      <c r="C63424" s="60"/>
      <c r="I63424" s="63"/>
      <c r="R63424" s="64"/>
    </row>
    <row r="63425" spans="3:18" s="8" customFormat="1" x14ac:dyDescent="0.25">
      <c r="C63425" s="60"/>
      <c r="I63425" s="63"/>
      <c r="R63425" s="64"/>
    </row>
    <row r="63426" spans="3:18" s="8" customFormat="1" x14ac:dyDescent="0.25">
      <c r="C63426" s="60"/>
      <c r="I63426" s="63"/>
      <c r="R63426" s="64"/>
    </row>
    <row r="63427" spans="3:18" s="8" customFormat="1" x14ac:dyDescent="0.25">
      <c r="C63427" s="60"/>
      <c r="I63427" s="63"/>
      <c r="R63427" s="64"/>
    </row>
    <row r="63428" spans="3:18" s="8" customFormat="1" x14ac:dyDescent="0.25">
      <c r="C63428" s="60"/>
      <c r="I63428" s="63"/>
      <c r="R63428" s="64"/>
    </row>
    <row r="63429" spans="3:18" s="8" customFormat="1" x14ac:dyDescent="0.25">
      <c r="C63429" s="60"/>
      <c r="I63429" s="63"/>
      <c r="R63429" s="64"/>
    </row>
    <row r="63430" spans="3:18" s="8" customFormat="1" x14ac:dyDescent="0.25">
      <c r="C63430" s="60"/>
      <c r="I63430" s="63"/>
      <c r="R63430" s="64"/>
    </row>
    <row r="63431" spans="3:18" s="8" customFormat="1" x14ac:dyDescent="0.25">
      <c r="C63431" s="60"/>
      <c r="I63431" s="63"/>
      <c r="R63431" s="64"/>
    </row>
    <row r="63432" spans="3:18" s="8" customFormat="1" x14ac:dyDescent="0.25">
      <c r="C63432" s="60"/>
      <c r="I63432" s="63"/>
      <c r="R63432" s="64"/>
    </row>
    <row r="63433" spans="3:18" s="8" customFormat="1" x14ac:dyDescent="0.25">
      <c r="C63433" s="60"/>
      <c r="I63433" s="63"/>
      <c r="R63433" s="64"/>
    </row>
    <row r="63434" spans="3:18" s="8" customFormat="1" x14ac:dyDescent="0.25">
      <c r="C63434" s="60"/>
      <c r="I63434" s="63"/>
      <c r="R63434" s="64"/>
    </row>
    <row r="63435" spans="3:18" s="8" customFormat="1" x14ac:dyDescent="0.25">
      <c r="C63435" s="60"/>
      <c r="I63435" s="63"/>
      <c r="R63435" s="64"/>
    </row>
    <row r="63436" spans="3:18" s="8" customFormat="1" x14ac:dyDescent="0.25">
      <c r="C63436" s="60"/>
      <c r="I63436" s="63"/>
      <c r="R63436" s="64"/>
    </row>
    <row r="63437" spans="3:18" s="8" customFormat="1" x14ac:dyDescent="0.25">
      <c r="C63437" s="60"/>
      <c r="I63437" s="63"/>
      <c r="R63437" s="64"/>
    </row>
    <row r="63438" spans="3:18" s="8" customFormat="1" x14ac:dyDescent="0.25">
      <c r="C63438" s="60"/>
      <c r="I63438" s="63"/>
      <c r="R63438" s="64"/>
    </row>
    <row r="63439" spans="3:18" s="8" customFormat="1" x14ac:dyDescent="0.25">
      <c r="C63439" s="60"/>
      <c r="I63439" s="63"/>
      <c r="R63439" s="64"/>
    </row>
    <row r="63440" spans="3:18" s="8" customFormat="1" x14ac:dyDescent="0.25">
      <c r="C63440" s="60"/>
      <c r="I63440" s="63"/>
      <c r="R63440" s="64"/>
    </row>
    <row r="63441" spans="3:18" s="8" customFormat="1" x14ac:dyDescent="0.25">
      <c r="C63441" s="60"/>
      <c r="I63441" s="63"/>
      <c r="R63441" s="64"/>
    </row>
    <row r="63442" spans="3:18" s="8" customFormat="1" x14ac:dyDescent="0.25">
      <c r="C63442" s="60"/>
      <c r="I63442" s="63"/>
      <c r="R63442" s="64"/>
    </row>
    <row r="63443" spans="3:18" s="8" customFormat="1" x14ac:dyDescent="0.25">
      <c r="C63443" s="60"/>
      <c r="I63443" s="63"/>
      <c r="R63443" s="64"/>
    </row>
    <row r="63444" spans="3:18" s="8" customFormat="1" x14ac:dyDescent="0.25">
      <c r="C63444" s="60"/>
      <c r="I63444" s="63"/>
      <c r="R63444" s="64"/>
    </row>
    <row r="63445" spans="3:18" s="8" customFormat="1" x14ac:dyDescent="0.25">
      <c r="C63445" s="60"/>
      <c r="I63445" s="63"/>
      <c r="R63445" s="64"/>
    </row>
    <row r="63446" spans="3:18" s="8" customFormat="1" x14ac:dyDescent="0.25">
      <c r="C63446" s="60"/>
      <c r="I63446" s="63"/>
      <c r="R63446" s="64"/>
    </row>
    <row r="63447" spans="3:18" s="8" customFormat="1" x14ac:dyDescent="0.25">
      <c r="C63447" s="60"/>
      <c r="I63447" s="63"/>
      <c r="R63447" s="64"/>
    </row>
    <row r="63448" spans="3:18" s="8" customFormat="1" x14ac:dyDescent="0.25">
      <c r="C63448" s="60"/>
      <c r="I63448" s="63"/>
      <c r="R63448" s="64"/>
    </row>
    <row r="63449" spans="3:18" s="8" customFormat="1" x14ac:dyDescent="0.25">
      <c r="C63449" s="60"/>
      <c r="I63449" s="63"/>
      <c r="R63449" s="64"/>
    </row>
    <row r="63450" spans="3:18" s="8" customFormat="1" x14ac:dyDescent="0.25">
      <c r="C63450" s="60"/>
      <c r="I63450" s="63"/>
      <c r="R63450" s="64"/>
    </row>
    <row r="63451" spans="3:18" s="8" customFormat="1" x14ac:dyDescent="0.25">
      <c r="C63451" s="60"/>
      <c r="I63451" s="63"/>
      <c r="R63451" s="64"/>
    </row>
    <row r="63452" spans="3:18" s="8" customFormat="1" x14ac:dyDescent="0.25">
      <c r="C63452" s="60"/>
      <c r="I63452" s="63"/>
      <c r="R63452" s="64"/>
    </row>
    <row r="63453" spans="3:18" s="8" customFormat="1" x14ac:dyDescent="0.25">
      <c r="C63453" s="60"/>
      <c r="I63453" s="63"/>
      <c r="R63453" s="64"/>
    </row>
    <row r="63454" spans="3:18" s="8" customFormat="1" x14ac:dyDescent="0.25">
      <c r="C63454" s="60"/>
      <c r="I63454" s="63"/>
      <c r="R63454" s="64"/>
    </row>
    <row r="63455" spans="3:18" s="8" customFormat="1" x14ac:dyDescent="0.25">
      <c r="C63455" s="60"/>
      <c r="I63455" s="63"/>
      <c r="R63455" s="64"/>
    </row>
    <row r="63456" spans="3:18" s="8" customFormat="1" x14ac:dyDescent="0.25">
      <c r="C63456" s="60"/>
      <c r="I63456" s="63"/>
      <c r="R63456" s="64"/>
    </row>
    <row r="63457" spans="3:18" s="8" customFormat="1" x14ac:dyDescent="0.25">
      <c r="C63457" s="60"/>
      <c r="I63457" s="63"/>
      <c r="R63457" s="64"/>
    </row>
    <row r="63458" spans="3:18" s="8" customFormat="1" x14ac:dyDescent="0.25">
      <c r="C63458" s="60"/>
      <c r="I63458" s="63"/>
      <c r="R63458" s="64"/>
    </row>
    <row r="63459" spans="3:18" s="8" customFormat="1" x14ac:dyDescent="0.25">
      <c r="C63459" s="60"/>
      <c r="I63459" s="63"/>
      <c r="R63459" s="64"/>
    </row>
    <row r="63460" spans="3:18" s="8" customFormat="1" x14ac:dyDescent="0.25">
      <c r="C63460" s="60"/>
      <c r="I63460" s="63"/>
      <c r="R63460" s="64"/>
    </row>
    <row r="63461" spans="3:18" s="8" customFormat="1" x14ac:dyDescent="0.25">
      <c r="C63461" s="60"/>
      <c r="I63461" s="63"/>
      <c r="R63461" s="64"/>
    </row>
    <row r="63462" spans="3:18" s="8" customFormat="1" x14ac:dyDescent="0.25">
      <c r="C63462" s="60"/>
      <c r="I63462" s="63"/>
      <c r="R63462" s="64"/>
    </row>
    <row r="63463" spans="3:18" s="8" customFormat="1" x14ac:dyDescent="0.25">
      <c r="C63463" s="60"/>
      <c r="I63463" s="63"/>
      <c r="R63463" s="64"/>
    </row>
    <row r="63464" spans="3:18" s="8" customFormat="1" x14ac:dyDescent="0.25">
      <c r="C63464" s="60"/>
      <c r="I63464" s="63"/>
      <c r="R63464" s="64"/>
    </row>
    <row r="63465" spans="3:18" s="8" customFormat="1" x14ac:dyDescent="0.25">
      <c r="C63465" s="60"/>
      <c r="I63465" s="63"/>
      <c r="R63465" s="64"/>
    </row>
    <row r="63466" spans="3:18" s="8" customFormat="1" x14ac:dyDescent="0.25">
      <c r="C63466" s="60"/>
      <c r="I63466" s="63"/>
      <c r="R63466" s="64"/>
    </row>
    <row r="63467" spans="3:18" s="8" customFormat="1" x14ac:dyDescent="0.25">
      <c r="C63467" s="60"/>
      <c r="I63467" s="63"/>
      <c r="R63467" s="64"/>
    </row>
    <row r="63468" spans="3:18" s="8" customFormat="1" x14ac:dyDescent="0.25">
      <c r="C63468" s="60"/>
      <c r="I63468" s="63"/>
      <c r="R63468" s="64"/>
    </row>
    <row r="63469" spans="3:18" s="8" customFormat="1" x14ac:dyDescent="0.25">
      <c r="C63469" s="60"/>
      <c r="I63469" s="63"/>
      <c r="R63469" s="64"/>
    </row>
    <row r="63470" spans="3:18" s="8" customFormat="1" x14ac:dyDescent="0.25">
      <c r="C63470" s="60"/>
      <c r="I63470" s="63"/>
      <c r="R63470" s="64"/>
    </row>
    <row r="63471" spans="3:18" s="8" customFormat="1" x14ac:dyDescent="0.25">
      <c r="C63471" s="60"/>
      <c r="I63471" s="63"/>
      <c r="R63471" s="64"/>
    </row>
    <row r="63472" spans="3:18" s="8" customFormat="1" x14ac:dyDescent="0.25">
      <c r="C63472" s="60"/>
      <c r="I63472" s="63"/>
      <c r="R63472" s="64"/>
    </row>
    <row r="63473" spans="3:18" s="8" customFormat="1" x14ac:dyDescent="0.25">
      <c r="C63473" s="60"/>
      <c r="I63473" s="63"/>
      <c r="R63473" s="64"/>
    </row>
    <row r="63474" spans="3:18" s="8" customFormat="1" x14ac:dyDescent="0.25">
      <c r="C63474" s="60"/>
      <c r="I63474" s="63"/>
      <c r="R63474" s="64"/>
    </row>
    <row r="63475" spans="3:18" s="8" customFormat="1" x14ac:dyDescent="0.25">
      <c r="C63475" s="60"/>
      <c r="I63475" s="63"/>
      <c r="R63475" s="64"/>
    </row>
    <row r="63476" spans="3:18" s="8" customFormat="1" x14ac:dyDescent="0.25">
      <c r="C63476" s="60"/>
      <c r="I63476" s="63"/>
      <c r="R63476" s="64"/>
    </row>
    <row r="63477" spans="3:18" s="8" customFormat="1" x14ac:dyDescent="0.25">
      <c r="C63477" s="60"/>
      <c r="I63477" s="63"/>
      <c r="R63477" s="64"/>
    </row>
    <row r="63478" spans="3:18" s="8" customFormat="1" x14ac:dyDescent="0.25">
      <c r="C63478" s="60"/>
      <c r="I63478" s="63"/>
      <c r="R63478" s="64"/>
    </row>
    <row r="63479" spans="3:18" s="8" customFormat="1" x14ac:dyDescent="0.25">
      <c r="C63479" s="60"/>
      <c r="I63479" s="63"/>
      <c r="R63479" s="64"/>
    </row>
    <row r="63480" spans="3:18" s="8" customFormat="1" x14ac:dyDescent="0.25">
      <c r="C63480" s="60"/>
      <c r="I63480" s="63"/>
      <c r="R63480" s="64"/>
    </row>
    <row r="63481" spans="3:18" s="8" customFormat="1" x14ac:dyDescent="0.25">
      <c r="C63481" s="60"/>
      <c r="I63481" s="63"/>
      <c r="R63481" s="64"/>
    </row>
    <row r="63482" spans="3:18" s="8" customFormat="1" x14ac:dyDescent="0.25">
      <c r="C63482" s="60"/>
      <c r="I63482" s="63"/>
      <c r="R63482" s="64"/>
    </row>
    <row r="63483" spans="3:18" s="8" customFormat="1" x14ac:dyDescent="0.25">
      <c r="C63483" s="60"/>
      <c r="I63483" s="63"/>
      <c r="R63483" s="64"/>
    </row>
    <row r="63484" spans="3:18" s="8" customFormat="1" x14ac:dyDescent="0.25">
      <c r="C63484" s="60"/>
      <c r="I63484" s="63"/>
      <c r="R63484" s="64"/>
    </row>
    <row r="63485" spans="3:18" s="8" customFormat="1" x14ac:dyDescent="0.25">
      <c r="C63485" s="60"/>
      <c r="I63485" s="63"/>
      <c r="R63485" s="64"/>
    </row>
    <row r="63486" spans="3:18" s="8" customFormat="1" x14ac:dyDescent="0.25">
      <c r="C63486" s="60"/>
      <c r="I63486" s="63"/>
      <c r="R63486" s="64"/>
    </row>
    <row r="63487" spans="3:18" s="8" customFormat="1" x14ac:dyDescent="0.25">
      <c r="C63487" s="60"/>
      <c r="I63487" s="63"/>
      <c r="R63487" s="64"/>
    </row>
    <row r="63488" spans="3:18" s="8" customFormat="1" x14ac:dyDescent="0.25">
      <c r="C63488" s="60"/>
      <c r="I63488" s="63"/>
      <c r="R63488" s="64"/>
    </row>
    <row r="63489" spans="3:18" s="8" customFormat="1" x14ac:dyDescent="0.25">
      <c r="C63489" s="60"/>
      <c r="I63489" s="63"/>
      <c r="R63489" s="64"/>
    </row>
    <row r="63490" spans="3:18" s="8" customFormat="1" x14ac:dyDescent="0.25">
      <c r="C63490" s="60"/>
      <c r="I63490" s="63"/>
      <c r="R63490" s="64"/>
    </row>
    <row r="63491" spans="3:18" s="8" customFormat="1" x14ac:dyDescent="0.25">
      <c r="C63491" s="60"/>
      <c r="I63491" s="63"/>
      <c r="R63491" s="64"/>
    </row>
    <row r="63492" spans="3:18" s="8" customFormat="1" x14ac:dyDescent="0.25">
      <c r="C63492" s="60"/>
      <c r="I63492" s="63"/>
      <c r="R63492" s="64"/>
    </row>
    <row r="63493" spans="3:18" s="8" customFormat="1" x14ac:dyDescent="0.25">
      <c r="C63493" s="60"/>
      <c r="I63493" s="63"/>
      <c r="R63493" s="64"/>
    </row>
    <row r="63494" spans="3:18" s="8" customFormat="1" x14ac:dyDescent="0.25">
      <c r="C63494" s="60"/>
      <c r="I63494" s="63"/>
      <c r="R63494" s="64"/>
    </row>
    <row r="63495" spans="3:18" s="8" customFormat="1" x14ac:dyDescent="0.25">
      <c r="C63495" s="60"/>
      <c r="I63495" s="63"/>
      <c r="R63495" s="64"/>
    </row>
    <row r="63496" spans="3:18" s="8" customFormat="1" x14ac:dyDescent="0.25">
      <c r="C63496" s="60"/>
      <c r="I63496" s="63"/>
      <c r="R63496" s="64"/>
    </row>
    <row r="63497" spans="3:18" s="8" customFormat="1" x14ac:dyDescent="0.25">
      <c r="C63497" s="60"/>
      <c r="I63497" s="63"/>
      <c r="R63497" s="64"/>
    </row>
    <row r="63498" spans="3:18" s="8" customFormat="1" x14ac:dyDescent="0.25">
      <c r="C63498" s="60"/>
      <c r="I63498" s="63"/>
      <c r="R63498" s="64"/>
    </row>
    <row r="63499" spans="3:18" s="8" customFormat="1" x14ac:dyDescent="0.25">
      <c r="C63499" s="60"/>
      <c r="I63499" s="63"/>
      <c r="R63499" s="64"/>
    </row>
    <row r="63500" spans="3:18" s="8" customFormat="1" x14ac:dyDescent="0.25">
      <c r="C63500" s="60"/>
      <c r="I63500" s="63"/>
      <c r="R63500" s="64"/>
    </row>
    <row r="63501" spans="3:18" s="8" customFormat="1" x14ac:dyDescent="0.25">
      <c r="C63501" s="60"/>
      <c r="I63501" s="63"/>
      <c r="R63501" s="64"/>
    </row>
    <row r="63502" spans="3:18" s="8" customFormat="1" x14ac:dyDescent="0.25">
      <c r="C63502" s="60"/>
      <c r="I63502" s="63"/>
      <c r="R63502" s="64"/>
    </row>
    <row r="63503" spans="3:18" s="8" customFormat="1" x14ac:dyDescent="0.25">
      <c r="C63503" s="60"/>
      <c r="I63503" s="63"/>
      <c r="R63503" s="64"/>
    </row>
    <row r="63504" spans="3:18" s="8" customFormat="1" x14ac:dyDescent="0.25">
      <c r="C63504" s="60"/>
      <c r="I63504" s="63"/>
      <c r="R63504" s="64"/>
    </row>
    <row r="63505" spans="3:18" s="8" customFormat="1" x14ac:dyDescent="0.25">
      <c r="C63505" s="60"/>
      <c r="I63505" s="63"/>
      <c r="R63505" s="64"/>
    </row>
    <row r="63506" spans="3:18" s="8" customFormat="1" x14ac:dyDescent="0.25">
      <c r="C63506" s="60"/>
      <c r="I63506" s="63"/>
      <c r="R63506" s="64"/>
    </row>
    <row r="63507" spans="3:18" s="8" customFormat="1" x14ac:dyDescent="0.25">
      <c r="C63507" s="60"/>
      <c r="I63507" s="63"/>
      <c r="R63507" s="64"/>
    </row>
    <row r="63508" spans="3:18" s="8" customFormat="1" x14ac:dyDescent="0.25">
      <c r="C63508" s="60"/>
      <c r="I63508" s="63"/>
      <c r="R63508" s="64"/>
    </row>
    <row r="63509" spans="3:18" s="8" customFormat="1" x14ac:dyDescent="0.25">
      <c r="C63509" s="60"/>
      <c r="I63509" s="63"/>
      <c r="R63509" s="64"/>
    </row>
    <row r="63510" spans="3:18" s="8" customFormat="1" x14ac:dyDescent="0.25">
      <c r="C63510" s="60"/>
      <c r="I63510" s="63"/>
      <c r="R63510" s="64"/>
    </row>
    <row r="63511" spans="3:18" s="8" customFormat="1" x14ac:dyDescent="0.25">
      <c r="C63511" s="60"/>
      <c r="I63511" s="63"/>
      <c r="R63511" s="64"/>
    </row>
    <row r="63512" spans="3:18" s="8" customFormat="1" x14ac:dyDescent="0.25">
      <c r="C63512" s="60"/>
      <c r="I63512" s="63"/>
      <c r="R63512" s="64"/>
    </row>
    <row r="63513" spans="3:18" s="8" customFormat="1" x14ac:dyDescent="0.25">
      <c r="C63513" s="60"/>
      <c r="I63513" s="63"/>
      <c r="R63513" s="64"/>
    </row>
    <row r="63514" spans="3:18" s="8" customFormat="1" x14ac:dyDescent="0.25">
      <c r="C63514" s="60"/>
      <c r="I63514" s="63"/>
      <c r="R63514" s="64"/>
    </row>
    <row r="63515" spans="3:18" s="8" customFormat="1" x14ac:dyDescent="0.25">
      <c r="C63515" s="60"/>
      <c r="I63515" s="63"/>
      <c r="R63515" s="64"/>
    </row>
    <row r="63516" spans="3:18" s="8" customFormat="1" x14ac:dyDescent="0.25">
      <c r="C63516" s="60"/>
      <c r="I63516" s="63"/>
      <c r="R63516" s="64"/>
    </row>
    <row r="63517" spans="3:18" s="8" customFormat="1" x14ac:dyDescent="0.25">
      <c r="C63517" s="60"/>
      <c r="I63517" s="63"/>
      <c r="R63517" s="64"/>
    </row>
    <row r="63518" spans="3:18" s="8" customFormat="1" x14ac:dyDescent="0.25">
      <c r="C63518" s="60"/>
      <c r="I63518" s="63"/>
      <c r="R63518" s="64"/>
    </row>
    <row r="63519" spans="3:18" s="8" customFormat="1" x14ac:dyDescent="0.25">
      <c r="C63519" s="60"/>
      <c r="I63519" s="63"/>
      <c r="R63519" s="64"/>
    </row>
    <row r="63520" spans="3:18" s="8" customFormat="1" x14ac:dyDescent="0.25">
      <c r="C63520" s="60"/>
      <c r="I63520" s="63"/>
      <c r="R63520" s="64"/>
    </row>
    <row r="63521" spans="3:18" s="8" customFormat="1" x14ac:dyDescent="0.25">
      <c r="C63521" s="60"/>
      <c r="I63521" s="63"/>
      <c r="R63521" s="64"/>
    </row>
    <row r="63522" spans="3:18" s="8" customFormat="1" x14ac:dyDescent="0.25">
      <c r="C63522" s="60"/>
      <c r="I63522" s="63"/>
      <c r="R63522" s="64"/>
    </row>
    <row r="63523" spans="3:18" s="8" customFormat="1" x14ac:dyDescent="0.25">
      <c r="C63523" s="60"/>
      <c r="I63523" s="63"/>
      <c r="R63523" s="64"/>
    </row>
    <row r="63524" spans="3:18" s="8" customFormat="1" x14ac:dyDescent="0.25">
      <c r="C63524" s="60"/>
      <c r="I63524" s="63"/>
      <c r="R63524" s="64"/>
    </row>
    <row r="63525" spans="3:18" s="8" customFormat="1" x14ac:dyDescent="0.25">
      <c r="C63525" s="60"/>
      <c r="I63525" s="63"/>
      <c r="R63525" s="64"/>
    </row>
    <row r="63526" spans="3:18" s="8" customFormat="1" x14ac:dyDescent="0.25">
      <c r="C63526" s="60"/>
      <c r="I63526" s="63"/>
      <c r="R63526" s="64"/>
    </row>
    <row r="63527" spans="3:18" s="8" customFormat="1" x14ac:dyDescent="0.25">
      <c r="C63527" s="60"/>
      <c r="I63527" s="63"/>
      <c r="R63527" s="64"/>
    </row>
    <row r="63528" spans="3:18" s="8" customFormat="1" x14ac:dyDescent="0.25">
      <c r="C63528" s="60"/>
      <c r="I63528" s="63"/>
      <c r="R63528" s="64"/>
    </row>
    <row r="63529" spans="3:18" s="8" customFormat="1" x14ac:dyDescent="0.25">
      <c r="C63529" s="60"/>
      <c r="I63529" s="63"/>
      <c r="R63529" s="64"/>
    </row>
    <row r="63530" spans="3:18" s="8" customFormat="1" x14ac:dyDescent="0.25">
      <c r="C63530" s="60"/>
      <c r="I63530" s="63"/>
      <c r="R63530" s="64"/>
    </row>
    <row r="63531" spans="3:18" s="8" customFormat="1" x14ac:dyDescent="0.25">
      <c r="C63531" s="60"/>
      <c r="I63531" s="63"/>
      <c r="R63531" s="64"/>
    </row>
    <row r="63532" spans="3:18" s="8" customFormat="1" x14ac:dyDescent="0.25">
      <c r="C63532" s="60"/>
      <c r="I63532" s="63"/>
      <c r="R63532" s="64"/>
    </row>
    <row r="63533" spans="3:18" s="8" customFormat="1" x14ac:dyDescent="0.25">
      <c r="C63533" s="60"/>
      <c r="I63533" s="63"/>
      <c r="R63533" s="64"/>
    </row>
    <row r="63534" spans="3:18" s="8" customFormat="1" x14ac:dyDescent="0.25">
      <c r="C63534" s="60"/>
      <c r="I63534" s="63"/>
      <c r="R63534" s="64"/>
    </row>
    <row r="63535" spans="3:18" s="8" customFormat="1" x14ac:dyDescent="0.25">
      <c r="C63535" s="60"/>
      <c r="I63535" s="63"/>
      <c r="R63535" s="64"/>
    </row>
    <row r="63536" spans="3:18" s="8" customFormat="1" x14ac:dyDescent="0.25">
      <c r="C63536" s="60"/>
      <c r="I63536" s="63"/>
      <c r="R63536" s="64"/>
    </row>
    <row r="63537" spans="3:18" s="8" customFormat="1" x14ac:dyDescent="0.25">
      <c r="C63537" s="60"/>
      <c r="I63537" s="63"/>
      <c r="R63537" s="64"/>
    </row>
    <row r="63538" spans="3:18" s="8" customFormat="1" x14ac:dyDescent="0.25">
      <c r="C63538" s="60"/>
      <c r="I63538" s="63"/>
      <c r="R63538" s="64"/>
    </row>
    <row r="63539" spans="3:18" s="8" customFormat="1" x14ac:dyDescent="0.25">
      <c r="C63539" s="60"/>
      <c r="I63539" s="63"/>
      <c r="R63539" s="64"/>
    </row>
    <row r="63540" spans="3:18" s="8" customFormat="1" x14ac:dyDescent="0.25">
      <c r="C63540" s="60"/>
      <c r="I63540" s="63"/>
      <c r="R63540" s="64"/>
    </row>
    <row r="63541" spans="3:18" s="8" customFormat="1" x14ac:dyDescent="0.25">
      <c r="C63541" s="60"/>
      <c r="I63541" s="63"/>
      <c r="R63541" s="64"/>
    </row>
    <row r="63542" spans="3:18" s="8" customFormat="1" x14ac:dyDescent="0.25">
      <c r="C63542" s="60"/>
      <c r="I63542" s="63"/>
      <c r="R63542" s="64"/>
    </row>
    <row r="63543" spans="3:18" s="8" customFormat="1" x14ac:dyDescent="0.25">
      <c r="C63543" s="60"/>
      <c r="I63543" s="63"/>
      <c r="R63543" s="64"/>
    </row>
    <row r="63544" spans="3:18" s="8" customFormat="1" x14ac:dyDescent="0.25">
      <c r="C63544" s="60"/>
      <c r="I63544" s="63"/>
      <c r="R63544" s="64"/>
    </row>
    <row r="63545" spans="3:18" s="8" customFormat="1" x14ac:dyDescent="0.25">
      <c r="C63545" s="60"/>
      <c r="I63545" s="63"/>
      <c r="R63545" s="64"/>
    </row>
    <row r="63546" spans="3:18" s="8" customFormat="1" x14ac:dyDescent="0.25">
      <c r="C63546" s="60"/>
      <c r="I63546" s="63"/>
      <c r="R63546" s="64"/>
    </row>
    <row r="63547" spans="3:18" s="8" customFormat="1" x14ac:dyDescent="0.25">
      <c r="C63547" s="60"/>
      <c r="I63547" s="63"/>
      <c r="R63547" s="64"/>
    </row>
    <row r="63548" spans="3:18" s="8" customFormat="1" x14ac:dyDescent="0.25">
      <c r="C63548" s="60"/>
      <c r="I63548" s="63"/>
      <c r="R63548" s="64"/>
    </row>
    <row r="63549" spans="3:18" s="8" customFormat="1" x14ac:dyDescent="0.25">
      <c r="C63549" s="60"/>
      <c r="I63549" s="63"/>
      <c r="R63549" s="64"/>
    </row>
    <row r="63550" spans="3:18" s="8" customFormat="1" x14ac:dyDescent="0.25">
      <c r="C63550" s="60"/>
      <c r="I63550" s="63"/>
      <c r="R63550" s="64"/>
    </row>
    <row r="63551" spans="3:18" s="8" customFormat="1" x14ac:dyDescent="0.25">
      <c r="C63551" s="60"/>
      <c r="I63551" s="63"/>
      <c r="R63551" s="64"/>
    </row>
    <row r="63552" spans="3:18" s="8" customFormat="1" x14ac:dyDescent="0.25">
      <c r="C63552" s="60"/>
      <c r="I63552" s="63"/>
      <c r="R63552" s="64"/>
    </row>
    <row r="63553" spans="3:18" s="8" customFormat="1" x14ac:dyDescent="0.25">
      <c r="C63553" s="60"/>
      <c r="I63553" s="63"/>
      <c r="R63553" s="64"/>
    </row>
    <row r="63554" spans="3:18" s="8" customFormat="1" x14ac:dyDescent="0.25">
      <c r="C63554" s="60"/>
      <c r="I63554" s="63"/>
      <c r="R63554" s="64"/>
    </row>
    <row r="63555" spans="3:18" s="8" customFormat="1" x14ac:dyDescent="0.25">
      <c r="C63555" s="60"/>
      <c r="I63555" s="63"/>
      <c r="R63555" s="64"/>
    </row>
    <row r="63556" spans="3:18" s="8" customFormat="1" x14ac:dyDescent="0.25">
      <c r="C63556" s="60"/>
      <c r="I63556" s="63"/>
      <c r="R63556" s="64"/>
    </row>
    <row r="63557" spans="3:18" s="8" customFormat="1" x14ac:dyDescent="0.25">
      <c r="C63557" s="60"/>
      <c r="I63557" s="63"/>
      <c r="R63557" s="64"/>
    </row>
    <row r="63558" spans="3:18" s="8" customFormat="1" x14ac:dyDescent="0.25">
      <c r="C63558" s="60"/>
      <c r="I63558" s="63"/>
      <c r="R63558" s="64"/>
    </row>
    <row r="63559" spans="3:18" s="8" customFormat="1" x14ac:dyDescent="0.25">
      <c r="C63559" s="60"/>
      <c r="I63559" s="63"/>
      <c r="R63559" s="64"/>
    </row>
    <row r="63560" spans="3:18" s="8" customFormat="1" x14ac:dyDescent="0.25">
      <c r="C63560" s="60"/>
      <c r="I63560" s="63"/>
      <c r="R63560" s="64"/>
    </row>
    <row r="63561" spans="3:18" s="8" customFormat="1" x14ac:dyDescent="0.25">
      <c r="C63561" s="60"/>
      <c r="I63561" s="63"/>
      <c r="R63561" s="64"/>
    </row>
    <row r="63562" spans="3:18" s="8" customFormat="1" x14ac:dyDescent="0.25">
      <c r="C63562" s="60"/>
      <c r="I63562" s="63"/>
      <c r="R63562" s="64"/>
    </row>
    <row r="63563" spans="3:18" s="8" customFormat="1" x14ac:dyDescent="0.25">
      <c r="C63563" s="60"/>
      <c r="I63563" s="63"/>
      <c r="R63563" s="64"/>
    </row>
    <row r="63564" spans="3:18" s="8" customFormat="1" x14ac:dyDescent="0.25">
      <c r="C63564" s="60"/>
      <c r="I63564" s="63"/>
      <c r="R63564" s="64"/>
    </row>
    <row r="63565" spans="3:18" s="8" customFormat="1" x14ac:dyDescent="0.25">
      <c r="C63565" s="60"/>
      <c r="I63565" s="63"/>
      <c r="R63565" s="64"/>
    </row>
    <row r="63566" spans="3:18" s="8" customFormat="1" x14ac:dyDescent="0.25">
      <c r="C63566" s="60"/>
      <c r="I63566" s="63"/>
      <c r="R63566" s="64"/>
    </row>
    <row r="63567" spans="3:18" s="8" customFormat="1" x14ac:dyDescent="0.25">
      <c r="C63567" s="60"/>
      <c r="I63567" s="63"/>
      <c r="R63567" s="64"/>
    </row>
    <row r="63568" spans="3:18" s="8" customFormat="1" x14ac:dyDescent="0.25">
      <c r="C63568" s="60"/>
      <c r="I63568" s="63"/>
      <c r="R63568" s="64"/>
    </row>
    <row r="63569" spans="3:18" s="8" customFormat="1" x14ac:dyDescent="0.25">
      <c r="C63569" s="60"/>
      <c r="I63569" s="63"/>
      <c r="R63569" s="64"/>
    </row>
    <row r="63570" spans="3:18" s="8" customFormat="1" x14ac:dyDescent="0.25">
      <c r="C63570" s="60"/>
      <c r="I63570" s="63"/>
      <c r="R63570" s="64"/>
    </row>
    <row r="63571" spans="3:18" s="8" customFormat="1" x14ac:dyDescent="0.25">
      <c r="C63571" s="60"/>
      <c r="I63571" s="63"/>
      <c r="R63571" s="64"/>
    </row>
    <row r="63572" spans="3:18" s="8" customFormat="1" x14ac:dyDescent="0.25">
      <c r="C63572" s="60"/>
      <c r="I63572" s="63"/>
      <c r="R63572" s="64"/>
    </row>
    <row r="63573" spans="3:18" s="8" customFormat="1" x14ac:dyDescent="0.25">
      <c r="C63573" s="60"/>
      <c r="I63573" s="63"/>
      <c r="R63573" s="64"/>
    </row>
    <row r="63574" spans="3:18" s="8" customFormat="1" x14ac:dyDescent="0.25">
      <c r="C63574" s="60"/>
      <c r="I63574" s="63"/>
      <c r="R63574" s="64"/>
    </row>
    <row r="63575" spans="3:18" s="8" customFormat="1" x14ac:dyDescent="0.25">
      <c r="C63575" s="60"/>
      <c r="I63575" s="63"/>
      <c r="R63575" s="64"/>
    </row>
    <row r="63576" spans="3:18" s="8" customFormat="1" x14ac:dyDescent="0.25">
      <c r="C63576" s="60"/>
      <c r="I63576" s="63"/>
      <c r="R63576" s="64"/>
    </row>
    <row r="63577" spans="3:18" s="8" customFormat="1" x14ac:dyDescent="0.25">
      <c r="C63577" s="60"/>
      <c r="I63577" s="63"/>
      <c r="R63577" s="64"/>
    </row>
    <row r="63578" spans="3:18" s="8" customFormat="1" x14ac:dyDescent="0.25">
      <c r="C63578" s="60"/>
      <c r="I63578" s="63"/>
      <c r="R63578" s="64"/>
    </row>
    <row r="63579" spans="3:18" s="8" customFormat="1" x14ac:dyDescent="0.25">
      <c r="C63579" s="60"/>
      <c r="I63579" s="63"/>
      <c r="R63579" s="64"/>
    </row>
    <row r="63580" spans="3:18" s="8" customFormat="1" x14ac:dyDescent="0.25">
      <c r="C63580" s="60"/>
      <c r="I63580" s="63"/>
      <c r="R63580" s="64"/>
    </row>
    <row r="63581" spans="3:18" s="8" customFormat="1" x14ac:dyDescent="0.25">
      <c r="C63581" s="60"/>
      <c r="I63581" s="63"/>
      <c r="R63581" s="64"/>
    </row>
    <row r="63582" spans="3:18" s="8" customFormat="1" x14ac:dyDescent="0.25">
      <c r="C63582" s="60"/>
      <c r="I63582" s="63"/>
      <c r="R63582" s="64"/>
    </row>
    <row r="63583" spans="3:18" s="8" customFormat="1" x14ac:dyDescent="0.25">
      <c r="C63583" s="60"/>
      <c r="I63583" s="63"/>
      <c r="R63583" s="64"/>
    </row>
    <row r="63584" spans="3:18" s="8" customFormat="1" x14ac:dyDescent="0.25">
      <c r="C63584" s="60"/>
      <c r="I63584" s="63"/>
      <c r="R63584" s="64"/>
    </row>
    <row r="63585" spans="3:18" s="8" customFormat="1" x14ac:dyDescent="0.25">
      <c r="C63585" s="60"/>
      <c r="I63585" s="63"/>
      <c r="R63585" s="64"/>
    </row>
    <row r="63586" spans="3:18" s="8" customFormat="1" x14ac:dyDescent="0.25">
      <c r="C63586" s="60"/>
      <c r="I63586" s="63"/>
      <c r="R63586" s="64"/>
    </row>
    <row r="63587" spans="3:18" s="8" customFormat="1" x14ac:dyDescent="0.25">
      <c r="C63587" s="60"/>
      <c r="I63587" s="63"/>
      <c r="R63587" s="64"/>
    </row>
    <row r="63588" spans="3:18" s="8" customFormat="1" x14ac:dyDescent="0.25">
      <c r="C63588" s="60"/>
      <c r="I63588" s="63"/>
      <c r="R63588" s="64"/>
    </row>
    <row r="63589" spans="3:18" s="8" customFormat="1" x14ac:dyDescent="0.25">
      <c r="C63589" s="60"/>
      <c r="I63589" s="63"/>
      <c r="R63589" s="64"/>
    </row>
    <row r="63590" spans="3:18" s="8" customFormat="1" x14ac:dyDescent="0.25">
      <c r="C63590" s="60"/>
      <c r="I63590" s="63"/>
      <c r="R63590" s="64"/>
    </row>
    <row r="63591" spans="3:18" s="8" customFormat="1" x14ac:dyDescent="0.25">
      <c r="C63591" s="60"/>
      <c r="I63591" s="63"/>
      <c r="R63591" s="64"/>
    </row>
    <row r="63592" spans="3:18" s="8" customFormat="1" x14ac:dyDescent="0.25">
      <c r="C63592" s="60"/>
      <c r="I63592" s="63"/>
      <c r="R63592" s="64"/>
    </row>
    <row r="63593" spans="3:18" s="8" customFormat="1" x14ac:dyDescent="0.25">
      <c r="C63593" s="60"/>
      <c r="I63593" s="63"/>
      <c r="R63593" s="64"/>
    </row>
    <row r="63594" spans="3:18" s="8" customFormat="1" x14ac:dyDescent="0.25">
      <c r="C63594" s="60"/>
      <c r="I63594" s="63"/>
      <c r="R63594" s="64"/>
    </row>
    <row r="63595" spans="3:18" s="8" customFormat="1" x14ac:dyDescent="0.25">
      <c r="C63595" s="60"/>
      <c r="I63595" s="63"/>
      <c r="R63595" s="64"/>
    </row>
    <row r="63596" spans="3:18" s="8" customFormat="1" x14ac:dyDescent="0.25">
      <c r="C63596" s="60"/>
      <c r="I63596" s="63"/>
      <c r="R63596" s="64"/>
    </row>
    <row r="63597" spans="3:18" s="8" customFormat="1" x14ac:dyDescent="0.25">
      <c r="C63597" s="60"/>
      <c r="I63597" s="63"/>
      <c r="R63597" s="64"/>
    </row>
    <row r="63598" spans="3:18" s="8" customFormat="1" x14ac:dyDescent="0.25">
      <c r="C63598" s="60"/>
      <c r="I63598" s="63"/>
      <c r="R63598" s="64"/>
    </row>
    <row r="63599" spans="3:18" s="8" customFormat="1" x14ac:dyDescent="0.25">
      <c r="C63599" s="60"/>
      <c r="I63599" s="63"/>
      <c r="R63599" s="64"/>
    </row>
    <row r="63600" spans="3:18" s="8" customFormat="1" x14ac:dyDescent="0.25">
      <c r="C63600" s="60"/>
      <c r="I63600" s="63"/>
      <c r="R63600" s="64"/>
    </row>
    <row r="63601" spans="3:18" s="8" customFormat="1" x14ac:dyDescent="0.25">
      <c r="C63601" s="60"/>
      <c r="I63601" s="63"/>
      <c r="R63601" s="64"/>
    </row>
    <row r="63602" spans="3:18" s="8" customFormat="1" x14ac:dyDescent="0.25">
      <c r="C63602" s="60"/>
      <c r="I63602" s="63"/>
      <c r="R63602" s="64"/>
    </row>
    <row r="63603" spans="3:18" s="8" customFormat="1" x14ac:dyDescent="0.25">
      <c r="C63603" s="60"/>
      <c r="I63603" s="63"/>
      <c r="R63603" s="64"/>
    </row>
    <row r="63604" spans="3:18" s="8" customFormat="1" x14ac:dyDescent="0.25">
      <c r="C63604" s="60"/>
      <c r="I63604" s="63"/>
      <c r="R63604" s="64"/>
    </row>
    <row r="63605" spans="3:18" s="8" customFormat="1" x14ac:dyDescent="0.25">
      <c r="C63605" s="60"/>
      <c r="I63605" s="63"/>
      <c r="R63605" s="64"/>
    </row>
    <row r="63606" spans="3:18" s="8" customFormat="1" x14ac:dyDescent="0.25">
      <c r="C63606" s="60"/>
      <c r="I63606" s="63"/>
      <c r="R63606" s="64"/>
    </row>
    <row r="63607" spans="3:18" s="8" customFormat="1" x14ac:dyDescent="0.25">
      <c r="C63607" s="60"/>
      <c r="I63607" s="63"/>
      <c r="R63607" s="64"/>
    </row>
    <row r="63608" spans="3:18" s="8" customFormat="1" x14ac:dyDescent="0.25">
      <c r="C63608" s="60"/>
      <c r="I63608" s="63"/>
      <c r="R63608" s="64"/>
    </row>
    <row r="63609" spans="3:18" s="8" customFormat="1" x14ac:dyDescent="0.25">
      <c r="C63609" s="60"/>
      <c r="I63609" s="63"/>
      <c r="R63609" s="64"/>
    </row>
    <row r="63610" spans="3:18" s="8" customFormat="1" x14ac:dyDescent="0.25">
      <c r="C63610" s="60"/>
      <c r="I63610" s="63"/>
      <c r="R63610" s="64"/>
    </row>
    <row r="63611" spans="3:18" s="8" customFormat="1" x14ac:dyDescent="0.25">
      <c r="C63611" s="60"/>
      <c r="I63611" s="63"/>
      <c r="R63611" s="64"/>
    </row>
    <row r="63612" spans="3:18" s="8" customFormat="1" x14ac:dyDescent="0.25">
      <c r="C63612" s="60"/>
      <c r="I63612" s="63"/>
      <c r="R63612" s="64"/>
    </row>
    <row r="63613" spans="3:18" s="8" customFormat="1" x14ac:dyDescent="0.25">
      <c r="C63613" s="60"/>
      <c r="I63613" s="63"/>
      <c r="R63613" s="64"/>
    </row>
    <row r="63614" spans="3:18" s="8" customFormat="1" x14ac:dyDescent="0.25">
      <c r="C63614" s="60"/>
      <c r="I63614" s="63"/>
      <c r="R63614" s="64"/>
    </row>
    <row r="63615" spans="3:18" s="8" customFormat="1" x14ac:dyDescent="0.25">
      <c r="C63615" s="60"/>
      <c r="I63615" s="63"/>
      <c r="R63615" s="64"/>
    </row>
    <row r="63616" spans="3:18" s="8" customFormat="1" x14ac:dyDescent="0.25">
      <c r="C63616" s="60"/>
      <c r="I63616" s="63"/>
      <c r="R63616" s="64"/>
    </row>
    <row r="63617" spans="3:18" s="8" customFormat="1" x14ac:dyDescent="0.25">
      <c r="C63617" s="60"/>
      <c r="I63617" s="63"/>
      <c r="R63617" s="64"/>
    </row>
    <row r="63618" spans="3:18" s="8" customFormat="1" x14ac:dyDescent="0.25">
      <c r="C63618" s="60"/>
      <c r="I63618" s="63"/>
      <c r="R63618" s="64"/>
    </row>
    <row r="63619" spans="3:18" s="8" customFormat="1" x14ac:dyDescent="0.25">
      <c r="C63619" s="60"/>
      <c r="I63619" s="63"/>
      <c r="R63619" s="64"/>
    </row>
    <row r="63620" spans="3:18" s="8" customFormat="1" x14ac:dyDescent="0.25">
      <c r="C63620" s="60"/>
      <c r="I63620" s="63"/>
      <c r="R63620" s="64"/>
    </row>
    <row r="63621" spans="3:18" s="8" customFormat="1" x14ac:dyDescent="0.25">
      <c r="C63621" s="60"/>
      <c r="I63621" s="63"/>
      <c r="R63621" s="64"/>
    </row>
    <row r="63622" spans="3:18" s="8" customFormat="1" x14ac:dyDescent="0.25">
      <c r="C63622" s="60"/>
      <c r="I63622" s="63"/>
      <c r="R63622" s="64"/>
    </row>
    <row r="63623" spans="3:18" s="8" customFormat="1" x14ac:dyDescent="0.25">
      <c r="C63623" s="60"/>
      <c r="I63623" s="63"/>
      <c r="R63623" s="64"/>
    </row>
    <row r="63624" spans="3:18" s="8" customFormat="1" x14ac:dyDescent="0.25">
      <c r="C63624" s="60"/>
      <c r="I63624" s="63"/>
      <c r="R63624" s="64"/>
    </row>
    <row r="63625" spans="3:18" s="8" customFormat="1" x14ac:dyDescent="0.25">
      <c r="C63625" s="60"/>
      <c r="I63625" s="63"/>
      <c r="R63625" s="64"/>
    </row>
    <row r="63626" spans="3:18" s="8" customFormat="1" x14ac:dyDescent="0.25">
      <c r="C63626" s="60"/>
      <c r="I63626" s="63"/>
      <c r="R63626" s="64"/>
    </row>
    <row r="63627" spans="3:18" s="8" customFormat="1" x14ac:dyDescent="0.25">
      <c r="C63627" s="60"/>
      <c r="I63627" s="63"/>
      <c r="R63627" s="64"/>
    </row>
    <row r="63628" spans="3:18" s="8" customFormat="1" x14ac:dyDescent="0.25">
      <c r="C63628" s="60"/>
      <c r="I63628" s="63"/>
      <c r="R63628" s="64"/>
    </row>
    <row r="63629" spans="3:18" s="8" customFormat="1" x14ac:dyDescent="0.25">
      <c r="C63629" s="60"/>
      <c r="I63629" s="63"/>
      <c r="R63629" s="64"/>
    </row>
    <row r="63630" spans="3:18" s="8" customFormat="1" x14ac:dyDescent="0.25">
      <c r="C63630" s="60"/>
      <c r="I63630" s="63"/>
      <c r="R63630" s="64"/>
    </row>
    <row r="63631" spans="3:18" s="8" customFormat="1" x14ac:dyDescent="0.25">
      <c r="C63631" s="60"/>
      <c r="I63631" s="63"/>
      <c r="R63631" s="64"/>
    </row>
    <row r="63632" spans="3:18" s="8" customFormat="1" x14ac:dyDescent="0.25">
      <c r="C63632" s="60"/>
      <c r="I63632" s="63"/>
      <c r="R63632" s="64"/>
    </row>
    <row r="63633" spans="3:18" s="8" customFormat="1" x14ac:dyDescent="0.25">
      <c r="C63633" s="60"/>
      <c r="I63633" s="63"/>
      <c r="R63633" s="64"/>
    </row>
    <row r="63634" spans="3:18" s="8" customFormat="1" x14ac:dyDescent="0.25">
      <c r="C63634" s="60"/>
      <c r="I63634" s="63"/>
      <c r="R63634" s="64"/>
    </row>
    <row r="63635" spans="3:18" s="8" customFormat="1" x14ac:dyDescent="0.25">
      <c r="C63635" s="60"/>
      <c r="I63635" s="63"/>
      <c r="R63635" s="64"/>
    </row>
    <row r="63636" spans="3:18" s="8" customFormat="1" x14ac:dyDescent="0.25">
      <c r="C63636" s="60"/>
      <c r="I63636" s="63"/>
      <c r="R63636" s="64"/>
    </row>
    <row r="63637" spans="3:18" s="8" customFormat="1" x14ac:dyDescent="0.25">
      <c r="C63637" s="60"/>
      <c r="I63637" s="63"/>
      <c r="R63637" s="64"/>
    </row>
    <row r="63638" spans="3:18" s="8" customFormat="1" x14ac:dyDescent="0.25">
      <c r="C63638" s="60"/>
      <c r="I63638" s="63"/>
      <c r="R63638" s="64"/>
    </row>
    <row r="63639" spans="3:18" s="8" customFormat="1" x14ac:dyDescent="0.25">
      <c r="C63639" s="60"/>
      <c r="I63639" s="63"/>
      <c r="R63639" s="64"/>
    </row>
    <row r="63640" spans="3:18" s="8" customFormat="1" x14ac:dyDescent="0.25">
      <c r="C63640" s="60"/>
      <c r="I63640" s="63"/>
      <c r="R63640" s="64"/>
    </row>
    <row r="63641" spans="3:18" s="8" customFormat="1" x14ac:dyDescent="0.25">
      <c r="C63641" s="60"/>
      <c r="I63641" s="63"/>
      <c r="R63641" s="64"/>
    </row>
    <row r="63642" spans="3:18" s="8" customFormat="1" x14ac:dyDescent="0.25">
      <c r="C63642" s="60"/>
      <c r="I63642" s="63"/>
      <c r="R63642" s="64"/>
    </row>
    <row r="63643" spans="3:18" s="8" customFormat="1" x14ac:dyDescent="0.25">
      <c r="C63643" s="60"/>
      <c r="I63643" s="63"/>
      <c r="R63643" s="64"/>
    </row>
    <row r="63644" spans="3:18" s="8" customFormat="1" x14ac:dyDescent="0.25">
      <c r="C63644" s="60"/>
      <c r="I63644" s="63"/>
      <c r="R63644" s="64"/>
    </row>
    <row r="63645" spans="3:18" s="8" customFormat="1" x14ac:dyDescent="0.25">
      <c r="C63645" s="60"/>
      <c r="I63645" s="63"/>
      <c r="R63645" s="64"/>
    </row>
    <row r="63646" spans="3:18" s="8" customFormat="1" x14ac:dyDescent="0.25">
      <c r="C63646" s="60"/>
      <c r="I63646" s="63"/>
      <c r="R63646" s="64"/>
    </row>
    <row r="63647" spans="3:18" s="8" customFormat="1" x14ac:dyDescent="0.25">
      <c r="C63647" s="60"/>
      <c r="I63647" s="63"/>
      <c r="R63647" s="64"/>
    </row>
    <row r="63648" spans="3:18" s="8" customFormat="1" x14ac:dyDescent="0.25">
      <c r="C63648" s="60"/>
      <c r="I63648" s="63"/>
      <c r="R63648" s="64"/>
    </row>
    <row r="63649" spans="3:18" s="8" customFormat="1" x14ac:dyDescent="0.25">
      <c r="C63649" s="60"/>
      <c r="I63649" s="63"/>
      <c r="R63649" s="64"/>
    </row>
    <row r="63650" spans="3:18" s="8" customFormat="1" x14ac:dyDescent="0.25">
      <c r="C63650" s="60"/>
      <c r="I63650" s="63"/>
      <c r="R63650" s="64"/>
    </row>
    <row r="63651" spans="3:18" s="8" customFormat="1" x14ac:dyDescent="0.25">
      <c r="C63651" s="60"/>
      <c r="I63651" s="63"/>
      <c r="R63651" s="64"/>
    </row>
    <row r="63652" spans="3:18" s="8" customFormat="1" x14ac:dyDescent="0.25">
      <c r="C63652" s="60"/>
      <c r="I63652" s="63"/>
      <c r="R63652" s="64"/>
    </row>
    <row r="63653" spans="3:18" s="8" customFormat="1" x14ac:dyDescent="0.25">
      <c r="C63653" s="60"/>
      <c r="I63653" s="63"/>
      <c r="R63653" s="64"/>
    </row>
    <row r="63654" spans="3:18" s="8" customFormat="1" x14ac:dyDescent="0.25">
      <c r="C63654" s="60"/>
      <c r="I63654" s="63"/>
      <c r="R63654" s="64"/>
    </row>
    <row r="63655" spans="3:18" s="8" customFormat="1" x14ac:dyDescent="0.25">
      <c r="C63655" s="60"/>
      <c r="I63655" s="63"/>
      <c r="R63655" s="64"/>
    </row>
    <row r="63656" spans="3:18" s="8" customFormat="1" x14ac:dyDescent="0.25">
      <c r="C63656" s="60"/>
      <c r="I63656" s="63"/>
      <c r="R63656" s="64"/>
    </row>
    <row r="63657" spans="3:18" s="8" customFormat="1" x14ac:dyDescent="0.25">
      <c r="C63657" s="60"/>
      <c r="I63657" s="63"/>
      <c r="R63657" s="64"/>
    </row>
    <row r="63658" spans="3:18" s="8" customFormat="1" x14ac:dyDescent="0.25">
      <c r="C63658" s="60"/>
      <c r="I63658" s="63"/>
      <c r="R63658" s="64"/>
    </row>
    <row r="63659" spans="3:18" s="8" customFormat="1" x14ac:dyDescent="0.25">
      <c r="C63659" s="60"/>
      <c r="I63659" s="63"/>
      <c r="R63659" s="64"/>
    </row>
    <row r="63660" spans="3:18" s="8" customFormat="1" x14ac:dyDescent="0.25">
      <c r="C63660" s="60"/>
      <c r="I63660" s="63"/>
      <c r="R63660" s="64"/>
    </row>
    <row r="63661" spans="3:18" s="8" customFormat="1" x14ac:dyDescent="0.25">
      <c r="C63661" s="60"/>
      <c r="I63661" s="63"/>
      <c r="R63661" s="64"/>
    </row>
    <row r="63662" spans="3:18" s="8" customFormat="1" x14ac:dyDescent="0.25">
      <c r="C63662" s="60"/>
      <c r="I63662" s="63"/>
      <c r="R63662" s="64"/>
    </row>
    <row r="63663" spans="3:18" s="8" customFormat="1" x14ac:dyDescent="0.25">
      <c r="C63663" s="60"/>
      <c r="I63663" s="63"/>
      <c r="R63663" s="64"/>
    </row>
    <row r="63664" spans="3:18" s="8" customFormat="1" x14ac:dyDescent="0.25">
      <c r="C63664" s="60"/>
      <c r="I63664" s="63"/>
      <c r="R63664" s="64"/>
    </row>
    <row r="63665" spans="3:18" s="8" customFormat="1" x14ac:dyDescent="0.25">
      <c r="C63665" s="60"/>
      <c r="I63665" s="63"/>
      <c r="R63665" s="64"/>
    </row>
    <row r="63666" spans="3:18" s="8" customFormat="1" x14ac:dyDescent="0.25">
      <c r="C63666" s="60"/>
      <c r="I63666" s="63"/>
      <c r="R63666" s="64"/>
    </row>
    <row r="63667" spans="3:18" s="8" customFormat="1" x14ac:dyDescent="0.25">
      <c r="C63667" s="60"/>
      <c r="I63667" s="63"/>
      <c r="R63667" s="64"/>
    </row>
    <row r="63668" spans="3:18" s="8" customFormat="1" x14ac:dyDescent="0.25">
      <c r="C63668" s="60"/>
      <c r="I63668" s="63"/>
      <c r="R63668" s="64"/>
    </row>
    <row r="63669" spans="3:18" s="8" customFormat="1" x14ac:dyDescent="0.25">
      <c r="C63669" s="60"/>
      <c r="I63669" s="63"/>
      <c r="R63669" s="64"/>
    </row>
    <row r="63670" spans="3:18" s="8" customFormat="1" x14ac:dyDescent="0.25">
      <c r="C63670" s="60"/>
      <c r="I63670" s="63"/>
      <c r="R63670" s="64"/>
    </row>
    <row r="63671" spans="3:18" s="8" customFormat="1" x14ac:dyDescent="0.25">
      <c r="C63671" s="60"/>
      <c r="I63671" s="63"/>
      <c r="R63671" s="64"/>
    </row>
    <row r="63672" spans="3:18" s="8" customFormat="1" x14ac:dyDescent="0.25">
      <c r="C63672" s="60"/>
      <c r="I63672" s="63"/>
      <c r="R63672" s="64"/>
    </row>
    <row r="63673" spans="3:18" s="8" customFormat="1" x14ac:dyDescent="0.25">
      <c r="C63673" s="60"/>
      <c r="I63673" s="63"/>
      <c r="R63673" s="64"/>
    </row>
    <row r="63674" spans="3:18" s="8" customFormat="1" x14ac:dyDescent="0.25">
      <c r="C63674" s="60"/>
      <c r="I63674" s="63"/>
      <c r="R63674" s="64"/>
    </row>
    <row r="63675" spans="3:18" s="8" customFormat="1" x14ac:dyDescent="0.25">
      <c r="C63675" s="60"/>
      <c r="I63675" s="63"/>
      <c r="R63675" s="64"/>
    </row>
    <row r="63676" spans="3:18" s="8" customFormat="1" x14ac:dyDescent="0.25">
      <c r="C63676" s="60"/>
      <c r="I63676" s="63"/>
      <c r="R63676" s="64"/>
    </row>
    <row r="63677" spans="3:18" s="8" customFormat="1" x14ac:dyDescent="0.25">
      <c r="C63677" s="60"/>
      <c r="I63677" s="63"/>
      <c r="R63677" s="64"/>
    </row>
    <row r="63678" spans="3:18" s="8" customFormat="1" x14ac:dyDescent="0.25">
      <c r="C63678" s="60"/>
      <c r="I63678" s="63"/>
      <c r="R63678" s="64"/>
    </row>
    <row r="63679" spans="3:18" s="8" customFormat="1" x14ac:dyDescent="0.25">
      <c r="C63679" s="60"/>
      <c r="I63679" s="63"/>
      <c r="R63679" s="64"/>
    </row>
    <row r="63680" spans="3:18" s="8" customFormat="1" x14ac:dyDescent="0.25">
      <c r="C63680" s="60"/>
      <c r="I63680" s="63"/>
      <c r="R63680" s="64"/>
    </row>
    <row r="63681" spans="3:18" s="8" customFormat="1" x14ac:dyDescent="0.25">
      <c r="C63681" s="60"/>
      <c r="I63681" s="63"/>
      <c r="R63681" s="64"/>
    </row>
    <row r="63682" spans="3:18" s="8" customFormat="1" x14ac:dyDescent="0.25">
      <c r="C63682" s="60"/>
      <c r="I63682" s="63"/>
      <c r="R63682" s="64"/>
    </row>
    <row r="63683" spans="3:18" s="8" customFormat="1" x14ac:dyDescent="0.25">
      <c r="C63683" s="60"/>
      <c r="I63683" s="63"/>
      <c r="R63683" s="64"/>
    </row>
    <row r="63684" spans="3:18" s="8" customFormat="1" x14ac:dyDescent="0.25">
      <c r="C63684" s="60"/>
      <c r="I63684" s="63"/>
      <c r="R63684" s="64"/>
    </row>
    <row r="63685" spans="3:18" s="8" customFormat="1" x14ac:dyDescent="0.25">
      <c r="C63685" s="60"/>
      <c r="I63685" s="63"/>
      <c r="R63685" s="64"/>
    </row>
    <row r="63686" spans="3:18" s="8" customFormat="1" x14ac:dyDescent="0.25">
      <c r="C63686" s="60"/>
      <c r="I63686" s="63"/>
      <c r="R63686" s="64"/>
    </row>
    <row r="63687" spans="3:18" s="8" customFormat="1" x14ac:dyDescent="0.25">
      <c r="C63687" s="60"/>
      <c r="I63687" s="63"/>
      <c r="R63687" s="64"/>
    </row>
    <row r="63688" spans="3:18" s="8" customFormat="1" x14ac:dyDescent="0.25">
      <c r="C63688" s="60"/>
      <c r="I63688" s="63"/>
      <c r="R63688" s="64"/>
    </row>
    <row r="63689" spans="3:18" s="8" customFormat="1" x14ac:dyDescent="0.25">
      <c r="C63689" s="60"/>
      <c r="I63689" s="63"/>
      <c r="R63689" s="64"/>
    </row>
    <row r="63690" spans="3:18" s="8" customFormat="1" x14ac:dyDescent="0.25">
      <c r="C63690" s="60"/>
      <c r="I63690" s="63"/>
      <c r="R63690" s="64"/>
    </row>
    <row r="63691" spans="3:18" s="8" customFormat="1" x14ac:dyDescent="0.25">
      <c r="C63691" s="60"/>
      <c r="I63691" s="63"/>
      <c r="R63691" s="64"/>
    </row>
    <row r="63692" spans="3:18" s="8" customFormat="1" x14ac:dyDescent="0.25">
      <c r="C63692" s="60"/>
      <c r="I63692" s="63"/>
      <c r="R63692" s="64"/>
    </row>
    <row r="63693" spans="3:18" s="8" customFormat="1" x14ac:dyDescent="0.25">
      <c r="C63693" s="60"/>
      <c r="I63693" s="63"/>
      <c r="R63693" s="64"/>
    </row>
    <row r="63694" spans="3:18" s="8" customFormat="1" x14ac:dyDescent="0.25">
      <c r="C63694" s="60"/>
      <c r="I63694" s="63"/>
      <c r="R63694" s="64"/>
    </row>
    <row r="63695" spans="3:18" s="8" customFormat="1" x14ac:dyDescent="0.25">
      <c r="C63695" s="60"/>
      <c r="I63695" s="63"/>
      <c r="R63695" s="64"/>
    </row>
    <row r="63696" spans="3:18" s="8" customFormat="1" x14ac:dyDescent="0.25">
      <c r="C63696" s="60"/>
      <c r="I63696" s="63"/>
      <c r="R63696" s="64"/>
    </row>
    <row r="63697" spans="3:18" s="8" customFormat="1" x14ac:dyDescent="0.25">
      <c r="C63697" s="60"/>
      <c r="I63697" s="63"/>
      <c r="R63697" s="64"/>
    </row>
    <row r="63698" spans="3:18" s="8" customFormat="1" x14ac:dyDescent="0.25">
      <c r="C63698" s="60"/>
      <c r="I63698" s="63"/>
      <c r="R63698" s="64"/>
    </row>
    <row r="63699" spans="3:18" s="8" customFormat="1" x14ac:dyDescent="0.25">
      <c r="C63699" s="60"/>
      <c r="I63699" s="63"/>
      <c r="R63699" s="64"/>
    </row>
    <row r="63700" spans="3:18" s="8" customFormat="1" x14ac:dyDescent="0.25">
      <c r="C63700" s="60"/>
      <c r="I63700" s="63"/>
      <c r="R63700" s="64"/>
    </row>
    <row r="63701" spans="3:18" s="8" customFormat="1" x14ac:dyDescent="0.25">
      <c r="C63701" s="60"/>
      <c r="I63701" s="63"/>
      <c r="R63701" s="64"/>
    </row>
    <row r="63702" spans="3:18" s="8" customFormat="1" x14ac:dyDescent="0.25">
      <c r="C63702" s="60"/>
      <c r="I63702" s="63"/>
      <c r="R63702" s="64"/>
    </row>
    <row r="63703" spans="3:18" s="8" customFormat="1" x14ac:dyDescent="0.25">
      <c r="C63703" s="60"/>
      <c r="I63703" s="63"/>
      <c r="R63703" s="64"/>
    </row>
    <row r="63704" spans="3:18" s="8" customFormat="1" x14ac:dyDescent="0.25">
      <c r="C63704" s="60"/>
      <c r="I63704" s="63"/>
      <c r="R63704" s="64"/>
    </row>
    <row r="63705" spans="3:18" s="8" customFormat="1" x14ac:dyDescent="0.25">
      <c r="C63705" s="60"/>
      <c r="I63705" s="63"/>
      <c r="R63705" s="64"/>
    </row>
    <row r="63706" spans="3:18" s="8" customFormat="1" x14ac:dyDescent="0.25">
      <c r="C63706" s="60"/>
      <c r="I63706" s="63"/>
      <c r="R63706" s="64"/>
    </row>
    <row r="63707" spans="3:18" s="8" customFormat="1" x14ac:dyDescent="0.25">
      <c r="C63707" s="60"/>
      <c r="I63707" s="63"/>
      <c r="R63707" s="64"/>
    </row>
    <row r="63708" spans="3:18" s="8" customFormat="1" x14ac:dyDescent="0.25">
      <c r="C63708" s="60"/>
      <c r="I63708" s="63"/>
      <c r="R63708" s="64"/>
    </row>
    <row r="63709" spans="3:18" s="8" customFormat="1" x14ac:dyDescent="0.25">
      <c r="C63709" s="60"/>
      <c r="I63709" s="63"/>
      <c r="R63709" s="64"/>
    </row>
    <row r="63710" spans="3:18" s="8" customFormat="1" x14ac:dyDescent="0.25">
      <c r="C63710" s="60"/>
      <c r="I63710" s="63"/>
      <c r="R63710" s="64"/>
    </row>
    <row r="63711" spans="3:18" s="8" customFormat="1" x14ac:dyDescent="0.25">
      <c r="C63711" s="60"/>
      <c r="I63711" s="63"/>
      <c r="R63711" s="64"/>
    </row>
    <row r="63712" spans="3:18" s="8" customFormat="1" x14ac:dyDescent="0.25">
      <c r="C63712" s="60"/>
      <c r="I63712" s="63"/>
      <c r="R63712" s="64"/>
    </row>
    <row r="63713" spans="3:18" s="8" customFormat="1" x14ac:dyDescent="0.25">
      <c r="C63713" s="60"/>
      <c r="I63713" s="63"/>
      <c r="R63713" s="64"/>
    </row>
    <row r="63714" spans="3:18" s="8" customFormat="1" x14ac:dyDescent="0.25">
      <c r="C63714" s="60"/>
      <c r="I63714" s="63"/>
      <c r="R63714" s="64"/>
    </row>
    <row r="63715" spans="3:18" s="8" customFormat="1" x14ac:dyDescent="0.25">
      <c r="C63715" s="60"/>
      <c r="I63715" s="63"/>
      <c r="R63715" s="64"/>
    </row>
    <row r="63716" spans="3:18" s="8" customFormat="1" x14ac:dyDescent="0.25">
      <c r="C63716" s="60"/>
      <c r="I63716" s="63"/>
      <c r="R63716" s="64"/>
    </row>
    <row r="63717" spans="3:18" s="8" customFormat="1" x14ac:dyDescent="0.25">
      <c r="C63717" s="60"/>
      <c r="I63717" s="63"/>
      <c r="R63717" s="64"/>
    </row>
    <row r="63718" spans="3:18" s="8" customFormat="1" x14ac:dyDescent="0.25">
      <c r="C63718" s="60"/>
      <c r="I63718" s="63"/>
      <c r="R63718" s="64"/>
    </row>
    <row r="63719" spans="3:18" s="8" customFormat="1" x14ac:dyDescent="0.25">
      <c r="C63719" s="60"/>
      <c r="I63719" s="63"/>
      <c r="R63719" s="64"/>
    </row>
    <row r="63720" spans="3:18" s="8" customFormat="1" x14ac:dyDescent="0.25">
      <c r="C63720" s="60"/>
      <c r="I63720" s="63"/>
      <c r="R63720" s="64"/>
    </row>
    <row r="63721" spans="3:18" s="8" customFormat="1" x14ac:dyDescent="0.25">
      <c r="C63721" s="60"/>
      <c r="I63721" s="63"/>
      <c r="R63721" s="64"/>
    </row>
    <row r="63722" spans="3:18" s="8" customFormat="1" x14ac:dyDescent="0.25">
      <c r="C63722" s="60"/>
      <c r="I63722" s="63"/>
      <c r="R63722" s="64"/>
    </row>
    <row r="63723" spans="3:18" s="8" customFormat="1" x14ac:dyDescent="0.25">
      <c r="C63723" s="60"/>
      <c r="I63723" s="63"/>
      <c r="R63723" s="64"/>
    </row>
    <row r="63724" spans="3:18" s="8" customFormat="1" x14ac:dyDescent="0.25">
      <c r="C63724" s="60"/>
      <c r="I63724" s="63"/>
      <c r="R63724" s="64"/>
    </row>
    <row r="63725" spans="3:18" s="8" customFormat="1" x14ac:dyDescent="0.25">
      <c r="C63725" s="60"/>
      <c r="I63725" s="63"/>
      <c r="R63725" s="64"/>
    </row>
    <row r="63726" spans="3:18" s="8" customFormat="1" x14ac:dyDescent="0.25">
      <c r="C63726" s="60"/>
      <c r="I63726" s="63"/>
      <c r="R63726" s="64"/>
    </row>
    <row r="63727" spans="3:18" s="8" customFormat="1" x14ac:dyDescent="0.25">
      <c r="C63727" s="60"/>
      <c r="I63727" s="63"/>
      <c r="R63727" s="64"/>
    </row>
    <row r="63728" spans="3:18" s="8" customFormat="1" x14ac:dyDescent="0.25">
      <c r="C63728" s="60"/>
      <c r="I63728" s="63"/>
      <c r="R63728" s="64"/>
    </row>
    <row r="63729" spans="3:18" s="8" customFormat="1" x14ac:dyDescent="0.25">
      <c r="C63729" s="60"/>
      <c r="I63729" s="63"/>
      <c r="R63729" s="64"/>
    </row>
    <row r="63730" spans="3:18" s="8" customFormat="1" x14ac:dyDescent="0.25">
      <c r="C63730" s="60"/>
      <c r="I63730" s="63"/>
      <c r="R63730" s="64"/>
    </row>
    <row r="63731" spans="3:18" s="8" customFormat="1" x14ac:dyDescent="0.25">
      <c r="C63731" s="60"/>
      <c r="I63731" s="63"/>
      <c r="R63731" s="64"/>
    </row>
    <row r="63732" spans="3:18" s="8" customFormat="1" x14ac:dyDescent="0.25">
      <c r="C63732" s="60"/>
      <c r="I63732" s="63"/>
      <c r="R63732" s="64"/>
    </row>
    <row r="63733" spans="3:18" s="8" customFormat="1" x14ac:dyDescent="0.25">
      <c r="C63733" s="60"/>
      <c r="I63733" s="63"/>
      <c r="R63733" s="64"/>
    </row>
    <row r="63734" spans="3:18" s="8" customFormat="1" x14ac:dyDescent="0.25">
      <c r="C63734" s="60"/>
      <c r="I63734" s="63"/>
      <c r="R63734" s="64"/>
    </row>
    <row r="63735" spans="3:18" s="8" customFormat="1" x14ac:dyDescent="0.25">
      <c r="C63735" s="60"/>
      <c r="I63735" s="63"/>
      <c r="R63735" s="64"/>
    </row>
    <row r="63736" spans="3:18" s="8" customFormat="1" x14ac:dyDescent="0.25">
      <c r="C63736" s="60"/>
      <c r="I63736" s="63"/>
      <c r="R63736" s="64"/>
    </row>
    <row r="63737" spans="3:18" s="8" customFormat="1" x14ac:dyDescent="0.25">
      <c r="C63737" s="60"/>
      <c r="I63737" s="63"/>
      <c r="R63737" s="64"/>
    </row>
    <row r="63738" spans="3:18" s="8" customFormat="1" x14ac:dyDescent="0.25">
      <c r="C63738" s="60"/>
      <c r="I63738" s="63"/>
      <c r="R63738" s="64"/>
    </row>
    <row r="63739" spans="3:18" s="8" customFormat="1" x14ac:dyDescent="0.25">
      <c r="C63739" s="60"/>
      <c r="I63739" s="63"/>
      <c r="R63739" s="64"/>
    </row>
    <row r="63740" spans="3:18" s="8" customFormat="1" x14ac:dyDescent="0.25">
      <c r="C63740" s="60"/>
      <c r="I63740" s="63"/>
      <c r="R63740" s="64"/>
    </row>
    <row r="63741" spans="3:18" s="8" customFormat="1" x14ac:dyDescent="0.25">
      <c r="C63741" s="60"/>
      <c r="I63741" s="63"/>
      <c r="R63741" s="64"/>
    </row>
    <row r="63742" spans="3:18" s="8" customFormat="1" x14ac:dyDescent="0.25">
      <c r="C63742" s="60"/>
      <c r="I63742" s="63"/>
      <c r="R63742" s="64"/>
    </row>
    <row r="63743" spans="3:18" s="8" customFormat="1" x14ac:dyDescent="0.25">
      <c r="C63743" s="60"/>
      <c r="I63743" s="63"/>
      <c r="R63743" s="64"/>
    </row>
    <row r="63744" spans="3:18" s="8" customFormat="1" x14ac:dyDescent="0.25">
      <c r="C63744" s="60"/>
      <c r="I63744" s="63"/>
      <c r="R63744" s="64"/>
    </row>
    <row r="63745" spans="3:18" s="8" customFormat="1" x14ac:dyDescent="0.25">
      <c r="C63745" s="60"/>
      <c r="I63745" s="63"/>
      <c r="R63745" s="64"/>
    </row>
    <row r="63746" spans="3:18" s="8" customFormat="1" x14ac:dyDescent="0.25">
      <c r="C63746" s="60"/>
      <c r="I63746" s="63"/>
      <c r="R63746" s="64"/>
    </row>
    <row r="63747" spans="3:18" s="8" customFormat="1" x14ac:dyDescent="0.25">
      <c r="C63747" s="60"/>
      <c r="I63747" s="63"/>
      <c r="R63747" s="64"/>
    </row>
    <row r="63748" spans="3:18" s="8" customFormat="1" x14ac:dyDescent="0.25">
      <c r="C63748" s="60"/>
      <c r="I63748" s="63"/>
      <c r="R63748" s="64"/>
    </row>
    <row r="63749" spans="3:18" s="8" customFormat="1" x14ac:dyDescent="0.25">
      <c r="C63749" s="60"/>
      <c r="I63749" s="63"/>
      <c r="R63749" s="64"/>
    </row>
    <row r="63750" spans="3:18" s="8" customFormat="1" x14ac:dyDescent="0.25">
      <c r="C63750" s="60"/>
      <c r="I63750" s="63"/>
      <c r="R63750" s="64"/>
    </row>
    <row r="63751" spans="3:18" s="8" customFormat="1" x14ac:dyDescent="0.25">
      <c r="C63751" s="60"/>
      <c r="I63751" s="63"/>
      <c r="R63751" s="64"/>
    </row>
    <row r="63752" spans="3:18" s="8" customFormat="1" x14ac:dyDescent="0.25">
      <c r="C63752" s="60"/>
      <c r="I63752" s="63"/>
      <c r="R63752" s="64"/>
    </row>
    <row r="63753" spans="3:18" s="8" customFormat="1" x14ac:dyDescent="0.25">
      <c r="C63753" s="60"/>
      <c r="I63753" s="63"/>
      <c r="R63753" s="64"/>
    </row>
    <row r="63754" spans="3:18" s="8" customFormat="1" x14ac:dyDescent="0.25">
      <c r="C63754" s="60"/>
      <c r="I63754" s="63"/>
      <c r="R63754" s="64"/>
    </row>
    <row r="63755" spans="3:18" s="8" customFormat="1" x14ac:dyDescent="0.25">
      <c r="C63755" s="60"/>
      <c r="I63755" s="63"/>
      <c r="R63755" s="64"/>
    </row>
    <row r="63756" spans="3:18" s="8" customFormat="1" x14ac:dyDescent="0.25">
      <c r="C63756" s="60"/>
      <c r="I63756" s="63"/>
      <c r="R63756" s="64"/>
    </row>
    <row r="63757" spans="3:18" s="8" customFormat="1" x14ac:dyDescent="0.25">
      <c r="C63757" s="60"/>
      <c r="I63757" s="63"/>
      <c r="R63757" s="64"/>
    </row>
    <row r="63758" spans="3:18" s="8" customFormat="1" x14ac:dyDescent="0.25">
      <c r="C63758" s="60"/>
      <c r="I63758" s="63"/>
      <c r="R63758" s="64"/>
    </row>
    <row r="63759" spans="3:18" s="8" customFormat="1" x14ac:dyDescent="0.25">
      <c r="C63759" s="60"/>
      <c r="I63759" s="63"/>
      <c r="R63759" s="64"/>
    </row>
    <row r="63760" spans="3:18" s="8" customFormat="1" x14ac:dyDescent="0.25">
      <c r="C63760" s="60"/>
      <c r="I63760" s="63"/>
      <c r="R63760" s="64"/>
    </row>
    <row r="63761" spans="3:18" s="8" customFormat="1" x14ac:dyDescent="0.25">
      <c r="C63761" s="60"/>
      <c r="I63761" s="63"/>
      <c r="R63761" s="64"/>
    </row>
    <row r="63762" spans="3:18" s="8" customFormat="1" x14ac:dyDescent="0.25">
      <c r="C63762" s="60"/>
      <c r="I63762" s="63"/>
      <c r="R63762" s="64"/>
    </row>
    <row r="63763" spans="3:18" s="8" customFormat="1" x14ac:dyDescent="0.25">
      <c r="C63763" s="60"/>
      <c r="I63763" s="63"/>
      <c r="R63763" s="64"/>
    </row>
    <row r="63764" spans="3:18" s="8" customFormat="1" x14ac:dyDescent="0.25">
      <c r="C63764" s="60"/>
      <c r="I63764" s="63"/>
      <c r="R63764" s="64"/>
    </row>
    <row r="63765" spans="3:18" s="8" customFormat="1" x14ac:dyDescent="0.25">
      <c r="C63765" s="60"/>
      <c r="I63765" s="63"/>
      <c r="R63765" s="64"/>
    </row>
    <row r="63766" spans="3:18" s="8" customFormat="1" x14ac:dyDescent="0.25">
      <c r="C63766" s="60"/>
      <c r="I63766" s="63"/>
      <c r="R63766" s="64"/>
    </row>
    <row r="63767" spans="3:18" s="8" customFormat="1" x14ac:dyDescent="0.25">
      <c r="C63767" s="60"/>
      <c r="I63767" s="63"/>
      <c r="R63767" s="64"/>
    </row>
    <row r="63768" spans="3:18" s="8" customFormat="1" x14ac:dyDescent="0.25">
      <c r="C63768" s="60"/>
      <c r="I63768" s="63"/>
      <c r="R63768" s="64"/>
    </row>
    <row r="63769" spans="3:18" s="8" customFormat="1" x14ac:dyDescent="0.25">
      <c r="C63769" s="60"/>
      <c r="I63769" s="63"/>
      <c r="R63769" s="64"/>
    </row>
    <row r="63770" spans="3:18" s="8" customFormat="1" x14ac:dyDescent="0.25">
      <c r="C63770" s="60"/>
      <c r="I63770" s="63"/>
      <c r="R63770" s="64"/>
    </row>
    <row r="63771" spans="3:18" s="8" customFormat="1" x14ac:dyDescent="0.25">
      <c r="C63771" s="60"/>
      <c r="I63771" s="63"/>
      <c r="R63771" s="64"/>
    </row>
    <row r="63772" spans="3:18" s="8" customFormat="1" x14ac:dyDescent="0.25">
      <c r="C63772" s="60"/>
      <c r="I63772" s="63"/>
      <c r="R63772" s="64"/>
    </row>
    <row r="63773" spans="3:18" s="8" customFormat="1" x14ac:dyDescent="0.25">
      <c r="C63773" s="60"/>
      <c r="I63773" s="63"/>
      <c r="R63773" s="64"/>
    </row>
    <row r="63774" spans="3:18" s="8" customFormat="1" x14ac:dyDescent="0.25">
      <c r="C63774" s="60"/>
      <c r="I63774" s="63"/>
      <c r="R63774" s="64"/>
    </row>
    <row r="63775" spans="3:18" s="8" customFormat="1" x14ac:dyDescent="0.25">
      <c r="C63775" s="60"/>
      <c r="I63775" s="63"/>
      <c r="R63775" s="64"/>
    </row>
    <row r="63776" spans="3:18" s="8" customFormat="1" x14ac:dyDescent="0.25">
      <c r="C63776" s="60"/>
      <c r="I63776" s="63"/>
      <c r="R63776" s="64"/>
    </row>
    <row r="63777" spans="3:18" s="8" customFormat="1" x14ac:dyDescent="0.25">
      <c r="C63777" s="60"/>
      <c r="I63777" s="63"/>
      <c r="R63777" s="64"/>
    </row>
    <row r="63778" spans="3:18" s="8" customFormat="1" x14ac:dyDescent="0.25">
      <c r="C63778" s="60"/>
      <c r="I63778" s="63"/>
      <c r="R63778" s="64"/>
    </row>
    <row r="63779" spans="3:18" s="8" customFormat="1" x14ac:dyDescent="0.25">
      <c r="C63779" s="60"/>
      <c r="I63779" s="63"/>
      <c r="R63779" s="64"/>
    </row>
    <row r="63780" spans="3:18" s="8" customFormat="1" x14ac:dyDescent="0.25">
      <c r="C63780" s="60"/>
      <c r="I63780" s="63"/>
      <c r="R63780" s="64"/>
    </row>
    <row r="63781" spans="3:18" s="8" customFormat="1" x14ac:dyDescent="0.25">
      <c r="C63781" s="60"/>
      <c r="I63781" s="63"/>
      <c r="R63781" s="64"/>
    </row>
    <row r="63782" spans="3:18" s="8" customFormat="1" x14ac:dyDescent="0.25">
      <c r="C63782" s="60"/>
      <c r="I63782" s="63"/>
      <c r="R63782" s="64"/>
    </row>
    <row r="63783" spans="3:18" s="8" customFormat="1" x14ac:dyDescent="0.25">
      <c r="C63783" s="60"/>
      <c r="I63783" s="63"/>
      <c r="R63783" s="64"/>
    </row>
    <row r="63784" spans="3:18" s="8" customFormat="1" x14ac:dyDescent="0.25">
      <c r="C63784" s="60"/>
      <c r="I63784" s="63"/>
      <c r="R63784" s="64"/>
    </row>
    <row r="63785" spans="3:18" s="8" customFormat="1" x14ac:dyDescent="0.25">
      <c r="C63785" s="60"/>
      <c r="I63785" s="63"/>
      <c r="R63785" s="64"/>
    </row>
    <row r="63786" spans="3:18" s="8" customFormat="1" x14ac:dyDescent="0.25">
      <c r="C63786" s="60"/>
      <c r="I63786" s="63"/>
      <c r="R63786" s="64"/>
    </row>
    <row r="63787" spans="3:18" s="8" customFormat="1" x14ac:dyDescent="0.25">
      <c r="C63787" s="60"/>
      <c r="I63787" s="63"/>
      <c r="R63787" s="64"/>
    </row>
    <row r="63788" spans="3:18" s="8" customFormat="1" x14ac:dyDescent="0.25">
      <c r="C63788" s="60"/>
      <c r="I63788" s="63"/>
      <c r="R63788" s="64"/>
    </row>
    <row r="63789" spans="3:18" s="8" customFormat="1" x14ac:dyDescent="0.25">
      <c r="C63789" s="60"/>
      <c r="I63789" s="63"/>
      <c r="R63789" s="64"/>
    </row>
    <row r="63790" spans="3:18" s="8" customFormat="1" x14ac:dyDescent="0.25">
      <c r="C63790" s="60"/>
      <c r="I63790" s="63"/>
      <c r="R63790" s="64"/>
    </row>
    <row r="63791" spans="3:18" s="8" customFormat="1" x14ac:dyDescent="0.25">
      <c r="C63791" s="60"/>
      <c r="I63791" s="63"/>
      <c r="R63791" s="64"/>
    </row>
    <row r="63792" spans="3:18" s="8" customFormat="1" x14ac:dyDescent="0.25">
      <c r="C63792" s="60"/>
      <c r="I63792" s="63"/>
      <c r="R63792" s="64"/>
    </row>
    <row r="63793" spans="3:18" s="8" customFormat="1" x14ac:dyDescent="0.25">
      <c r="C63793" s="60"/>
      <c r="I63793" s="63"/>
      <c r="R63793" s="64"/>
    </row>
    <row r="63794" spans="3:18" s="8" customFormat="1" x14ac:dyDescent="0.25">
      <c r="C63794" s="60"/>
      <c r="I63794" s="63"/>
      <c r="R63794" s="64"/>
    </row>
    <row r="63795" spans="3:18" s="8" customFormat="1" x14ac:dyDescent="0.25">
      <c r="C63795" s="60"/>
      <c r="I63795" s="63"/>
      <c r="R63795" s="64"/>
    </row>
    <row r="63796" spans="3:18" s="8" customFormat="1" x14ac:dyDescent="0.25">
      <c r="C63796" s="60"/>
      <c r="I63796" s="63"/>
      <c r="R63796" s="64"/>
    </row>
    <row r="63797" spans="3:18" s="8" customFormat="1" x14ac:dyDescent="0.25">
      <c r="C63797" s="60"/>
      <c r="I63797" s="63"/>
      <c r="R63797" s="64"/>
    </row>
    <row r="63798" spans="3:18" s="8" customFormat="1" x14ac:dyDescent="0.25">
      <c r="C63798" s="60"/>
      <c r="I63798" s="63"/>
      <c r="R63798" s="64"/>
    </row>
    <row r="63799" spans="3:18" s="8" customFormat="1" x14ac:dyDescent="0.25">
      <c r="C63799" s="60"/>
      <c r="I63799" s="63"/>
      <c r="R63799" s="64"/>
    </row>
    <row r="63800" spans="3:18" s="8" customFormat="1" x14ac:dyDescent="0.25">
      <c r="C63800" s="60"/>
      <c r="I63800" s="63"/>
      <c r="R63800" s="64"/>
    </row>
    <row r="63801" spans="3:18" s="8" customFormat="1" x14ac:dyDescent="0.25">
      <c r="C63801" s="60"/>
      <c r="I63801" s="63"/>
      <c r="R63801" s="64"/>
    </row>
    <row r="63802" spans="3:18" s="8" customFormat="1" x14ac:dyDescent="0.25">
      <c r="C63802" s="60"/>
      <c r="I63802" s="63"/>
      <c r="R63802" s="64"/>
    </row>
    <row r="63803" spans="3:18" s="8" customFormat="1" x14ac:dyDescent="0.25">
      <c r="C63803" s="60"/>
      <c r="I63803" s="63"/>
      <c r="R63803" s="64"/>
    </row>
    <row r="63804" spans="3:18" s="8" customFormat="1" x14ac:dyDescent="0.25">
      <c r="C63804" s="60"/>
      <c r="I63804" s="63"/>
      <c r="R63804" s="64"/>
    </row>
    <row r="63805" spans="3:18" s="8" customFormat="1" x14ac:dyDescent="0.25">
      <c r="C63805" s="60"/>
      <c r="I63805" s="63"/>
      <c r="R63805" s="64"/>
    </row>
    <row r="63806" spans="3:18" s="8" customFormat="1" x14ac:dyDescent="0.25">
      <c r="C63806" s="60"/>
      <c r="I63806" s="63"/>
      <c r="R63806" s="64"/>
    </row>
    <row r="63807" spans="3:18" s="8" customFormat="1" x14ac:dyDescent="0.25">
      <c r="C63807" s="60"/>
      <c r="I63807" s="63"/>
      <c r="R63807" s="64"/>
    </row>
    <row r="63808" spans="3:18" s="8" customFormat="1" x14ac:dyDescent="0.25">
      <c r="C63808" s="60"/>
      <c r="I63808" s="63"/>
      <c r="R63808" s="64"/>
    </row>
    <row r="63809" spans="3:18" s="8" customFormat="1" x14ac:dyDescent="0.25">
      <c r="C63809" s="60"/>
      <c r="I63809" s="63"/>
      <c r="R63809" s="64"/>
    </row>
    <row r="63810" spans="3:18" s="8" customFormat="1" x14ac:dyDescent="0.25">
      <c r="C63810" s="60"/>
      <c r="I63810" s="63"/>
      <c r="R63810" s="64"/>
    </row>
    <row r="63811" spans="3:18" s="8" customFormat="1" x14ac:dyDescent="0.25">
      <c r="C63811" s="60"/>
      <c r="I63811" s="63"/>
      <c r="R63811" s="64"/>
    </row>
    <row r="63812" spans="3:18" s="8" customFormat="1" x14ac:dyDescent="0.25">
      <c r="C63812" s="60"/>
      <c r="I63812" s="63"/>
      <c r="R63812" s="64"/>
    </row>
    <row r="63813" spans="3:18" s="8" customFormat="1" x14ac:dyDescent="0.25">
      <c r="C63813" s="60"/>
      <c r="I63813" s="63"/>
      <c r="R63813" s="64"/>
    </row>
    <row r="63814" spans="3:18" s="8" customFormat="1" x14ac:dyDescent="0.25">
      <c r="C63814" s="60"/>
      <c r="I63814" s="63"/>
      <c r="R63814" s="64"/>
    </row>
    <row r="63815" spans="3:18" s="8" customFormat="1" x14ac:dyDescent="0.25">
      <c r="C63815" s="60"/>
      <c r="I63815" s="63"/>
      <c r="R63815" s="64"/>
    </row>
    <row r="63816" spans="3:18" s="8" customFormat="1" x14ac:dyDescent="0.25">
      <c r="C63816" s="60"/>
      <c r="I63816" s="63"/>
      <c r="R63816" s="64"/>
    </row>
    <row r="63817" spans="3:18" s="8" customFormat="1" x14ac:dyDescent="0.25">
      <c r="C63817" s="60"/>
      <c r="I63817" s="63"/>
      <c r="R63817" s="64"/>
    </row>
    <row r="63818" spans="3:18" s="8" customFormat="1" x14ac:dyDescent="0.25">
      <c r="C63818" s="60"/>
      <c r="I63818" s="63"/>
      <c r="R63818" s="64"/>
    </row>
    <row r="63819" spans="3:18" s="8" customFormat="1" x14ac:dyDescent="0.25">
      <c r="C63819" s="60"/>
      <c r="I63819" s="63"/>
      <c r="R63819" s="64"/>
    </row>
    <row r="63820" spans="3:18" s="8" customFormat="1" x14ac:dyDescent="0.25">
      <c r="C63820" s="60"/>
      <c r="I63820" s="63"/>
      <c r="R63820" s="64"/>
    </row>
    <row r="63821" spans="3:18" s="8" customFormat="1" x14ac:dyDescent="0.25">
      <c r="C63821" s="60"/>
      <c r="I63821" s="63"/>
      <c r="R63821" s="64"/>
    </row>
    <row r="63822" spans="3:18" s="8" customFormat="1" x14ac:dyDescent="0.25">
      <c r="C63822" s="60"/>
      <c r="I63822" s="63"/>
      <c r="R63822" s="64"/>
    </row>
    <row r="63823" spans="3:18" s="8" customFormat="1" x14ac:dyDescent="0.25">
      <c r="C63823" s="60"/>
      <c r="I63823" s="63"/>
      <c r="R63823" s="64"/>
    </row>
    <row r="63824" spans="3:18" s="8" customFormat="1" x14ac:dyDescent="0.25">
      <c r="C63824" s="60"/>
      <c r="I63824" s="63"/>
      <c r="R63824" s="64"/>
    </row>
    <row r="63825" spans="3:18" s="8" customFormat="1" x14ac:dyDescent="0.25">
      <c r="C63825" s="60"/>
      <c r="I63825" s="63"/>
      <c r="R63825" s="64"/>
    </row>
    <row r="63826" spans="3:18" s="8" customFormat="1" x14ac:dyDescent="0.25">
      <c r="C63826" s="60"/>
      <c r="I63826" s="63"/>
      <c r="R63826" s="64"/>
    </row>
    <row r="63827" spans="3:18" s="8" customFormat="1" x14ac:dyDescent="0.25">
      <c r="C63827" s="60"/>
      <c r="I63827" s="63"/>
      <c r="R63827" s="64"/>
    </row>
    <row r="63828" spans="3:18" s="8" customFormat="1" x14ac:dyDescent="0.25">
      <c r="C63828" s="60"/>
      <c r="I63828" s="63"/>
      <c r="R63828" s="64"/>
    </row>
    <row r="63829" spans="3:18" s="8" customFormat="1" x14ac:dyDescent="0.25">
      <c r="C63829" s="60"/>
      <c r="I63829" s="63"/>
      <c r="R63829" s="64"/>
    </row>
    <row r="63830" spans="3:18" s="8" customFormat="1" x14ac:dyDescent="0.25">
      <c r="C63830" s="60"/>
      <c r="I63830" s="63"/>
      <c r="R63830" s="64"/>
    </row>
    <row r="63831" spans="3:18" s="8" customFormat="1" x14ac:dyDescent="0.25">
      <c r="C63831" s="60"/>
      <c r="I63831" s="63"/>
      <c r="R63831" s="64"/>
    </row>
    <row r="63832" spans="3:18" s="8" customFormat="1" x14ac:dyDescent="0.25">
      <c r="C63832" s="60"/>
      <c r="I63832" s="63"/>
      <c r="R63832" s="64"/>
    </row>
    <row r="63833" spans="3:18" s="8" customFormat="1" x14ac:dyDescent="0.25">
      <c r="C63833" s="60"/>
      <c r="I63833" s="63"/>
      <c r="R63833" s="64"/>
    </row>
    <row r="63834" spans="3:18" s="8" customFormat="1" x14ac:dyDescent="0.25">
      <c r="C63834" s="60"/>
      <c r="I63834" s="63"/>
      <c r="R63834" s="64"/>
    </row>
    <row r="63835" spans="3:18" s="8" customFormat="1" x14ac:dyDescent="0.25">
      <c r="C63835" s="60"/>
      <c r="I63835" s="63"/>
      <c r="R63835" s="64"/>
    </row>
    <row r="63836" spans="3:18" s="8" customFormat="1" x14ac:dyDescent="0.25">
      <c r="C63836" s="60"/>
      <c r="I63836" s="63"/>
      <c r="R63836" s="64"/>
    </row>
    <row r="63837" spans="3:18" s="8" customFormat="1" x14ac:dyDescent="0.25">
      <c r="C63837" s="60"/>
      <c r="I63837" s="63"/>
      <c r="R63837" s="64"/>
    </row>
    <row r="63838" spans="3:18" s="8" customFormat="1" x14ac:dyDescent="0.25">
      <c r="C63838" s="60"/>
      <c r="I63838" s="63"/>
      <c r="R63838" s="64"/>
    </row>
    <row r="63839" spans="3:18" s="8" customFormat="1" x14ac:dyDescent="0.25">
      <c r="C63839" s="60"/>
      <c r="I63839" s="63"/>
      <c r="R63839" s="64"/>
    </row>
    <row r="63840" spans="3:18" s="8" customFormat="1" x14ac:dyDescent="0.25">
      <c r="C63840" s="60"/>
      <c r="I63840" s="63"/>
      <c r="R63840" s="64"/>
    </row>
    <row r="63841" spans="3:18" s="8" customFormat="1" x14ac:dyDescent="0.25">
      <c r="C63841" s="60"/>
      <c r="I63841" s="63"/>
      <c r="R63841" s="64"/>
    </row>
    <row r="63842" spans="3:18" s="8" customFormat="1" x14ac:dyDescent="0.25">
      <c r="C63842" s="60"/>
      <c r="I63842" s="63"/>
      <c r="R63842" s="64"/>
    </row>
    <row r="63843" spans="3:18" s="8" customFormat="1" x14ac:dyDescent="0.25">
      <c r="C63843" s="60"/>
      <c r="I63843" s="63"/>
      <c r="R63843" s="64"/>
    </row>
    <row r="63844" spans="3:18" s="8" customFormat="1" x14ac:dyDescent="0.25">
      <c r="C63844" s="60"/>
      <c r="I63844" s="63"/>
      <c r="R63844" s="64"/>
    </row>
    <row r="63845" spans="3:18" s="8" customFormat="1" x14ac:dyDescent="0.25">
      <c r="C63845" s="60"/>
      <c r="I63845" s="63"/>
      <c r="R63845" s="64"/>
    </row>
    <row r="63846" spans="3:18" s="8" customFormat="1" x14ac:dyDescent="0.25">
      <c r="C63846" s="60"/>
      <c r="I63846" s="63"/>
      <c r="R63846" s="64"/>
    </row>
    <row r="63847" spans="3:18" s="8" customFormat="1" x14ac:dyDescent="0.25">
      <c r="C63847" s="60"/>
      <c r="I63847" s="63"/>
      <c r="R63847" s="64"/>
    </row>
    <row r="63848" spans="3:18" s="8" customFormat="1" x14ac:dyDescent="0.25">
      <c r="C63848" s="60"/>
      <c r="I63848" s="63"/>
      <c r="R63848" s="64"/>
    </row>
    <row r="63849" spans="3:18" s="8" customFormat="1" x14ac:dyDescent="0.25">
      <c r="C63849" s="60"/>
      <c r="I63849" s="63"/>
      <c r="R63849" s="64"/>
    </row>
    <row r="63850" spans="3:18" s="8" customFormat="1" x14ac:dyDescent="0.25">
      <c r="C63850" s="60"/>
      <c r="I63850" s="63"/>
      <c r="R63850" s="64"/>
    </row>
    <row r="63851" spans="3:18" s="8" customFormat="1" x14ac:dyDescent="0.25">
      <c r="C63851" s="60"/>
      <c r="I63851" s="63"/>
      <c r="R63851" s="64"/>
    </row>
    <row r="63852" spans="3:18" s="8" customFormat="1" x14ac:dyDescent="0.25">
      <c r="C63852" s="60"/>
      <c r="I63852" s="63"/>
      <c r="R63852" s="64"/>
    </row>
    <row r="63853" spans="3:18" s="8" customFormat="1" x14ac:dyDescent="0.25">
      <c r="C63853" s="60"/>
      <c r="I63853" s="63"/>
      <c r="R63853" s="64"/>
    </row>
    <row r="63854" spans="3:18" s="8" customFormat="1" x14ac:dyDescent="0.25">
      <c r="C63854" s="60"/>
      <c r="I63854" s="63"/>
      <c r="R63854" s="64"/>
    </row>
    <row r="63855" spans="3:18" s="8" customFormat="1" x14ac:dyDescent="0.25">
      <c r="C63855" s="60"/>
      <c r="I63855" s="63"/>
      <c r="R63855" s="64"/>
    </row>
    <row r="63856" spans="3:18" s="8" customFormat="1" x14ac:dyDescent="0.25">
      <c r="C63856" s="60"/>
      <c r="I63856" s="63"/>
      <c r="R63856" s="64"/>
    </row>
    <row r="63857" spans="3:18" s="8" customFormat="1" x14ac:dyDescent="0.25">
      <c r="C63857" s="60"/>
      <c r="I63857" s="63"/>
      <c r="R63857" s="64"/>
    </row>
    <row r="63858" spans="3:18" s="8" customFormat="1" x14ac:dyDescent="0.25">
      <c r="C63858" s="60"/>
      <c r="I63858" s="63"/>
      <c r="R63858" s="64"/>
    </row>
    <row r="63859" spans="3:18" s="8" customFormat="1" x14ac:dyDescent="0.25">
      <c r="C63859" s="60"/>
      <c r="I63859" s="63"/>
      <c r="R63859" s="64"/>
    </row>
    <row r="63860" spans="3:18" s="8" customFormat="1" x14ac:dyDescent="0.25">
      <c r="C63860" s="60"/>
      <c r="I63860" s="63"/>
      <c r="R63860" s="64"/>
    </row>
    <row r="63861" spans="3:18" s="8" customFormat="1" x14ac:dyDescent="0.25">
      <c r="C63861" s="60"/>
      <c r="I63861" s="63"/>
      <c r="R63861" s="64"/>
    </row>
    <row r="63862" spans="3:18" s="8" customFormat="1" x14ac:dyDescent="0.25">
      <c r="C63862" s="60"/>
      <c r="I63862" s="63"/>
      <c r="R63862" s="64"/>
    </row>
    <row r="63863" spans="3:18" s="8" customFormat="1" x14ac:dyDescent="0.25">
      <c r="C63863" s="60"/>
      <c r="I63863" s="63"/>
      <c r="R63863" s="64"/>
    </row>
    <row r="63864" spans="3:18" s="8" customFormat="1" x14ac:dyDescent="0.25">
      <c r="C63864" s="60"/>
      <c r="I63864" s="63"/>
      <c r="R63864" s="64"/>
    </row>
    <row r="63865" spans="3:18" s="8" customFormat="1" x14ac:dyDescent="0.25">
      <c r="C63865" s="60"/>
      <c r="I63865" s="63"/>
      <c r="R63865" s="64"/>
    </row>
    <row r="63866" spans="3:18" s="8" customFormat="1" x14ac:dyDescent="0.25">
      <c r="C63866" s="60"/>
      <c r="I63866" s="63"/>
      <c r="R63866" s="64"/>
    </row>
    <row r="63867" spans="3:18" s="8" customFormat="1" x14ac:dyDescent="0.25">
      <c r="C63867" s="60"/>
      <c r="I63867" s="63"/>
      <c r="R63867" s="64"/>
    </row>
    <row r="63868" spans="3:18" s="8" customFormat="1" x14ac:dyDescent="0.25">
      <c r="C63868" s="60"/>
      <c r="I63868" s="63"/>
      <c r="R63868" s="64"/>
    </row>
    <row r="63869" spans="3:18" s="8" customFormat="1" x14ac:dyDescent="0.25">
      <c r="C63869" s="60"/>
      <c r="I63869" s="63"/>
      <c r="R63869" s="64"/>
    </row>
    <row r="63870" spans="3:18" s="8" customFormat="1" x14ac:dyDescent="0.25">
      <c r="C63870" s="60"/>
      <c r="I63870" s="63"/>
      <c r="R63870" s="64"/>
    </row>
    <row r="63871" spans="3:18" s="8" customFormat="1" x14ac:dyDescent="0.25">
      <c r="C63871" s="60"/>
      <c r="I63871" s="63"/>
      <c r="R63871" s="64"/>
    </row>
    <row r="63872" spans="3:18" s="8" customFormat="1" x14ac:dyDescent="0.25">
      <c r="C63872" s="60"/>
      <c r="I63872" s="63"/>
      <c r="R63872" s="64"/>
    </row>
    <row r="63873" spans="3:18" s="8" customFormat="1" x14ac:dyDescent="0.25">
      <c r="C63873" s="60"/>
      <c r="I63873" s="63"/>
      <c r="R63873" s="64"/>
    </row>
    <row r="63874" spans="3:18" s="8" customFormat="1" x14ac:dyDescent="0.25">
      <c r="C63874" s="60"/>
      <c r="I63874" s="63"/>
      <c r="R63874" s="64"/>
    </row>
    <row r="63875" spans="3:18" s="8" customFormat="1" x14ac:dyDescent="0.25">
      <c r="C63875" s="60"/>
      <c r="I63875" s="63"/>
      <c r="R63875" s="64"/>
    </row>
    <row r="63876" spans="3:18" s="8" customFormat="1" x14ac:dyDescent="0.25">
      <c r="C63876" s="60"/>
      <c r="I63876" s="63"/>
      <c r="R63876" s="64"/>
    </row>
    <row r="63877" spans="3:18" s="8" customFormat="1" x14ac:dyDescent="0.25">
      <c r="C63877" s="60"/>
      <c r="I63877" s="63"/>
      <c r="R63877" s="64"/>
    </row>
    <row r="63878" spans="3:18" s="8" customFormat="1" x14ac:dyDescent="0.25">
      <c r="C63878" s="60"/>
      <c r="I63878" s="63"/>
      <c r="R63878" s="64"/>
    </row>
    <row r="63879" spans="3:18" s="8" customFormat="1" x14ac:dyDescent="0.25">
      <c r="C63879" s="60"/>
      <c r="I63879" s="63"/>
      <c r="R63879" s="64"/>
    </row>
    <row r="63880" spans="3:18" s="8" customFormat="1" x14ac:dyDescent="0.25">
      <c r="C63880" s="60"/>
      <c r="I63880" s="63"/>
      <c r="R63880" s="64"/>
    </row>
    <row r="63881" spans="3:18" s="8" customFormat="1" x14ac:dyDescent="0.25">
      <c r="C63881" s="60"/>
      <c r="I63881" s="63"/>
      <c r="R63881" s="64"/>
    </row>
    <row r="63882" spans="3:18" s="8" customFormat="1" x14ac:dyDescent="0.25">
      <c r="C63882" s="60"/>
      <c r="I63882" s="63"/>
      <c r="R63882" s="64"/>
    </row>
    <row r="63883" spans="3:18" s="8" customFormat="1" x14ac:dyDescent="0.25">
      <c r="C63883" s="60"/>
      <c r="I63883" s="63"/>
      <c r="R63883" s="64"/>
    </row>
    <row r="63884" spans="3:18" s="8" customFormat="1" x14ac:dyDescent="0.25">
      <c r="C63884" s="60"/>
      <c r="I63884" s="63"/>
      <c r="R63884" s="64"/>
    </row>
    <row r="63885" spans="3:18" s="8" customFormat="1" x14ac:dyDescent="0.25">
      <c r="C63885" s="60"/>
      <c r="I63885" s="63"/>
      <c r="R63885" s="64"/>
    </row>
    <row r="63886" spans="3:18" s="8" customFormat="1" x14ac:dyDescent="0.25">
      <c r="C63886" s="60"/>
      <c r="I63886" s="63"/>
      <c r="R63886" s="64"/>
    </row>
    <row r="63887" spans="3:18" s="8" customFormat="1" x14ac:dyDescent="0.25">
      <c r="C63887" s="60"/>
      <c r="I63887" s="63"/>
      <c r="R63887" s="64"/>
    </row>
    <row r="63888" spans="3:18" s="8" customFormat="1" x14ac:dyDescent="0.25">
      <c r="C63888" s="60"/>
      <c r="I63888" s="63"/>
      <c r="R63888" s="64"/>
    </row>
    <row r="63889" spans="3:18" s="8" customFormat="1" x14ac:dyDescent="0.25">
      <c r="C63889" s="60"/>
      <c r="I63889" s="63"/>
      <c r="R63889" s="64"/>
    </row>
    <row r="63890" spans="3:18" s="8" customFormat="1" x14ac:dyDescent="0.25">
      <c r="C63890" s="60"/>
      <c r="I63890" s="63"/>
      <c r="R63890" s="64"/>
    </row>
    <row r="63891" spans="3:18" s="8" customFormat="1" x14ac:dyDescent="0.25">
      <c r="C63891" s="60"/>
      <c r="I63891" s="63"/>
      <c r="R63891" s="64"/>
    </row>
    <row r="63892" spans="3:18" s="8" customFormat="1" x14ac:dyDescent="0.25">
      <c r="C63892" s="60"/>
      <c r="I63892" s="63"/>
      <c r="R63892" s="64"/>
    </row>
    <row r="63893" spans="3:18" s="8" customFormat="1" x14ac:dyDescent="0.25">
      <c r="C63893" s="60"/>
      <c r="I63893" s="63"/>
      <c r="R63893" s="64"/>
    </row>
    <row r="63894" spans="3:18" s="8" customFormat="1" x14ac:dyDescent="0.25">
      <c r="C63894" s="60"/>
      <c r="I63894" s="63"/>
      <c r="R63894" s="64"/>
    </row>
    <row r="63895" spans="3:18" s="8" customFormat="1" x14ac:dyDescent="0.25">
      <c r="C63895" s="60"/>
      <c r="I63895" s="63"/>
      <c r="R63895" s="64"/>
    </row>
    <row r="63896" spans="3:18" s="8" customFormat="1" x14ac:dyDescent="0.25">
      <c r="C63896" s="60"/>
      <c r="I63896" s="63"/>
      <c r="R63896" s="64"/>
    </row>
    <row r="63897" spans="3:18" s="8" customFormat="1" x14ac:dyDescent="0.25">
      <c r="C63897" s="60"/>
      <c r="I63897" s="63"/>
      <c r="R63897" s="64"/>
    </row>
    <row r="63898" spans="3:18" s="8" customFormat="1" x14ac:dyDescent="0.25">
      <c r="C63898" s="60"/>
      <c r="I63898" s="63"/>
      <c r="R63898" s="64"/>
    </row>
    <row r="63899" spans="3:18" s="8" customFormat="1" x14ac:dyDescent="0.25">
      <c r="C63899" s="60"/>
      <c r="I63899" s="63"/>
      <c r="R63899" s="64"/>
    </row>
    <row r="63900" spans="3:18" s="8" customFormat="1" x14ac:dyDescent="0.25">
      <c r="C63900" s="60"/>
      <c r="I63900" s="63"/>
      <c r="R63900" s="64"/>
    </row>
    <row r="63901" spans="3:18" s="8" customFormat="1" x14ac:dyDescent="0.25">
      <c r="C63901" s="60"/>
      <c r="I63901" s="63"/>
      <c r="R63901" s="64"/>
    </row>
    <row r="63902" spans="3:18" s="8" customFormat="1" x14ac:dyDescent="0.25">
      <c r="C63902" s="60"/>
      <c r="I63902" s="63"/>
      <c r="R63902" s="64"/>
    </row>
    <row r="63903" spans="3:18" s="8" customFormat="1" x14ac:dyDescent="0.25">
      <c r="C63903" s="60"/>
      <c r="I63903" s="63"/>
      <c r="R63903" s="64"/>
    </row>
    <row r="63904" spans="3:18" s="8" customFormat="1" x14ac:dyDescent="0.25">
      <c r="C63904" s="60"/>
      <c r="I63904" s="63"/>
      <c r="R63904" s="64"/>
    </row>
    <row r="63905" spans="3:18" s="8" customFormat="1" x14ac:dyDescent="0.25">
      <c r="C63905" s="60"/>
      <c r="I63905" s="63"/>
      <c r="R63905" s="64"/>
    </row>
    <row r="63906" spans="3:18" s="8" customFormat="1" x14ac:dyDescent="0.25">
      <c r="C63906" s="60"/>
      <c r="I63906" s="63"/>
      <c r="R63906" s="64"/>
    </row>
    <row r="63907" spans="3:18" s="8" customFormat="1" x14ac:dyDescent="0.25">
      <c r="C63907" s="60"/>
      <c r="I63907" s="63"/>
      <c r="R63907" s="64"/>
    </row>
    <row r="63908" spans="3:18" s="8" customFormat="1" x14ac:dyDescent="0.25">
      <c r="C63908" s="60"/>
      <c r="I63908" s="63"/>
      <c r="R63908" s="64"/>
    </row>
    <row r="63909" spans="3:18" s="8" customFormat="1" x14ac:dyDescent="0.25">
      <c r="C63909" s="60"/>
      <c r="I63909" s="63"/>
      <c r="R63909" s="64"/>
    </row>
    <row r="63910" spans="3:18" s="8" customFormat="1" x14ac:dyDescent="0.25">
      <c r="C63910" s="60"/>
      <c r="I63910" s="63"/>
      <c r="R63910" s="64"/>
    </row>
    <row r="63911" spans="3:18" s="8" customFormat="1" x14ac:dyDescent="0.25">
      <c r="C63911" s="60"/>
      <c r="I63911" s="63"/>
      <c r="R63911" s="64"/>
    </row>
    <row r="63912" spans="3:18" s="8" customFormat="1" x14ac:dyDescent="0.25">
      <c r="C63912" s="60"/>
      <c r="I63912" s="63"/>
      <c r="R63912" s="64"/>
    </row>
    <row r="63913" spans="3:18" s="8" customFormat="1" x14ac:dyDescent="0.25">
      <c r="C63913" s="60"/>
      <c r="I63913" s="63"/>
      <c r="R63913" s="64"/>
    </row>
    <row r="63914" spans="3:18" s="8" customFormat="1" x14ac:dyDescent="0.25">
      <c r="C63914" s="60"/>
      <c r="I63914" s="63"/>
      <c r="R63914" s="64"/>
    </row>
    <row r="63915" spans="3:18" s="8" customFormat="1" x14ac:dyDescent="0.25">
      <c r="C63915" s="60"/>
      <c r="I63915" s="63"/>
      <c r="R63915" s="64"/>
    </row>
    <row r="63916" spans="3:18" s="8" customFormat="1" x14ac:dyDescent="0.25">
      <c r="C63916" s="60"/>
      <c r="I63916" s="63"/>
      <c r="R63916" s="64"/>
    </row>
    <row r="63917" spans="3:18" s="8" customFormat="1" x14ac:dyDescent="0.25">
      <c r="C63917" s="60"/>
      <c r="I63917" s="63"/>
      <c r="R63917" s="64"/>
    </row>
    <row r="63918" spans="3:18" s="8" customFormat="1" x14ac:dyDescent="0.25">
      <c r="C63918" s="60"/>
      <c r="I63918" s="63"/>
      <c r="R63918" s="64"/>
    </row>
    <row r="63919" spans="3:18" s="8" customFormat="1" x14ac:dyDescent="0.25">
      <c r="C63919" s="60"/>
      <c r="I63919" s="63"/>
      <c r="R63919" s="64"/>
    </row>
    <row r="63920" spans="3:18" s="8" customFormat="1" x14ac:dyDescent="0.25">
      <c r="C63920" s="60"/>
      <c r="I63920" s="63"/>
      <c r="R63920" s="64"/>
    </row>
    <row r="63921" spans="3:18" s="8" customFormat="1" x14ac:dyDescent="0.25">
      <c r="C63921" s="60"/>
      <c r="I63921" s="63"/>
      <c r="R63921" s="64"/>
    </row>
    <row r="63922" spans="3:18" s="8" customFormat="1" x14ac:dyDescent="0.25">
      <c r="C63922" s="60"/>
      <c r="I63922" s="63"/>
      <c r="R63922" s="64"/>
    </row>
    <row r="63923" spans="3:18" s="8" customFormat="1" x14ac:dyDescent="0.25">
      <c r="C63923" s="60"/>
      <c r="I63923" s="63"/>
      <c r="R63923" s="64"/>
    </row>
    <row r="63924" spans="3:18" s="8" customFormat="1" x14ac:dyDescent="0.25">
      <c r="C63924" s="60"/>
      <c r="I63924" s="63"/>
      <c r="R63924" s="64"/>
    </row>
    <row r="63925" spans="3:18" s="8" customFormat="1" x14ac:dyDescent="0.25">
      <c r="C63925" s="60"/>
      <c r="I63925" s="63"/>
      <c r="R63925" s="64"/>
    </row>
    <row r="63926" spans="3:18" s="8" customFormat="1" x14ac:dyDescent="0.25">
      <c r="C63926" s="60"/>
      <c r="I63926" s="63"/>
      <c r="R63926" s="64"/>
    </row>
    <row r="63927" spans="3:18" s="8" customFormat="1" x14ac:dyDescent="0.25">
      <c r="C63927" s="60"/>
      <c r="I63927" s="63"/>
      <c r="R63927" s="64"/>
    </row>
    <row r="63928" spans="3:18" s="8" customFormat="1" x14ac:dyDescent="0.25">
      <c r="C63928" s="60"/>
      <c r="I63928" s="63"/>
      <c r="R63928" s="64"/>
    </row>
    <row r="63929" spans="3:18" s="8" customFormat="1" x14ac:dyDescent="0.25">
      <c r="C63929" s="60"/>
      <c r="I63929" s="63"/>
      <c r="R63929" s="64"/>
    </row>
    <row r="63930" spans="3:18" s="8" customFormat="1" x14ac:dyDescent="0.25">
      <c r="C63930" s="60"/>
      <c r="I63930" s="63"/>
      <c r="R63930" s="64"/>
    </row>
    <row r="63931" spans="3:18" s="8" customFormat="1" x14ac:dyDescent="0.25">
      <c r="C63931" s="60"/>
      <c r="I63931" s="63"/>
      <c r="R63931" s="64"/>
    </row>
    <row r="63932" spans="3:18" s="8" customFormat="1" x14ac:dyDescent="0.25">
      <c r="C63932" s="60"/>
      <c r="I63932" s="63"/>
      <c r="R63932" s="64"/>
    </row>
    <row r="63933" spans="3:18" s="8" customFormat="1" x14ac:dyDescent="0.25">
      <c r="C63933" s="60"/>
      <c r="I63933" s="63"/>
      <c r="R63933" s="64"/>
    </row>
    <row r="63934" spans="3:18" s="8" customFormat="1" x14ac:dyDescent="0.25">
      <c r="C63934" s="60"/>
      <c r="I63934" s="63"/>
      <c r="R63934" s="64"/>
    </row>
    <row r="63935" spans="3:18" s="8" customFormat="1" x14ac:dyDescent="0.25">
      <c r="C63935" s="60"/>
      <c r="I63935" s="63"/>
      <c r="R63935" s="64"/>
    </row>
    <row r="63936" spans="3:18" s="8" customFormat="1" x14ac:dyDescent="0.25">
      <c r="C63936" s="60"/>
      <c r="I63936" s="63"/>
      <c r="R63936" s="64"/>
    </row>
    <row r="63937" spans="3:18" s="8" customFormat="1" x14ac:dyDescent="0.25">
      <c r="C63937" s="60"/>
      <c r="I63937" s="63"/>
      <c r="R63937" s="64"/>
    </row>
    <row r="63938" spans="3:18" s="8" customFormat="1" x14ac:dyDescent="0.25">
      <c r="C63938" s="60"/>
      <c r="I63938" s="63"/>
      <c r="R63938" s="64"/>
    </row>
    <row r="63939" spans="3:18" s="8" customFormat="1" x14ac:dyDescent="0.25">
      <c r="C63939" s="60"/>
      <c r="I63939" s="63"/>
      <c r="R63939" s="64"/>
    </row>
    <row r="63940" spans="3:18" s="8" customFormat="1" x14ac:dyDescent="0.25">
      <c r="C63940" s="60"/>
      <c r="I63940" s="63"/>
      <c r="R63940" s="64"/>
    </row>
    <row r="63941" spans="3:18" s="8" customFormat="1" x14ac:dyDescent="0.25">
      <c r="C63941" s="60"/>
      <c r="I63941" s="63"/>
      <c r="R63941" s="64"/>
    </row>
    <row r="63942" spans="3:18" s="8" customFormat="1" x14ac:dyDescent="0.25">
      <c r="C63942" s="60"/>
      <c r="I63942" s="63"/>
      <c r="R63942" s="64"/>
    </row>
    <row r="63943" spans="3:18" s="8" customFormat="1" x14ac:dyDescent="0.25">
      <c r="C63943" s="60"/>
      <c r="I63943" s="63"/>
      <c r="R63943" s="64"/>
    </row>
    <row r="63944" spans="3:18" s="8" customFormat="1" x14ac:dyDescent="0.25">
      <c r="C63944" s="60"/>
      <c r="I63944" s="63"/>
      <c r="R63944" s="64"/>
    </row>
    <row r="63945" spans="3:18" s="8" customFormat="1" x14ac:dyDescent="0.25">
      <c r="C63945" s="60"/>
      <c r="I63945" s="63"/>
      <c r="R63945" s="64"/>
    </row>
    <row r="63946" spans="3:18" s="8" customFormat="1" x14ac:dyDescent="0.25">
      <c r="C63946" s="60"/>
      <c r="I63946" s="63"/>
      <c r="R63946" s="64"/>
    </row>
    <row r="63947" spans="3:18" s="8" customFormat="1" x14ac:dyDescent="0.25">
      <c r="C63947" s="60"/>
      <c r="I63947" s="63"/>
      <c r="R63947" s="64"/>
    </row>
    <row r="63948" spans="3:18" s="8" customFormat="1" x14ac:dyDescent="0.25">
      <c r="C63948" s="60"/>
      <c r="I63948" s="63"/>
      <c r="R63948" s="64"/>
    </row>
    <row r="63949" spans="3:18" s="8" customFormat="1" x14ac:dyDescent="0.25">
      <c r="C63949" s="60"/>
      <c r="I63949" s="63"/>
      <c r="R63949" s="64"/>
    </row>
    <row r="63950" spans="3:18" s="8" customFormat="1" x14ac:dyDescent="0.25">
      <c r="C63950" s="60"/>
      <c r="I63950" s="63"/>
      <c r="R63950" s="64"/>
    </row>
    <row r="63951" spans="3:18" s="8" customFormat="1" x14ac:dyDescent="0.25">
      <c r="C63951" s="60"/>
      <c r="I63951" s="63"/>
      <c r="R63951" s="64"/>
    </row>
    <row r="63952" spans="3:18" s="8" customFormat="1" x14ac:dyDescent="0.25">
      <c r="C63952" s="60"/>
      <c r="I63952" s="63"/>
      <c r="R63952" s="64"/>
    </row>
    <row r="63953" spans="3:18" s="8" customFormat="1" x14ac:dyDescent="0.25">
      <c r="C63953" s="60"/>
      <c r="I63953" s="63"/>
      <c r="R63953" s="64"/>
    </row>
    <row r="63954" spans="3:18" s="8" customFormat="1" x14ac:dyDescent="0.25">
      <c r="C63954" s="60"/>
      <c r="I63954" s="63"/>
      <c r="R63954" s="64"/>
    </row>
    <row r="63955" spans="3:18" s="8" customFormat="1" x14ac:dyDescent="0.25">
      <c r="C63955" s="60"/>
      <c r="I63955" s="63"/>
      <c r="R63955" s="64"/>
    </row>
    <row r="63956" spans="3:18" s="8" customFormat="1" x14ac:dyDescent="0.25">
      <c r="C63956" s="60"/>
      <c r="I63956" s="63"/>
      <c r="R63956" s="64"/>
    </row>
    <row r="63957" spans="3:18" s="8" customFormat="1" x14ac:dyDescent="0.25">
      <c r="C63957" s="60"/>
      <c r="I63957" s="63"/>
      <c r="R63957" s="64"/>
    </row>
    <row r="63958" spans="3:18" s="8" customFormat="1" x14ac:dyDescent="0.25">
      <c r="C63958" s="60"/>
      <c r="I63958" s="63"/>
      <c r="R63958" s="64"/>
    </row>
    <row r="63959" spans="3:18" s="8" customFormat="1" x14ac:dyDescent="0.25">
      <c r="C63959" s="60"/>
      <c r="I63959" s="63"/>
      <c r="R63959" s="64"/>
    </row>
    <row r="63960" spans="3:18" s="8" customFormat="1" x14ac:dyDescent="0.25">
      <c r="C63960" s="60"/>
      <c r="I63960" s="63"/>
      <c r="R63960" s="64"/>
    </row>
    <row r="63961" spans="3:18" s="8" customFormat="1" x14ac:dyDescent="0.25">
      <c r="C63961" s="60"/>
      <c r="I63961" s="63"/>
      <c r="R63961" s="64"/>
    </row>
    <row r="63962" spans="3:18" s="8" customFormat="1" x14ac:dyDescent="0.25">
      <c r="C63962" s="60"/>
      <c r="I63962" s="63"/>
      <c r="R63962" s="64"/>
    </row>
    <row r="63963" spans="3:18" s="8" customFormat="1" x14ac:dyDescent="0.25">
      <c r="C63963" s="60"/>
      <c r="I63963" s="63"/>
      <c r="R63963" s="64"/>
    </row>
    <row r="63964" spans="3:18" s="8" customFormat="1" x14ac:dyDescent="0.25">
      <c r="C63964" s="60"/>
      <c r="I63964" s="63"/>
      <c r="R63964" s="64"/>
    </row>
    <row r="63965" spans="3:18" s="8" customFormat="1" x14ac:dyDescent="0.25">
      <c r="C63965" s="60"/>
      <c r="I63965" s="63"/>
      <c r="R63965" s="64"/>
    </row>
    <row r="63966" spans="3:18" s="8" customFormat="1" x14ac:dyDescent="0.25">
      <c r="C63966" s="60"/>
      <c r="I63966" s="63"/>
      <c r="R63966" s="64"/>
    </row>
    <row r="63967" spans="3:18" s="8" customFormat="1" x14ac:dyDescent="0.25">
      <c r="C63967" s="60"/>
      <c r="I63967" s="63"/>
      <c r="R63967" s="64"/>
    </row>
    <row r="63968" spans="3:18" s="8" customFormat="1" x14ac:dyDescent="0.25">
      <c r="C63968" s="60"/>
      <c r="I63968" s="63"/>
      <c r="R63968" s="64"/>
    </row>
    <row r="63969" spans="3:18" s="8" customFormat="1" x14ac:dyDescent="0.25">
      <c r="C63969" s="60"/>
      <c r="I63969" s="63"/>
      <c r="R63969" s="64"/>
    </row>
    <row r="63970" spans="3:18" s="8" customFormat="1" x14ac:dyDescent="0.25">
      <c r="C63970" s="60"/>
      <c r="I63970" s="63"/>
      <c r="R63970" s="64"/>
    </row>
    <row r="63971" spans="3:18" s="8" customFormat="1" x14ac:dyDescent="0.25">
      <c r="C63971" s="60"/>
      <c r="I63971" s="63"/>
      <c r="R63971" s="64"/>
    </row>
    <row r="63972" spans="3:18" s="8" customFormat="1" x14ac:dyDescent="0.25">
      <c r="C63972" s="60"/>
      <c r="I63972" s="63"/>
      <c r="R63972" s="64"/>
    </row>
    <row r="63973" spans="3:18" s="8" customFormat="1" x14ac:dyDescent="0.25">
      <c r="C63973" s="60"/>
      <c r="I63973" s="63"/>
      <c r="R63973" s="64"/>
    </row>
    <row r="63974" spans="3:18" s="8" customFormat="1" x14ac:dyDescent="0.25">
      <c r="C63974" s="60"/>
      <c r="I63974" s="63"/>
      <c r="R63974" s="64"/>
    </row>
    <row r="63975" spans="3:18" s="8" customFormat="1" x14ac:dyDescent="0.25">
      <c r="C63975" s="60"/>
      <c r="I63975" s="63"/>
      <c r="R63975" s="64"/>
    </row>
    <row r="63976" spans="3:18" s="8" customFormat="1" x14ac:dyDescent="0.25">
      <c r="C63976" s="60"/>
      <c r="I63976" s="63"/>
      <c r="R63976" s="64"/>
    </row>
    <row r="63977" spans="3:18" s="8" customFormat="1" x14ac:dyDescent="0.25">
      <c r="C63977" s="60"/>
      <c r="I63977" s="63"/>
      <c r="R63977" s="64"/>
    </row>
    <row r="63978" spans="3:18" s="8" customFormat="1" x14ac:dyDescent="0.25">
      <c r="C63978" s="60"/>
      <c r="I63978" s="63"/>
      <c r="R63978" s="64"/>
    </row>
    <row r="63979" spans="3:18" s="8" customFormat="1" x14ac:dyDescent="0.25">
      <c r="C63979" s="60"/>
      <c r="I63979" s="63"/>
      <c r="R63979" s="64"/>
    </row>
    <row r="63980" spans="3:18" s="8" customFormat="1" x14ac:dyDescent="0.25">
      <c r="C63980" s="60"/>
      <c r="I63980" s="63"/>
      <c r="R63980" s="64"/>
    </row>
    <row r="63981" spans="3:18" s="8" customFormat="1" x14ac:dyDescent="0.25">
      <c r="C63981" s="60"/>
      <c r="I63981" s="63"/>
      <c r="R63981" s="64"/>
    </row>
    <row r="63982" spans="3:18" s="8" customFormat="1" x14ac:dyDescent="0.25">
      <c r="C63982" s="60"/>
      <c r="I63982" s="63"/>
      <c r="R63982" s="64"/>
    </row>
    <row r="63983" spans="3:18" s="8" customFormat="1" x14ac:dyDescent="0.25">
      <c r="C63983" s="60"/>
      <c r="I63983" s="63"/>
      <c r="R63983" s="64"/>
    </row>
    <row r="63984" spans="3:18" s="8" customFormat="1" x14ac:dyDescent="0.25">
      <c r="C63984" s="60"/>
      <c r="I63984" s="63"/>
      <c r="R63984" s="64"/>
    </row>
    <row r="63985" spans="3:18" s="8" customFormat="1" x14ac:dyDescent="0.25">
      <c r="C63985" s="60"/>
      <c r="I63985" s="63"/>
      <c r="R63985" s="64"/>
    </row>
    <row r="63986" spans="3:18" s="8" customFormat="1" x14ac:dyDescent="0.25">
      <c r="C63986" s="60"/>
      <c r="I63986" s="63"/>
      <c r="R63986" s="64"/>
    </row>
    <row r="63987" spans="3:18" s="8" customFormat="1" x14ac:dyDescent="0.25">
      <c r="C63987" s="60"/>
      <c r="I63987" s="63"/>
      <c r="R63987" s="64"/>
    </row>
    <row r="63988" spans="3:18" s="8" customFormat="1" x14ac:dyDescent="0.25">
      <c r="C63988" s="60"/>
      <c r="I63988" s="63"/>
      <c r="R63988" s="64"/>
    </row>
    <row r="63989" spans="3:18" s="8" customFormat="1" x14ac:dyDescent="0.25">
      <c r="C63989" s="60"/>
      <c r="I63989" s="63"/>
      <c r="R63989" s="64"/>
    </row>
    <row r="63990" spans="3:18" s="8" customFormat="1" x14ac:dyDescent="0.25">
      <c r="C63990" s="60"/>
      <c r="I63990" s="63"/>
      <c r="R63990" s="64"/>
    </row>
    <row r="63991" spans="3:18" s="8" customFormat="1" x14ac:dyDescent="0.25">
      <c r="C63991" s="60"/>
      <c r="I63991" s="63"/>
      <c r="R63991" s="64"/>
    </row>
    <row r="63992" spans="3:18" s="8" customFormat="1" x14ac:dyDescent="0.25">
      <c r="C63992" s="60"/>
      <c r="I63992" s="63"/>
      <c r="R63992" s="64"/>
    </row>
    <row r="63993" spans="3:18" s="8" customFormat="1" x14ac:dyDescent="0.25">
      <c r="C63993" s="60"/>
      <c r="I63993" s="63"/>
      <c r="R63993" s="64"/>
    </row>
    <row r="63994" spans="3:18" s="8" customFormat="1" x14ac:dyDescent="0.25">
      <c r="C63994" s="60"/>
      <c r="I63994" s="63"/>
      <c r="R63994" s="64"/>
    </row>
    <row r="63995" spans="3:18" s="8" customFormat="1" x14ac:dyDescent="0.25">
      <c r="C63995" s="60"/>
      <c r="I63995" s="63"/>
      <c r="R63995" s="64"/>
    </row>
    <row r="63996" spans="3:18" s="8" customFormat="1" x14ac:dyDescent="0.25">
      <c r="C63996" s="60"/>
      <c r="I63996" s="63"/>
      <c r="R63996" s="64"/>
    </row>
    <row r="63997" spans="3:18" s="8" customFormat="1" x14ac:dyDescent="0.25">
      <c r="C63997" s="60"/>
      <c r="I63997" s="63"/>
      <c r="R63997" s="64"/>
    </row>
    <row r="63998" spans="3:18" s="8" customFormat="1" x14ac:dyDescent="0.25">
      <c r="C63998" s="60"/>
      <c r="I63998" s="63"/>
      <c r="R63998" s="64"/>
    </row>
    <row r="63999" spans="3:18" s="8" customFormat="1" x14ac:dyDescent="0.25">
      <c r="C63999" s="60"/>
      <c r="I63999" s="63"/>
      <c r="R63999" s="64"/>
    </row>
    <row r="64000" spans="3:18" s="8" customFormat="1" x14ac:dyDescent="0.25">
      <c r="C64000" s="60"/>
      <c r="I64000" s="63"/>
      <c r="R64000" s="64"/>
    </row>
    <row r="64001" spans="3:18" s="8" customFormat="1" x14ac:dyDescent="0.25">
      <c r="C64001" s="60"/>
      <c r="I64001" s="63"/>
      <c r="R64001" s="64"/>
    </row>
    <row r="64002" spans="3:18" s="8" customFormat="1" x14ac:dyDescent="0.25">
      <c r="C64002" s="60"/>
      <c r="I64002" s="63"/>
      <c r="R64002" s="64"/>
    </row>
    <row r="64003" spans="3:18" s="8" customFormat="1" x14ac:dyDescent="0.25">
      <c r="C64003" s="60"/>
      <c r="I64003" s="63"/>
      <c r="R64003" s="64"/>
    </row>
    <row r="64004" spans="3:18" s="8" customFormat="1" x14ac:dyDescent="0.25">
      <c r="C64004" s="60"/>
      <c r="I64004" s="63"/>
      <c r="R64004" s="64"/>
    </row>
    <row r="64005" spans="3:18" s="8" customFormat="1" x14ac:dyDescent="0.25">
      <c r="C64005" s="60"/>
      <c r="I64005" s="63"/>
      <c r="R64005" s="64"/>
    </row>
    <row r="64006" spans="3:18" s="8" customFormat="1" x14ac:dyDescent="0.25">
      <c r="C64006" s="60"/>
      <c r="I64006" s="63"/>
      <c r="R64006" s="64"/>
    </row>
    <row r="64007" spans="3:18" s="8" customFormat="1" x14ac:dyDescent="0.25">
      <c r="C64007" s="60"/>
      <c r="I64007" s="63"/>
      <c r="R64007" s="64"/>
    </row>
    <row r="64008" spans="3:18" s="8" customFormat="1" x14ac:dyDescent="0.25">
      <c r="C64008" s="60"/>
      <c r="I64008" s="63"/>
      <c r="R64008" s="64"/>
    </row>
    <row r="64009" spans="3:18" s="8" customFormat="1" x14ac:dyDescent="0.25">
      <c r="C64009" s="60"/>
      <c r="I64009" s="63"/>
      <c r="R64009" s="64"/>
    </row>
    <row r="64010" spans="3:18" s="8" customFormat="1" x14ac:dyDescent="0.25">
      <c r="C64010" s="60"/>
      <c r="I64010" s="63"/>
      <c r="R64010" s="64"/>
    </row>
    <row r="64011" spans="3:18" s="8" customFormat="1" x14ac:dyDescent="0.25">
      <c r="C64011" s="60"/>
      <c r="I64011" s="63"/>
      <c r="R64011" s="64"/>
    </row>
    <row r="64012" spans="3:18" s="8" customFormat="1" x14ac:dyDescent="0.25">
      <c r="C64012" s="60"/>
      <c r="I64012" s="63"/>
      <c r="R64012" s="64"/>
    </row>
    <row r="64013" spans="3:18" s="8" customFormat="1" x14ac:dyDescent="0.25">
      <c r="C64013" s="60"/>
      <c r="I64013" s="63"/>
      <c r="R64013" s="64"/>
    </row>
    <row r="64014" spans="3:18" s="8" customFormat="1" x14ac:dyDescent="0.25">
      <c r="C64014" s="60"/>
      <c r="I64014" s="63"/>
      <c r="R64014" s="64"/>
    </row>
    <row r="64015" spans="3:18" s="8" customFormat="1" x14ac:dyDescent="0.25">
      <c r="C64015" s="60"/>
      <c r="I64015" s="63"/>
      <c r="R64015" s="64"/>
    </row>
    <row r="64016" spans="3:18" s="8" customFormat="1" x14ac:dyDescent="0.25">
      <c r="C64016" s="60"/>
      <c r="I64016" s="63"/>
      <c r="R64016" s="64"/>
    </row>
    <row r="64017" spans="3:18" s="8" customFormat="1" x14ac:dyDescent="0.25">
      <c r="C64017" s="60"/>
      <c r="I64017" s="63"/>
      <c r="R64017" s="64"/>
    </row>
    <row r="64018" spans="3:18" s="8" customFormat="1" x14ac:dyDescent="0.25">
      <c r="C64018" s="60"/>
      <c r="I64018" s="63"/>
      <c r="R64018" s="64"/>
    </row>
    <row r="64019" spans="3:18" s="8" customFormat="1" x14ac:dyDescent="0.25">
      <c r="C64019" s="60"/>
      <c r="I64019" s="63"/>
      <c r="R64019" s="64"/>
    </row>
    <row r="64020" spans="3:18" s="8" customFormat="1" x14ac:dyDescent="0.25">
      <c r="C64020" s="60"/>
      <c r="I64020" s="63"/>
      <c r="R64020" s="64"/>
    </row>
    <row r="64021" spans="3:18" s="8" customFormat="1" x14ac:dyDescent="0.25">
      <c r="C64021" s="60"/>
      <c r="I64021" s="63"/>
      <c r="R64021" s="64"/>
    </row>
    <row r="64022" spans="3:18" s="8" customFormat="1" x14ac:dyDescent="0.25">
      <c r="C64022" s="60"/>
      <c r="I64022" s="63"/>
      <c r="R64022" s="64"/>
    </row>
    <row r="64023" spans="3:18" s="8" customFormat="1" x14ac:dyDescent="0.25">
      <c r="C64023" s="60"/>
      <c r="I64023" s="63"/>
      <c r="R64023" s="64"/>
    </row>
    <row r="64024" spans="3:18" s="8" customFormat="1" x14ac:dyDescent="0.25">
      <c r="C64024" s="60"/>
      <c r="I64024" s="63"/>
      <c r="R64024" s="64"/>
    </row>
    <row r="64025" spans="3:18" s="8" customFormat="1" x14ac:dyDescent="0.25">
      <c r="C64025" s="60"/>
      <c r="I64025" s="63"/>
      <c r="R64025" s="64"/>
    </row>
    <row r="64026" spans="3:18" s="8" customFormat="1" x14ac:dyDescent="0.25">
      <c r="C64026" s="60"/>
      <c r="I64026" s="63"/>
      <c r="R64026" s="64"/>
    </row>
    <row r="64027" spans="3:18" s="8" customFormat="1" x14ac:dyDescent="0.25">
      <c r="C64027" s="60"/>
      <c r="I64027" s="63"/>
      <c r="R64027" s="64"/>
    </row>
    <row r="64028" spans="3:18" s="8" customFormat="1" x14ac:dyDescent="0.25">
      <c r="C64028" s="60"/>
      <c r="I64028" s="63"/>
      <c r="R64028" s="64"/>
    </row>
    <row r="64029" spans="3:18" s="8" customFormat="1" x14ac:dyDescent="0.25">
      <c r="C64029" s="60"/>
      <c r="I64029" s="63"/>
      <c r="R64029" s="64"/>
    </row>
    <row r="64030" spans="3:18" s="8" customFormat="1" x14ac:dyDescent="0.25">
      <c r="C64030" s="60"/>
      <c r="I64030" s="63"/>
      <c r="R64030" s="64"/>
    </row>
    <row r="64031" spans="3:18" s="8" customFormat="1" x14ac:dyDescent="0.25">
      <c r="C64031" s="60"/>
      <c r="I64031" s="63"/>
      <c r="R64031" s="64"/>
    </row>
    <row r="64032" spans="3:18" s="8" customFormat="1" x14ac:dyDescent="0.25">
      <c r="C64032" s="60"/>
      <c r="I64032" s="63"/>
      <c r="R64032" s="64"/>
    </row>
    <row r="64033" spans="3:18" s="8" customFormat="1" x14ac:dyDescent="0.25">
      <c r="C64033" s="60"/>
      <c r="I64033" s="63"/>
      <c r="R64033" s="64"/>
    </row>
    <row r="64034" spans="3:18" s="8" customFormat="1" x14ac:dyDescent="0.25">
      <c r="C64034" s="60"/>
      <c r="I64034" s="63"/>
      <c r="R64034" s="64"/>
    </row>
    <row r="64035" spans="3:18" s="8" customFormat="1" x14ac:dyDescent="0.25">
      <c r="C64035" s="60"/>
      <c r="I64035" s="63"/>
      <c r="R64035" s="64"/>
    </row>
    <row r="64036" spans="3:18" s="8" customFormat="1" x14ac:dyDescent="0.25">
      <c r="C64036" s="60"/>
      <c r="I64036" s="63"/>
      <c r="R64036" s="64"/>
    </row>
    <row r="64037" spans="3:18" s="8" customFormat="1" x14ac:dyDescent="0.25">
      <c r="C64037" s="60"/>
      <c r="I64037" s="63"/>
      <c r="R64037" s="64"/>
    </row>
    <row r="64038" spans="3:18" s="8" customFormat="1" x14ac:dyDescent="0.25">
      <c r="C64038" s="60"/>
      <c r="I64038" s="63"/>
      <c r="R64038" s="64"/>
    </row>
    <row r="64039" spans="3:18" s="8" customFormat="1" x14ac:dyDescent="0.25">
      <c r="C64039" s="60"/>
      <c r="I64039" s="63"/>
      <c r="R64039" s="64"/>
    </row>
    <row r="64040" spans="3:18" s="8" customFormat="1" x14ac:dyDescent="0.25">
      <c r="C64040" s="60"/>
      <c r="I64040" s="63"/>
      <c r="R64040" s="64"/>
    </row>
    <row r="64041" spans="3:18" s="8" customFormat="1" x14ac:dyDescent="0.25">
      <c r="C64041" s="60"/>
      <c r="I64041" s="63"/>
      <c r="R64041" s="64"/>
    </row>
    <row r="64042" spans="3:18" s="8" customFormat="1" x14ac:dyDescent="0.25">
      <c r="C64042" s="60"/>
      <c r="I64042" s="63"/>
      <c r="R64042" s="64"/>
    </row>
    <row r="64043" spans="3:18" s="8" customFormat="1" x14ac:dyDescent="0.25">
      <c r="C64043" s="60"/>
      <c r="I64043" s="63"/>
      <c r="R64043" s="64"/>
    </row>
    <row r="64044" spans="3:18" s="8" customFormat="1" x14ac:dyDescent="0.25">
      <c r="C64044" s="60"/>
      <c r="I64044" s="63"/>
      <c r="R64044" s="64"/>
    </row>
    <row r="64045" spans="3:18" s="8" customFormat="1" x14ac:dyDescent="0.25">
      <c r="C64045" s="60"/>
      <c r="I64045" s="63"/>
      <c r="R64045" s="64"/>
    </row>
    <row r="64046" spans="3:18" s="8" customFormat="1" x14ac:dyDescent="0.25">
      <c r="C64046" s="60"/>
      <c r="I64046" s="63"/>
      <c r="R64046" s="64"/>
    </row>
    <row r="64047" spans="3:18" s="8" customFormat="1" x14ac:dyDescent="0.25">
      <c r="C64047" s="60"/>
      <c r="I64047" s="63"/>
      <c r="R64047" s="64"/>
    </row>
    <row r="64048" spans="3:18" s="8" customFormat="1" x14ac:dyDescent="0.25">
      <c r="C64048" s="60"/>
      <c r="I64048" s="63"/>
      <c r="R64048" s="64"/>
    </row>
    <row r="64049" spans="3:18" s="8" customFormat="1" x14ac:dyDescent="0.25">
      <c r="C64049" s="60"/>
      <c r="I64049" s="63"/>
      <c r="R64049" s="64"/>
    </row>
    <row r="64050" spans="3:18" s="8" customFormat="1" x14ac:dyDescent="0.25">
      <c r="C64050" s="60"/>
      <c r="I64050" s="63"/>
      <c r="R64050" s="64"/>
    </row>
    <row r="64051" spans="3:18" s="8" customFormat="1" x14ac:dyDescent="0.25">
      <c r="C64051" s="60"/>
      <c r="I64051" s="63"/>
      <c r="R64051" s="64"/>
    </row>
    <row r="64052" spans="3:18" s="8" customFormat="1" x14ac:dyDescent="0.25">
      <c r="C64052" s="60"/>
      <c r="I64052" s="63"/>
      <c r="R64052" s="64"/>
    </row>
    <row r="64053" spans="3:18" s="8" customFormat="1" x14ac:dyDescent="0.25">
      <c r="C64053" s="60"/>
      <c r="I64053" s="63"/>
      <c r="R64053" s="64"/>
    </row>
    <row r="64054" spans="3:18" s="8" customFormat="1" x14ac:dyDescent="0.25">
      <c r="C64054" s="60"/>
      <c r="I64054" s="63"/>
      <c r="R64054" s="64"/>
    </row>
    <row r="64055" spans="3:18" s="8" customFormat="1" x14ac:dyDescent="0.25">
      <c r="C64055" s="60"/>
      <c r="I64055" s="63"/>
      <c r="R64055" s="64"/>
    </row>
    <row r="64056" spans="3:18" s="8" customFormat="1" x14ac:dyDescent="0.25">
      <c r="C64056" s="60"/>
      <c r="I64056" s="63"/>
      <c r="R64056" s="64"/>
    </row>
    <row r="64057" spans="3:18" s="8" customFormat="1" x14ac:dyDescent="0.25">
      <c r="C64057" s="60"/>
      <c r="I64057" s="63"/>
      <c r="R64057" s="64"/>
    </row>
    <row r="64058" spans="3:18" s="8" customFormat="1" x14ac:dyDescent="0.25">
      <c r="C64058" s="60"/>
      <c r="I64058" s="63"/>
      <c r="R64058" s="64"/>
    </row>
    <row r="64059" spans="3:18" s="8" customFormat="1" x14ac:dyDescent="0.25">
      <c r="C64059" s="60"/>
      <c r="I64059" s="63"/>
      <c r="R64059" s="64"/>
    </row>
    <row r="64060" spans="3:18" s="8" customFormat="1" x14ac:dyDescent="0.25">
      <c r="C64060" s="60"/>
      <c r="I64060" s="63"/>
      <c r="R64060" s="64"/>
    </row>
    <row r="64061" spans="3:18" s="8" customFormat="1" x14ac:dyDescent="0.25">
      <c r="C64061" s="60"/>
      <c r="I64061" s="63"/>
      <c r="R64061" s="64"/>
    </row>
    <row r="64062" spans="3:18" s="8" customFormat="1" x14ac:dyDescent="0.25">
      <c r="C64062" s="60"/>
      <c r="I64062" s="63"/>
      <c r="R64062" s="64"/>
    </row>
    <row r="64063" spans="3:18" s="8" customFormat="1" x14ac:dyDescent="0.25">
      <c r="C64063" s="60"/>
      <c r="I64063" s="63"/>
      <c r="R64063" s="64"/>
    </row>
    <row r="64064" spans="3:18" s="8" customFormat="1" x14ac:dyDescent="0.25">
      <c r="C64064" s="60"/>
      <c r="I64064" s="63"/>
      <c r="R64064" s="64"/>
    </row>
    <row r="64065" spans="3:18" s="8" customFormat="1" x14ac:dyDescent="0.25">
      <c r="C64065" s="60"/>
      <c r="I64065" s="63"/>
      <c r="R64065" s="64"/>
    </row>
    <row r="64066" spans="3:18" s="8" customFormat="1" x14ac:dyDescent="0.25">
      <c r="C64066" s="60"/>
      <c r="I64066" s="63"/>
      <c r="R64066" s="64"/>
    </row>
    <row r="64067" spans="3:18" s="8" customFormat="1" x14ac:dyDescent="0.25">
      <c r="C64067" s="60"/>
      <c r="I64067" s="63"/>
      <c r="R64067" s="64"/>
    </row>
    <row r="64068" spans="3:18" s="8" customFormat="1" x14ac:dyDescent="0.25">
      <c r="C64068" s="60"/>
      <c r="I64068" s="63"/>
      <c r="R64068" s="64"/>
    </row>
    <row r="64069" spans="3:18" s="8" customFormat="1" x14ac:dyDescent="0.25">
      <c r="C64069" s="60"/>
      <c r="I64069" s="63"/>
      <c r="R64069" s="64"/>
    </row>
    <row r="64070" spans="3:18" s="8" customFormat="1" x14ac:dyDescent="0.25">
      <c r="C64070" s="60"/>
      <c r="I64070" s="63"/>
      <c r="R64070" s="64"/>
    </row>
    <row r="64071" spans="3:18" s="8" customFormat="1" x14ac:dyDescent="0.25">
      <c r="C64071" s="60"/>
      <c r="I64071" s="63"/>
      <c r="R64071" s="64"/>
    </row>
    <row r="64072" spans="3:18" s="8" customFormat="1" x14ac:dyDescent="0.25">
      <c r="C64072" s="60"/>
      <c r="I64072" s="63"/>
      <c r="R64072" s="64"/>
    </row>
    <row r="64073" spans="3:18" s="8" customFormat="1" x14ac:dyDescent="0.25">
      <c r="C64073" s="60"/>
      <c r="I64073" s="63"/>
      <c r="R64073" s="64"/>
    </row>
    <row r="64074" spans="3:18" s="8" customFormat="1" x14ac:dyDescent="0.25">
      <c r="C64074" s="60"/>
      <c r="I64074" s="63"/>
      <c r="R64074" s="64"/>
    </row>
    <row r="64075" spans="3:18" s="8" customFormat="1" x14ac:dyDescent="0.25">
      <c r="C64075" s="60"/>
      <c r="I64075" s="63"/>
      <c r="R64075" s="64"/>
    </row>
    <row r="64076" spans="3:18" s="8" customFormat="1" x14ac:dyDescent="0.25">
      <c r="C64076" s="60"/>
      <c r="I64076" s="63"/>
      <c r="R64076" s="64"/>
    </row>
    <row r="64077" spans="3:18" s="8" customFormat="1" x14ac:dyDescent="0.25">
      <c r="C64077" s="60"/>
      <c r="I64077" s="63"/>
      <c r="R64077" s="64"/>
    </row>
    <row r="64078" spans="3:18" s="8" customFormat="1" x14ac:dyDescent="0.25">
      <c r="C64078" s="60"/>
      <c r="I64078" s="63"/>
      <c r="R64078" s="64"/>
    </row>
    <row r="64079" spans="3:18" s="8" customFormat="1" x14ac:dyDescent="0.25">
      <c r="C64079" s="60"/>
      <c r="I64079" s="63"/>
      <c r="R64079" s="64"/>
    </row>
    <row r="64080" spans="3:18" s="8" customFormat="1" x14ac:dyDescent="0.25">
      <c r="C64080" s="60"/>
      <c r="I64080" s="63"/>
      <c r="R64080" s="64"/>
    </row>
    <row r="64081" spans="3:18" s="8" customFormat="1" x14ac:dyDescent="0.25">
      <c r="C64081" s="60"/>
      <c r="I64081" s="63"/>
      <c r="R64081" s="64"/>
    </row>
    <row r="64082" spans="3:18" s="8" customFormat="1" x14ac:dyDescent="0.25">
      <c r="C64082" s="60"/>
      <c r="I64082" s="63"/>
      <c r="R64082" s="64"/>
    </row>
    <row r="64083" spans="3:18" s="8" customFormat="1" x14ac:dyDescent="0.25">
      <c r="C64083" s="60"/>
      <c r="I64083" s="63"/>
      <c r="R64083" s="64"/>
    </row>
    <row r="64084" spans="3:18" s="8" customFormat="1" x14ac:dyDescent="0.25">
      <c r="C64084" s="60"/>
      <c r="I64084" s="63"/>
      <c r="R64084" s="64"/>
    </row>
    <row r="64085" spans="3:18" s="8" customFormat="1" x14ac:dyDescent="0.25">
      <c r="C64085" s="60"/>
      <c r="I64085" s="63"/>
      <c r="R64085" s="64"/>
    </row>
    <row r="64086" spans="3:18" s="8" customFormat="1" x14ac:dyDescent="0.25">
      <c r="C64086" s="60"/>
      <c r="I64086" s="63"/>
      <c r="R64086" s="64"/>
    </row>
    <row r="64087" spans="3:18" s="8" customFormat="1" x14ac:dyDescent="0.25">
      <c r="C64087" s="60"/>
      <c r="I64087" s="63"/>
      <c r="R64087" s="64"/>
    </row>
    <row r="64088" spans="3:18" s="8" customFormat="1" x14ac:dyDescent="0.25">
      <c r="C64088" s="60"/>
      <c r="I64088" s="63"/>
      <c r="R64088" s="64"/>
    </row>
    <row r="64089" spans="3:18" s="8" customFormat="1" x14ac:dyDescent="0.25">
      <c r="C64089" s="60"/>
      <c r="I64089" s="63"/>
      <c r="R64089" s="64"/>
    </row>
    <row r="64090" spans="3:18" s="8" customFormat="1" x14ac:dyDescent="0.25">
      <c r="C64090" s="60"/>
      <c r="I64090" s="63"/>
      <c r="R64090" s="64"/>
    </row>
    <row r="64091" spans="3:18" s="8" customFormat="1" x14ac:dyDescent="0.25">
      <c r="C64091" s="60"/>
      <c r="I64091" s="63"/>
      <c r="R64091" s="64"/>
    </row>
    <row r="64092" spans="3:18" s="8" customFormat="1" x14ac:dyDescent="0.25">
      <c r="C64092" s="60"/>
      <c r="I64092" s="63"/>
      <c r="R64092" s="64"/>
    </row>
    <row r="64093" spans="3:18" s="8" customFormat="1" x14ac:dyDescent="0.25">
      <c r="C64093" s="60"/>
      <c r="I64093" s="63"/>
      <c r="R64093" s="64"/>
    </row>
    <row r="64094" spans="3:18" s="8" customFormat="1" x14ac:dyDescent="0.25">
      <c r="C64094" s="60"/>
      <c r="I64094" s="63"/>
      <c r="R64094" s="64"/>
    </row>
    <row r="64095" spans="3:18" s="8" customFormat="1" x14ac:dyDescent="0.25">
      <c r="C64095" s="60"/>
      <c r="I64095" s="63"/>
      <c r="R64095" s="64"/>
    </row>
    <row r="64096" spans="3:18" s="8" customFormat="1" x14ac:dyDescent="0.25">
      <c r="C64096" s="60"/>
      <c r="I64096" s="63"/>
      <c r="R64096" s="64"/>
    </row>
    <row r="64097" spans="3:18" s="8" customFormat="1" x14ac:dyDescent="0.25">
      <c r="C64097" s="60"/>
      <c r="I64097" s="63"/>
      <c r="R64097" s="64"/>
    </row>
    <row r="64098" spans="3:18" s="8" customFormat="1" x14ac:dyDescent="0.25">
      <c r="C64098" s="60"/>
      <c r="I64098" s="63"/>
      <c r="R64098" s="64"/>
    </row>
    <row r="64099" spans="3:18" s="8" customFormat="1" x14ac:dyDescent="0.25">
      <c r="C64099" s="60"/>
      <c r="I64099" s="63"/>
      <c r="R64099" s="64"/>
    </row>
    <row r="64100" spans="3:18" s="8" customFormat="1" x14ac:dyDescent="0.25">
      <c r="C64100" s="60"/>
      <c r="I64100" s="63"/>
      <c r="R64100" s="64"/>
    </row>
    <row r="64101" spans="3:18" s="8" customFormat="1" x14ac:dyDescent="0.25">
      <c r="C64101" s="60"/>
      <c r="I64101" s="63"/>
      <c r="R64101" s="64"/>
    </row>
    <row r="64102" spans="3:18" s="8" customFormat="1" x14ac:dyDescent="0.25">
      <c r="C64102" s="60"/>
      <c r="I64102" s="63"/>
      <c r="R64102" s="64"/>
    </row>
    <row r="64103" spans="3:18" s="8" customFormat="1" x14ac:dyDescent="0.25">
      <c r="C64103" s="60"/>
      <c r="I64103" s="63"/>
      <c r="R64103" s="64"/>
    </row>
    <row r="64104" spans="3:18" s="8" customFormat="1" x14ac:dyDescent="0.25">
      <c r="C64104" s="60"/>
      <c r="I64104" s="63"/>
      <c r="R64104" s="64"/>
    </row>
    <row r="64105" spans="3:18" s="8" customFormat="1" x14ac:dyDescent="0.25">
      <c r="C64105" s="60"/>
      <c r="I64105" s="63"/>
      <c r="R64105" s="64"/>
    </row>
    <row r="64106" spans="3:18" s="8" customFormat="1" x14ac:dyDescent="0.25">
      <c r="C64106" s="60"/>
      <c r="I64106" s="63"/>
      <c r="R64106" s="64"/>
    </row>
    <row r="64107" spans="3:18" s="8" customFormat="1" x14ac:dyDescent="0.25">
      <c r="C64107" s="60"/>
      <c r="I64107" s="63"/>
      <c r="R64107" s="64"/>
    </row>
    <row r="64108" spans="3:18" s="8" customFormat="1" x14ac:dyDescent="0.25">
      <c r="C64108" s="60"/>
      <c r="I64108" s="63"/>
      <c r="R64108" s="64"/>
    </row>
    <row r="64109" spans="3:18" s="8" customFormat="1" x14ac:dyDescent="0.25">
      <c r="C64109" s="60"/>
      <c r="I64109" s="63"/>
      <c r="R64109" s="64"/>
    </row>
    <row r="64110" spans="3:18" s="8" customFormat="1" x14ac:dyDescent="0.25">
      <c r="C64110" s="60"/>
      <c r="I64110" s="63"/>
      <c r="R64110" s="64"/>
    </row>
    <row r="64111" spans="3:18" s="8" customFormat="1" x14ac:dyDescent="0.25">
      <c r="C64111" s="60"/>
      <c r="I64111" s="63"/>
      <c r="R64111" s="64"/>
    </row>
    <row r="64112" spans="3:18" s="8" customFormat="1" x14ac:dyDescent="0.25">
      <c r="C64112" s="60"/>
      <c r="I64112" s="63"/>
      <c r="R64112" s="64"/>
    </row>
    <row r="64113" spans="3:18" s="8" customFormat="1" x14ac:dyDescent="0.25">
      <c r="C64113" s="60"/>
      <c r="I64113" s="63"/>
      <c r="R64113" s="64"/>
    </row>
    <row r="64114" spans="3:18" s="8" customFormat="1" x14ac:dyDescent="0.25">
      <c r="C64114" s="60"/>
      <c r="I64114" s="63"/>
      <c r="R64114" s="64"/>
    </row>
    <row r="64115" spans="3:18" s="8" customFormat="1" x14ac:dyDescent="0.25">
      <c r="C64115" s="60"/>
      <c r="I64115" s="63"/>
      <c r="R64115" s="64"/>
    </row>
    <row r="64116" spans="3:18" s="8" customFormat="1" x14ac:dyDescent="0.25">
      <c r="C64116" s="60"/>
      <c r="I64116" s="63"/>
      <c r="R64116" s="64"/>
    </row>
    <row r="64117" spans="3:18" s="8" customFormat="1" x14ac:dyDescent="0.25">
      <c r="C64117" s="60"/>
      <c r="I64117" s="63"/>
      <c r="R64117" s="64"/>
    </row>
    <row r="64118" spans="3:18" s="8" customFormat="1" x14ac:dyDescent="0.25">
      <c r="C64118" s="60"/>
      <c r="I64118" s="63"/>
      <c r="R64118" s="64"/>
    </row>
    <row r="64119" spans="3:18" s="8" customFormat="1" x14ac:dyDescent="0.25">
      <c r="C64119" s="60"/>
      <c r="I64119" s="63"/>
      <c r="R64119" s="64"/>
    </row>
    <row r="64120" spans="3:18" s="8" customFormat="1" x14ac:dyDescent="0.25">
      <c r="C64120" s="60"/>
      <c r="I64120" s="63"/>
      <c r="R64120" s="64"/>
    </row>
    <row r="64121" spans="3:18" s="8" customFormat="1" x14ac:dyDescent="0.25">
      <c r="C64121" s="60"/>
      <c r="I64121" s="63"/>
      <c r="R64121" s="64"/>
    </row>
    <row r="64122" spans="3:18" s="8" customFormat="1" x14ac:dyDescent="0.25">
      <c r="C64122" s="60"/>
      <c r="I64122" s="63"/>
      <c r="R64122" s="64"/>
    </row>
    <row r="64123" spans="3:18" s="8" customFormat="1" x14ac:dyDescent="0.25">
      <c r="C64123" s="60"/>
      <c r="I64123" s="63"/>
      <c r="R64123" s="64"/>
    </row>
    <row r="64124" spans="3:18" s="8" customFormat="1" x14ac:dyDescent="0.25">
      <c r="C64124" s="60"/>
      <c r="I64124" s="63"/>
      <c r="R64124" s="64"/>
    </row>
    <row r="64125" spans="3:18" s="8" customFormat="1" x14ac:dyDescent="0.25">
      <c r="C64125" s="60"/>
      <c r="I64125" s="63"/>
      <c r="R64125" s="64"/>
    </row>
    <row r="64126" spans="3:18" s="8" customFormat="1" x14ac:dyDescent="0.25">
      <c r="C64126" s="60"/>
      <c r="I64126" s="63"/>
      <c r="R64126" s="64"/>
    </row>
    <row r="64127" spans="3:18" s="8" customFormat="1" x14ac:dyDescent="0.25">
      <c r="C64127" s="60"/>
      <c r="I64127" s="63"/>
      <c r="R64127" s="64"/>
    </row>
    <row r="64128" spans="3:18" s="8" customFormat="1" x14ac:dyDescent="0.25">
      <c r="C64128" s="60"/>
      <c r="I64128" s="63"/>
      <c r="R64128" s="64"/>
    </row>
    <row r="64129" spans="3:18" s="8" customFormat="1" x14ac:dyDescent="0.25">
      <c r="C64129" s="60"/>
      <c r="I64129" s="63"/>
      <c r="R64129" s="64"/>
    </row>
    <row r="64130" spans="3:18" s="8" customFormat="1" x14ac:dyDescent="0.25">
      <c r="C64130" s="60"/>
      <c r="I64130" s="63"/>
      <c r="R64130" s="64"/>
    </row>
    <row r="64131" spans="3:18" s="8" customFormat="1" x14ac:dyDescent="0.25">
      <c r="C64131" s="60"/>
      <c r="I64131" s="63"/>
      <c r="R64131" s="64"/>
    </row>
    <row r="64132" spans="3:18" s="8" customFormat="1" x14ac:dyDescent="0.25">
      <c r="C64132" s="60"/>
      <c r="I64132" s="63"/>
      <c r="R64132" s="64"/>
    </row>
    <row r="64133" spans="3:18" s="8" customFormat="1" x14ac:dyDescent="0.25">
      <c r="C64133" s="60"/>
      <c r="I64133" s="63"/>
      <c r="R64133" s="64"/>
    </row>
    <row r="64134" spans="3:18" s="8" customFormat="1" x14ac:dyDescent="0.25">
      <c r="C64134" s="60"/>
      <c r="I64134" s="63"/>
      <c r="R64134" s="64"/>
    </row>
    <row r="64135" spans="3:18" s="8" customFormat="1" x14ac:dyDescent="0.25">
      <c r="C64135" s="60"/>
      <c r="I64135" s="63"/>
      <c r="R64135" s="64"/>
    </row>
    <row r="64136" spans="3:18" s="8" customFormat="1" x14ac:dyDescent="0.25">
      <c r="C64136" s="60"/>
      <c r="I64136" s="63"/>
      <c r="R64136" s="64"/>
    </row>
    <row r="64137" spans="3:18" s="8" customFormat="1" x14ac:dyDescent="0.25">
      <c r="C64137" s="60"/>
      <c r="I64137" s="63"/>
      <c r="R64137" s="64"/>
    </row>
    <row r="64138" spans="3:18" s="8" customFormat="1" x14ac:dyDescent="0.25">
      <c r="C64138" s="60"/>
      <c r="I64138" s="63"/>
      <c r="R64138" s="64"/>
    </row>
    <row r="64139" spans="3:18" s="8" customFormat="1" x14ac:dyDescent="0.25">
      <c r="C64139" s="60"/>
      <c r="I64139" s="63"/>
      <c r="R64139" s="64"/>
    </row>
    <row r="64140" spans="3:18" s="8" customFormat="1" x14ac:dyDescent="0.25">
      <c r="C64140" s="60"/>
      <c r="I64140" s="63"/>
      <c r="R64140" s="64"/>
    </row>
    <row r="64141" spans="3:18" s="8" customFormat="1" x14ac:dyDescent="0.25">
      <c r="C64141" s="60"/>
      <c r="I64141" s="63"/>
      <c r="R64141" s="64"/>
    </row>
    <row r="64142" spans="3:18" s="8" customFormat="1" x14ac:dyDescent="0.25">
      <c r="C64142" s="60"/>
      <c r="I64142" s="63"/>
      <c r="R64142" s="64"/>
    </row>
    <row r="64143" spans="3:18" s="8" customFormat="1" x14ac:dyDescent="0.25">
      <c r="C64143" s="60"/>
      <c r="I64143" s="63"/>
      <c r="R64143" s="64"/>
    </row>
    <row r="64144" spans="3:18" s="8" customFormat="1" x14ac:dyDescent="0.25">
      <c r="C64144" s="60"/>
      <c r="I64144" s="63"/>
      <c r="R64144" s="64"/>
    </row>
    <row r="64145" spans="3:18" s="8" customFormat="1" x14ac:dyDescent="0.25">
      <c r="C64145" s="60"/>
      <c r="I64145" s="63"/>
      <c r="R64145" s="64"/>
    </row>
    <row r="64146" spans="3:18" s="8" customFormat="1" x14ac:dyDescent="0.25">
      <c r="C64146" s="60"/>
      <c r="I64146" s="63"/>
      <c r="R64146" s="64"/>
    </row>
    <row r="64147" spans="3:18" s="8" customFormat="1" x14ac:dyDescent="0.25">
      <c r="C64147" s="60"/>
      <c r="I64147" s="63"/>
      <c r="R64147" s="64"/>
    </row>
    <row r="64148" spans="3:18" s="8" customFormat="1" x14ac:dyDescent="0.25">
      <c r="C64148" s="60"/>
      <c r="I64148" s="63"/>
      <c r="R64148" s="64"/>
    </row>
    <row r="64149" spans="3:18" s="8" customFormat="1" x14ac:dyDescent="0.25">
      <c r="C64149" s="60"/>
      <c r="I64149" s="63"/>
      <c r="R64149" s="64"/>
    </row>
    <row r="64150" spans="3:18" s="8" customFormat="1" x14ac:dyDescent="0.25">
      <c r="C64150" s="60"/>
      <c r="I64150" s="63"/>
      <c r="R64150" s="64"/>
    </row>
    <row r="64151" spans="3:18" s="8" customFormat="1" x14ac:dyDescent="0.25">
      <c r="C64151" s="60"/>
      <c r="I64151" s="63"/>
      <c r="R64151" s="64"/>
    </row>
    <row r="64152" spans="3:18" s="8" customFormat="1" x14ac:dyDescent="0.25">
      <c r="C64152" s="60"/>
      <c r="I64152" s="63"/>
      <c r="R64152" s="64"/>
    </row>
    <row r="64153" spans="3:18" s="8" customFormat="1" x14ac:dyDescent="0.25">
      <c r="C64153" s="60"/>
      <c r="I64153" s="63"/>
      <c r="R64153" s="64"/>
    </row>
    <row r="64154" spans="3:18" s="8" customFormat="1" x14ac:dyDescent="0.25">
      <c r="C64154" s="60"/>
      <c r="I64154" s="63"/>
      <c r="R64154" s="64"/>
    </row>
    <row r="64155" spans="3:18" s="8" customFormat="1" x14ac:dyDescent="0.25">
      <c r="C64155" s="60"/>
      <c r="I64155" s="63"/>
      <c r="R64155" s="64"/>
    </row>
    <row r="64156" spans="3:18" s="8" customFormat="1" x14ac:dyDescent="0.25">
      <c r="C64156" s="60"/>
      <c r="I64156" s="63"/>
      <c r="R64156" s="64"/>
    </row>
    <row r="64157" spans="3:18" s="8" customFormat="1" x14ac:dyDescent="0.25">
      <c r="C64157" s="60"/>
      <c r="I64157" s="63"/>
      <c r="R64157" s="64"/>
    </row>
    <row r="64158" spans="3:18" s="8" customFormat="1" x14ac:dyDescent="0.25">
      <c r="C64158" s="60"/>
      <c r="I64158" s="63"/>
      <c r="R64158" s="64"/>
    </row>
    <row r="64159" spans="3:18" s="8" customFormat="1" x14ac:dyDescent="0.25">
      <c r="C64159" s="60"/>
      <c r="I64159" s="63"/>
      <c r="R64159" s="64"/>
    </row>
    <row r="64160" spans="3:18" s="8" customFormat="1" x14ac:dyDescent="0.25">
      <c r="C64160" s="60"/>
      <c r="I64160" s="63"/>
      <c r="R64160" s="64"/>
    </row>
    <row r="64161" spans="3:18" s="8" customFormat="1" x14ac:dyDescent="0.25">
      <c r="C64161" s="60"/>
      <c r="I64161" s="63"/>
      <c r="R64161" s="64"/>
    </row>
    <row r="64162" spans="3:18" s="8" customFormat="1" x14ac:dyDescent="0.25">
      <c r="C64162" s="60"/>
      <c r="I64162" s="63"/>
      <c r="R64162" s="64"/>
    </row>
    <row r="64163" spans="3:18" s="8" customFormat="1" x14ac:dyDescent="0.25">
      <c r="C64163" s="60"/>
      <c r="I64163" s="63"/>
      <c r="R64163" s="64"/>
    </row>
    <row r="64164" spans="3:18" s="8" customFormat="1" x14ac:dyDescent="0.25">
      <c r="C64164" s="60"/>
      <c r="I64164" s="63"/>
      <c r="R64164" s="64"/>
    </row>
    <row r="64165" spans="3:18" s="8" customFormat="1" x14ac:dyDescent="0.25">
      <c r="C64165" s="60"/>
      <c r="I64165" s="63"/>
      <c r="R64165" s="64"/>
    </row>
    <row r="64166" spans="3:18" s="8" customFormat="1" x14ac:dyDescent="0.25">
      <c r="C64166" s="60"/>
      <c r="I64166" s="63"/>
      <c r="R64166" s="64"/>
    </row>
    <row r="64167" spans="3:18" s="8" customFormat="1" x14ac:dyDescent="0.25">
      <c r="C64167" s="60"/>
      <c r="I64167" s="63"/>
      <c r="R64167" s="64"/>
    </row>
    <row r="64168" spans="3:18" s="8" customFormat="1" x14ac:dyDescent="0.25">
      <c r="C64168" s="60"/>
      <c r="I64168" s="63"/>
      <c r="R64168" s="64"/>
    </row>
    <row r="64169" spans="3:18" s="8" customFormat="1" x14ac:dyDescent="0.25">
      <c r="C64169" s="60"/>
      <c r="I64169" s="63"/>
      <c r="R64169" s="64"/>
    </row>
    <row r="64170" spans="3:18" s="8" customFormat="1" x14ac:dyDescent="0.25">
      <c r="C64170" s="60"/>
      <c r="I64170" s="63"/>
      <c r="R64170" s="64"/>
    </row>
    <row r="64171" spans="3:18" s="8" customFormat="1" x14ac:dyDescent="0.25">
      <c r="C64171" s="60"/>
      <c r="I64171" s="63"/>
      <c r="R64171" s="64"/>
    </row>
    <row r="64172" spans="3:18" s="8" customFormat="1" x14ac:dyDescent="0.25">
      <c r="C64172" s="60"/>
      <c r="I64172" s="63"/>
      <c r="R64172" s="64"/>
    </row>
    <row r="64173" spans="3:18" s="8" customFormat="1" x14ac:dyDescent="0.25">
      <c r="C64173" s="60"/>
      <c r="I64173" s="63"/>
      <c r="R64173" s="64"/>
    </row>
    <row r="64174" spans="3:18" s="8" customFormat="1" x14ac:dyDescent="0.25">
      <c r="C64174" s="60"/>
      <c r="I64174" s="63"/>
      <c r="R64174" s="64"/>
    </row>
    <row r="64175" spans="3:18" s="8" customFormat="1" x14ac:dyDescent="0.25">
      <c r="C64175" s="60"/>
      <c r="I64175" s="63"/>
      <c r="R64175" s="64"/>
    </row>
    <row r="64176" spans="3:18" s="8" customFormat="1" x14ac:dyDescent="0.25">
      <c r="C64176" s="60"/>
      <c r="I64176" s="63"/>
      <c r="R64176" s="64"/>
    </row>
    <row r="64177" spans="3:18" s="8" customFormat="1" x14ac:dyDescent="0.25">
      <c r="C64177" s="60"/>
      <c r="I64177" s="63"/>
      <c r="R64177" s="64"/>
    </row>
    <row r="64178" spans="3:18" s="8" customFormat="1" x14ac:dyDescent="0.25">
      <c r="C64178" s="60"/>
      <c r="I64178" s="63"/>
      <c r="R64178" s="64"/>
    </row>
    <row r="64179" spans="3:18" s="8" customFormat="1" x14ac:dyDescent="0.25">
      <c r="C64179" s="60"/>
      <c r="I64179" s="63"/>
      <c r="R64179" s="64"/>
    </row>
    <row r="64180" spans="3:18" s="8" customFormat="1" x14ac:dyDescent="0.25">
      <c r="C64180" s="60"/>
      <c r="I64180" s="63"/>
      <c r="R64180" s="64"/>
    </row>
    <row r="64181" spans="3:18" s="8" customFormat="1" x14ac:dyDescent="0.25">
      <c r="C64181" s="60"/>
      <c r="I64181" s="63"/>
      <c r="R64181" s="64"/>
    </row>
    <row r="64182" spans="3:18" s="8" customFormat="1" x14ac:dyDescent="0.25">
      <c r="C64182" s="60"/>
      <c r="I64182" s="63"/>
      <c r="R64182" s="64"/>
    </row>
    <row r="64183" spans="3:18" s="8" customFormat="1" x14ac:dyDescent="0.25">
      <c r="C64183" s="60"/>
      <c r="I64183" s="63"/>
      <c r="R64183" s="64"/>
    </row>
    <row r="64184" spans="3:18" s="8" customFormat="1" x14ac:dyDescent="0.25">
      <c r="C64184" s="60"/>
      <c r="I64184" s="63"/>
      <c r="R64184" s="64"/>
    </row>
    <row r="64185" spans="3:18" s="8" customFormat="1" x14ac:dyDescent="0.25">
      <c r="C64185" s="60"/>
      <c r="I64185" s="63"/>
      <c r="R64185" s="64"/>
    </row>
    <row r="64186" spans="3:18" s="8" customFormat="1" x14ac:dyDescent="0.25">
      <c r="C64186" s="60"/>
      <c r="I64186" s="63"/>
      <c r="R64186" s="64"/>
    </row>
    <row r="64187" spans="3:18" s="8" customFormat="1" x14ac:dyDescent="0.25">
      <c r="C64187" s="60"/>
      <c r="I64187" s="63"/>
      <c r="R64187" s="64"/>
    </row>
    <row r="64188" spans="3:18" s="8" customFormat="1" x14ac:dyDescent="0.25">
      <c r="C64188" s="60"/>
      <c r="I64188" s="63"/>
      <c r="R64188" s="64"/>
    </row>
    <row r="64189" spans="3:18" s="8" customFormat="1" x14ac:dyDescent="0.25">
      <c r="C64189" s="60"/>
      <c r="I64189" s="63"/>
      <c r="R64189" s="64"/>
    </row>
    <row r="64190" spans="3:18" s="8" customFormat="1" x14ac:dyDescent="0.25">
      <c r="C64190" s="60"/>
      <c r="I64190" s="63"/>
      <c r="R64190" s="64"/>
    </row>
    <row r="64191" spans="3:18" s="8" customFormat="1" x14ac:dyDescent="0.25">
      <c r="C64191" s="60"/>
      <c r="I64191" s="63"/>
      <c r="R64191" s="64"/>
    </row>
    <row r="64192" spans="3:18" s="8" customFormat="1" x14ac:dyDescent="0.25">
      <c r="C64192" s="60"/>
      <c r="I64192" s="63"/>
      <c r="R64192" s="64"/>
    </row>
    <row r="64193" spans="3:18" s="8" customFormat="1" x14ac:dyDescent="0.25">
      <c r="C64193" s="60"/>
      <c r="I64193" s="63"/>
      <c r="R64193" s="64"/>
    </row>
    <row r="64194" spans="3:18" s="8" customFormat="1" x14ac:dyDescent="0.25">
      <c r="C64194" s="60"/>
      <c r="I64194" s="63"/>
      <c r="R64194" s="64"/>
    </row>
    <row r="64195" spans="3:18" s="8" customFormat="1" x14ac:dyDescent="0.25">
      <c r="C64195" s="60"/>
      <c r="I64195" s="63"/>
      <c r="R64195" s="64"/>
    </row>
    <row r="64196" spans="3:18" s="8" customFormat="1" x14ac:dyDescent="0.25">
      <c r="C64196" s="60"/>
      <c r="I64196" s="63"/>
      <c r="R64196" s="64"/>
    </row>
    <row r="64197" spans="3:18" s="8" customFormat="1" x14ac:dyDescent="0.25">
      <c r="C64197" s="60"/>
      <c r="I64197" s="63"/>
      <c r="R64197" s="64"/>
    </row>
    <row r="64198" spans="3:18" s="8" customFormat="1" x14ac:dyDescent="0.25">
      <c r="C64198" s="60"/>
      <c r="I64198" s="63"/>
      <c r="R64198" s="64"/>
    </row>
    <row r="64199" spans="3:18" s="8" customFormat="1" x14ac:dyDescent="0.25">
      <c r="C64199" s="60"/>
      <c r="I64199" s="63"/>
      <c r="R64199" s="64"/>
    </row>
    <row r="64200" spans="3:18" s="8" customFormat="1" x14ac:dyDescent="0.25">
      <c r="C64200" s="60"/>
      <c r="I64200" s="63"/>
      <c r="R64200" s="64"/>
    </row>
    <row r="64201" spans="3:18" s="8" customFormat="1" x14ac:dyDescent="0.25">
      <c r="C64201" s="60"/>
      <c r="I64201" s="63"/>
      <c r="R64201" s="64"/>
    </row>
    <row r="64202" spans="3:18" s="8" customFormat="1" x14ac:dyDescent="0.25">
      <c r="C64202" s="60"/>
      <c r="I64202" s="63"/>
      <c r="R64202" s="64"/>
    </row>
    <row r="64203" spans="3:18" s="8" customFormat="1" x14ac:dyDescent="0.25">
      <c r="C64203" s="60"/>
      <c r="I64203" s="63"/>
      <c r="R64203" s="64"/>
    </row>
    <row r="64204" spans="3:18" s="8" customFormat="1" x14ac:dyDescent="0.25">
      <c r="C64204" s="60"/>
      <c r="I64204" s="63"/>
      <c r="R64204" s="64"/>
    </row>
    <row r="64205" spans="3:18" s="8" customFormat="1" x14ac:dyDescent="0.25">
      <c r="C64205" s="60"/>
      <c r="I64205" s="63"/>
      <c r="R64205" s="64"/>
    </row>
    <row r="64206" spans="3:18" s="8" customFormat="1" x14ac:dyDescent="0.25">
      <c r="C64206" s="60"/>
      <c r="I64206" s="63"/>
      <c r="R64206" s="64"/>
    </row>
    <row r="64207" spans="3:18" s="8" customFormat="1" x14ac:dyDescent="0.25">
      <c r="C64207" s="60"/>
      <c r="I64207" s="63"/>
      <c r="R64207" s="64"/>
    </row>
    <row r="64208" spans="3:18" s="8" customFormat="1" x14ac:dyDescent="0.25">
      <c r="C64208" s="60"/>
      <c r="I64208" s="63"/>
      <c r="R64208" s="64"/>
    </row>
    <row r="64209" spans="3:18" s="8" customFormat="1" x14ac:dyDescent="0.25">
      <c r="C64209" s="60"/>
      <c r="I64209" s="63"/>
      <c r="R64209" s="64"/>
    </row>
    <row r="64210" spans="3:18" s="8" customFormat="1" x14ac:dyDescent="0.25">
      <c r="C64210" s="60"/>
      <c r="I64210" s="63"/>
      <c r="R64210" s="64"/>
    </row>
    <row r="64211" spans="3:18" s="8" customFormat="1" x14ac:dyDescent="0.25">
      <c r="C64211" s="60"/>
      <c r="I64211" s="63"/>
      <c r="R64211" s="64"/>
    </row>
    <row r="64212" spans="3:18" s="8" customFormat="1" x14ac:dyDescent="0.25">
      <c r="C64212" s="60"/>
      <c r="I64212" s="63"/>
      <c r="R64212" s="64"/>
    </row>
    <row r="64213" spans="3:18" s="8" customFormat="1" x14ac:dyDescent="0.25">
      <c r="C64213" s="60"/>
      <c r="I64213" s="63"/>
      <c r="R64213" s="64"/>
    </row>
    <row r="64214" spans="3:18" s="8" customFormat="1" x14ac:dyDescent="0.25">
      <c r="C64214" s="60"/>
      <c r="I64214" s="63"/>
      <c r="R64214" s="64"/>
    </row>
    <row r="64215" spans="3:18" s="8" customFormat="1" x14ac:dyDescent="0.25">
      <c r="C64215" s="60"/>
      <c r="I64215" s="63"/>
      <c r="R64215" s="64"/>
    </row>
    <row r="64216" spans="3:18" s="8" customFormat="1" x14ac:dyDescent="0.25">
      <c r="C64216" s="60"/>
      <c r="I64216" s="63"/>
      <c r="R64216" s="64"/>
    </row>
    <row r="64217" spans="3:18" s="8" customFormat="1" x14ac:dyDescent="0.25">
      <c r="C64217" s="60"/>
      <c r="I64217" s="63"/>
      <c r="R64217" s="64"/>
    </row>
    <row r="64218" spans="3:18" s="8" customFormat="1" x14ac:dyDescent="0.25">
      <c r="C64218" s="60"/>
      <c r="I64218" s="63"/>
      <c r="R64218" s="64"/>
    </row>
    <row r="64219" spans="3:18" s="8" customFormat="1" x14ac:dyDescent="0.25">
      <c r="C64219" s="60"/>
      <c r="I64219" s="63"/>
      <c r="R64219" s="64"/>
    </row>
    <row r="64220" spans="3:18" s="8" customFormat="1" x14ac:dyDescent="0.25">
      <c r="C64220" s="60"/>
      <c r="I64220" s="63"/>
      <c r="R64220" s="64"/>
    </row>
    <row r="64221" spans="3:18" s="8" customFormat="1" x14ac:dyDescent="0.25">
      <c r="C64221" s="60"/>
      <c r="I64221" s="63"/>
      <c r="R64221" s="64"/>
    </row>
    <row r="64222" spans="3:18" s="8" customFormat="1" x14ac:dyDescent="0.25">
      <c r="C64222" s="60"/>
      <c r="I64222" s="63"/>
      <c r="R64222" s="64"/>
    </row>
    <row r="64223" spans="3:18" s="8" customFormat="1" x14ac:dyDescent="0.25">
      <c r="C64223" s="60"/>
      <c r="I64223" s="63"/>
      <c r="R64223" s="64"/>
    </row>
    <row r="64224" spans="3:18" s="8" customFormat="1" x14ac:dyDescent="0.25">
      <c r="C64224" s="60"/>
      <c r="I64224" s="63"/>
      <c r="R64224" s="64"/>
    </row>
    <row r="64225" spans="3:18" s="8" customFormat="1" x14ac:dyDescent="0.25">
      <c r="C64225" s="60"/>
      <c r="I64225" s="63"/>
      <c r="R64225" s="64"/>
    </row>
    <row r="64226" spans="3:18" s="8" customFormat="1" x14ac:dyDescent="0.25">
      <c r="C64226" s="60"/>
      <c r="I64226" s="63"/>
      <c r="R64226" s="64"/>
    </row>
    <row r="64227" spans="3:18" s="8" customFormat="1" x14ac:dyDescent="0.25">
      <c r="C64227" s="60"/>
      <c r="I64227" s="63"/>
      <c r="R64227" s="64"/>
    </row>
    <row r="64228" spans="3:18" s="8" customFormat="1" x14ac:dyDescent="0.25">
      <c r="C64228" s="60"/>
      <c r="I64228" s="63"/>
      <c r="R64228" s="64"/>
    </row>
    <row r="64229" spans="3:18" s="8" customFormat="1" x14ac:dyDescent="0.25">
      <c r="C64229" s="60"/>
      <c r="I64229" s="63"/>
      <c r="R64229" s="64"/>
    </row>
    <row r="64230" spans="3:18" s="8" customFormat="1" x14ac:dyDescent="0.25">
      <c r="C64230" s="60"/>
      <c r="I64230" s="63"/>
      <c r="R64230" s="64"/>
    </row>
    <row r="64231" spans="3:18" s="8" customFormat="1" x14ac:dyDescent="0.25">
      <c r="C64231" s="60"/>
      <c r="I64231" s="63"/>
      <c r="R64231" s="64"/>
    </row>
    <row r="64232" spans="3:18" s="8" customFormat="1" x14ac:dyDescent="0.25">
      <c r="C64232" s="60"/>
      <c r="I64232" s="63"/>
      <c r="R64232" s="64"/>
    </row>
    <row r="64233" spans="3:18" s="8" customFormat="1" x14ac:dyDescent="0.25">
      <c r="C64233" s="60"/>
      <c r="I64233" s="63"/>
      <c r="R64233" s="64"/>
    </row>
    <row r="64234" spans="3:18" s="8" customFormat="1" x14ac:dyDescent="0.25">
      <c r="C64234" s="60"/>
      <c r="I64234" s="63"/>
      <c r="R64234" s="64"/>
    </row>
    <row r="64235" spans="3:18" s="8" customFormat="1" x14ac:dyDescent="0.25">
      <c r="C64235" s="60"/>
      <c r="I64235" s="63"/>
      <c r="R64235" s="64"/>
    </row>
    <row r="64236" spans="3:18" s="8" customFormat="1" x14ac:dyDescent="0.25">
      <c r="C64236" s="60"/>
      <c r="I64236" s="63"/>
      <c r="R64236" s="64"/>
    </row>
    <row r="64237" spans="3:18" s="8" customFormat="1" x14ac:dyDescent="0.25">
      <c r="C64237" s="60"/>
      <c r="I64237" s="63"/>
      <c r="R64237" s="64"/>
    </row>
    <row r="64238" spans="3:18" s="8" customFormat="1" x14ac:dyDescent="0.25">
      <c r="C64238" s="60"/>
      <c r="I64238" s="63"/>
      <c r="R64238" s="64"/>
    </row>
    <row r="64239" spans="3:18" s="8" customFormat="1" x14ac:dyDescent="0.25">
      <c r="C64239" s="60"/>
      <c r="I64239" s="63"/>
      <c r="R64239" s="64"/>
    </row>
    <row r="64240" spans="3:18" s="8" customFormat="1" x14ac:dyDescent="0.25">
      <c r="C64240" s="60"/>
      <c r="I64240" s="63"/>
      <c r="R64240" s="64"/>
    </row>
    <row r="64241" spans="3:18" s="8" customFormat="1" x14ac:dyDescent="0.25">
      <c r="C64241" s="60"/>
      <c r="I64241" s="63"/>
      <c r="R64241" s="64"/>
    </row>
    <row r="64242" spans="3:18" s="8" customFormat="1" x14ac:dyDescent="0.25">
      <c r="C64242" s="60"/>
      <c r="I64242" s="63"/>
      <c r="R64242" s="64"/>
    </row>
    <row r="64243" spans="3:18" s="8" customFormat="1" x14ac:dyDescent="0.25">
      <c r="C64243" s="60"/>
      <c r="I64243" s="63"/>
      <c r="R64243" s="64"/>
    </row>
    <row r="64244" spans="3:18" s="8" customFormat="1" x14ac:dyDescent="0.25">
      <c r="C64244" s="60"/>
      <c r="I64244" s="63"/>
      <c r="R64244" s="64"/>
    </row>
    <row r="64245" spans="3:18" s="8" customFormat="1" x14ac:dyDescent="0.25">
      <c r="C64245" s="60"/>
      <c r="I64245" s="63"/>
      <c r="R64245" s="64"/>
    </row>
    <row r="64246" spans="3:18" s="8" customFormat="1" x14ac:dyDescent="0.25">
      <c r="C64246" s="60"/>
      <c r="I64246" s="63"/>
      <c r="R64246" s="64"/>
    </row>
    <row r="64247" spans="3:18" s="8" customFormat="1" x14ac:dyDescent="0.25">
      <c r="C64247" s="60"/>
      <c r="I64247" s="63"/>
      <c r="R64247" s="64"/>
    </row>
    <row r="64248" spans="3:18" s="8" customFormat="1" x14ac:dyDescent="0.25">
      <c r="C64248" s="60"/>
      <c r="I64248" s="63"/>
      <c r="R64248" s="64"/>
    </row>
    <row r="64249" spans="3:18" s="8" customFormat="1" x14ac:dyDescent="0.25">
      <c r="C64249" s="60"/>
      <c r="I64249" s="63"/>
      <c r="R64249" s="64"/>
    </row>
    <row r="64250" spans="3:18" s="8" customFormat="1" x14ac:dyDescent="0.25">
      <c r="C64250" s="60"/>
      <c r="I64250" s="63"/>
      <c r="R64250" s="64"/>
    </row>
    <row r="64251" spans="3:18" s="8" customFormat="1" x14ac:dyDescent="0.25">
      <c r="C64251" s="60"/>
      <c r="I64251" s="63"/>
      <c r="R64251" s="64"/>
    </row>
    <row r="64252" spans="3:18" s="8" customFormat="1" x14ac:dyDescent="0.25">
      <c r="C64252" s="60"/>
      <c r="I64252" s="63"/>
      <c r="R64252" s="64"/>
    </row>
    <row r="64253" spans="3:18" s="8" customFormat="1" x14ac:dyDescent="0.25">
      <c r="C64253" s="60"/>
      <c r="I64253" s="63"/>
      <c r="R64253" s="64"/>
    </row>
    <row r="64254" spans="3:18" s="8" customFormat="1" x14ac:dyDescent="0.25">
      <c r="C64254" s="60"/>
      <c r="I64254" s="63"/>
      <c r="R64254" s="64"/>
    </row>
    <row r="64255" spans="3:18" s="8" customFormat="1" x14ac:dyDescent="0.25">
      <c r="C64255" s="60"/>
      <c r="I64255" s="63"/>
      <c r="R64255" s="64"/>
    </row>
    <row r="64256" spans="3:18" s="8" customFormat="1" x14ac:dyDescent="0.25">
      <c r="C64256" s="60"/>
      <c r="I64256" s="63"/>
      <c r="R64256" s="64"/>
    </row>
    <row r="64257" spans="3:18" s="8" customFormat="1" x14ac:dyDescent="0.25">
      <c r="C64257" s="60"/>
      <c r="I64257" s="63"/>
      <c r="R64257" s="64"/>
    </row>
    <row r="64258" spans="3:18" s="8" customFormat="1" x14ac:dyDescent="0.25">
      <c r="C64258" s="60"/>
      <c r="I64258" s="63"/>
      <c r="R64258" s="64"/>
    </row>
    <row r="64259" spans="3:18" s="8" customFormat="1" x14ac:dyDescent="0.25">
      <c r="C64259" s="60"/>
      <c r="I64259" s="63"/>
      <c r="R64259" s="64"/>
    </row>
    <row r="64260" spans="3:18" s="8" customFormat="1" x14ac:dyDescent="0.25">
      <c r="C64260" s="60"/>
      <c r="I64260" s="63"/>
      <c r="R64260" s="64"/>
    </row>
    <row r="64261" spans="3:18" s="8" customFormat="1" x14ac:dyDescent="0.25">
      <c r="C64261" s="60"/>
      <c r="I64261" s="63"/>
      <c r="R64261" s="64"/>
    </row>
    <row r="64262" spans="3:18" s="8" customFormat="1" x14ac:dyDescent="0.25">
      <c r="C64262" s="60"/>
      <c r="I64262" s="63"/>
      <c r="R64262" s="64"/>
    </row>
    <row r="64263" spans="3:18" s="8" customFormat="1" x14ac:dyDescent="0.25">
      <c r="C64263" s="60"/>
      <c r="I64263" s="63"/>
      <c r="R64263" s="64"/>
    </row>
    <row r="64264" spans="3:18" s="8" customFormat="1" x14ac:dyDescent="0.25">
      <c r="C64264" s="60"/>
      <c r="I64264" s="63"/>
      <c r="R64264" s="64"/>
    </row>
    <row r="64265" spans="3:18" s="8" customFormat="1" x14ac:dyDescent="0.25">
      <c r="C64265" s="60"/>
      <c r="I64265" s="63"/>
      <c r="R64265" s="64"/>
    </row>
    <row r="64266" spans="3:18" s="8" customFormat="1" x14ac:dyDescent="0.25">
      <c r="C64266" s="60"/>
      <c r="I64266" s="63"/>
      <c r="R64266" s="64"/>
    </row>
    <row r="64267" spans="3:18" s="8" customFormat="1" x14ac:dyDescent="0.25">
      <c r="C64267" s="60"/>
      <c r="I64267" s="63"/>
      <c r="R64267" s="64"/>
    </row>
    <row r="64268" spans="3:18" s="8" customFormat="1" x14ac:dyDescent="0.25">
      <c r="C64268" s="60"/>
      <c r="I64268" s="63"/>
      <c r="R64268" s="64"/>
    </row>
    <row r="64269" spans="3:18" s="8" customFormat="1" x14ac:dyDescent="0.25">
      <c r="C64269" s="60"/>
      <c r="I64269" s="63"/>
      <c r="R64269" s="64"/>
    </row>
    <row r="64270" spans="3:18" s="8" customFormat="1" x14ac:dyDescent="0.25">
      <c r="C64270" s="60"/>
      <c r="I64270" s="63"/>
      <c r="R64270" s="64"/>
    </row>
    <row r="64271" spans="3:18" s="8" customFormat="1" x14ac:dyDescent="0.25">
      <c r="C64271" s="60"/>
      <c r="I64271" s="63"/>
      <c r="R64271" s="64"/>
    </row>
    <row r="64272" spans="3:18" s="8" customFormat="1" x14ac:dyDescent="0.25">
      <c r="C64272" s="60"/>
      <c r="I64272" s="63"/>
      <c r="R64272" s="64"/>
    </row>
    <row r="64273" spans="3:18" s="8" customFormat="1" x14ac:dyDescent="0.25">
      <c r="C64273" s="60"/>
      <c r="I64273" s="63"/>
      <c r="R64273" s="64"/>
    </row>
    <row r="64274" spans="3:18" s="8" customFormat="1" x14ac:dyDescent="0.25">
      <c r="C64274" s="60"/>
      <c r="I64274" s="63"/>
      <c r="R64274" s="64"/>
    </row>
    <row r="64275" spans="3:18" s="8" customFormat="1" x14ac:dyDescent="0.25">
      <c r="C64275" s="60"/>
      <c r="I64275" s="63"/>
      <c r="R64275" s="64"/>
    </row>
    <row r="64276" spans="3:18" s="8" customFormat="1" x14ac:dyDescent="0.25">
      <c r="C64276" s="60"/>
      <c r="I64276" s="63"/>
      <c r="R64276" s="64"/>
    </row>
    <row r="64277" spans="3:18" s="8" customFormat="1" x14ac:dyDescent="0.25">
      <c r="C64277" s="60"/>
      <c r="I64277" s="63"/>
      <c r="R64277" s="64"/>
    </row>
    <row r="64278" spans="3:18" s="8" customFormat="1" x14ac:dyDescent="0.25">
      <c r="C64278" s="60"/>
      <c r="I64278" s="63"/>
      <c r="R64278" s="64"/>
    </row>
    <row r="64279" spans="3:18" s="8" customFormat="1" x14ac:dyDescent="0.25">
      <c r="C64279" s="60"/>
      <c r="I64279" s="63"/>
      <c r="R64279" s="64"/>
    </row>
    <row r="64280" spans="3:18" s="8" customFormat="1" x14ac:dyDescent="0.25">
      <c r="C64280" s="60"/>
      <c r="I64280" s="63"/>
      <c r="R64280" s="64"/>
    </row>
    <row r="64281" spans="3:18" s="8" customFormat="1" x14ac:dyDescent="0.25">
      <c r="C64281" s="60"/>
      <c r="I64281" s="63"/>
      <c r="R64281" s="64"/>
    </row>
    <row r="64282" spans="3:18" s="8" customFormat="1" x14ac:dyDescent="0.25">
      <c r="C64282" s="60"/>
      <c r="I64282" s="63"/>
      <c r="R64282" s="64"/>
    </row>
    <row r="64283" spans="3:18" s="8" customFormat="1" x14ac:dyDescent="0.25">
      <c r="C64283" s="60"/>
      <c r="I64283" s="63"/>
      <c r="R64283" s="64"/>
    </row>
    <row r="64284" spans="3:18" s="8" customFormat="1" x14ac:dyDescent="0.25">
      <c r="C64284" s="60"/>
      <c r="I64284" s="63"/>
      <c r="R64284" s="64"/>
    </row>
    <row r="64285" spans="3:18" s="8" customFormat="1" x14ac:dyDescent="0.25">
      <c r="C64285" s="60"/>
      <c r="I64285" s="63"/>
      <c r="R64285" s="64"/>
    </row>
    <row r="64286" spans="3:18" s="8" customFormat="1" x14ac:dyDescent="0.25">
      <c r="C64286" s="60"/>
      <c r="I64286" s="63"/>
      <c r="R64286" s="64"/>
    </row>
    <row r="64287" spans="3:18" s="8" customFormat="1" x14ac:dyDescent="0.25">
      <c r="C64287" s="60"/>
      <c r="I64287" s="63"/>
      <c r="R64287" s="64"/>
    </row>
    <row r="64288" spans="3:18" s="8" customFormat="1" x14ac:dyDescent="0.25">
      <c r="C64288" s="60"/>
      <c r="I64288" s="63"/>
      <c r="R64288" s="64"/>
    </row>
    <row r="64289" spans="3:18" s="8" customFormat="1" x14ac:dyDescent="0.25">
      <c r="C64289" s="60"/>
      <c r="I64289" s="63"/>
      <c r="R64289" s="64"/>
    </row>
    <row r="64290" spans="3:18" s="8" customFormat="1" x14ac:dyDescent="0.25">
      <c r="C64290" s="60"/>
      <c r="I64290" s="63"/>
      <c r="R64290" s="64"/>
    </row>
    <row r="64291" spans="3:18" s="8" customFormat="1" x14ac:dyDescent="0.25">
      <c r="C64291" s="60"/>
      <c r="I64291" s="63"/>
      <c r="R64291" s="64"/>
    </row>
    <row r="64292" spans="3:18" s="8" customFormat="1" x14ac:dyDescent="0.25">
      <c r="C64292" s="60"/>
      <c r="I64292" s="63"/>
      <c r="R64292" s="64"/>
    </row>
    <row r="64293" spans="3:18" s="8" customFormat="1" x14ac:dyDescent="0.25">
      <c r="C64293" s="60"/>
      <c r="I64293" s="63"/>
      <c r="R64293" s="64"/>
    </row>
    <row r="64294" spans="3:18" s="8" customFormat="1" x14ac:dyDescent="0.25">
      <c r="C64294" s="60"/>
      <c r="I64294" s="63"/>
      <c r="R64294" s="64"/>
    </row>
    <row r="64295" spans="3:18" s="8" customFormat="1" x14ac:dyDescent="0.25">
      <c r="C64295" s="60"/>
      <c r="I64295" s="63"/>
      <c r="R64295" s="64"/>
    </row>
    <row r="64296" spans="3:18" s="8" customFormat="1" x14ac:dyDescent="0.25">
      <c r="C64296" s="60"/>
      <c r="I64296" s="63"/>
      <c r="R64296" s="64"/>
    </row>
    <row r="64297" spans="3:18" s="8" customFormat="1" x14ac:dyDescent="0.25">
      <c r="C64297" s="60"/>
      <c r="I64297" s="63"/>
      <c r="R64297" s="64"/>
    </row>
    <row r="64298" spans="3:18" s="8" customFormat="1" x14ac:dyDescent="0.25">
      <c r="C64298" s="60"/>
      <c r="I64298" s="63"/>
      <c r="R64298" s="64"/>
    </row>
    <row r="64299" spans="3:18" s="8" customFormat="1" x14ac:dyDescent="0.25">
      <c r="C64299" s="60"/>
      <c r="I64299" s="63"/>
      <c r="R64299" s="64"/>
    </row>
    <row r="64300" spans="3:18" s="8" customFormat="1" x14ac:dyDescent="0.25">
      <c r="C64300" s="60"/>
      <c r="I64300" s="63"/>
      <c r="R64300" s="64"/>
    </row>
    <row r="64301" spans="3:18" s="8" customFormat="1" x14ac:dyDescent="0.25">
      <c r="C64301" s="60"/>
      <c r="I64301" s="63"/>
      <c r="R64301" s="64"/>
    </row>
    <row r="64302" spans="3:18" s="8" customFormat="1" x14ac:dyDescent="0.25">
      <c r="C64302" s="60"/>
      <c r="I64302" s="63"/>
      <c r="R64302" s="64"/>
    </row>
    <row r="64303" spans="3:18" s="8" customFormat="1" x14ac:dyDescent="0.25">
      <c r="C64303" s="60"/>
      <c r="I64303" s="63"/>
      <c r="R64303" s="64"/>
    </row>
    <row r="64304" spans="3:18" s="8" customFormat="1" x14ac:dyDescent="0.25">
      <c r="C64304" s="60"/>
      <c r="I64304" s="63"/>
      <c r="R64304" s="64"/>
    </row>
    <row r="64305" spans="3:18" s="8" customFormat="1" x14ac:dyDescent="0.25">
      <c r="C64305" s="60"/>
      <c r="I64305" s="63"/>
      <c r="R64305" s="64"/>
    </row>
    <row r="64306" spans="3:18" s="8" customFormat="1" x14ac:dyDescent="0.25">
      <c r="C64306" s="60"/>
      <c r="I64306" s="63"/>
      <c r="R64306" s="64"/>
    </row>
    <row r="64307" spans="3:18" s="8" customFormat="1" x14ac:dyDescent="0.25">
      <c r="C64307" s="60"/>
      <c r="I64307" s="63"/>
      <c r="R64307" s="64"/>
    </row>
    <row r="64308" spans="3:18" s="8" customFormat="1" x14ac:dyDescent="0.25">
      <c r="C64308" s="60"/>
      <c r="I64308" s="63"/>
      <c r="R64308" s="64"/>
    </row>
    <row r="64309" spans="3:18" s="8" customFormat="1" x14ac:dyDescent="0.25">
      <c r="C64309" s="60"/>
      <c r="I64309" s="63"/>
      <c r="R64309" s="64"/>
    </row>
    <row r="64310" spans="3:18" s="8" customFormat="1" x14ac:dyDescent="0.25">
      <c r="C64310" s="60"/>
      <c r="I64310" s="63"/>
      <c r="R64310" s="64"/>
    </row>
    <row r="64311" spans="3:18" s="8" customFormat="1" x14ac:dyDescent="0.25">
      <c r="C64311" s="60"/>
      <c r="I64311" s="63"/>
      <c r="R64311" s="64"/>
    </row>
    <row r="64312" spans="3:18" s="8" customFormat="1" x14ac:dyDescent="0.25">
      <c r="C64312" s="60"/>
      <c r="I64312" s="63"/>
      <c r="R64312" s="64"/>
    </row>
    <row r="64313" spans="3:18" s="8" customFormat="1" x14ac:dyDescent="0.25">
      <c r="C64313" s="60"/>
      <c r="I64313" s="63"/>
      <c r="R64313" s="64"/>
    </row>
    <row r="64314" spans="3:18" s="8" customFormat="1" x14ac:dyDescent="0.25">
      <c r="C64314" s="60"/>
      <c r="I64314" s="63"/>
      <c r="R64314" s="64"/>
    </row>
    <row r="64315" spans="3:18" s="8" customFormat="1" x14ac:dyDescent="0.25">
      <c r="C64315" s="60"/>
      <c r="I64315" s="63"/>
      <c r="R64315" s="64"/>
    </row>
    <row r="64316" spans="3:18" s="8" customFormat="1" x14ac:dyDescent="0.25">
      <c r="C64316" s="60"/>
      <c r="I64316" s="63"/>
      <c r="R64316" s="64"/>
    </row>
    <row r="64317" spans="3:18" s="8" customFormat="1" x14ac:dyDescent="0.25">
      <c r="C64317" s="60"/>
      <c r="I64317" s="63"/>
      <c r="R64317" s="64"/>
    </row>
    <row r="64318" spans="3:18" s="8" customFormat="1" x14ac:dyDescent="0.25">
      <c r="C64318" s="60"/>
      <c r="I64318" s="63"/>
      <c r="R64318" s="64"/>
    </row>
    <row r="64319" spans="3:18" s="8" customFormat="1" x14ac:dyDescent="0.25">
      <c r="C64319" s="60"/>
      <c r="I64319" s="63"/>
      <c r="R64319" s="64"/>
    </row>
    <row r="64320" spans="3:18" s="8" customFormat="1" x14ac:dyDescent="0.25">
      <c r="C64320" s="60"/>
      <c r="I64320" s="63"/>
      <c r="R64320" s="64"/>
    </row>
    <row r="64321" spans="3:18" s="8" customFormat="1" x14ac:dyDescent="0.25">
      <c r="C64321" s="60"/>
      <c r="I64321" s="63"/>
      <c r="R64321" s="64"/>
    </row>
    <row r="64322" spans="3:18" s="8" customFormat="1" x14ac:dyDescent="0.25">
      <c r="C64322" s="60"/>
      <c r="I64322" s="63"/>
      <c r="R64322" s="64"/>
    </row>
    <row r="64323" spans="3:18" s="8" customFormat="1" x14ac:dyDescent="0.25">
      <c r="C64323" s="60"/>
      <c r="I64323" s="63"/>
      <c r="R64323" s="64"/>
    </row>
    <row r="64324" spans="3:18" s="8" customFormat="1" x14ac:dyDescent="0.25">
      <c r="C64324" s="60"/>
      <c r="I64324" s="63"/>
      <c r="R64324" s="64"/>
    </row>
    <row r="64325" spans="3:18" s="8" customFormat="1" x14ac:dyDescent="0.25">
      <c r="C64325" s="60"/>
      <c r="I64325" s="63"/>
      <c r="R64325" s="64"/>
    </row>
    <row r="64326" spans="3:18" s="8" customFormat="1" x14ac:dyDescent="0.25">
      <c r="C64326" s="60"/>
      <c r="I64326" s="63"/>
      <c r="R64326" s="64"/>
    </row>
    <row r="64327" spans="3:18" s="8" customFormat="1" x14ac:dyDescent="0.25">
      <c r="C64327" s="60"/>
      <c r="I64327" s="63"/>
      <c r="R64327" s="64"/>
    </row>
    <row r="64328" spans="3:18" s="8" customFormat="1" x14ac:dyDescent="0.25">
      <c r="C64328" s="60"/>
      <c r="I64328" s="63"/>
      <c r="R64328" s="64"/>
    </row>
    <row r="64329" spans="3:18" s="8" customFormat="1" x14ac:dyDescent="0.25">
      <c r="C64329" s="60"/>
      <c r="I64329" s="63"/>
      <c r="R64329" s="64"/>
    </row>
    <row r="64330" spans="3:18" s="8" customFormat="1" x14ac:dyDescent="0.25">
      <c r="C64330" s="60"/>
      <c r="I64330" s="63"/>
      <c r="R64330" s="64"/>
    </row>
    <row r="64331" spans="3:18" s="8" customFormat="1" x14ac:dyDescent="0.25">
      <c r="C64331" s="60"/>
      <c r="I64331" s="63"/>
      <c r="R64331" s="64"/>
    </row>
    <row r="64332" spans="3:18" s="8" customFormat="1" x14ac:dyDescent="0.25">
      <c r="C64332" s="60"/>
      <c r="I64332" s="63"/>
      <c r="R64332" s="64"/>
    </row>
    <row r="64333" spans="3:18" s="8" customFormat="1" x14ac:dyDescent="0.25">
      <c r="C64333" s="60"/>
      <c r="I64333" s="63"/>
      <c r="R64333" s="64"/>
    </row>
    <row r="64334" spans="3:18" s="8" customFormat="1" x14ac:dyDescent="0.25">
      <c r="C64334" s="60"/>
      <c r="I64334" s="63"/>
      <c r="R64334" s="64"/>
    </row>
    <row r="64335" spans="3:18" s="8" customFormat="1" x14ac:dyDescent="0.25">
      <c r="C64335" s="60"/>
      <c r="I64335" s="63"/>
      <c r="R64335" s="64"/>
    </row>
    <row r="64336" spans="3:18" s="8" customFormat="1" x14ac:dyDescent="0.25">
      <c r="C64336" s="60"/>
      <c r="I64336" s="63"/>
      <c r="R64336" s="64"/>
    </row>
    <row r="64337" spans="3:18" s="8" customFormat="1" x14ac:dyDescent="0.25">
      <c r="C64337" s="60"/>
      <c r="I64337" s="63"/>
      <c r="R64337" s="64"/>
    </row>
    <row r="64338" spans="3:18" s="8" customFormat="1" x14ac:dyDescent="0.25">
      <c r="C64338" s="60"/>
      <c r="I64338" s="63"/>
      <c r="R64338" s="64"/>
    </row>
    <row r="64339" spans="3:18" s="8" customFormat="1" x14ac:dyDescent="0.25">
      <c r="C64339" s="60"/>
      <c r="I64339" s="63"/>
      <c r="R64339" s="64"/>
    </row>
    <row r="64340" spans="3:18" s="8" customFormat="1" x14ac:dyDescent="0.25">
      <c r="C64340" s="60"/>
      <c r="I64340" s="63"/>
      <c r="R64340" s="64"/>
    </row>
    <row r="64341" spans="3:18" s="8" customFormat="1" x14ac:dyDescent="0.25">
      <c r="C64341" s="60"/>
      <c r="I64341" s="63"/>
      <c r="R64341" s="64"/>
    </row>
    <row r="64342" spans="3:18" s="8" customFormat="1" x14ac:dyDescent="0.25">
      <c r="C64342" s="60"/>
      <c r="I64342" s="63"/>
      <c r="R64342" s="64"/>
    </row>
    <row r="64343" spans="3:18" s="8" customFormat="1" x14ac:dyDescent="0.25">
      <c r="C64343" s="60"/>
      <c r="I64343" s="63"/>
      <c r="R64343" s="64"/>
    </row>
    <row r="64344" spans="3:18" s="8" customFormat="1" x14ac:dyDescent="0.25">
      <c r="C64344" s="60"/>
      <c r="I64344" s="63"/>
      <c r="R64344" s="64"/>
    </row>
    <row r="64345" spans="3:18" s="8" customFormat="1" x14ac:dyDescent="0.25">
      <c r="C64345" s="60"/>
      <c r="I64345" s="63"/>
      <c r="R64345" s="64"/>
    </row>
    <row r="64346" spans="3:18" s="8" customFormat="1" x14ac:dyDescent="0.25">
      <c r="C64346" s="60"/>
      <c r="I64346" s="63"/>
      <c r="R64346" s="64"/>
    </row>
    <row r="64347" spans="3:18" s="8" customFormat="1" x14ac:dyDescent="0.25">
      <c r="C64347" s="60"/>
      <c r="I64347" s="63"/>
      <c r="R64347" s="64"/>
    </row>
    <row r="64348" spans="3:18" s="8" customFormat="1" x14ac:dyDescent="0.25">
      <c r="C64348" s="60"/>
      <c r="I64348" s="63"/>
      <c r="R64348" s="64"/>
    </row>
    <row r="64349" spans="3:18" s="8" customFormat="1" x14ac:dyDescent="0.25">
      <c r="C64349" s="60"/>
      <c r="I64349" s="63"/>
      <c r="R64349" s="64"/>
    </row>
    <row r="64350" spans="3:18" s="8" customFormat="1" x14ac:dyDescent="0.25">
      <c r="C64350" s="60"/>
      <c r="I64350" s="63"/>
      <c r="R64350" s="64"/>
    </row>
    <row r="64351" spans="3:18" s="8" customFormat="1" x14ac:dyDescent="0.25">
      <c r="C64351" s="60"/>
      <c r="I64351" s="63"/>
      <c r="R64351" s="64"/>
    </row>
    <row r="64352" spans="3:18" s="8" customFormat="1" x14ac:dyDescent="0.25">
      <c r="C64352" s="60"/>
      <c r="I64352" s="63"/>
      <c r="R64352" s="64"/>
    </row>
    <row r="64353" spans="3:18" s="8" customFormat="1" x14ac:dyDescent="0.25">
      <c r="C64353" s="60"/>
      <c r="I64353" s="63"/>
      <c r="R64353" s="64"/>
    </row>
    <row r="64354" spans="3:18" s="8" customFormat="1" x14ac:dyDescent="0.25">
      <c r="C64354" s="60"/>
      <c r="I64354" s="63"/>
      <c r="R64354" s="64"/>
    </row>
    <row r="64355" spans="3:18" s="8" customFormat="1" x14ac:dyDescent="0.25">
      <c r="C64355" s="60"/>
      <c r="I64355" s="63"/>
      <c r="R64355" s="64"/>
    </row>
    <row r="64356" spans="3:18" s="8" customFormat="1" x14ac:dyDescent="0.25">
      <c r="C64356" s="60"/>
      <c r="I64356" s="63"/>
      <c r="R64356" s="64"/>
    </row>
    <row r="64357" spans="3:18" s="8" customFormat="1" x14ac:dyDescent="0.25">
      <c r="C64357" s="60"/>
      <c r="I64357" s="63"/>
      <c r="R64357" s="64"/>
    </row>
    <row r="64358" spans="3:18" s="8" customFormat="1" x14ac:dyDescent="0.25">
      <c r="C64358" s="60"/>
      <c r="I64358" s="63"/>
      <c r="R64358" s="64"/>
    </row>
    <row r="64359" spans="3:18" s="8" customFormat="1" x14ac:dyDescent="0.25">
      <c r="C64359" s="60"/>
      <c r="I64359" s="63"/>
      <c r="R64359" s="64"/>
    </row>
    <row r="64360" spans="3:18" s="8" customFormat="1" x14ac:dyDescent="0.25">
      <c r="C64360" s="60"/>
      <c r="I64360" s="63"/>
      <c r="R64360" s="64"/>
    </row>
    <row r="64361" spans="3:18" s="8" customFormat="1" x14ac:dyDescent="0.25">
      <c r="C64361" s="60"/>
      <c r="I64361" s="63"/>
      <c r="R64361" s="64"/>
    </row>
    <row r="64362" spans="3:18" s="8" customFormat="1" x14ac:dyDescent="0.25">
      <c r="C64362" s="60"/>
      <c r="I64362" s="63"/>
      <c r="R64362" s="64"/>
    </row>
    <row r="64363" spans="3:18" s="8" customFormat="1" x14ac:dyDescent="0.25">
      <c r="C64363" s="60"/>
      <c r="I64363" s="63"/>
      <c r="R64363" s="64"/>
    </row>
    <row r="64364" spans="3:18" s="8" customFormat="1" x14ac:dyDescent="0.25">
      <c r="C64364" s="60"/>
      <c r="I64364" s="63"/>
      <c r="R64364" s="64"/>
    </row>
    <row r="64365" spans="3:18" s="8" customFormat="1" x14ac:dyDescent="0.25">
      <c r="C64365" s="60"/>
      <c r="I64365" s="63"/>
      <c r="R64365" s="64"/>
    </row>
    <row r="64366" spans="3:18" s="8" customFormat="1" x14ac:dyDescent="0.25">
      <c r="C64366" s="60"/>
      <c r="I64366" s="63"/>
      <c r="R64366" s="64"/>
    </row>
    <row r="64367" spans="3:18" s="8" customFormat="1" x14ac:dyDescent="0.25">
      <c r="C64367" s="60"/>
      <c r="I64367" s="63"/>
      <c r="R64367" s="64"/>
    </row>
    <row r="64368" spans="3:18" s="8" customFormat="1" x14ac:dyDescent="0.25">
      <c r="C64368" s="60"/>
      <c r="I64368" s="63"/>
      <c r="R64368" s="64"/>
    </row>
    <row r="64369" spans="3:18" s="8" customFormat="1" x14ac:dyDescent="0.25">
      <c r="C64369" s="60"/>
      <c r="I64369" s="63"/>
      <c r="R64369" s="64"/>
    </row>
    <row r="64370" spans="3:18" s="8" customFormat="1" x14ac:dyDescent="0.25">
      <c r="C64370" s="60"/>
      <c r="I64370" s="63"/>
      <c r="R64370" s="64"/>
    </row>
    <row r="64371" spans="3:18" s="8" customFormat="1" x14ac:dyDescent="0.25">
      <c r="C64371" s="60"/>
      <c r="I64371" s="63"/>
      <c r="R64371" s="64"/>
    </row>
    <row r="64372" spans="3:18" s="8" customFormat="1" x14ac:dyDescent="0.25">
      <c r="C64372" s="60"/>
      <c r="I64372" s="63"/>
      <c r="R64372" s="64"/>
    </row>
    <row r="64373" spans="3:18" s="8" customFormat="1" x14ac:dyDescent="0.25">
      <c r="C64373" s="60"/>
      <c r="I64373" s="63"/>
      <c r="R64373" s="64"/>
    </row>
    <row r="64374" spans="3:18" s="8" customFormat="1" x14ac:dyDescent="0.25">
      <c r="C64374" s="60"/>
      <c r="I64374" s="63"/>
      <c r="R64374" s="64"/>
    </row>
    <row r="64375" spans="3:18" s="8" customFormat="1" x14ac:dyDescent="0.25">
      <c r="C64375" s="60"/>
      <c r="I64375" s="63"/>
      <c r="R64375" s="64"/>
    </row>
    <row r="64376" spans="3:18" s="8" customFormat="1" x14ac:dyDescent="0.25">
      <c r="C64376" s="60"/>
      <c r="I64376" s="63"/>
      <c r="R64376" s="64"/>
    </row>
    <row r="64377" spans="3:18" s="8" customFormat="1" x14ac:dyDescent="0.25">
      <c r="C64377" s="60"/>
      <c r="I64377" s="63"/>
      <c r="R64377" s="64"/>
    </row>
    <row r="64378" spans="3:18" s="8" customFormat="1" x14ac:dyDescent="0.25">
      <c r="C64378" s="60"/>
      <c r="I64378" s="63"/>
      <c r="R64378" s="64"/>
    </row>
    <row r="64379" spans="3:18" s="8" customFormat="1" x14ac:dyDescent="0.25">
      <c r="C64379" s="60"/>
      <c r="I64379" s="63"/>
      <c r="R64379" s="64"/>
    </row>
    <row r="64380" spans="3:18" s="8" customFormat="1" x14ac:dyDescent="0.25">
      <c r="C64380" s="60"/>
      <c r="I64380" s="63"/>
      <c r="R64380" s="64"/>
    </row>
    <row r="64381" spans="3:18" s="8" customFormat="1" x14ac:dyDescent="0.25">
      <c r="C64381" s="60"/>
      <c r="I64381" s="63"/>
      <c r="R64381" s="64"/>
    </row>
    <row r="64382" spans="3:18" s="8" customFormat="1" x14ac:dyDescent="0.25">
      <c r="C64382" s="60"/>
      <c r="I64382" s="63"/>
      <c r="R64382" s="64"/>
    </row>
    <row r="64383" spans="3:18" s="8" customFormat="1" x14ac:dyDescent="0.25">
      <c r="C64383" s="60"/>
      <c r="I64383" s="63"/>
      <c r="R64383" s="64"/>
    </row>
    <row r="64384" spans="3:18" s="8" customFormat="1" x14ac:dyDescent="0.25">
      <c r="C64384" s="60"/>
      <c r="I64384" s="63"/>
      <c r="R64384" s="64"/>
    </row>
    <row r="64385" spans="3:18" s="8" customFormat="1" x14ac:dyDescent="0.25">
      <c r="C64385" s="60"/>
      <c r="I64385" s="63"/>
      <c r="R64385" s="64"/>
    </row>
    <row r="64386" spans="3:18" s="8" customFormat="1" x14ac:dyDescent="0.25">
      <c r="C64386" s="60"/>
      <c r="I64386" s="63"/>
      <c r="R64386" s="64"/>
    </row>
    <row r="64387" spans="3:18" s="8" customFormat="1" x14ac:dyDescent="0.25">
      <c r="C64387" s="60"/>
      <c r="I64387" s="63"/>
      <c r="R64387" s="64"/>
    </row>
    <row r="64388" spans="3:18" s="8" customFormat="1" x14ac:dyDescent="0.25">
      <c r="C64388" s="60"/>
      <c r="I64388" s="63"/>
      <c r="R64388" s="64"/>
    </row>
    <row r="64389" spans="3:18" s="8" customFormat="1" x14ac:dyDescent="0.25">
      <c r="C64389" s="60"/>
      <c r="I64389" s="63"/>
      <c r="R64389" s="64"/>
    </row>
    <row r="64390" spans="3:18" s="8" customFormat="1" x14ac:dyDescent="0.25">
      <c r="C64390" s="60"/>
      <c r="I64390" s="63"/>
      <c r="R64390" s="64"/>
    </row>
    <row r="64391" spans="3:18" s="8" customFormat="1" x14ac:dyDescent="0.25">
      <c r="C64391" s="60"/>
      <c r="I64391" s="63"/>
      <c r="R64391" s="64"/>
    </row>
    <row r="64392" spans="3:18" s="8" customFormat="1" x14ac:dyDescent="0.25">
      <c r="C64392" s="60"/>
      <c r="I64392" s="63"/>
      <c r="R64392" s="64"/>
    </row>
    <row r="64393" spans="3:18" s="8" customFormat="1" x14ac:dyDescent="0.25">
      <c r="C64393" s="60"/>
      <c r="I64393" s="63"/>
      <c r="R64393" s="64"/>
    </row>
    <row r="64394" spans="3:18" s="8" customFormat="1" x14ac:dyDescent="0.25">
      <c r="C64394" s="60"/>
      <c r="I64394" s="63"/>
      <c r="R64394" s="64"/>
    </row>
    <row r="64395" spans="3:18" s="8" customFormat="1" x14ac:dyDescent="0.25">
      <c r="C64395" s="60"/>
      <c r="I64395" s="63"/>
      <c r="R64395" s="64"/>
    </row>
    <row r="64396" spans="3:18" s="8" customFormat="1" x14ac:dyDescent="0.25">
      <c r="C64396" s="60"/>
      <c r="I64396" s="63"/>
      <c r="R64396" s="64"/>
    </row>
    <row r="64397" spans="3:18" s="8" customFormat="1" x14ac:dyDescent="0.25">
      <c r="C64397" s="60"/>
      <c r="I64397" s="63"/>
      <c r="R64397" s="64"/>
    </row>
    <row r="64398" spans="3:18" s="8" customFormat="1" x14ac:dyDescent="0.25">
      <c r="C64398" s="60"/>
      <c r="I64398" s="63"/>
      <c r="R64398" s="64"/>
    </row>
    <row r="64399" spans="3:18" s="8" customFormat="1" x14ac:dyDescent="0.25">
      <c r="C64399" s="60"/>
      <c r="I64399" s="63"/>
      <c r="R64399" s="64"/>
    </row>
    <row r="64400" spans="3:18" s="8" customFormat="1" x14ac:dyDescent="0.25">
      <c r="C64400" s="60"/>
      <c r="I64400" s="63"/>
      <c r="R64400" s="64"/>
    </row>
    <row r="64401" spans="3:18" s="8" customFormat="1" x14ac:dyDescent="0.25">
      <c r="C64401" s="60"/>
      <c r="I64401" s="63"/>
      <c r="R64401" s="64"/>
    </row>
    <row r="64402" spans="3:18" s="8" customFormat="1" x14ac:dyDescent="0.25">
      <c r="C64402" s="60"/>
      <c r="I64402" s="63"/>
      <c r="R64402" s="64"/>
    </row>
    <row r="64403" spans="3:18" s="8" customFormat="1" x14ac:dyDescent="0.25">
      <c r="C64403" s="60"/>
      <c r="I64403" s="63"/>
      <c r="R64403" s="64"/>
    </row>
    <row r="64404" spans="3:18" s="8" customFormat="1" x14ac:dyDescent="0.25">
      <c r="C64404" s="60"/>
      <c r="I64404" s="63"/>
      <c r="R64404" s="64"/>
    </row>
    <row r="64405" spans="3:18" s="8" customFormat="1" x14ac:dyDescent="0.25">
      <c r="C64405" s="60"/>
      <c r="I64405" s="63"/>
      <c r="R64405" s="64"/>
    </row>
    <row r="64406" spans="3:18" s="8" customFormat="1" x14ac:dyDescent="0.25">
      <c r="C64406" s="60"/>
      <c r="I64406" s="63"/>
      <c r="R64406" s="64"/>
    </row>
    <row r="64407" spans="3:18" s="8" customFormat="1" x14ac:dyDescent="0.25">
      <c r="C64407" s="60"/>
      <c r="I64407" s="63"/>
      <c r="R64407" s="64"/>
    </row>
    <row r="64408" spans="3:18" s="8" customFormat="1" x14ac:dyDescent="0.25">
      <c r="C64408" s="60"/>
      <c r="I64408" s="63"/>
      <c r="R64408" s="64"/>
    </row>
    <row r="64409" spans="3:18" s="8" customFormat="1" x14ac:dyDescent="0.25">
      <c r="C64409" s="60"/>
      <c r="I64409" s="63"/>
      <c r="R64409" s="64"/>
    </row>
    <row r="64410" spans="3:18" s="8" customFormat="1" x14ac:dyDescent="0.25">
      <c r="C64410" s="60"/>
      <c r="I64410" s="63"/>
      <c r="R64410" s="64"/>
    </row>
    <row r="64411" spans="3:18" s="8" customFormat="1" x14ac:dyDescent="0.25">
      <c r="C64411" s="60"/>
      <c r="I64411" s="63"/>
      <c r="R64411" s="64"/>
    </row>
    <row r="64412" spans="3:18" s="8" customFormat="1" x14ac:dyDescent="0.25">
      <c r="C64412" s="60"/>
      <c r="I64412" s="63"/>
      <c r="R64412" s="64"/>
    </row>
    <row r="64413" spans="3:18" s="8" customFormat="1" x14ac:dyDescent="0.25">
      <c r="C64413" s="60"/>
      <c r="I64413" s="63"/>
      <c r="R64413" s="64"/>
    </row>
    <row r="64414" spans="3:18" s="8" customFormat="1" x14ac:dyDescent="0.25">
      <c r="C64414" s="60"/>
      <c r="I64414" s="63"/>
      <c r="R64414" s="64"/>
    </row>
    <row r="64415" spans="3:18" s="8" customFormat="1" x14ac:dyDescent="0.25">
      <c r="C64415" s="60"/>
      <c r="I64415" s="63"/>
      <c r="R64415" s="64"/>
    </row>
    <row r="64416" spans="3:18" s="8" customFormat="1" x14ac:dyDescent="0.25">
      <c r="C64416" s="60"/>
      <c r="I64416" s="63"/>
      <c r="R64416" s="64"/>
    </row>
    <row r="64417" spans="3:18" s="8" customFormat="1" x14ac:dyDescent="0.25">
      <c r="C64417" s="60"/>
      <c r="I64417" s="63"/>
      <c r="R64417" s="64"/>
    </row>
    <row r="64418" spans="3:18" s="8" customFormat="1" x14ac:dyDescent="0.25">
      <c r="C64418" s="60"/>
      <c r="I64418" s="63"/>
      <c r="R64418" s="64"/>
    </row>
    <row r="64419" spans="3:18" s="8" customFormat="1" x14ac:dyDescent="0.25">
      <c r="C64419" s="60"/>
      <c r="I64419" s="63"/>
      <c r="R64419" s="64"/>
    </row>
    <row r="64420" spans="3:18" s="8" customFormat="1" x14ac:dyDescent="0.25">
      <c r="C64420" s="60"/>
      <c r="I64420" s="63"/>
      <c r="R64420" s="64"/>
    </row>
    <row r="64421" spans="3:18" s="8" customFormat="1" x14ac:dyDescent="0.25">
      <c r="C64421" s="60"/>
      <c r="I64421" s="63"/>
      <c r="R64421" s="64"/>
    </row>
    <row r="64422" spans="3:18" s="8" customFormat="1" x14ac:dyDescent="0.25">
      <c r="C64422" s="60"/>
      <c r="I64422" s="63"/>
      <c r="R64422" s="64"/>
    </row>
    <row r="64423" spans="3:18" s="8" customFormat="1" x14ac:dyDescent="0.25">
      <c r="C64423" s="60"/>
      <c r="I64423" s="63"/>
      <c r="R64423" s="64"/>
    </row>
    <row r="64424" spans="3:18" s="8" customFormat="1" x14ac:dyDescent="0.25">
      <c r="C64424" s="60"/>
      <c r="I64424" s="63"/>
      <c r="R64424" s="64"/>
    </row>
    <row r="64425" spans="3:18" s="8" customFormat="1" x14ac:dyDescent="0.25">
      <c r="C64425" s="60"/>
      <c r="I64425" s="63"/>
      <c r="R64425" s="64"/>
    </row>
    <row r="64426" spans="3:18" s="8" customFormat="1" x14ac:dyDescent="0.25">
      <c r="C64426" s="60"/>
      <c r="I64426" s="63"/>
      <c r="R64426" s="64"/>
    </row>
    <row r="64427" spans="3:18" s="8" customFormat="1" x14ac:dyDescent="0.25">
      <c r="C64427" s="60"/>
      <c r="I64427" s="63"/>
      <c r="R64427" s="64"/>
    </row>
    <row r="64428" spans="3:18" s="8" customFormat="1" x14ac:dyDescent="0.25">
      <c r="C64428" s="60"/>
      <c r="I64428" s="63"/>
      <c r="R64428" s="64"/>
    </row>
    <row r="64429" spans="3:18" s="8" customFormat="1" x14ac:dyDescent="0.25">
      <c r="C64429" s="60"/>
      <c r="I64429" s="63"/>
      <c r="R64429" s="64"/>
    </row>
    <row r="64430" spans="3:18" s="8" customFormat="1" x14ac:dyDescent="0.25">
      <c r="C64430" s="60"/>
      <c r="I64430" s="63"/>
      <c r="R64430" s="64"/>
    </row>
    <row r="64431" spans="3:18" s="8" customFormat="1" x14ac:dyDescent="0.25">
      <c r="C64431" s="60"/>
      <c r="I64431" s="63"/>
      <c r="R64431" s="64"/>
    </row>
    <row r="64432" spans="3:18" s="8" customFormat="1" x14ac:dyDescent="0.25">
      <c r="C64432" s="60"/>
      <c r="I64432" s="63"/>
      <c r="R64432" s="64"/>
    </row>
    <row r="64433" spans="3:18" s="8" customFormat="1" x14ac:dyDescent="0.25">
      <c r="C64433" s="60"/>
      <c r="I64433" s="63"/>
      <c r="R64433" s="64"/>
    </row>
    <row r="64434" spans="3:18" s="8" customFormat="1" x14ac:dyDescent="0.25">
      <c r="C64434" s="60"/>
      <c r="I64434" s="63"/>
      <c r="R64434" s="64"/>
    </row>
    <row r="64435" spans="3:18" s="8" customFormat="1" x14ac:dyDescent="0.25">
      <c r="C64435" s="60"/>
      <c r="I64435" s="63"/>
      <c r="R64435" s="64"/>
    </row>
    <row r="64436" spans="3:18" s="8" customFormat="1" x14ac:dyDescent="0.25">
      <c r="C64436" s="60"/>
      <c r="I64436" s="63"/>
      <c r="R64436" s="64"/>
    </row>
    <row r="64437" spans="3:18" s="8" customFormat="1" x14ac:dyDescent="0.25">
      <c r="C64437" s="60"/>
      <c r="I64437" s="63"/>
      <c r="R64437" s="64"/>
    </row>
    <row r="64438" spans="3:18" s="8" customFormat="1" x14ac:dyDescent="0.25">
      <c r="C64438" s="60"/>
      <c r="I64438" s="63"/>
      <c r="R64438" s="64"/>
    </row>
    <row r="64439" spans="3:18" s="8" customFormat="1" x14ac:dyDescent="0.25">
      <c r="C64439" s="60"/>
      <c r="I64439" s="63"/>
      <c r="R64439" s="64"/>
    </row>
    <row r="64440" spans="3:18" s="8" customFormat="1" x14ac:dyDescent="0.25">
      <c r="C64440" s="60"/>
      <c r="I64440" s="63"/>
      <c r="R64440" s="64"/>
    </row>
    <row r="64441" spans="3:18" s="8" customFormat="1" x14ac:dyDescent="0.25">
      <c r="C64441" s="60"/>
      <c r="I64441" s="63"/>
      <c r="R64441" s="64"/>
    </row>
    <row r="64442" spans="3:18" s="8" customFormat="1" x14ac:dyDescent="0.25">
      <c r="C64442" s="60"/>
      <c r="I64442" s="63"/>
      <c r="R64442" s="64"/>
    </row>
    <row r="64443" spans="3:18" s="8" customFormat="1" x14ac:dyDescent="0.25">
      <c r="C64443" s="60"/>
      <c r="I64443" s="63"/>
      <c r="R64443" s="64"/>
    </row>
    <row r="64444" spans="3:18" s="8" customFormat="1" x14ac:dyDescent="0.25">
      <c r="C64444" s="60"/>
      <c r="I64444" s="63"/>
      <c r="R64444" s="64"/>
    </row>
    <row r="64445" spans="3:18" s="8" customFormat="1" x14ac:dyDescent="0.25">
      <c r="C64445" s="60"/>
      <c r="I64445" s="63"/>
      <c r="R64445" s="64"/>
    </row>
    <row r="64446" spans="3:18" s="8" customFormat="1" x14ac:dyDescent="0.25">
      <c r="C64446" s="60"/>
      <c r="I64446" s="63"/>
      <c r="R64446" s="64"/>
    </row>
    <row r="64447" spans="3:18" s="8" customFormat="1" x14ac:dyDescent="0.25">
      <c r="C64447" s="60"/>
      <c r="I64447" s="63"/>
      <c r="R64447" s="64"/>
    </row>
    <row r="64448" spans="3:18" s="8" customFormat="1" x14ac:dyDescent="0.25">
      <c r="C64448" s="60"/>
      <c r="I64448" s="63"/>
      <c r="R64448" s="64"/>
    </row>
    <row r="64449" spans="3:18" s="8" customFormat="1" x14ac:dyDescent="0.25">
      <c r="C64449" s="60"/>
      <c r="I64449" s="63"/>
      <c r="R64449" s="64"/>
    </row>
    <row r="64450" spans="3:18" s="8" customFormat="1" x14ac:dyDescent="0.25">
      <c r="C64450" s="60"/>
      <c r="I64450" s="63"/>
      <c r="R64450" s="64"/>
    </row>
    <row r="64451" spans="3:18" s="8" customFormat="1" x14ac:dyDescent="0.25">
      <c r="C64451" s="60"/>
      <c r="I64451" s="63"/>
      <c r="R64451" s="64"/>
    </row>
    <row r="64452" spans="3:18" s="8" customFormat="1" x14ac:dyDescent="0.25">
      <c r="C64452" s="60"/>
      <c r="I64452" s="63"/>
      <c r="R64452" s="64"/>
    </row>
    <row r="64453" spans="3:18" s="8" customFormat="1" x14ac:dyDescent="0.25">
      <c r="C64453" s="60"/>
      <c r="I64453" s="63"/>
      <c r="R64453" s="64"/>
    </row>
    <row r="64454" spans="3:18" s="8" customFormat="1" x14ac:dyDescent="0.25">
      <c r="C64454" s="60"/>
      <c r="I64454" s="63"/>
      <c r="R64454" s="64"/>
    </row>
    <row r="64455" spans="3:18" s="8" customFormat="1" x14ac:dyDescent="0.25">
      <c r="C64455" s="60"/>
      <c r="I64455" s="63"/>
      <c r="R64455" s="64"/>
    </row>
    <row r="64456" spans="3:18" s="8" customFormat="1" x14ac:dyDescent="0.25">
      <c r="C64456" s="60"/>
      <c r="I64456" s="63"/>
      <c r="R64456" s="64"/>
    </row>
    <row r="64457" spans="3:18" s="8" customFormat="1" x14ac:dyDescent="0.25">
      <c r="C64457" s="60"/>
      <c r="I64457" s="63"/>
      <c r="R64457" s="64"/>
    </row>
    <row r="64458" spans="3:18" s="8" customFormat="1" x14ac:dyDescent="0.25">
      <c r="C64458" s="60"/>
      <c r="I64458" s="63"/>
      <c r="R64458" s="64"/>
    </row>
    <row r="64459" spans="3:18" s="8" customFormat="1" x14ac:dyDescent="0.25">
      <c r="C64459" s="60"/>
      <c r="I64459" s="63"/>
      <c r="R64459" s="64"/>
    </row>
    <row r="64460" spans="3:18" s="8" customFormat="1" x14ac:dyDescent="0.25">
      <c r="C64460" s="60"/>
      <c r="I64460" s="63"/>
      <c r="R64460" s="64"/>
    </row>
    <row r="64461" spans="3:18" s="8" customFormat="1" x14ac:dyDescent="0.25">
      <c r="C64461" s="60"/>
      <c r="I64461" s="63"/>
      <c r="R64461" s="64"/>
    </row>
    <row r="64462" spans="3:18" s="8" customFormat="1" x14ac:dyDescent="0.25">
      <c r="C64462" s="60"/>
      <c r="I64462" s="63"/>
      <c r="R64462" s="64"/>
    </row>
    <row r="64463" spans="3:18" s="8" customFormat="1" x14ac:dyDescent="0.25">
      <c r="C64463" s="60"/>
      <c r="I64463" s="63"/>
      <c r="R64463" s="64"/>
    </row>
    <row r="64464" spans="3:18" s="8" customFormat="1" x14ac:dyDescent="0.25">
      <c r="C64464" s="60"/>
      <c r="I64464" s="63"/>
      <c r="R64464" s="64"/>
    </row>
    <row r="64465" spans="3:18" s="8" customFormat="1" x14ac:dyDescent="0.25">
      <c r="C64465" s="60"/>
      <c r="I64465" s="63"/>
      <c r="R64465" s="64"/>
    </row>
    <row r="64466" spans="3:18" s="8" customFormat="1" x14ac:dyDescent="0.25">
      <c r="C64466" s="60"/>
      <c r="I64466" s="63"/>
      <c r="R64466" s="64"/>
    </row>
    <row r="64467" spans="3:18" s="8" customFormat="1" x14ac:dyDescent="0.25">
      <c r="C64467" s="60"/>
      <c r="I64467" s="63"/>
      <c r="R64467" s="64"/>
    </row>
    <row r="64468" spans="3:18" s="8" customFormat="1" x14ac:dyDescent="0.25">
      <c r="C64468" s="60"/>
      <c r="I64468" s="63"/>
      <c r="R64468" s="64"/>
    </row>
    <row r="64469" spans="3:18" s="8" customFormat="1" x14ac:dyDescent="0.25">
      <c r="C64469" s="60"/>
      <c r="I64469" s="63"/>
      <c r="R64469" s="64"/>
    </row>
    <row r="64470" spans="3:18" s="8" customFormat="1" x14ac:dyDescent="0.25">
      <c r="C64470" s="60"/>
      <c r="I64470" s="63"/>
      <c r="R64470" s="64"/>
    </row>
    <row r="64471" spans="3:18" s="8" customFormat="1" x14ac:dyDescent="0.25">
      <c r="C64471" s="60"/>
      <c r="I64471" s="63"/>
      <c r="R64471" s="64"/>
    </row>
    <row r="64472" spans="3:18" s="8" customFormat="1" x14ac:dyDescent="0.25">
      <c r="C64472" s="60"/>
      <c r="I64472" s="63"/>
      <c r="R64472" s="64"/>
    </row>
    <row r="64473" spans="3:18" s="8" customFormat="1" x14ac:dyDescent="0.25">
      <c r="C64473" s="60"/>
      <c r="I64473" s="63"/>
      <c r="R64473" s="64"/>
    </row>
    <row r="64474" spans="3:18" s="8" customFormat="1" x14ac:dyDescent="0.25">
      <c r="C64474" s="60"/>
      <c r="I64474" s="63"/>
      <c r="R64474" s="64"/>
    </row>
    <row r="64475" spans="3:18" s="8" customFormat="1" x14ac:dyDescent="0.25">
      <c r="C64475" s="60"/>
      <c r="I64475" s="63"/>
      <c r="R64475" s="64"/>
    </row>
    <row r="64476" spans="3:18" s="8" customFormat="1" x14ac:dyDescent="0.25">
      <c r="C64476" s="60"/>
      <c r="I64476" s="63"/>
      <c r="R64476" s="64"/>
    </row>
    <row r="64477" spans="3:18" s="8" customFormat="1" x14ac:dyDescent="0.25">
      <c r="C64477" s="60"/>
      <c r="I64477" s="63"/>
      <c r="R64477" s="64"/>
    </row>
    <row r="64478" spans="3:18" s="8" customFormat="1" x14ac:dyDescent="0.25">
      <c r="C64478" s="60"/>
      <c r="I64478" s="63"/>
      <c r="R64478" s="64"/>
    </row>
    <row r="64479" spans="3:18" s="8" customFormat="1" x14ac:dyDescent="0.25">
      <c r="C64479" s="60"/>
      <c r="I64479" s="63"/>
      <c r="R64479" s="64"/>
    </row>
    <row r="64480" spans="3:18" s="8" customFormat="1" x14ac:dyDescent="0.25">
      <c r="C64480" s="60"/>
      <c r="I64480" s="63"/>
      <c r="R64480" s="64"/>
    </row>
    <row r="64481" spans="3:18" s="8" customFormat="1" x14ac:dyDescent="0.25">
      <c r="C64481" s="60"/>
      <c r="I64481" s="63"/>
      <c r="R64481" s="64"/>
    </row>
    <row r="64482" spans="3:18" s="8" customFormat="1" x14ac:dyDescent="0.25">
      <c r="C64482" s="60"/>
      <c r="I64482" s="63"/>
      <c r="R64482" s="64"/>
    </row>
    <row r="64483" spans="3:18" s="8" customFormat="1" x14ac:dyDescent="0.25">
      <c r="C64483" s="60"/>
      <c r="I64483" s="63"/>
      <c r="R64483" s="64"/>
    </row>
    <row r="64484" spans="3:18" s="8" customFormat="1" x14ac:dyDescent="0.25">
      <c r="C64484" s="60"/>
      <c r="I64484" s="63"/>
      <c r="R64484" s="64"/>
    </row>
    <row r="64485" spans="3:18" s="8" customFormat="1" x14ac:dyDescent="0.25">
      <c r="C64485" s="60"/>
      <c r="I64485" s="63"/>
      <c r="R64485" s="64"/>
    </row>
    <row r="64486" spans="3:18" s="8" customFormat="1" x14ac:dyDescent="0.25">
      <c r="C64486" s="60"/>
      <c r="I64486" s="63"/>
      <c r="R64486" s="64"/>
    </row>
    <row r="64487" spans="3:18" s="8" customFormat="1" x14ac:dyDescent="0.25">
      <c r="C64487" s="60"/>
      <c r="I64487" s="63"/>
      <c r="R64487" s="64"/>
    </row>
    <row r="64488" spans="3:18" s="8" customFormat="1" x14ac:dyDescent="0.25">
      <c r="C64488" s="60"/>
      <c r="I64488" s="63"/>
      <c r="R64488" s="64"/>
    </row>
    <row r="64489" spans="3:18" s="8" customFormat="1" x14ac:dyDescent="0.25">
      <c r="C64489" s="60"/>
      <c r="I64489" s="63"/>
      <c r="R64489" s="64"/>
    </row>
    <row r="64490" spans="3:18" s="8" customFormat="1" x14ac:dyDescent="0.25">
      <c r="C64490" s="60"/>
      <c r="I64490" s="63"/>
      <c r="R64490" s="64"/>
    </row>
    <row r="64491" spans="3:18" s="8" customFormat="1" x14ac:dyDescent="0.25">
      <c r="C64491" s="60"/>
      <c r="I64491" s="63"/>
      <c r="R64491" s="64"/>
    </row>
    <row r="64492" spans="3:18" s="8" customFormat="1" x14ac:dyDescent="0.25">
      <c r="C64492" s="60"/>
      <c r="I64492" s="63"/>
      <c r="R64492" s="64"/>
    </row>
    <row r="64493" spans="3:18" s="8" customFormat="1" x14ac:dyDescent="0.25">
      <c r="C64493" s="60"/>
      <c r="I64493" s="63"/>
      <c r="R64493" s="64"/>
    </row>
    <row r="64494" spans="3:18" s="8" customFormat="1" x14ac:dyDescent="0.25">
      <c r="C64494" s="60"/>
      <c r="I64494" s="63"/>
      <c r="R64494" s="64"/>
    </row>
    <row r="64495" spans="3:18" s="8" customFormat="1" x14ac:dyDescent="0.25">
      <c r="C64495" s="60"/>
      <c r="I64495" s="63"/>
      <c r="R64495" s="64"/>
    </row>
    <row r="64496" spans="3:18" s="8" customFormat="1" x14ac:dyDescent="0.25">
      <c r="C64496" s="60"/>
      <c r="I64496" s="63"/>
      <c r="R64496" s="64"/>
    </row>
    <row r="64497" spans="3:18" s="8" customFormat="1" x14ac:dyDescent="0.25">
      <c r="C64497" s="60"/>
      <c r="I64497" s="63"/>
      <c r="R64497" s="64"/>
    </row>
    <row r="64498" spans="3:18" s="8" customFormat="1" x14ac:dyDescent="0.25">
      <c r="C64498" s="60"/>
      <c r="I64498" s="63"/>
      <c r="R64498" s="64"/>
    </row>
    <row r="64499" spans="3:18" s="8" customFormat="1" x14ac:dyDescent="0.25">
      <c r="C64499" s="60"/>
      <c r="I64499" s="63"/>
      <c r="R64499" s="64"/>
    </row>
    <row r="64500" spans="3:18" s="8" customFormat="1" x14ac:dyDescent="0.25">
      <c r="C64500" s="60"/>
      <c r="I64500" s="63"/>
      <c r="R64500" s="64"/>
    </row>
    <row r="64501" spans="3:18" s="8" customFormat="1" x14ac:dyDescent="0.25">
      <c r="C64501" s="60"/>
      <c r="I64501" s="63"/>
      <c r="R64501" s="64"/>
    </row>
    <row r="64502" spans="3:18" s="8" customFormat="1" x14ac:dyDescent="0.25">
      <c r="C64502" s="60"/>
      <c r="I64502" s="63"/>
      <c r="R64502" s="64"/>
    </row>
    <row r="64503" spans="3:18" s="8" customFormat="1" x14ac:dyDescent="0.25">
      <c r="C64503" s="60"/>
      <c r="I64503" s="63"/>
      <c r="R64503" s="64"/>
    </row>
    <row r="64504" spans="3:18" s="8" customFormat="1" x14ac:dyDescent="0.25">
      <c r="C64504" s="60"/>
      <c r="I64504" s="63"/>
      <c r="R64504" s="64"/>
    </row>
    <row r="64505" spans="3:18" s="8" customFormat="1" x14ac:dyDescent="0.25">
      <c r="C64505" s="60"/>
      <c r="I64505" s="63"/>
      <c r="R64505" s="64"/>
    </row>
    <row r="64506" spans="3:18" s="8" customFormat="1" x14ac:dyDescent="0.25">
      <c r="C64506" s="60"/>
      <c r="I64506" s="63"/>
      <c r="R64506" s="64"/>
    </row>
    <row r="64507" spans="3:18" s="8" customFormat="1" x14ac:dyDescent="0.25">
      <c r="C64507" s="60"/>
      <c r="I64507" s="63"/>
      <c r="R64507" s="64"/>
    </row>
    <row r="64508" spans="3:18" s="8" customFormat="1" x14ac:dyDescent="0.25">
      <c r="C64508" s="60"/>
      <c r="I64508" s="63"/>
      <c r="R64508" s="64"/>
    </row>
    <row r="64509" spans="3:18" s="8" customFormat="1" x14ac:dyDescent="0.25">
      <c r="C64509" s="60"/>
      <c r="I64509" s="63"/>
      <c r="R64509" s="64"/>
    </row>
    <row r="64510" spans="3:18" s="8" customFormat="1" x14ac:dyDescent="0.25">
      <c r="C64510" s="60"/>
      <c r="I64510" s="63"/>
      <c r="R64510" s="64"/>
    </row>
    <row r="64511" spans="3:18" s="8" customFormat="1" x14ac:dyDescent="0.25">
      <c r="C64511" s="60"/>
      <c r="I64511" s="63"/>
      <c r="R64511" s="64"/>
    </row>
    <row r="64512" spans="3:18" s="8" customFormat="1" x14ac:dyDescent="0.25">
      <c r="C64512" s="60"/>
      <c r="I64512" s="63"/>
      <c r="R64512" s="64"/>
    </row>
    <row r="64513" spans="3:18" s="8" customFormat="1" x14ac:dyDescent="0.25">
      <c r="C64513" s="60"/>
      <c r="I64513" s="63"/>
      <c r="R64513" s="64"/>
    </row>
    <row r="64514" spans="3:18" s="8" customFormat="1" x14ac:dyDescent="0.25">
      <c r="C64514" s="60"/>
      <c r="I64514" s="63"/>
      <c r="R64514" s="64"/>
    </row>
    <row r="64515" spans="3:18" s="8" customFormat="1" x14ac:dyDescent="0.25">
      <c r="C64515" s="60"/>
      <c r="I64515" s="63"/>
      <c r="R64515" s="64"/>
    </row>
    <row r="64516" spans="3:18" s="8" customFormat="1" x14ac:dyDescent="0.25">
      <c r="C64516" s="60"/>
      <c r="I64516" s="63"/>
      <c r="R64516" s="64"/>
    </row>
    <row r="64517" spans="3:18" s="8" customFormat="1" x14ac:dyDescent="0.25">
      <c r="C64517" s="60"/>
      <c r="I64517" s="63"/>
      <c r="R64517" s="64"/>
    </row>
    <row r="64518" spans="3:18" s="8" customFormat="1" x14ac:dyDescent="0.25">
      <c r="C64518" s="60"/>
      <c r="I64518" s="63"/>
      <c r="R64518" s="64"/>
    </row>
    <row r="64519" spans="3:18" s="8" customFormat="1" x14ac:dyDescent="0.25">
      <c r="C64519" s="60"/>
      <c r="I64519" s="63"/>
      <c r="R64519" s="64"/>
    </row>
    <row r="64520" spans="3:18" s="8" customFormat="1" x14ac:dyDescent="0.25">
      <c r="C64520" s="60"/>
      <c r="I64520" s="63"/>
      <c r="R64520" s="64"/>
    </row>
    <row r="64521" spans="3:18" s="8" customFormat="1" x14ac:dyDescent="0.25">
      <c r="C64521" s="60"/>
      <c r="I64521" s="63"/>
      <c r="R64521" s="64"/>
    </row>
    <row r="64522" spans="3:18" s="8" customFormat="1" x14ac:dyDescent="0.25">
      <c r="C64522" s="60"/>
      <c r="I64522" s="63"/>
      <c r="R64522" s="64"/>
    </row>
    <row r="64523" spans="3:18" s="8" customFormat="1" x14ac:dyDescent="0.25">
      <c r="C64523" s="60"/>
      <c r="I64523" s="63"/>
      <c r="R64523" s="64"/>
    </row>
    <row r="64524" spans="3:18" s="8" customFormat="1" x14ac:dyDescent="0.25">
      <c r="C64524" s="60"/>
      <c r="I64524" s="63"/>
      <c r="R64524" s="64"/>
    </row>
    <row r="64525" spans="3:18" s="8" customFormat="1" x14ac:dyDescent="0.25">
      <c r="C64525" s="60"/>
      <c r="I64525" s="63"/>
      <c r="R64525" s="64"/>
    </row>
    <row r="64526" spans="3:18" s="8" customFormat="1" x14ac:dyDescent="0.25">
      <c r="C64526" s="60"/>
      <c r="I64526" s="63"/>
      <c r="R64526" s="64"/>
    </row>
    <row r="64527" spans="3:18" s="8" customFormat="1" x14ac:dyDescent="0.25">
      <c r="C64527" s="60"/>
      <c r="I64527" s="63"/>
      <c r="R64527" s="64"/>
    </row>
    <row r="64528" spans="3:18" s="8" customFormat="1" x14ac:dyDescent="0.25">
      <c r="C64528" s="60"/>
      <c r="I64528" s="63"/>
      <c r="R64528" s="64"/>
    </row>
    <row r="64529" spans="3:18" s="8" customFormat="1" x14ac:dyDescent="0.25">
      <c r="C64529" s="60"/>
      <c r="I64529" s="63"/>
      <c r="R64529" s="64"/>
    </row>
    <row r="64530" spans="3:18" s="8" customFormat="1" x14ac:dyDescent="0.25">
      <c r="C64530" s="60"/>
      <c r="I64530" s="63"/>
      <c r="R64530" s="64"/>
    </row>
    <row r="64531" spans="3:18" s="8" customFormat="1" x14ac:dyDescent="0.25">
      <c r="C64531" s="60"/>
      <c r="I64531" s="63"/>
      <c r="R64531" s="64"/>
    </row>
    <row r="64532" spans="3:18" s="8" customFormat="1" x14ac:dyDescent="0.25">
      <c r="C64532" s="60"/>
      <c r="I64532" s="63"/>
      <c r="R64532" s="64"/>
    </row>
    <row r="64533" spans="3:18" s="8" customFormat="1" x14ac:dyDescent="0.25">
      <c r="C64533" s="60"/>
      <c r="I64533" s="63"/>
      <c r="R64533" s="64"/>
    </row>
    <row r="64534" spans="3:18" s="8" customFormat="1" x14ac:dyDescent="0.25">
      <c r="C64534" s="60"/>
      <c r="I64534" s="63"/>
      <c r="R64534" s="64"/>
    </row>
    <row r="64535" spans="3:18" s="8" customFormat="1" x14ac:dyDescent="0.25">
      <c r="C64535" s="60"/>
      <c r="I64535" s="63"/>
      <c r="R64535" s="64"/>
    </row>
    <row r="64536" spans="3:18" s="8" customFormat="1" x14ac:dyDescent="0.25">
      <c r="C64536" s="60"/>
      <c r="I64536" s="63"/>
      <c r="R64536" s="64"/>
    </row>
    <row r="64537" spans="3:18" s="8" customFormat="1" x14ac:dyDescent="0.25">
      <c r="C64537" s="60"/>
      <c r="I64537" s="63"/>
      <c r="R64537" s="64"/>
    </row>
    <row r="64538" spans="3:18" s="8" customFormat="1" x14ac:dyDescent="0.25">
      <c r="C64538" s="60"/>
      <c r="I64538" s="63"/>
      <c r="R64538" s="64"/>
    </row>
    <row r="64539" spans="3:18" s="8" customFormat="1" x14ac:dyDescent="0.25">
      <c r="C64539" s="60"/>
      <c r="I64539" s="63"/>
      <c r="R64539" s="64"/>
    </row>
    <row r="64540" spans="3:18" s="8" customFormat="1" x14ac:dyDescent="0.25">
      <c r="C64540" s="60"/>
      <c r="I64540" s="63"/>
      <c r="R64540" s="64"/>
    </row>
    <row r="64541" spans="3:18" s="8" customFormat="1" x14ac:dyDescent="0.25">
      <c r="C64541" s="60"/>
      <c r="I64541" s="63"/>
      <c r="R64541" s="64"/>
    </row>
    <row r="64542" spans="3:18" s="8" customFormat="1" x14ac:dyDescent="0.25">
      <c r="C64542" s="60"/>
      <c r="I64542" s="63"/>
      <c r="R64542" s="64"/>
    </row>
    <row r="64543" spans="3:18" s="8" customFormat="1" x14ac:dyDescent="0.25">
      <c r="C64543" s="60"/>
      <c r="I64543" s="63"/>
      <c r="R64543" s="64"/>
    </row>
    <row r="64544" spans="3:18" s="8" customFormat="1" x14ac:dyDescent="0.25">
      <c r="C64544" s="60"/>
      <c r="I64544" s="63"/>
      <c r="R64544" s="64"/>
    </row>
    <row r="64545" spans="3:18" s="8" customFormat="1" x14ac:dyDescent="0.25">
      <c r="C64545" s="60"/>
      <c r="I64545" s="63"/>
      <c r="R64545" s="64"/>
    </row>
    <row r="64546" spans="3:18" s="8" customFormat="1" x14ac:dyDescent="0.25">
      <c r="C64546" s="60"/>
      <c r="I64546" s="63"/>
      <c r="R64546" s="64"/>
    </row>
    <row r="64547" spans="3:18" s="8" customFormat="1" x14ac:dyDescent="0.25">
      <c r="C64547" s="60"/>
      <c r="I64547" s="63"/>
      <c r="R64547" s="64"/>
    </row>
    <row r="64548" spans="3:18" s="8" customFormat="1" x14ac:dyDescent="0.25">
      <c r="C64548" s="60"/>
      <c r="I64548" s="63"/>
      <c r="R64548" s="64"/>
    </row>
    <row r="64549" spans="3:18" s="8" customFormat="1" x14ac:dyDescent="0.25">
      <c r="C64549" s="60"/>
      <c r="I64549" s="63"/>
      <c r="R64549" s="64"/>
    </row>
    <row r="64550" spans="3:18" s="8" customFormat="1" x14ac:dyDescent="0.25">
      <c r="C64550" s="60"/>
      <c r="I64550" s="63"/>
      <c r="R64550" s="64"/>
    </row>
    <row r="64551" spans="3:18" s="8" customFormat="1" x14ac:dyDescent="0.25">
      <c r="C64551" s="60"/>
      <c r="I64551" s="63"/>
      <c r="R64551" s="64"/>
    </row>
    <row r="64552" spans="3:18" s="8" customFormat="1" x14ac:dyDescent="0.25">
      <c r="C64552" s="60"/>
      <c r="I64552" s="63"/>
      <c r="R64552" s="64"/>
    </row>
    <row r="64553" spans="3:18" s="8" customFormat="1" x14ac:dyDescent="0.25">
      <c r="C64553" s="60"/>
      <c r="I64553" s="63"/>
      <c r="R64553" s="64"/>
    </row>
    <row r="64554" spans="3:18" s="8" customFormat="1" x14ac:dyDescent="0.25">
      <c r="C64554" s="60"/>
      <c r="I64554" s="63"/>
      <c r="R64554" s="64"/>
    </row>
    <row r="64555" spans="3:18" s="8" customFormat="1" x14ac:dyDescent="0.25">
      <c r="C64555" s="60"/>
      <c r="I64555" s="63"/>
      <c r="R64555" s="64"/>
    </row>
    <row r="64556" spans="3:18" s="8" customFormat="1" x14ac:dyDescent="0.25">
      <c r="C64556" s="60"/>
      <c r="I64556" s="63"/>
      <c r="R64556" s="64"/>
    </row>
    <row r="64557" spans="3:18" s="8" customFormat="1" x14ac:dyDescent="0.25">
      <c r="C64557" s="60"/>
      <c r="I64557" s="63"/>
      <c r="R64557" s="64"/>
    </row>
    <row r="64558" spans="3:18" s="8" customFormat="1" x14ac:dyDescent="0.25">
      <c r="C64558" s="60"/>
      <c r="I64558" s="63"/>
      <c r="R64558" s="64"/>
    </row>
    <row r="64559" spans="3:18" s="8" customFormat="1" x14ac:dyDescent="0.25">
      <c r="C64559" s="60"/>
      <c r="I64559" s="63"/>
      <c r="R64559" s="64"/>
    </row>
    <row r="64560" spans="3:18" s="8" customFormat="1" x14ac:dyDescent="0.25">
      <c r="C64560" s="60"/>
      <c r="I64560" s="63"/>
      <c r="R64560" s="64"/>
    </row>
    <row r="64561" spans="3:18" s="8" customFormat="1" x14ac:dyDescent="0.25">
      <c r="C64561" s="60"/>
      <c r="I64561" s="63"/>
      <c r="R64561" s="64"/>
    </row>
    <row r="64562" spans="3:18" s="8" customFormat="1" x14ac:dyDescent="0.25">
      <c r="C64562" s="60"/>
      <c r="I64562" s="63"/>
      <c r="R64562" s="64"/>
    </row>
    <row r="64563" spans="3:18" s="8" customFormat="1" x14ac:dyDescent="0.25">
      <c r="C64563" s="60"/>
      <c r="I64563" s="63"/>
      <c r="R64563" s="64"/>
    </row>
    <row r="64564" spans="3:18" s="8" customFormat="1" x14ac:dyDescent="0.25">
      <c r="C64564" s="60"/>
      <c r="I64564" s="63"/>
      <c r="R64564" s="64"/>
    </row>
    <row r="64565" spans="3:18" s="8" customFormat="1" x14ac:dyDescent="0.25">
      <c r="C64565" s="60"/>
      <c r="I64565" s="63"/>
      <c r="R64565" s="64"/>
    </row>
    <row r="64566" spans="3:18" s="8" customFormat="1" x14ac:dyDescent="0.25">
      <c r="C64566" s="60"/>
      <c r="I64566" s="63"/>
      <c r="R64566" s="64"/>
    </row>
    <row r="64567" spans="3:18" s="8" customFormat="1" x14ac:dyDescent="0.25">
      <c r="C64567" s="60"/>
      <c r="I64567" s="63"/>
      <c r="R64567" s="64"/>
    </row>
    <row r="64568" spans="3:18" s="8" customFormat="1" x14ac:dyDescent="0.25">
      <c r="C64568" s="60"/>
      <c r="I64568" s="63"/>
      <c r="R64568" s="64"/>
    </row>
    <row r="64569" spans="3:18" s="8" customFormat="1" x14ac:dyDescent="0.25">
      <c r="C64569" s="60"/>
      <c r="I64569" s="63"/>
      <c r="R64569" s="64"/>
    </row>
    <row r="64570" spans="3:18" s="8" customFormat="1" x14ac:dyDescent="0.25">
      <c r="C64570" s="60"/>
      <c r="I64570" s="63"/>
      <c r="R64570" s="64"/>
    </row>
    <row r="64571" spans="3:18" s="8" customFormat="1" x14ac:dyDescent="0.25">
      <c r="C64571" s="60"/>
      <c r="I64571" s="63"/>
      <c r="R64571" s="64"/>
    </row>
    <row r="64572" spans="3:18" s="8" customFormat="1" x14ac:dyDescent="0.25">
      <c r="C64572" s="60"/>
      <c r="I64572" s="63"/>
      <c r="R64572" s="64"/>
    </row>
    <row r="64573" spans="3:18" s="8" customFormat="1" x14ac:dyDescent="0.25">
      <c r="C64573" s="60"/>
      <c r="I64573" s="63"/>
      <c r="R64573" s="64"/>
    </row>
    <row r="64574" spans="3:18" s="8" customFormat="1" x14ac:dyDescent="0.25">
      <c r="C64574" s="60"/>
      <c r="I64574" s="63"/>
      <c r="R64574" s="64"/>
    </row>
    <row r="64575" spans="3:18" s="8" customFormat="1" x14ac:dyDescent="0.25">
      <c r="C64575" s="60"/>
      <c r="I64575" s="63"/>
      <c r="R64575" s="64"/>
    </row>
    <row r="64576" spans="3:18" s="8" customFormat="1" x14ac:dyDescent="0.25">
      <c r="C64576" s="60"/>
      <c r="I64576" s="63"/>
      <c r="R64576" s="64"/>
    </row>
    <row r="64577" spans="3:18" s="8" customFormat="1" x14ac:dyDescent="0.25">
      <c r="C64577" s="60"/>
      <c r="I64577" s="63"/>
      <c r="R64577" s="64"/>
    </row>
    <row r="64578" spans="3:18" s="8" customFormat="1" x14ac:dyDescent="0.25">
      <c r="C64578" s="60"/>
      <c r="I64578" s="63"/>
      <c r="R64578" s="64"/>
    </row>
    <row r="64579" spans="3:18" s="8" customFormat="1" x14ac:dyDescent="0.25">
      <c r="C64579" s="60"/>
      <c r="I64579" s="63"/>
      <c r="R64579" s="64"/>
    </row>
    <row r="64580" spans="3:18" s="8" customFormat="1" x14ac:dyDescent="0.25">
      <c r="C64580" s="60"/>
      <c r="I64580" s="63"/>
      <c r="R64580" s="64"/>
    </row>
    <row r="64581" spans="3:18" s="8" customFormat="1" x14ac:dyDescent="0.25">
      <c r="C64581" s="60"/>
      <c r="I64581" s="63"/>
      <c r="R64581" s="64"/>
    </row>
    <row r="64582" spans="3:18" s="8" customFormat="1" x14ac:dyDescent="0.25">
      <c r="C64582" s="60"/>
      <c r="I64582" s="63"/>
      <c r="R64582" s="64"/>
    </row>
    <row r="64583" spans="3:18" s="8" customFormat="1" x14ac:dyDescent="0.25">
      <c r="C64583" s="60"/>
      <c r="I64583" s="63"/>
      <c r="R64583" s="64"/>
    </row>
    <row r="64584" spans="3:18" s="8" customFormat="1" x14ac:dyDescent="0.25">
      <c r="C64584" s="60"/>
      <c r="I64584" s="63"/>
      <c r="R64584" s="64"/>
    </row>
    <row r="64585" spans="3:18" s="8" customFormat="1" x14ac:dyDescent="0.25">
      <c r="C64585" s="60"/>
      <c r="I64585" s="63"/>
      <c r="R64585" s="64"/>
    </row>
    <row r="64586" spans="3:18" s="8" customFormat="1" x14ac:dyDescent="0.25">
      <c r="C64586" s="60"/>
      <c r="I64586" s="63"/>
      <c r="R64586" s="64"/>
    </row>
    <row r="64587" spans="3:18" s="8" customFormat="1" x14ac:dyDescent="0.25">
      <c r="C64587" s="60"/>
      <c r="I64587" s="63"/>
      <c r="R64587" s="64"/>
    </row>
    <row r="64588" spans="3:18" s="8" customFormat="1" x14ac:dyDescent="0.25">
      <c r="C64588" s="60"/>
      <c r="I64588" s="63"/>
      <c r="R64588" s="64"/>
    </row>
    <row r="64589" spans="3:18" s="8" customFormat="1" x14ac:dyDescent="0.25">
      <c r="C64589" s="60"/>
      <c r="I64589" s="63"/>
      <c r="R64589" s="64"/>
    </row>
    <row r="64590" spans="3:18" s="8" customFormat="1" x14ac:dyDescent="0.25">
      <c r="C64590" s="60"/>
      <c r="I64590" s="63"/>
      <c r="R64590" s="64"/>
    </row>
    <row r="64591" spans="3:18" s="8" customFormat="1" x14ac:dyDescent="0.25">
      <c r="C64591" s="60"/>
      <c r="I64591" s="63"/>
      <c r="R64591" s="64"/>
    </row>
    <row r="64592" spans="3:18" s="8" customFormat="1" x14ac:dyDescent="0.25">
      <c r="C64592" s="60"/>
      <c r="I64592" s="63"/>
      <c r="R64592" s="64"/>
    </row>
    <row r="64593" spans="3:18" s="8" customFormat="1" x14ac:dyDescent="0.25">
      <c r="C64593" s="60"/>
      <c r="I64593" s="63"/>
      <c r="R64593" s="64"/>
    </row>
    <row r="64594" spans="3:18" s="8" customFormat="1" x14ac:dyDescent="0.25">
      <c r="C64594" s="60"/>
      <c r="I64594" s="63"/>
      <c r="R64594" s="64"/>
    </row>
    <row r="64595" spans="3:18" s="8" customFormat="1" x14ac:dyDescent="0.25">
      <c r="C64595" s="60"/>
      <c r="I64595" s="63"/>
      <c r="R64595" s="64"/>
    </row>
    <row r="64596" spans="3:18" s="8" customFormat="1" x14ac:dyDescent="0.25">
      <c r="C64596" s="60"/>
      <c r="I64596" s="63"/>
      <c r="R64596" s="64"/>
    </row>
    <row r="64597" spans="3:18" s="8" customFormat="1" x14ac:dyDescent="0.25">
      <c r="C64597" s="60"/>
      <c r="I64597" s="63"/>
      <c r="R64597" s="64"/>
    </row>
    <row r="64598" spans="3:18" s="8" customFormat="1" x14ac:dyDescent="0.25">
      <c r="C64598" s="60"/>
      <c r="I64598" s="63"/>
      <c r="R64598" s="64"/>
    </row>
    <row r="64599" spans="3:18" s="8" customFormat="1" x14ac:dyDescent="0.25">
      <c r="C64599" s="60"/>
      <c r="I64599" s="63"/>
      <c r="R64599" s="64"/>
    </row>
    <row r="64600" spans="3:18" s="8" customFormat="1" x14ac:dyDescent="0.25">
      <c r="C64600" s="60"/>
      <c r="I64600" s="63"/>
      <c r="R64600" s="64"/>
    </row>
    <row r="64601" spans="3:18" s="8" customFormat="1" x14ac:dyDescent="0.25">
      <c r="C64601" s="60"/>
      <c r="I64601" s="63"/>
      <c r="R64601" s="64"/>
    </row>
    <row r="64602" spans="3:18" s="8" customFormat="1" x14ac:dyDescent="0.25">
      <c r="C64602" s="60"/>
      <c r="I64602" s="63"/>
      <c r="R64602" s="64"/>
    </row>
    <row r="64603" spans="3:18" s="8" customFormat="1" x14ac:dyDescent="0.25">
      <c r="C64603" s="60"/>
      <c r="I64603" s="63"/>
      <c r="R64603" s="64"/>
    </row>
    <row r="64604" spans="3:18" s="8" customFormat="1" x14ac:dyDescent="0.25">
      <c r="C64604" s="60"/>
      <c r="I64604" s="63"/>
      <c r="R64604" s="64"/>
    </row>
    <row r="64605" spans="3:18" s="8" customFormat="1" x14ac:dyDescent="0.25">
      <c r="C64605" s="60"/>
      <c r="I64605" s="63"/>
      <c r="R64605" s="64"/>
    </row>
    <row r="64606" spans="3:18" s="8" customFormat="1" x14ac:dyDescent="0.25">
      <c r="C64606" s="60"/>
      <c r="I64606" s="63"/>
      <c r="R64606" s="64"/>
    </row>
    <row r="64607" spans="3:18" s="8" customFormat="1" x14ac:dyDescent="0.25">
      <c r="C64607" s="60"/>
      <c r="I64607" s="63"/>
      <c r="R64607" s="64"/>
    </row>
    <row r="64608" spans="3:18" s="8" customFormat="1" x14ac:dyDescent="0.25">
      <c r="C64608" s="60"/>
      <c r="I64608" s="63"/>
      <c r="R64608" s="64"/>
    </row>
    <row r="64609" spans="3:18" s="8" customFormat="1" x14ac:dyDescent="0.25">
      <c r="C64609" s="60"/>
      <c r="I64609" s="63"/>
      <c r="R64609" s="64"/>
    </row>
    <row r="64610" spans="3:18" s="8" customFormat="1" x14ac:dyDescent="0.25">
      <c r="C64610" s="60"/>
      <c r="I64610" s="63"/>
      <c r="R64610" s="64"/>
    </row>
    <row r="64611" spans="3:18" s="8" customFormat="1" x14ac:dyDescent="0.25">
      <c r="C64611" s="60"/>
      <c r="I64611" s="63"/>
      <c r="R64611" s="64"/>
    </row>
    <row r="64612" spans="3:18" s="8" customFormat="1" x14ac:dyDescent="0.25">
      <c r="C64612" s="60"/>
      <c r="I64612" s="63"/>
      <c r="R64612" s="64"/>
    </row>
    <row r="64613" spans="3:18" s="8" customFormat="1" x14ac:dyDescent="0.25">
      <c r="C64613" s="60"/>
      <c r="I64613" s="63"/>
      <c r="R64613" s="64"/>
    </row>
    <row r="64614" spans="3:18" s="8" customFormat="1" x14ac:dyDescent="0.25">
      <c r="C64614" s="60"/>
      <c r="I64614" s="63"/>
      <c r="R64614" s="64"/>
    </row>
    <row r="64615" spans="3:18" s="8" customFormat="1" x14ac:dyDescent="0.25">
      <c r="C64615" s="60"/>
      <c r="I64615" s="63"/>
      <c r="R64615" s="64"/>
    </row>
    <row r="64616" spans="3:18" s="8" customFormat="1" x14ac:dyDescent="0.25">
      <c r="C64616" s="60"/>
      <c r="I64616" s="63"/>
      <c r="R64616" s="64"/>
    </row>
    <row r="64617" spans="3:18" s="8" customFormat="1" x14ac:dyDescent="0.25">
      <c r="C64617" s="60"/>
      <c r="I64617" s="63"/>
      <c r="R64617" s="64"/>
    </row>
    <row r="64618" spans="3:18" s="8" customFormat="1" x14ac:dyDescent="0.25">
      <c r="C64618" s="60"/>
      <c r="I64618" s="63"/>
      <c r="R64618" s="64"/>
    </row>
    <row r="64619" spans="3:18" s="8" customFormat="1" x14ac:dyDescent="0.25">
      <c r="C64619" s="60"/>
      <c r="I64619" s="63"/>
      <c r="R64619" s="64"/>
    </row>
    <row r="64620" spans="3:18" s="8" customFormat="1" x14ac:dyDescent="0.25">
      <c r="C64620" s="60"/>
      <c r="I64620" s="63"/>
      <c r="R64620" s="64"/>
    </row>
    <row r="64621" spans="3:18" s="8" customFormat="1" x14ac:dyDescent="0.25">
      <c r="C64621" s="60"/>
      <c r="I64621" s="63"/>
      <c r="R64621" s="64"/>
    </row>
    <row r="64622" spans="3:18" s="8" customFormat="1" x14ac:dyDescent="0.25">
      <c r="C64622" s="60"/>
      <c r="I64622" s="63"/>
      <c r="R64622" s="64"/>
    </row>
    <row r="64623" spans="3:18" s="8" customFormat="1" x14ac:dyDescent="0.25">
      <c r="C64623" s="60"/>
      <c r="I64623" s="63"/>
      <c r="R64623" s="64"/>
    </row>
    <row r="64624" spans="3:18" s="8" customFormat="1" x14ac:dyDescent="0.25">
      <c r="C64624" s="60"/>
      <c r="I64624" s="63"/>
      <c r="R64624" s="64"/>
    </row>
    <row r="64625" spans="3:18" s="8" customFormat="1" x14ac:dyDescent="0.25">
      <c r="C64625" s="60"/>
      <c r="I64625" s="63"/>
      <c r="R64625" s="64"/>
    </row>
    <row r="64626" spans="3:18" s="8" customFormat="1" x14ac:dyDescent="0.25">
      <c r="C64626" s="60"/>
      <c r="I64626" s="63"/>
      <c r="R64626" s="64"/>
    </row>
    <row r="64627" spans="3:18" s="8" customFormat="1" x14ac:dyDescent="0.25">
      <c r="C64627" s="60"/>
      <c r="I64627" s="63"/>
      <c r="R64627" s="64"/>
    </row>
    <row r="64628" spans="3:18" s="8" customFormat="1" x14ac:dyDescent="0.25">
      <c r="C64628" s="60"/>
      <c r="I64628" s="63"/>
      <c r="R64628" s="64"/>
    </row>
    <row r="64629" spans="3:18" s="8" customFormat="1" x14ac:dyDescent="0.25">
      <c r="C64629" s="60"/>
      <c r="I64629" s="63"/>
      <c r="R64629" s="64"/>
    </row>
    <row r="64630" spans="3:18" s="8" customFormat="1" x14ac:dyDescent="0.25">
      <c r="C64630" s="60"/>
      <c r="I64630" s="63"/>
      <c r="R64630" s="64"/>
    </row>
    <row r="64631" spans="3:18" s="8" customFormat="1" x14ac:dyDescent="0.25">
      <c r="C64631" s="60"/>
      <c r="I64631" s="63"/>
      <c r="R64631" s="64"/>
    </row>
    <row r="64632" spans="3:18" s="8" customFormat="1" x14ac:dyDescent="0.25">
      <c r="C64632" s="60"/>
      <c r="I64632" s="63"/>
      <c r="R64632" s="64"/>
    </row>
    <row r="64633" spans="3:18" s="8" customFormat="1" x14ac:dyDescent="0.25">
      <c r="C64633" s="60"/>
      <c r="I64633" s="63"/>
      <c r="R64633" s="64"/>
    </row>
    <row r="64634" spans="3:18" s="8" customFormat="1" x14ac:dyDescent="0.25">
      <c r="C64634" s="60"/>
      <c r="I64634" s="63"/>
      <c r="R64634" s="64"/>
    </row>
    <row r="64635" spans="3:18" s="8" customFormat="1" x14ac:dyDescent="0.25">
      <c r="C64635" s="60"/>
      <c r="I64635" s="63"/>
      <c r="R64635" s="64"/>
    </row>
    <row r="64636" spans="3:18" s="8" customFormat="1" x14ac:dyDescent="0.25">
      <c r="C64636" s="60"/>
      <c r="I64636" s="63"/>
      <c r="R64636" s="64"/>
    </row>
    <row r="64637" spans="3:18" s="8" customFormat="1" x14ac:dyDescent="0.25">
      <c r="C64637" s="60"/>
      <c r="I64637" s="63"/>
      <c r="R64637" s="64"/>
    </row>
    <row r="64638" spans="3:18" s="8" customFormat="1" x14ac:dyDescent="0.25">
      <c r="C64638" s="60"/>
      <c r="I64638" s="63"/>
      <c r="R64638" s="64"/>
    </row>
    <row r="64639" spans="3:18" s="8" customFormat="1" x14ac:dyDescent="0.25">
      <c r="C64639" s="60"/>
      <c r="I64639" s="63"/>
      <c r="R64639" s="64"/>
    </row>
    <row r="64640" spans="3:18" s="8" customFormat="1" x14ac:dyDescent="0.25">
      <c r="C64640" s="60"/>
      <c r="I64640" s="63"/>
      <c r="R64640" s="64"/>
    </row>
    <row r="64641" spans="3:18" s="8" customFormat="1" x14ac:dyDescent="0.25">
      <c r="C64641" s="60"/>
      <c r="I64641" s="63"/>
      <c r="R64641" s="64"/>
    </row>
    <row r="64642" spans="3:18" s="8" customFormat="1" x14ac:dyDescent="0.25">
      <c r="C64642" s="60"/>
      <c r="I64642" s="63"/>
      <c r="R64642" s="64"/>
    </row>
    <row r="64643" spans="3:18" s="8" customFormat="1" x14ac:dyDescent="0.25">
      <c r="C64643" s="60"/>
      <c r="I64643" s="63"/>
      <c r="R64643" s="64"/>
    </row>
    <row r="64644" spans="3:18" s="8" customFormat="1" x14ac:dyDescent="0.25">
      <c r="C64644" s="60"/>
      <c r="I64644" s="63"/>
      <c r="R64644" s="64"/>
    </row>
    <row r="64645" spans="3:18" s="8" customFormat="1" x14ac:dyDescent="0.25">
      <c r="C64645" s="60"/>
      <c r="I64645" s="63"/>
      <c r="R64645" s="64"/>
    </row>
    <row r="64646" spans="3:18" s="8" customFormat="1" x14ac:dyDescent="0.25">
      <c r="C64646" s="60"/>
      <c r="I64646" s="63"/>
      <c r="R64646" s="64"/>
    </row>
    <row r="64647" spans="3:18" s="8" customFormat="1" x14ac:dyDescent="0.25">
      <c r="C64647" s="60"/>
      <c r="I64647" s="63"/>
      <c r="R64647" s="64"/>
    </row>
    <row r="64648" spans="3:18" s="8" customFormat="1" x14ac:dyDescent="0.25">
      <c r="C64648" s="60"/>
      <c r="I64648" s="63"/>
      <c r="R64648" s="64"/>
    </row>
    <row r="64649" spans="3:18" s="8" customFormat="1" x14ac:dyDescent="0.25">
      <c r="C64649" s="60"/>
      <c r="I64649" s="63"/>
      <c r="R64649" s="64"/>
    </row>
    <row r="64650" spans="3:18" s="8" customFormat="1" x14ac:dyDescent="0.25">
      <c r="C64650" s="60"/>
      <c r="I64650" s="63"/>
      <c r="R64650" s="64"/>
    </row>
    <row r="64651" spans="3:18" s="8" customFormat="1" x14ac:dyDescent="0.25">
      <c r="C64651" s="60"/>
      <c r="I64651" s="63"/>
      <c r="R64651" s="64"/>
    </row>
    <row r="64652" spans="3:18" s="8" customFormat="1" x14ac:dyDescent="0.25">
      <c r="C64652" s="60"/>
      <c r="I64652" s="63"/>
      <c r="R64652" s="64"/>
    </row>
    <row r="64653" spans="3:18" s="8" customFormat="1" x14ac:dyDescent="0.25">
      <c r="C64653" s="60"/>
      <c r="I64653" s="63"/>
      <c r="R64653" s="64"/>
    </row>
    <row r="64654" spans="3:18" s="8" customFormat="1" x14ac:dyDescent="0.25">
      <c r="C64654" s="60"/>
      <c r="I64654" s="63"/>
      <c r="R64654" s="64"/>
    </row>
    <row r="64655" spans="3:18" s="8" customFormat="1" x14ac:dyDescent="0.25">
      <c r="C64655" s="60"/>
      <c r="I64655" s="63"/>
      <c r="R64655" s="64"/>
    </row>
    <row r="64656" spans="3:18" s="8" customFormat="1" x14ac:dyDescent="0.25">
      <c r="C64656" s="60"/>
      <c r="I64656" s="63"/>
      <c r="R64656" s="64"/>
    </row>
    <row r="64657" spans="3:18" s="8" customFormat="1" x14ac:dyDescent="0.25">
      <c r="C64657" s="60"/>
      <c r="I64657" s="63"/>
      <c r="R64657" s="64"/>
    </row>
    <row r="64658" spans="3:18" s="8" customFormat="1" x14ac:dyDescent="0.25">
      <c r="C64658" s="60"/>
      <c r="I64658" s="63"/>
      <c r="R64658" s="64"/>
    </row>
    <row r="64659" spans="3:18" s="8" customFormat="1" x14ac:dyDescent="0.25">
      <c r="C64659" s="60"/>
      <c r="I64659" s="63"/>
      <c r="R64659" s="64"/>
    </row>
    <row r="64660" spans="3:18" s="8" customFormat="1" x14ac:dyDescent="0.25">
      <c r="C64660" s="60"/>
      <c r="I64660" s="63"/>
      <c r="R64660" s="64"/>
    </row>
    <row r="64661" spans="3:18" s="8" customFormat="1" x14ac:dyDescent="0.25">
      <c r="C64661" s="60"/>
      <c r="I64661" s="63"/>
      <c r="R64661" s="64"/>
    </row>
    <row r="64662" spans="3:18" s="8" customFormat="1" x14ac:dyDescent="0.25">
      <c r="C64662" s="60"/>
      <c r="I64662" s="63"/>
      <c r="R64662" s="64"/>
    </row>
    <row r="64663" spans="3:18" s="8" customFormat="1" x14ac:dyDescent="0.25">
      <c r="C64663" s="60"/>
      <c r="I64663" s="63"/>
      <c r="R64663" s="64"/>
    </row>
    <row r="64664" spans="3:18" s="8" customFormat="1" x14ac:dyDescent="0.25">
      <c r="C64664" s="60"/>
      <c r="I64664" s="63"/>
      <c r="R64664" s="64"/>
    </row>
    <row r="64665" spans="3:18" s="8" customFormat="1" x14ac:dyDescent="0.25">
      <c r="C64665" s="60"/>
      <c r="I64665" s="63"/>
      <c r="R64665" s="64"/>
    </row>
    <row r="64666" spans="3:18" s="8" customFormat="1" x14ac:dyDescent="0.25">
      <c r="C64666" s="60"/>
      <c r="I64666" s="63"/>
      <c r="R64666" s="64"/>
    </row>
    <row r="64667" spans="3:18" s="8" customFormat="1" x14ac:dyDescent="0.25">
      <c r="C64667" s="60"/>
      <c r="I64667" s="63"/>
      <c r="R64667" s="64"/>
    </row>
    <row r="64668" spans="3:18" s="8" customFormat="1" x14ac:dyDescent="0.25">
      <c r="C64668" s="60"/>
      <c r="I64668" s="63"/>
      <c r="R64668" s="64"/>
    </row>
    <row r="64669" spans="3:18" s="8" customFormat="1" x14ac:dyDescent="0.25">
      <c r="C64669" s="60"/>
      <c r="I64669" s="63"/>
      <c r="R64669" s="64"/>
    </row>
    <row r="64670" spans="3:18" s="8" customFormat="1" x14ac:dyDescent="0.25">
      <c r="C64670" s="60"/>
      <c r="I64670" s="63"/>
      <c r="R64670" s="64"/>
    </row>
    <row r="64671" spans="3:18" s="8" customFormat="1" x14ac:dyDescent="0.25">
      <c r="C64671" s="60"/>
      <c r="I64671" s="63"/>
      <c r="R64671" s="64"/>
    </row>
    <row r="64672" spans="3:18" s="8" customFormat="1" x14ac:dyDescent="0.25">
      <c r="C64672" s="60"/>
      <c r="I64672" s="63"/>
      <c r="R64672" s="64"/>
    </row>
    <row r="64673" spans="3:18" s="8" customFormat="1" x14ac:dyDescent="0.25">
      <c r="C64673" s="60"/>
      <c r="I64673" s="63"/>
      <c r="R64673" s="64"/>
    </row>
    <row r="64674" spans="3:18" s="8" customFormat="1" x14ac:dyDescent="0.25">
      <c r="C64674" s="60"/>
      <c r="I64674" s="63"/>
      <c r="R64674" s="64"/>
    </row>
    <row r="64675" spans="3:18" s="8" customFormat="1" x14ac:dyDescent="0.25">
      <c r="C64675" s="60"/>
      <c r="I64675" s="63"/>
      <c r="R64675" s="64"/>
    </row>
    <row r="64676" spans="3:18" s="8" customFormat="1" x14ac:dyDescent="0.25">
      <c r="C64676" s="60"/>
      <c r="I64676" s="63"/>
      <c r="R64676" s="64"/>
    </row>
    <row r="64677" spans="3:18" s="8" customFormat="1" x14ac:dyDescent="0.25">
      <c r="C64677" s="60"/>
      <c r="I64677" s="63"/>
      <c r="R64677" s="64"/>
    </row>
    <row r="64678" spans="3:18" s="8" customFormat="1" x14ac:dyDescent="0.25">
      <c r="C64678" s="60"/>
      <c r="I64678" s="63"/>
      <c r="R64678" s="64"/>
    </row>
    <row r="64679" spans="3:18" s="8" customFormat="1" x14ac:dyDescent="0.25">
      <c r="C64679" s="60"/>
      <c r="I64679" s="63"/>
      <c r="R64679" s="64"/>
    </row>
    <row r="64680" spans="3:18" s="8" customFormat="1" x14ac:dyDescent="0.25">
      <c r="C64680" s="60"/>
      <c r="I64680" s="63"/>
      <c r="R64680" s="64"/>
    </row>
    <row r="64681" spans="3:18" s="8" customFormat="1" x14ac:dyDescent="0.25">
      <c r="C64681" s="60"/>
      <c r="I64681" s="63"/>
      <c r="R64681" s="64"/>
    </row>
    <row r="64682" spans="3:18" s="8" customFormat="1" x14ac:dyDescent="0.25">
      <c r="C64682" s="60"/>
      <c r="I64682" s="63"/>
      <c r="R64682" s="64"/>
    </row>
    <row r="64683" spans="3:18" s="8" customFormat="1" x14ac:dyDescent="0.25">
      <c r="C64683" s="60"/>
      <c r="I64683" s="63"/>
      <c r="R64683" s="64"/>
    </row>
    <row r="64684" spans="3:18" s="8" customFormat="1" x14ac:dyDescent="0.25">
      <c r="C64684" s="60"/>
      <c r="I64684" s="63"/>
      <c r="R64684" s="64"/>
    </row>
    <row r="64685" spans="3:18" s="8" customFormat="1" x14ac:dyDescent="0.25">
      <c r="C64685" s="60"/>
      <c r="I64685" s="63"/>
      <c r="R64685" s="64"/>
    </row>
    <row r="64686" spans="3:18" s="8" customFormat="1" x14ac:dyDescent="0.25">
      <c r="C64686" s="60"/>
      <c r="I64686" s="63"/>
      <c r="R64686" s="64"/>
    </row>
    <row r="64687" spans="3:18" s="8" customFormat="1" x14ac:dyDescent="0.25">
      <c r="C64687" s="60"/>
      <c r="I64687" s="63"/>
      <c r="R64687" s="64"/>
    </row>
    <row r="64688" spans="3:18" s="8" customFormat="1" x14ac:dyDescent="0.25">
      <c r="C64688" s="60"/>
      <c r="I64688" s="63"/>
      <c r="R64688" s="64"/>
    </row>
    <row r="64689" spans="3:18" s="8" customFormat="1" x14ac:dyDescent="0.25">
      <c r="C64689" s="60"/>
      <c r="I64689" s="63"/>
      <c r="R64689" s="64"/>
    </row>
    <row r="64690" spans="3:18" s="8" customFormat="1" x14ac:dyDescent="0.25">
      <c r="C64690" s="60"/>
      <c r="I64690" s="63"/>
      <c r="R64690" s="64"/>
    </row>
    <row r="64691" spans="3:18" s="8" customFormat="1" x14ac:dyDescent="0.25">
      <c r="C64691" s="60"/>
      <c r="I64691" s="63"/>
      <c r="R64691" s="64"/>
    </row>
    <row r="64692" spans="3:18" s="8" customFormat="1" x14ac:dyDescent="0.25">
      <c r="C64692" s="60"/>
      <c r="I64692" s="63"/>
      <c r="R64692" s="64"/>
    </row>
    <row r="64693" spans="3:18" s="8" customFormat="1" x14ac:dyDescent="0.25">
      <c r="C64693" s="60"/>
      <c r="I64693" s="63"/>
      <c r="R64693" s="64"/>
    </row>
    <row r="64694" spans="3:18" s="8" customFormat="1" x14ac:dyDescent="0.25">
      <c r="C64694" s="60"/>
      <c r="I64694" s="63"/>
      <c r="R64694" s="64"/>
    </row>
    <row r="64695" spans="3:18" s="8" customFormat="1" x14ac:dyDescent="0.25">
      <c r="C64695" s="60"/>
      <c r="I64695" s="63"/>
      <c r="R64695" s="64"/>
    </row>
    <row r="64696" spans="3:18" s="8" customFormat="1" x14ac:dyDescent="0.25">
      <c r="C64696" s="60"/>
      <c r="I64696" s="63"/>
      <c r="R64696" s="64"/>
    </row>
    <row r="64697" spans="3:18" s="8" customFormat="1" x14ac:dyDescent="0.25">
      <c r="C64697" s="60"/>
      <c r="I64697" s="63"/>
      <c r="R64697" s="64"/>
    </row>
    <row r="64698" spans="3:18" s="8" customFormat="1" x14ac:dyDescent="0.25">
      <c r="C64698" s="60"/>
      <c r="I64698" s="63"/>
      <c r="R64698" s="64"/>
    </row>
    <row r="64699" spans="3:18" s="8" customFormat="1" x14ac:dyDescent="0.25">
      <c r="C64699" s="60"/>
      <c r="I64699" s="63"/>
      <c r="R64699" s="64"/>
    </row>
    <row r="64700" spans="3:18" s="8" customFormat="1" x14ac:dyDescent="0.25">
      <c r="C64700" s="60"/>
      <c r="I64700" s="63"/>
      <c r="R64700" s="64"/>
    </row>
    <row r="64701" spans="3:18" s="8" customFormat="1" x14ac:dyDescent="0.25">
      <c r="C64701" s="60"/>
      <c r="I64701" s="63"/>
      <c r="R64701" s="64"/>
    </row>
    <row r="64702" spans="3:18" s="8" customFormat="1" x14ac:dyDescent="0.25">
      <c r="C64702" s="60"/>
      <c r="I64702" s="63"/>
      <c r="R64702" s="64"/>
    </row>
    <row r="64703" spans="3:18" s="8" customFormat="1" x14ac:dyDescent="0.25">
      <c r="C64703" s="60"/>
      <c r="I64703" s="63"/>
      <c r="R64703" s="64"/>
    </row>
    <row r="64704" spans="3:18" s="8" customFormat="1" x14ac:dyDescent="0.25">
      <c r="C64704" s="60"/>
      <c r="I64704" s="63"/>
      <c r="R64704" s="64"/>
    </row>
    <row r="64705" spans="3:18" s="8" customFormat="1" x14ac:dyDescent="0.25">
      <c r="C64705" s="60"/>
      <c r="I64705" s="63"/>
      <c r="R64705" s="64"/>
    </row>
    <row r="64706" spans="3:18" s="8" customFormat="1" x14ac:dyDescent="0.25">
      <c r="C64706" s="60"/>
      <c r="I64706" s="63"/>
      <c r="R64706" s="64"/>
    </row>
    <row r="64707" spans="3:18" s="8" customFormat="1" x14ac:dyDescent="0.25">
      <c r="C64707" s="60"/>
      <c r="I64707" s="63"/>
      <c r="R64707" s="64"/>
    </row>
    <row r="64708" spans="3:18" s="8" customFormat="1" x14ac:dyDescent="0.25">
      <c r="C64708" s="60"/>
      <c r="I64708" s="63"/>
      <c r="R64708" s="64"/>
    </row>
    <row r="64709" spans="3:18" s="8" customFormat="1" x14ac:dyDescent="0.25">
      <c r="C64709" s="60"/>
      <c r="I64709" s="63"/>
      <c r="R64709" s="64"/>
    </row>
    <row r="64710" spans="3:18" s="8" customFormat="1" x14ac:dyDescent="0.25">
      <c r="C64710" s="60"/>
      <c r="I64710" s="63"/>
      <c r="R64710" s="64"/>
    </row>
    <row r="64711" spans="3:18" s="8" customFormat="1" x14ac:dyDescent="0.25">
      <c r="C64711" s="60"/>
      <c r="I64711" s="63"/>
      <c r="R64711" s="64"/>
    </row>
    <row r="64712" spans="3:18" s="8" customFormat="1" x14ac:dyDescent="0.25">
      <c r="C64712" s="60"/>
      <c r="I64712" s="63"/>
      <c r="R64712" s="64"/>
    </row>
    <row r="64713" spans="3:18" s="8" customFormat="1" x14ac:dyDescent="0.25">
      <c r="C64713" s="60"/>
      <c r="I64713" s="63"/>
      <c r="R64713" s="64"/>
    </row>
    <row r="64714" spans="3:18" s="8" customFormat="1" x14ac:dyDescent="0.25">
      <c r="C64714" s="60"/>
      <c r="I64714" s="63"/>
      <c r="R64714" s="64"/>
    </row>
    <row r="64715" spans="3:18" s="8" customFormat="1" x14ac:dyDescent="0.25">
      <c r="C64715" s="60"/>
      <c r="I64715" s="63"/>
      <c r="R64715" s="64"/>
    </row>
    <row r="64716" spans="3:18" s="8" customFormat="1" x14ac:dyDescent="0.25">
      <c r="C64716" s="60"/>
      <c r="I64716" s="63"/>
      <c r="R64716" s="64"/>
    </row>
    <row r="64717" spans="3:18" s="8" customFormat="1" x14ac:dyDescent="0.25">
      <c r="C64717" s="60"/>
      <c r="I64717" s="63"/>
      <c r="R64717" s="64"/>
    </row>
    <row r="64718" spans="3:18" s="8" customFormat="1" x14ac:dyDescent="0.25">
      <c r="C64718" s="60"/>
      <c r="I64718" s="63"/>
      <c r="R64718" s="64"/>
    </row>
    <row r="64719" spans="3:18" s="8" customFormat="1" x14ac:dyDescent="0.25">
      <c r="C64719" s="60"/>
      <c r="I64719" s="63"/>
      <c r="R64719" s="64"/>
    </row>
    <row r="64720" spans="3:18" s="8" customFormat="1" x14ac:dyDescent="0.25">
      <c r="C64720" s="60"/>
      <c r="I64720" s="63"/>
      <c r="R64720" s="64"/>
    </row>
    <row r="64721" spans="3:18" s="8" customFormat="1" x14ac:dyDescent="0.25">
      <c r="C64721" s="60"/>
      <c r="I64721" s="63"/>
      <c r="R64721" s="64"/>
    </row>
    <row r="64722" spans="3:18" s="8" customFormat="1" x14ac:dyDescent="0.25">
      <c r="C64722" s="60"/>
      <c r="I64722" s="63"/>
      <c r="R64722" s="64"/>
    </row>
    <row r="64723" spans="3:18" s="8" customFormat="1" x14ac:dyDescent="0.25">
      <c r="C64723" s="60"/>
      <c r="I64723" s="63"/>
      <c r="R64723" s="64"/>
    </row>
    <row r="64724" spans="3:18" s="8" customFormat="1" x14ac:dyDescent="0.25">
      <c r="C64724" s="60"/>
      <c r="I64724" s="63"/>
      <c r="R64724" s="64"/>
    </row>
    <row r="64725" spans="3:18" s="8" customFormat="1" x14ac:dyDescent="0.25">
      <c r="C64725" s="60"/>
      <c r="I64725" s="63"/>
      <c r="R64725" s="64"/>
    </row>
    <row r="64726" spans="3:18" s="8" customFormat="1" x14ac:dyDescent="0.25">
      <c r="C64726" s="60"/>
      <c r="I64726" s="63"/>
      <c r="R64726" s="64"/>
    </row>
    <row r="64727" spans="3:18" s="8" customFormat="1" x14ac:dyDescent="0.25">
      <c r="C64727" s="60"/>
      <c r="I64727" s="63"/>
      <c r="R64727" s="64"/>
    </row>
    <row r="64728" spans="3:18" s="8" customFormat="1" x14ac:dyDescent="0.25">
      <c r="C64728" s="60"/>
      <c r="I64728" s="63"/>
      <c r="R64728" s="64"/>
    </row>
    <row r="64729" spans="3:18" s="8" customFormat="1" x14ac:dyDescent="0.25">
      <c r="C64729" s="60"/>
      <c r="I64729" s="63"/>
      <c r="R64729" s="64"/>
    </row>
    <row r="64730" spans="3:18" s="8" customFormat="1" x14ac:dyDescent="0.25">
      <c r="C64730" s="60"/>
      <c r="I64730" s="63"/>
      <c r="R64730" s="64"/>
    </row>
    <row r="64731" spans="3:18" s="8" customFormat="1" x14ac:dyDescent="0.25">
      <c r="C64731" s="60"/>
      <c r="I64731" s="63"/>
      <c r="R64731" s="64"/>
    </row>
    <row r="64732" spans="3:18" s="8" customFormat="1" x14ac:dyDescent="0.25">
      <c r="C64732" s="60"/>
      <c r="I64732" s="63"/>
      <c r="R64732" s="64"/>
    </row>
    <row r="64733" spans="3:18" s="8" customFormat="1" x14ac:dyDescent="0.25">
      <c r="C64733" s="60"/>
      <c r="I64733" s="63"/>
      <c r="R64733" s="64"/>
    </row>
    <row r="64734" spans="3:18" s="8" customFormat="1" x14ac:dyDescent="0.25">
      <c r="C64734" s="60"/>
      <c r="I64734" s="63"/>
      <c r="R64734" s="64"/>
    </row>
    <row r="64735" spans="3:18" s="8" customFormat="1" x14ac:dyDescent="0.25">
      <c r="C64735" s="60"/>
      <c r="I64735" s="63"/>
      <c r="R64735" s="64"/>
    </row>
    <row r="64736" spans="3:18" s="8" customFormat="1" x14ac:dyDescent="0.25">
      <c r="C64736" s="60"/>
      <c r="I64736" s="63"/>
      <c r="R64736" s="64"/>
    </row>
    <row r="64737" spans="3:18" s="8" customFormat="1" x14ac:dyDescent="0.25">
      <c r="C64737" s="60"/>
      <c r="I64737" s="63"/>
      <c r="R64737" s="64"/>
    </row>
    <row r="64738" spans="3:18" s="8" customFormat="1" x14ac:dyDescent="0.25">
      <c r="C64738" s="60"/>
      <c r="I64738" s="63"/>
      <c r="R64738" s="64"/>
    </row>
    <row r="64739" spans="3:18" s="8" customFormat="1" x14ac:dyDescent="0.25">
      <c r="C64739" s="60"/>
      <c r="I64739" s="63"/>
      <c r="R64739" s="64"/>
    </row>
    <row r="64740" spans="3:18" s="8" customFormat="1" x14ac:dyDescent="0.25">
      <c r="C64740" s="60"/>
      <c r="I64740" s="63"/>
      <c r="R64740" s="64"/>
    </row>
    <row r="64741" spans="3:18" s="8" customFormat="1" x14ac:dyDescent="0.25">
      <c r="C64741" s="60"/>
      <c r="I64741" s="63"/>
      <c r="R64741" s="64"/>
    </row>
    <row r="64742" spans="3:18" s="8" customFormat="1" x14ac:dyDescent="0.25">
      <c r="C64742" s="60"/>
      <c r="I64742" s="63"/>
      <c r="R64742" s="64"/>
    </row>
    <row r="64743" spans="3:18" s="8" customFormat="1" x14ac:dyDescent="0.25">
      <c r="C64743" s="60"/>
      <c r="I64743" s="63"/>
      <c r="R64743" s="64"/>
    </row>
    <row r="64744" spans="3:18" s="8" customFormat="1" x14ac:dyDescent="0.25">
      <c r="C64744" s="60"/>
      <c r="I64744" s="63"/>
      <c r="R64744" s="64"/>
    </row>
    <row r="64745" spans="3:18" s="8" customFormat="1" x14ac:dyDescent="0.25">
      <c r="C64745" s="60"/>
      <c r="I64745" s="63"/>
      <c r="R64745" s="64"/>
    </row>
    <row r="64746" spans="3:18" s="8" customFormat="1" x14ac:dyDescent="0.25">
      <c r="C64746" s="60"/>
      <c r="I64746" s="63"/>
      <c r="R64746" s="64"/>
    </row>
    <row r="64747" spans="3:18" s="8" customFormat="1" x14ac:dyDescent="0.25">
      <c r="C64747" s="60"/>
      <c r="I64747" s="63"/>
      <c r="R64747" s="64"/>
    </row>
    <row r="64748" spans="3:18" s="8" customFormat="1" x14ac:dyDescent="0.25">
      <c r="C64748" s="60"/>
      <c r="I64748" s="63"/>
      <c r="R64748" s="64"/>
    </row>
    <row r="64749" spans="3:18" s="8" customFormat="1" x14ac:dyDescent="0.25">
      <c r="C64749" s="60"/>
      <c r="I64749" s="63"/>
      <c r="R64749" s="64"/>
    </row>
    <row r="64750" spans="3:18" s="8" customFormat="1" x14ac:dyDescent="0.25">
      <c r="C64750" s="60"/>
      <c r="I64750" s="63"/>
      <c r="R64750" s="64"/>
    </row>
    <row r="64751" spans="3:18" s="8" customFormat="1" x14ac:dyDescent="0.25">
      <c r="C64751" s="60"/>
      <c r="I64751" s="63"/>
      <c r="R64751" s="64"/>
    </row>
    <row r="64752" spans="3:18" s="8" customFormat="1" x14ac:dyDescent="0.25">
      <c r="C64752" s="60"/>
      <c r="I64752" s="63"/>
      <c r="R64752" s="64"/>
    </row>
    <row r="64753" spans="3:18" s="8" customFormat="1" x14ac:dyDescent="0.25">
      <c r="C64753" s="60"/>
      <c r="I64753" s="63"/>
      <c r="R64753" s="64"/>
    </row>
    <row r="64754" spans="3:18" s="8" customFormat="1" x14ac:dyDescent="0.25">
      <c r="C64754" s="60"/>
      <c r="I64754" s="63"/>
      <c r="R64754" s="64"/>
    </row>
    <row r="64755" spans="3:18" s="8" customFormat="1" x14ac:dyDescent="0.25">
      <c r="C64755" s="60"/>
      <c r="I64755" s="63"/>
      <c r="R64755" s="64"/>
    </row>
    <row r="64756" spans="3:18" s="8" customFormat="1" x14ac:dyDescent="0.25">
      <c r="C64756" s="60"/>
      <c r="I64756" s="63"/>
      <c r="R64756" s="64"/>
    </row>
    <row r="64757" spans="3:18" s="8" customFormat="1" x14ac:dyDescent="0.25">
      <c r="C64757" s="60"/>
      <c r="I64757" s="63"/>
      <c r="R64757" s="64"/>
    </row>
    <row r="64758" spans="3:18" s="8" customFormat="1" x14ac:dyDescent="0.25">
      <c r="C64758" s="60"/>
      <c r="I64758" s="63"/>
      <c r="R64758" s="64"/>
    </row>
    <row r="64759" spans="3:18" s="8" customFormat="1" x14ac:dyDescent="0.25">
      <c r="C64759" s="60"/>
      <c r="I64759" s="63"/>
      <c r="R64759" s="64"/>
    </row>
    <row r="64760" spans="3:18" s="8" customFormat="1" x14ac:dyDescent="0.25">
      <c r="C64760" s="60"/>
      <c r="I64760" s="63"/>
      <c r="R64760" s="64"/>
    </row>
    <row r="64761" spans="3:18" s="8" customFormat="1" x14ac:dyDescent="0.25">
      <c r="C64761" s="60"/>
      <c r="I64761" s="63"/>
      <c r="R64761" s="64"/>
    </row>
    <row r="64762" spans="3:18" s="8" customFormat="1" x14ac:dyDescent="0.25">
      <c r="C64762" s="60"/>
      <c r="I64762" s="63"/>
      <c r="R64762" s="64"/>
    </row>
    <row r="64763" spans="3:18" s="8" customFormat="1" x14ac:dyDescent="0.25">
      <c r="C64763" s="60"/>
      <c r="I64763" s="63"/>
      <c r="R64763" s="64"/>
    </row>
    <row r="64764" spans="3:18" s="8" customFormat="1" x14ac:dyDescent="0.25">
      <c r="C64764" s="60"/>
      <c r="I64764" s="63"/>
      <c r="R64764" s="64"/>
    </row>
    <row r="64765" spans="3:18" s="8" customFormat="1" x14ac:dyDescent="0.25">
      <c r="C64765" s="60"/>
      <c r="I64765" s="63"/>
      <c r="R64765" s="64"/>
    </row>
    <row r="64766" spans="3:18" s="8" customFormat="1" x14ac:dyDescent="0.25">
      <c r="C64766" s="60"/>
      <c r="I64766" s="63"/>
      <c r="R64766" s="64"/>
    </row>
    <row r="64767" spans="3:18" s="8" customFormat="1" x14ac:dyDescent="0.25">
      <c r="C64767" s="60"/>
      <c r="I64767" s="63"/>
      <c r="R64767" s="64"/>
    </row>
    <row r="64768" spans="3:18" s="8" customFormat="1" x14ac:dyDescent="0.25">
      <c r="C64768" s="60"/>
      <c r="I64768" s="63"/>
      <c r="R64768" s="64"/>
    </row>
    <row r="64769" spans="3:18" s="8" customFormat="1" x14ac:dyDescent="0.25">
      <c r="C64769" s="60"/>
      <c r="I64769" s="63"/>
      <c r="R64769" s="64"/>
    </row>
    <row r="64770" spans="3:18" s="8" customFormat="1" x14ac:dyDescent="0.25">
      <c r="C64770" s="60"/>
      <c r="I64770" s="63"/>
      <c r="R64770" s="64"/>
    </row>
    <row r="64771" spans="3:18" s="8" customFormat="1" x14ac:dyDescent="0.25">
      <c r="C64771" s="60"/>
      <c r="I64771" s="63"/>
      <c r="R64771" s="64"/>
    </row>
    <row r="64772" spans="3:18" s="8" customFormat="1" x14ac:dyDescent="0.25">
      <c r="C64772" s="60"/>
      <c r="I64772" s="63"/>
      <c r="R64772" s="64"/>
    </row>
    <row r="64773" spans="3:18" s="8" customFormat="1" x14ac:dyDescent="0.25">
      <c r="C64773" s="60"/>
      <c r="I64773" s="63"/>
      <c r="R64773" s="64"/>
    </row>
    <row r="64774" spans="3:18" s="8" customFormat="1" x14ac:dyDescent="0.25">
      <c r="C64774" s="60"/>
      <c r="I64774" s="63"/>
      <c r="R64774" s="64"/>
    </row>
    <row r="64775" spans="3:18" s="8" customFormat="1" x14ac:dyDescent="0.25">
      <c r="C64775" s="60"/>
      <c r="I64775" s="63"/>
      <c r="R64775" s="64"/>
    </row>
    <row r="64776" spans="3:18" s="8" customFormat="1" x14ac:dyDescent="0.25">
      <c r="C64776" s="60"/>
      <c r="I64776" s="63"/>
      <c r="R64776" s="64"/>
    </row>
    <row r="64777" spans="3:18" s="8" customFormat="1" x14ac:dyDescent="0.25">
      <c r="C64777" s="60"/>
      <c r="I64777" s="63"/>
      <c r="R64777" s="64"/>
    </row>
    <row r="64778" spans="3:18" s="8" customFormat="1" x14ac:dyDescent="0.25">
      <c r="C64778" s="60"/>
      <c r="I64778" s="63"/>
      <c r="R64778" s="64"/>
    </row>
    <row r="64779" spans="3:18" s="8" customFormat="1" x14ac:dyDescent="0.25">
      <c r="C64779" s="60"/>
      <c r="I64779" s="63"/>
      <c r="R64779" s="64"/>
    </row>
    <row r="64780" spans="3:18" s="8" customFormat="1" x14ac:dyDescent="0.25">
      <c r="C64780" s="60"/>
      <c r="I64780" s="63"/>
      <c r="R64780" s="64"/>
    </row>
    <row r="64781" spans="3:18" s="8" customFormat="1" x14ac:dyDescent="0.25">
      <c r="C64781" s="60"/>
      <c r="I64781" s="63"/>
      <c r="R64781" s="64"/>
    </row>
    <row r="64782" spans="3:18" s="8" customFormat="1" x14ac:dyDescent="0.25">
      <c r="C64782" s="60"/>
      <c r="I64782" s="63"/>
      <c r="R64782" s="64"/>
    </row>
    <row r="64783" spans="3:18" s="8" customFormat="1" x14ac:dyDescent="0.25">
      <c r="C64783" s="60"/>
      <c r="I64783" s="63"/>
      <c r="R64783" s="64"/>
    </row>
    <row r="64784" spans="3:18" s="8" customFormat="1" x14ac:dyDescent="0.25">
      <c r="C64784" s="60"/>
      <c r="I64784" s="63"/>
      <c r="R64784" s="64"/>
    </row>
    <row r="64785" spans="1:27" x14ac:dyDescent="0.25">
      <c r="A64785" s="8"/>
      <c r="B64785" s="8"/>
      <c r="C64785" s="60"/>
      <c r="D64785" s="8"/>
      <c r="E64785" s="8"/>
      <c r="F64785" s="8"/>
      <c r="G64785" s="8"/>
      <c r="H64785" s="8"/>
      <c r="I64785" s="63"/>
      <c r="J64785" s="8"/>
      <c r="K64785" s="8"/>
      <c r="L64785" s="8"/>
      <c r="M64785" s="8"/>
      <c r="N64785" s="8"/>
      <c r="O64785" s="8"/>
      <c r="P64785" s="8"/>
      <c r="Q64785" s="8"/>
      <c r="R64785" s="64"/>
      <c r="S64785" s="8"/>
      <c r="T64785" s="8"/>
      <c r="U64785" s="8"/>
      <c r="V64785" s="8"/>
      <c r="W64785" s="8"/>
      <c r="X64785" s="8"/>
      <c r="Y64785" s="8"/>
      <c r="Z64785" s="8"/>
      <c r="AA64785" s="8"/>
    </row>
    <row r="64786" spans="1:27" x14ac:dyDescent="0.25">
      <c r="A64786" s="8"/>
      <c r="B64786" s="8"/>
      <c r="C64786" s="60"/>
      <c r="D64786" s="8"/>
      <c r="E64786" s="8"/>
      <c r="F64786" s="8"/>
      <c r="G64786" s="8"/>
      <c r="H64786" s="8"/>
      <c r="I64786" s="63"/>
      <c r="J64786" s="8"/>
      <c r="K64786" s="8"/>
      <c r="L64786" s="8"/>
      <c r="M64786" s="8"/>
      <c r="N64786" s="8"/>
      <c r="O64786" s="8"/>
      <c r="P64786" s="8"/>
      <c r="Q64786" s="8"/>
      <c r="R64786" s="64"/>
      <c r="S64786" s="8"/>
      <c r="T64786" s="8"/>
      <c r="U64786" s="8"/>
      <c r="V64786" s="8"/>
      <c r="W64786" s="8"/>
      <c r="X64786" s="8"/>
      <c r="Y64786" s="8"/>
      <c r="Z64786" s="8"/>
      <c r="AA64786" s="8"/>
    </row>
    <row r="64787" spans="1:27" x14ac:dyDescent="0.25">
      <c r="A64787" s="8"/>
      <c r="B64787" s="8"/>
      <c r="C64787" s="60"/>
      <c r="D64787" s="8"/>
      <c r="E64787" s="8"/>
      <c r="F64787" s="8"/>
      <c r="G64787" s="8"/>
      <c r="H64787" s="8"/>
      <c r="I64787" s="63"/>
      <c r="J64787" s="8"/>
      <c r="K64787" s="8"/>
      <c r="L64787" s="8"/>
      <c r="M64787" s="8"/>
      <c r="N64787" s="8"/>
      <c r="O64787" s="8"/>
      <c r="P64787" s="8"/>
      <c r="Q64787" s="8"/>
      <c r="R64787" s="64"/>
      <c r="S64787" s="8"/>
      <c r="T64787" s="8"/>
      <c r="U64787" s="8"/>
      <c r="V64787" s="8"/>
      <c r="W64787" s="8"/>
      <c r="X64787" s="8"/>
      <c r="Y64787" s="8"/>
      <c r="Z64787" s="8"/>
      <c r="AA64787" s="8"/>
    </row>
    <row r="64788" spans="1:27" x14ac:dyDescent="0.25">
      <c r="A64788" s="8"/>
      <c r="B64788" s="8"/>
      <c r="C64788" s="60"/>
      <c r="D64788" s="8"/>
      <c r="E64788" s="8"/>
      <c r="F64788" s="8"/>
      <c r="G64788" s="8"/>
      <c r="H64788" s="8"/>
      <c r="I64788" s="63"/>
      <c r="J64788" s="8"/>
      <c r="K64788" s="8"/>
      <c r="L64788" s="8"/>
      <c r="M64788" s="8"/>
      <c r="N64788" s="8"/>
      <c r="O64788" s="8"/>
      <c r="P64788" s="8"/>
      <c r="Q64788" s="8"/>
      <c r="R64788" s="64"/>
      <c r="S64788" s="8"/>
      <c r="T64788" s="8"/>
      <c r="U64788" s="8"/>
      <c r="V64788" s="8"/>
      <c r="W64788" s="8"/>
      <c r="X64788" s="8"/>
      <c r="Y64788" s="8"/>
      <c r="Z64788" s="8"/>
      <c r="AA64788" s="8"/>
    </row>
    <row r="64789" spans="1:27" x14ac:dyDescent="0.25">
      <c r="A64789" s="8"/>
      <c r="B64789" s="8"/>
      <c r="C64789" s="60"/>
      <c r="D64789" s="8"/>
      <c r="E64789" s="8"/>
      <c r="F64789" s="8"/>
      <c r="G64789" s="8"/>
      <c r="H64789" s="8"/>
      <c r="I64789" s="63"/>
      <c r="J64789" s="8"/>
      <c r="K64789" s="8"/>
      <c r="L64789" s="8"/>
      <c r="M64789" s="8"/>
      <c r="N64789" s="8"/>
      <c r="O64789" s="8"/>
      <c r="P64789" s="8"/>
      <c r="Q64789" s="8"/>
      <c r="R64789" s="64"/>
      <c r="S64789" s="8"/>
      <c r="T64789" s="8"/>
      <c r="U64789" s="8"/>
      <c r="V64789" s="8"/>
      <c r="W64789" s="8"/>
      <c r="X64789" s="8"/>
      <c r="Y64789" s="8"/>
      <c r="Z64789" s="8"/>
      <c r="AA64789" s="8"/>
    </row>
    <row r="64790" spans="1:27" x14ac:dyDescent="0.25">
      <c r="A64790" s="8"/>
      <c r="B64790" s="8"/>
      <c r="C64790" s="60"/>
      <c r="D64790" s="8"/>
      <c r="E64790" s="8"/>
      <c r="F64790" s="8"/>
      <c r="G64790" s="8"/>
      <c r="H64790" s="8"/>
      <c r="I64790" s="63"/>
      <c r="J64790" s="8"/>
      <c r="K64790" s="8"/>
      <c r="L64790" s="8"/>
      <c r="M64790" s="8"/>
      <c r="N64790" s="8"/>
      <c r="O64790" s="8"/>
      <c r="P64790" s="8"/>
      <c r="Q64790" s="8"/>
      <c r="R64790" s="64"/>
      <c r="S64790" s="8"/>
      <c r="T64790" s="8"/>
      <c r="U64790" s="8"/>
      <c r="V64790" s="8"/>
      <c r="W64790" s="8"/>
      <c r="X64790" s="8"/>
      <c r="Y64790" s="8"/>
      <c r="Z64790" s="8"/>
      <c r="AA64790" s="8"/>
    </row>
    <row r="64791" spans="1:27" x14ac:dyDescent="0.25">
      <c r="A64791" s="8"/>
      <c r="B64791" s="8"/>
      <c r="C64791" s="60"/>
      <c r="D64791" s="8"/>
      <c r="E64791" s="8"/>
      <c r="F64791" s="8"/>
      <c r="G64791" s="8"/>
      <c r="H64791" s="8"/>
      <c r="I64791" s="63"/>
      <c r="J64791" s="8"/>
      <c r="K64791" s="8"/>
      <c r="L64791" s="8"/>
      <c r="M64791" s="8"/>
      <c r="N64791" s="8"/>
      <c r="O64791" s="8"/>
      <c r="P64791" s="8"/>
      <c r="Q64791" s="8"/>
      <c r="R64791" s="64"/>
      <c r="S64791" s="8"/>
      <c r="T64791" s="8"/>
      <c r="U64791" s="8"/>
      <c r="V64791" s="8"/>
      <c r="W64791" s="8"/>
      <c r="X64791" s="8"/>
      <c r="Y64791" s="8"/>
      <c r="Z64791" s="8"/>
      <c r="AA64791" s="8"/>
    </row>
    <row r="64792" spans="1:27" x14ac:dyDescent="0.25">
      <c r="A64792" s="8"/>
      <c r="B64792" s="8"/>
      <c r="C64792" s="60"/>
      <c r="D64792" s="8"/>
      <c r="E64792" s="8"/>
      <c r="F64792" s="8"/>
      <c r="G64792" s="8"/>
      <c r="H64792" s="8"/>
      <c r="I64792" s="63"/>
      <c r="J64792" s="8"/>
      <c r="K64792" s="8"/>
      <c r="L64792" s="8"/>
      <c r="M64792" s="8"/>
      <c r="N64792" s="8"/>
      <c r="O64792" s="8"/>
      <c r="P64792" s="8"/>
      <c r="Q64792" s="8"/>
      <c r="R64792" s="64"/>
      <c r="S64792" s="8"/>
      <c r="T64792" s="8"/>
      <c r="U64792" s="8"/>
      <c r="V64792" s="8"/>
      <c r="W64792" s="8"/>
      <c r="X64792" s="8"/>
      <c r="Y64792" s="8"/>
      <c r="Z64792" s="8"/>
      <c r="AA64792" s="8"/>
    </row>
    <row r="64793" spans="1:27" x14ac:dyDescent="0.25">
      <c r="A64793" s="8"/>
      <c r="B64793" s="8"/>
      <c r="C64793" s="60"/>
      <c r="D64793" s="8"/>
      <c r="E64793" s="8"/>
      <c r="F64793" s="8"/>
      <c r="G64793" s="8"/>
      <c r="H64793" s="8"/>
      <c r="I64793" s="63"/>
      <c r="J64793" s="8"/>
      <c r="K64793" s="8"/>
      <c r="L64793" s="8"/>
      <c r="M64793" s="8"/>
      <c r="N64793" s="8"/>
      <c r="O64793" s="8"/>
      <c r="P64793" s="8"/>
      <c r="Q64793" s="8"/>
      <c r="R64793" s="64"/>
      <c r="S64793" s="8"/>
      <c r="T64793" s="8"/>
      <c r="U64793" s="8"/>
      <c r="V64793" s="8"/>
      <c r="W64793" s="8"/>
      <c r="X64793" s="8"/>
      <c r="Y64793" s="8"/>
      <c r="Z64793" s="8"/>
      <c r="AA64793" s="8"/>
    </row>
    <row r="64794" spans="1:27" x14ac:dyDescent="0.25">
      <c r="A64794" s="8"/>
      <c r="B64794" s="8"/>
      <c r="C64794" s="60"/>
      <c r="D64794" s="8"/>
      <c r="E64794" s="8"/>
      <c r="F64794" s="8"/>
      <c r="G64794" s="8"/>
      <c r="H64794" s="8"/>
      <c r="I64794" s="63"/>
      <c r="J64794" s="8"/>
      <c r="K64794" s="8"/>
      <c r="L64794" s="8"/>
      <c r="M64794" s="8"/>
      <c r="N64794" s="8"/>
      <c r="O64794" s="8"/>
      <c r="P64794" s="8"/>
      <c r="Q64794" s="8"/>
      <c r="R64794" s="64"/>
      <c r="S64794" s="8"/>
      <c r="T64794" s="8"/>
      <c r="U64794" s="8"/>
      <c r="V64794" s="8"/>
      <c r="W64794" s="8"/>
      <c r="X64794" s="8"/>
      <c r="Y64794" s="8"/>
      <c r="Z64794" s="8"/>
      <c r="AA64794" s="8"/>
    </row>
    <row r="64795" spans="1:27" x14ac:dyDescent="0.25">
      <c r="A64795" s="8"/>
      <c r="B64795" s="8"/>
      <c r="C64795" s="60"/>
      <c r="D64795" s="8"/>
      <c r="E64795" s="8"/>
      <c r="F64795" s="8"/>
      <c r="G64795" s="8"/>
      <c r="H64795" s="8"/>
      <c r="I64795" s="63"/>
      <c r="J64795" s="8"/>
      <c r="K64795" s="8"/>
      <c r="L64795" s="8"/>
      <c r="M64795" s="8"/>
      <c r="N64795" s="8"/>
      <c r="O64795" s="8"/>
      <c r="P64795" s="8"/>
      <c r="Q64795" s="8"/>
      <c r="R64795" s="64"/>
      <c r="S64795" s="8"/>
      <c r="T64795" s="8"/>
      <c r="U64795" s="8"/>
      <c r="V64795" s="8"/>
      <c r="W64795" s="8"/>
      <c r="X64795" s="8"/>
      <c r="Y64795" s="8"/>
      <c r="Z64795" s="8"/>
      <c r="AA64795" s="8"/>
    </row>
    <row r="64796" spans="1:27" x14ac:dyDescent="0.25">
      <c r="A64796" s="8"/>
      <c r="B64796" s="8"/>
      <c r="C64796" s="60"/>
      <c r="D64796" s="8"/>
      <c r="E64796" s="8"/>
      <c r="F64796" s="8"/>
      <c r="G64796" s="8"/>
      <c r="H64796" s="8"/>
      <c r="I64796" s="63"/>
      <c r="J64796" s="8"/>
      <c r="K64796" s="8"/>
      <c r="L64796" s="8"/>
      <c r="M64796" s="8"/>
      <c r="N64796" s="8"/>
      <c r="O64796" s="8"/>
      <c r="P64796" s="8"/>
      <c r="Q64796" s="8"/>
      <c r="R64796" s="64"/>
    </row>
    <row r="64797" spans="1:27" x14ac:dyDescent="0.25">
      <c r="A64797" s="8"/>
      <c r="B64797" s="8"/>
      <c r="C64797" s="60"/>
      <c r="D64797" s="8"/>
      <c r="E64797" s="8"/>
      <c r="F64797" s="8"/>
      <c r="G64797" s="8"/>
      <c r="H64797" s="8"/>
      <c r="I64797" s="63"/>
      <c r="J64797" s="8"/>
      <c r="K64797" s="8"/>
      <c r="L64797" s="8"/>
      <c r="M64797" s="8"/>
      <c r="N64797" s="8"/>
      <c r="O64797" s="8"/>
      <c r="P64797" s="8"/>
      <c r="Q64797" s="8"/>
      <c r="R64797" s="64"/>
    </row>
    <row r="64798" spans="1:27" x14ac:dyDescent="0.25">
      <c r="A64798" s="8"/>
      <c r="B64798" s="8"/>
      <c r="C64798" s="60"/>
      <c r="D64798" s="8"/>
      <c r="E64798" s="8"/>
      <c r="F64798" s="8"/>
      <c r="G64798" s="8"/>
      <c r="H64798" s="8"/>
      <c r="I64798" s="63"/>
      <c r="J64798" s="8"/>
      <c r="K64798" s="8"/>
      <c r="L64798" s="8"/>
      <c r="M64798" s="8"/>
      <c r="N64798" s="8"/>
      <c r="O64798" s="8"/>
      <c r="P64798" s="8"/>
      <c r="Q64798" s="8"/>
      <c r="R64798" s="64"/>
    </row>
    <row r="64799" spans="1:27" x14ac:dyDescent="0.25">
      <c r="A64799" s="8"/>
      <c r="B64799" s="8"/>
      <c r="C64799" s="60"/>
      <c r="D64799" s="8"/>
      <c r="E64799" s="8"/>
      <c r="F64799" s="8"/>
      <c r="G64799" s="8"/>
      <c r="H64799" s="8"/>
      <c r="I64799" s="63"/>
      <c r="J64799" s="8"/>
      <c r="K64799" s="8"/>
      <c r="L64799" s="8"/>
      <c r="M64799" s="8"/>
      <c r="N64799" s="8"/>
      <c r="O64799" s="8"/>
      <c r="P64799" s="8"/>
      <c r="Q64799" s="8"/>
      <c r="R64799" s="64"/>
    </row>
    <row r="64800" spans="1:27" x14ac:dyDescent="0.25">
      <c r="A64800" s="8"/>
      <c r="B64800" s="8"/>
      <c r="C64800" s="60"/>
      <c r="D64800" s="8"/>
      <c r="E64800" s="8"/>
      <c r="F64800" s="8"/>
      <c r="G64800" s="8"/>
      <c r="H64800" s="8"/>
      <c r="I64800" s="63"/>
      <c r="J64800" s="8"/>
      <c r="K64800" s="8"/>
      <c r="L64800" s="8"/>
      <c r="M64800" s="8"/>
      <c r="N64800" s="8"/>
      <c r="O64800" s="8"/>
      <c r="P64800" s="8"/>
      <c r="Q64800" s="8"/>
      <c r="R64800" s="64"/>
    </row>
    <row r="64801" spans="1:18" x14ac:dyDescent="0.25">
      <c r="A64801" s="8"/>
      <c r="B64801" s="8"/>
      <c r="C64801" s="60"/>
      <c r="D64801" s="8"/>
      <c r="E64801" s="8"/>
      <c r="F64801" s="8"/>
      <c r="G64801" s="8"/>
      <c r="H64801" s="8"/>
      <c r="I64801" s="63"/>
      <c r="J64801" s="8"/>
      <c r="K64801" s="8"/>
      <c r="L64801" s="8"/>
      <c r="M64801" s="8"/>
      <c r="N64801" s="8"/>
      <c r="O64801" s="8"/>
      <c r="P64801" s="8"/>
      <c r="Q64801" s="8"/>
      <c r="R64801" s="64"/>
    </row>
    <row r="64802" spans="1:18" x14ac:dyDescent="0.25">
      <c r="A64802" s="8"/>
      <c r="B64802" s="8"/>
      <c r="C64802" s="60"/>
      <c r="D64802" s="8"/>
      <c r="E64802" s="8"/>
      <c r="F64802" s="8"/>
      <c r="G64802" s="8"/>
      <c r="H64802" s="8"/>
      <c r="I64802" s="63"/>
      <c r="J64802" s="8"/>
      <c r="K64802" s="8"/>
      <c r="L64802" s="8"/>
      <c r="M64802" s="8"/>
      <c r="N64802" s="8"/>
      <c r="O64802" s="8"/>
      <c r="P64802" s="8"/>
      <c r="Q64802" s="8"/>
      <c r="R64802" s="64"/>
    </row>
    <row r="64803" spans="1:18" x14ac:dyDescent="0.25">
      <c r="A64803" s="8"/>
      <c r="B64803" s="8"/>
      <c r="C64803" s="60"/>
      <c r="D64803" s="8"/>
      <c r="E64803" s="8"/>
      <c r="F64803" s="8"/>
      <c r="G64803" s="8"/>
      <c r="H64803" s="8"/>
      <c r="I64803" s="63"/>
      <c r="J64803" s="8"/>
      <c r="K64803" s="8"/>
      <c r="L64803" s="8"/>
      <c r="M64803" s="8"/>
      <c r="N64803" s="8"/>
      <c r="O64803" s="8"/>
      <c r="P64803" s="8"/>
      <c r="Q64803" s="8"/>
      <c r="R64803" s="64"/>
    </row>
    <row r="64804" spans="1:18" x14ac:dyDescent="0.25">
      <c r="A64804" s="8"/>
      <c r="B64804" s="8"/>
      <c r="C64804" s="60"/>
      <c r="D64804" s="8"/>
      <c r="E64804" s="8"/>
      <c r="F64804" s="8"/>
      <c r="G64804" s="8"/>
      <c r="H64804" s="8"/>
      <c r="I64804" s="63"/>
      <c r="J64804" s="8"/>
      <c r="K64804" s="8"/>
      <c r="L64804" s="8"/>
      <c r="M64804" s="8"/>
      <c r="N64804" s="8"/>
      <c r="O64804" s="8"/>
      <c r="P64804" s="8"/>
      <c r="Q64804" s="8"/>
      <c r="R64804" s="64"/>
    </row>
    <row r="64805" spans="1:18" x14ac:dyDescent="0.25">
      <c r="A64805" s="8"/>
      <c r="B64805" s="8"/>
      <c r="C64805" s="60"/>
      <c r="D64805" s="8"/>
      <c r="E64805" s="8"/>
      <c r="F64805" s="8"/>
      <c r="G64805" s="8"/>
      <c r="H64805" s="8"/>
      <c r="I64805" s="63"/>
      <c r="J64805" s="8"/>
      <c r="K64805" s="8"/>
      <c r="L64805" s="8"/>
      <c r="M64805" s="8"/>
      <c r="N64805" s="8"/>
      <c r="O64805" s="8"/>
      <c r="P64805" s="8"/>
      <c r="Q64805" s="8"/>
      <c r="R64805" s="64"/>
    </row>
    <row r="64806" spans="1:18" x14ac:dyDescent="0.25">
      <c r="A64806" s="8"/>
      <c r="B64806" s="8"/>
      <c r="C64806" s="60"/>
      <c r="D64806" s="8"/>
      <c r="E64806" s="8"/>
      <c r="F64806" s="8"/>
      <c r="G64806" s="8"/>
      <c r="H64806" s="8"/>
      <c r="I64806" s="63"/>
      <c r="J64806" s="8"/>
      <c r="K64806" s="8"/>
      <c r="L64806" s="8"/>
      <c r="M64806" s="8"/>
      <c r="N64806" s="8"/>
      <c r="O64806" s="8"/>
      <c r="P64806" s="8"/>
      <c r="Q64806" s="8"/>
      <c r="R64806" s="64"/>
    </row>
    <row r="64807" spans="1:18" x14ac:dyDescent="0.25">
      <c r="A64807" s="8"/>
      <c r="B64807" s="8"/>
      <c r="C64807" s="60"/>
      <c r="D64807" s="8"/>
      <c r="E64807" s="8"/>
      <c r="F64807" s="8"/>
      <c r="G64807" s="8"/>
      <c r="H64807" s="8"/>
      <c r="I64807" s="63"/>
      <c r="J64807" s="8"/>
      <c r="K64807" s="8"/>
      <c r="L64807" s="8"/>
      <c r="M64807" s="8"/>
      <c r="N64807" s="8"/>
      <c r="O64807" s="8"/>
      <c r="P64807" s="8"/>
      <c r="Q64807" s="8"/>
      <c r="R64807" s="64"/>
    </row>
    <row r="64808" spans="1:18" x14ac:dyDescent="0.25">
      <c r="A64808" s="8"/>
      <c r="B64808" s="8"/>
      <c r="C64808" s="60"/>
      <c r="D64808" s="8"/>
      <c r="E64808" s="8"/>
      <c r="F64808" s="8"/>
      <c r="G64808" s="8"/>
      <c r="H64808" s="8"/>
      <c r="I64808" s="63"/>
      <c r="J64808" s="8"/>
      <c r="K64808" s="8"/>
      <c r="L64808" s="8"/>
      <c r="M64808" s="8"/>
      <c r="N64808" s="8"/>
      <c r="O64808" s="8"/>
      <c r="P64808" s="8"/>
      <c r="Q64808" s="8"/>
      <c r="R64808" s="64"/>
    </row>
    <row r="64809" spans="1:18" x14ac:dyDescent="0.25">
      <c r="A64809" s="8"/>
      <c r="B64809" s="8"/>
      <c r="C64809" s="60"/>
      <c r="D64809" s="8"/>
      <c r="E64809" s="8"/>
      <c r="F64809" s="8"/>
      <c r="G64809" s="8"/>
      <c r="H64809" s="8"/>
      <c r="I64809" s="63"/>
      <c r="J64809" s="8"/>
      <c r="K64809" s="8"/>
      <c r="L64809" s="8"/>
      <c r="M64809" s="8"/>
      <c r="N64809" s="8"/>
      <c r="O64809" s="8"/>
      <c r="P64809" s="8"/>
      <c r="Q64809" s="8"/>
      <c r="R64809" s="64"/>
    </row>
    <row r="64810" spans="1:18" x14ac:dyDescent="0.25">
      <c r="A64810" s="8"/>
      <c r="B64810" s="8"/>
      <c r="C64810" s="60"/>
      <c r="D64810" s="8"/>
      <c r="E64810" s="8"/>
      <c r="F64810" s="8"/>
      <c r="G64810" s="8"/>
      <c r="H64810" s="8"/>
      <c r="I64810" s="63"/>
      <c r="J64810" s="8"/>
      <c r="K64810" s="8"/>
      <c r="L64810" s="8"/>
      <c r="M64810" s="8"/>
      <c r="N64810" s="8"/>
      <c r="O64810" s="8"/>
      <c r="P64810" s="8"/>
      <c r="Q64810" s="8"/>
      <c r="R64810" s="64"/>
    </row>
    <row r="64811" spans="1:18" x14ac:dyDescent="0.25">
      <c r="A64811" s="8"/>
      <c r="B64811" s="8"/>
      <c r="C64811" s="60"/>
      <c r="D64811" s="8"/>
      <c r="E64811" s="8"/>
      <c r="F64811" s="8"/>
      <c r="G64811" s="8"/>
      <c r="H64811" s="8"/>
      <c r="I64811" s="63"/>
      <c r="J64811" s="8"/>
      <c r="K64811" s="8"/>
      <c r="L64811" s="8"/>
      <c r="M64811" s="8"/>
      <c r="N64811" s="8"/>
      <c r="O64811" s="8"/>
      <c r="P64811" s="8"/>
      <c r="Q64811" s="8"/>
      <c r="R64811" s="64"/>
    </row>
    <row r="64812" spans="1:18" x14ac:dyDescent="0.25">
      <c r="A64812" s="8"/>
      <c r="B64812" s="8"/>
      <c r="C64812" s="60"/>
      <c r="D64812" s="8"/>
      <c r="E64812" s="8"/>
      <c r="F64812" s="8"/>
      <c r="G64812" s="8"/>
      <c r="H64812" s="8"/>
      <c r="I64812" s="63"/>
      <c r="J64812" s="8"/>
      <c r="K64812" s="8"/>
      <c r="L64812" s="8"/>
      <c r="M64812" s="8"/>
      <c r="N64812" s="8"/>
      <c r="O64812" s="8"/>
      <c r="P64812" s="8"/>
      <c r="Q64812" s="8"/>
      <c r="R64812" s="64"/>
    </row>
    <row r="64813" spans="1:18" x14ac:dyDescent="0.25">
      <c r="A64813" s="8"/>
      <c r="B64813" s="8"/>
      <c r="C64813" s="60"/>
      <c r="D64813" s="8"/>
      <c r="E64813" s="8"/>
      <c r="F64813" s="8"/>
      <c r="G64813" s="8"/>
      <c r="H64813" s="8"/>
      <c r="I64813" s="63"/>
      <c r="J64813" s="8"/>
      <c r="K64813" s="8"/>
      <c r="L64813" s="8"/>
      <c r="M64813" s="8"/>
      <c r="N64813" s="8"/>
      <c r="O64813" s="8"/>
      <c r="P64813" s="8"/>
      <c r="Q64813" s="8"/>
      <c r="R64813" s="64"/>
    </row>
    <row r="64814" spans="1:18" x14ac:dyDescent="0.25">
      <c r="A64814" s="8"/>
      <c r="B64814" s="8"/>
      <c r="C64814" s="60"/>
      <c r="D64814" s="8"/>
      <c r="E64814" s="8"/>
      <c r="F64814" s="8"/>
      <c r="G64814" s="8"/>
      <c r="H64814" s="8"/>
      <c r="I64814" s="63"/>
      <c r="J64814" s="8"/>
      <c r="K64814" s="8"/>
      <c r="L64814" s="8"/>
      <c r="M64814" s="8"/>
      <c r="N64814" s="8"/>
      <c r="O64814" s="8"/>
      <c r="P64814" s="8"/>
      <c r="Q64814" s="8"/>
      <c r="R64814" s="64"/>
    </row>
    <row r="64815" spans="1:18" x14ac:dyDescent="0.25">
      <c r="A64815" s="8"/>
      <c r="B64815" s="8"/>
      <c r="C64815" s="60"/>
      <c r="D64815" s="8"/>
      <c r="E64815" s="8"/>
      <c r="F64815" s="8"/>
      <c r="G64815" s="8"/>
      <c r="H64815" s="8"/>
      <c r="I64815" s="63"/>
      <c r="J64815" s="8"/>
      <c r="K64815" s="8"/>
      <c r="L64815" s="8"/>
      <c r="M64815" s="8"/>
      <c r="N64815" s="8"/>
      <c r="O64815" s="8"/>
      <c r="P64815" s="8"/>
      <c r="Q64815" s="8"/>
      <c r="R64815" s="64"/>
    </row>
    <row r="64816" spans="1:18" x14ac:dyDescent="0.25">
      <c r="A64816" s="8"/>
      <c r="B64816" s="8"/>
      <c r="C64816" s="60"/>
      <c r="D64816" s="8"/>
      <c r="E64816" s="8"/>
      <c r="F64816" s="8"/>
      <c r="G64816" s="8"/>
      <c r="H64816" s="8"/>
      <c r="I64816" s="63"/>
      <c r="J64816" s="8"/>
      <c r="K64816" s="8"/>
      <c r="L64816" s="8"/>
      <c r="M64816" s="8"/>
      <c r="N64816" s="8"/>
      <c r="O64816" s="8"/>
      <c r="P64816" s="8"/>
      <c r="Q64816" s="8"/>
      <c r="R64816" s="64"/>
    </row>
    <row r="64817" spans="1:18" x14ac:dyDescent="0.25">
      <c r="A64817" s="8"/>
      <c r="B64817" s="8"/>
      <c r="C64817" s="60"/>
      <c r="D64817" s="8"/>
      <c r="E64817" s="8"/>
      <c r="F64817" s="8"/>
      <c r="G64817" s="8"/>
      <c r="H64817" s="8"/>
      <c r="I64817" s="63"/>
      <c r="J64817" s="8"/>
      <c r="K64817" s="8"/>
      <c r="L64817" s="8"/>
      <c r="M64817" s="8"/>
      <c r="N64817" s="8"/>
      <c r="O64817" s="8"/>
      <c r="P64817" s="8"/>
      <c r="Q64817" s="8"/>
      <c r="R64817" s="64"/>
    </row>
    <row r="64818" spans="1:18" x14ac:dyDescent="0.25">
      <c r="A64818" s="8"/>
      <c r="B64818" s="8"/>
      <c r="C64818" s="60"/>
      <c r="D64818" s="8"/>
      <c r="E64818" s="8"/>
      <c r="F64818" s="8"/>
      <c r="G64818" s="8"/>
      <c r="H64818" s="8"/>
      <c r="I64818" s="63"/>
      <c r="J64818" s="8"/>
      <c r="K64818" s="8"/>
      <c r="L64818" s="8"/>
      <c r="M64818" s="8"/>
      <c r="N64818" s="8"/>
      <c r="O64818" s="8"/>
      <c r="P64818" s="8"/>
      <c r="Q64818" s="8"/>
      <c r="R64818" s="64"/>
    </row>
    <row r="64819" spans="1:18" x14ac:dyDescent="0.25">
      <c r="A64819" s="8"/>
      <c r="B64819" s="8"/>
      <c r="C64819" s="60"/>
      <c r="D64819" s="8"/>
      <c r="E64819" s="8"/>
      <c r="F64819" s="8"/>
      <c r="G64819" s="8"/>
      <c r="H64819" s="8"/>
      <c r="I64819" s="63"/>
      <c r="J64819" s="8"/>
      <c r="K64819" s="8"/>
      <c r="L64819" s="8"/>
      <c r="M64819" s="8"/>
      <c r="N64819" s="8"/>
      <c r="O64819" s="8"/>
      <c r="P64819" s="8"/>
      <c r="Q64819" s="8"/>
      <c r="R64819" s="64"/>
    </row>
    <row r="64820" spans="1:18" x14ac:dyDescent="0.25">
      <c r="A64820" s="8"/>
      <c r="B64820" s="8"/>
      <c r="C64820" s="60"/>
      <c r="D64820" s="8"/>
      <c r="E64820" s="8"/>
      <c r="F64820" s="8"/>
      <c r="G64820" s="8"/>
      <c r="H64820" s="8"/>
      <c r="I64820" s="63"/>
      <c r="J64820" s="8"/>
      <c r="K64820" s="8"/>
      <c r="L64820" s="8"/>
      <c r="M64820" s="8"/>
      <c r="N64820" s="8"/>
      <c r="O64820" s="8"/>
      <c r="P64820" s="8"/>
      <c r="Q64820" s="8"/>
      <c r="R64820" s="64"/>
    </row>
    <row r="64821" spans="1:18" x14ac:dyDescent="0.25">
      <c r="A64821" s="8"/>
      <c r="B64821" s="8"/>
      <c r="C64821" s="60"/>
      <c r="D64821" s="8"/>
      <c r="E64821" s="8"/>
      <c r="F64821" s="8"/>
      <c r="G64821" s="8"/>
      <c r="H64821" s="8"/>
      <c r="I64821" s="63"/>
      <c r="J64821" s="8"/>
      <c r="K64821" s="8"/>
      <c r="L64821" s="8"/>
      <c r="M64821" s="8"/>
      <c r="N64821" s="8"/>
      <c r="O64821" s="8"/>
      <c r="P64821" s="8"/>
      <c r="Q64821" s="8"/>
      <c r="R64821" s="64"/>
    </row>
    <row r="64822" spans="1:18" x14ac:dyDescent="0.25">
      <c r="A64822" s="8"/>
      <c r="B64822" s="8"/>
      <c r="C64822" s="60"/>
      <c r="D64822" s="8"/>
      <c r="E64822" s="8"/>
      <c r="F64822" s="8"/>
      <c r="G64822" s="8"/>
      <c r="H64822" s="8"/>
      <c r="I64822" s="63"/>
      <c r="J64822" s="8"/>
      <c r="K64822" s="8"/>
      <c r="L64822" s="8"/>
      <c r="M64822" s="8"/>
      <c r="N64822" s="8"/>
      <c r="O64822" s="8"/>
      <c r="P64822" s="8"/>
      <c r="Q64822" s="8"/>
      <c r="R64822" s="64"/>
    </row>
    <row r="64823" spans="1:18" x14ac:dyDescent="0.25">
      <c r="A64823" s="8"/>
      <c r="B64823" s="8"/>
      <c r="C64823" s="60"/>
      <c r="D64823" s="8"/>
      <c r="E64823" s="8"/>
      <c r="F64823" s="8"/>
      <c r="G64823" s="8"/>
      <c r="H64823" s="8"/>
      <c r="I64823" s="63"/>
      <c r="J64823" s="8"/>
      <c r="K64823" s="8"/>
      <c r="L64823" s="8"/>
      <c r="M64823" s="8"/>
      <c r="N64823" s="8"/>
      <c r="O64823" s="8"/>
      <c r="P64823" s="8"/>
      <c r="Q64823" s="8"/>
      <c r="R64823" s="64"/>
    </row>
    <row r="64824" spans="1:18" x14ac:dyDescent="0.25">
      <c r="A64824" s="8"/>
      <c r="B64824" s="8"/>
      <c r="C64824" s="60"/>
      <c r="D64824" s="8"/>
      <c r="E64824" s="8"/>
      <c r="F64824" s="8"/>
      <c r="G64824" s="8"/>
      <c r="H64824" s="8"/>
      <c r="I64824" s="63"/>
      <c r="J64824" s="8"/>
      <c r="K64824" s="8"/>
      <c r="L64824" s="8"/>
      <c r="M64824" s="8"/>
      <c r="N64824" s="8"/>
      <c r="O64824" s="8"/>
      <c r="P64824" s="8"/>
      <c r="Q64824" s="8"/>
      <c r="R64824" s="64"/>
    </row>
    <row r="64825" spans="1:18" x14ac:dyDescent="0.25">
      <c r="A64825" s="8"/>
      <c r="B64825" s="8"/>
      <c r="C64825" s="60"/>
      <c r="D64825" s="8"/>
      <c r="E64825" s="8"/>
      <c r="F64825" s="8"/>
      <c r="G64825" s="8"/>
      <c r="H64825" s="8"/>
      <c r="I64825" s="63"/>
      <c r="J64825" s="8"/>
      <c r="K64825" s="8"/>
      <c r="L64825" s="8"/>
      <c r="M64825" s="8"/>
      <c r="N64825" s="8"/>
      <c r="O64825" s="8"/>
      <c r="P64825" s="8"/>
      <c r="Q64825" s="8"/>
      <c r="R64825" s="64"/>
    </row>
    <row r="64826" spans="1:18" x14ac:dyDescent="0.25">
      <c r="A64826" s="8"/>
      <c r="B64826" s="8"/>
      <c r="C64826" s="60"/>
      <c r="D64826" s="8"/>
      <c r="E64826" s="8"/>
      <c r="F64826" s="8"/>
      <c r="G64826" s="8"/>
      <c r="H64826" s="8"/>
      <c r="I64826" s="63"/>
      <c r="J64826" s="8"/>
      <c r="K64826" s="8"/>
      <c r="L64826" s="8"/>
      <c r="M64826" s="8"/>
      <c r="N64826" s="8"/>
      <c r="O64826" s="8"/>
      <c r="P64826" s="8"/>
      <c r="Q64826" s="8"/>
      <c r="R64826" s="64"/>
    </row>
    <row r="64827" spans="1:18" x14ac:dyDescent="0.25">
      <c r="A64827" s="8"/>
      <c r="B64827" s="8"/>
      <c r="C64827" s="60"/>
      <c r="D64827" s="8"/>
      <c r="E64827" s="8"/>
      <c r="F64827" s="8"/>
      <c r="G64827" s="8"/>
      <c r="H64827" s="8"/>
      <c r="I64827" s="63"/>
      <c r="J64827" s="8"/>
      <c r="K64827" s="8"/>
      <c r="L64827" s="8"/>
      <c r="M64827" s="8"/>
      <c r="N64827" s="8"/>
      <c r="O64827" s="8"/>
      <c r="P64827" s="8"/>
      <c r="Q64827" s="8"/>
      <c r="R64827" s="64"/>
    </row>
    <row r="64828" spans="1:18" x14ac:dyDescent="0.25">
      <c r="A64828" s="8"/>
      <c r="B64828" s="8"/>
      <c r="C64828" s="60"/>
      <c r="D64828" s="8"/>
      <c r="E64828" s="8"/>
      <c r="F64828" s="8"/>
      <c r="G64828" s="8"/>
      <c r="H64828" s="8"/>
      <c r="I64828" s="63"/>
      <c r="J64828" s="8"/>
      <c r="K64828" s="8"/>
      <c r="L64828" s="8"/>
      <c r="M64828" s="8"/>
      <c r="N64828" s="8"/>
      <c r="O64828" s="8"/>
      <c r="P64828" s="8"/>
      <c r="Q64828" s="8"/>
      <c r="R64828" s="64"/>
    </row>
    <row r="64829" spans="1:18" x14ac:dyDescent="0.25">
      <c r="A64829" s="8"/>
      <c r="B64829" s="8"/>
      <c r="C64829" s="60"/>
      <c r="D64829" s="8"/>
      <c r="E64829" s="8"/>
      <c r="F64829" s="8"/>
      <c r="G64829" s="8"/>
      <c r="H64829" s="8"/>
      <c r="I64829" s="63"/>
      <c r="J64829" s="8"/>
      <c r="K64829" s="8"/>
      <c r="L64829" s="8"/>
      <c r="M64829" s="8"/>
      <c r="N64829" s="8"/>
      <c r="O64829" s="8"/>
      <c r="P64829" s="8"/>
      <c r="Q64829" s="8"/>
      <c r="R64829" s="64"/>
    </row>
    <row r="64830" spans="1:18" x14ac:dyDescent="0.25">
      <c r="A64830" s="8"/>
      <c r="B64830" s="8"/>
      <c r="C64830" s="60"/>
      <c r="D64830" s="8"/>
      <c r="E64830" s="8"/>
      <c r="F64830" s="8"/>
      <c r="G64830" s="8"/>
      <c r="H64830" s="8"/>
      <c r="I64830" s="63"/>
      <c r="J64830" s="8"/>
      <c r="K64830" s="8"/>
      <c r="L64830" s="8"/>
      <c r="M64830" s="8"/>
      <c r="N64830" s="8"/>
      <c r="O64830" s="8"/>
      <c r="P64830" s="8"/>
      <c r="Q64830" s="8"/>
      <c r="R64830" s="64"/>
    </row>
    <row r="64831" spans="1:18" x14ac:dyDescent="0.25">
      <c r="A64831" s="8"/>
      <c r="B64831" s="8"/>
      <c r="C64831" s="60"/>
      <c r="D64831" s="8"/>
      <c r="E64831" s="8"/>
      <c r="F64831" s="8"/>
      <c r="G64831" s="8"/>
      <c r="H64831" s="8"/>
      <c r="I64831" s="63"/>
      <c r="J64831" s="8"/>
      <c r="K64831" s="8"/>
      <c r="L64831" s="8"/>
      <c r="M64831" s="8"/>
      <c r="N64831" s="8"/>
      <c r="O64831" s="8"/>
      <c r="P64831" s="8"/>
      <c r="Q64831" s="8"/>
      <c r="R64831" s="64"/>
    </row>
    <row r="64832" spans="1:18" x14ac:dyDescent="0.25">
      <c r="A64832" s="8"/>
      <c r="B64832" s="8"/>
      <c r="C64832" s="60"/>
      <c r="D64832" s="8"/>
      <c r="E64832" s="8"/>
      <c r="F64832" s="8"/>
      <c r="G64832" s="8"/>
      <c r="H64832" s="8"/>
      <c r="I64832" s="63"/>
      <c r="J64832" s="8"/>
      <c r="K64832" s="8"/>
      <c r="L64832" s="8"/>
      <c r="M64832" s="8"/>
      <c r="N64832" s="8"/>
      <c r="O64832" s="8"/>
      <c r="P64832" s="8"/>
      <c r="Q64832" s="8"/>
      <c r="R64832" s="64"/>
    </row>
    <row r="64833" spans="1:18" x14ac:dyDescent="0.25">
      <c r="A64833" s="8"/>
      <c r="B64833" s="8"/>
      <c r="C64833" s="60"/>
      <c r="D64833" s="8"/>
      <c r="E64833" s="8"/>
      <c r="F64833" s="8"/>
      <c r="G64833" s="8"/>
      <c r="H64833" s="8"/>
      <c r="I64833" s="63"/>
      <c r="J64833" s="8"/>
      <c r="K64833" s="8"/>
      <c r="L64833" s="8"/>
      <c r="M64833" s="8"/>
      <c r="N64833" s="8"/>
      <c r="O64833" s="8"/>
      <c r="P64833" s="8"/>
      <c r="Q64833" s="8"/>
      <c r="R64833" s="64"/>
    </row>
    <row r="64834" spans="1:18" x14ac:dyDescent="0.25">
      <c r="A64834" s="8"/>
      <c r="B64834" s="8"/>
      <c r="C64834" s="60"/>
      <c r="D64834" s="8"/>
      <c r="E64834" s="8"/>
      <c r="F64834" s="8"/>
      <c r="G64834" s="8"/>
      <c r="H64834" s="8"/>
      <c r="I64834" s="63"/>
      <c r="J64834" s="8"/>
      <c r="K64834" s="8"/>
      <c r="L64834" s="8"/>
      <c r="M64834" s="8"/>
      <c r="N64834" s="8"/>
      <c r="O64834" s="8"/>
      <c r="P64834" s="8"/>
      <c r="Q64834" s="8"/>
      <c r="R64834" s="64"/>
    </row>
    <row r="64835" spans="1:18" x14ac:dyDescent="0.25">
      <c r="A64835" s="8"/>
      <c r="B64835" s="8"/>
      <c r="C64835" s="60"/>
      <c r="D64835" s="8"/>
      <c r="E64835" s="8"/>
      <c r="F64835" s="8"/>
      <c r="G64835" s="8"/>
      <c r="H64835" s="8"/>
      <c r="I64835" s="63"/>
      <c r="J64835" s="8"/>
      <c r="K64835" s="8"/>
      <c r="L64835" s="8"/>
      <c r="M64835" s="8"/>
      <c r="N64835" s="8"/>
      <c r="O64835" s="8"/>
      <c r="P64835" s="8"/>
      <c r="Q64835" s="8"/>
      <c r="R64835" s="64"/>
    </row>
    <row r="64836" spans="1:18" x14ac:dyDescent="0.25">
      <c r="A64836" s="8"/>
      <c r="B64836" s="8"/>
      <c r="C64836" s="60"/>
      <c r="D64836" s="8"/>
      <c r="E64836" s="8"/>
      <c r="F64836" s="8"/>
      <c r="G64836" s="8"/>
      <c r="H64836" s="8"/>
      <c r="I64836" s="63"/>
      <c r="J64836" s="8"/>
      <c r="K64836" s="8"/>
      <c r="L64836" s="8"/>
      <c r="M64836" s="8"/>
      <c r="N64836" s="8"/>
      <c r="O64836" s="8"/>
      <c r="P64836" s="8"/>
      <c r="Q64836" s="8"/>
      <c r="R64836" s="64"/>
    </row>
    <row r="64837" spans="1:18" x14ac:dyDescent="0.25">
      <c r="A64837" s="8"/>
      <c r="B64837" s="8"/>
      <c r="C64837" s="60"/>
      <c r="D64837" s="8"/>
      <c r="E64837" s="8"/>
      <c r="F64837" s="8"/>
      <c r="G64837" s="8"/>
      <c r="H64837" s="8"/>
      <c r="I64837" s="63"/>
      <c r="J64837" s="8"/>
      <c r="K64837" s="8"/>
      <c r="L64837" s="8"/>
      <c r="M64837" s="8"/>
      <c r="N64837" s="8"/>
      <c r="O64837" s="8"/>
      <c r="P64837" s="8"/>
      <c r="Q64837" s="8"/>
      <c r="R64837" s="64"/>
    </row>
    <row r="64838" spans="1:18" x14ac:dyDescent="0.25">
      <c r="A64838" s="8"/>
      <c r="B64838" s="8"/>
      <c r="C64838" s="60"/>
      <c r="D64838" s="8"/>
      <c r="E64838" s="8"/>
      <c r="F64838" s="8"/>
      <c r="G64838" s="8"/>
      <c r="H64838" s="8"/>
      <c r="I64838" s="63"/>
      <c r="J64838" s="8"/>
      <c r="K64838" s="8"/>
      <c r="L64838" s="8"/>
      <c r="M64838" s="8"/>
      <c r="N64838" s="8"/>
      <c r="O64838" s="8"/>
      <c r="P64838" s="8"/>
      <c r="Q64838" s="8"/>
      <c r="R64838" s="64"/>
    </row>
    <row r="64839" spans="1:18" x14ac:dyDescent="0.25">
      <c r="A64839" s="8"/>
      <c r="B64839" s="8"/>
      <c r="C64839" s="60"/>
      <c r="D64839" s="8"/>
      <c r="E64839" s="8"/>
      <c r="F64839" s="8"/>
      <c r="G64839" s="8"/>
      <c r="H64839" s="8"/>
      <c r="I64839" s="63"/>
      <c r="J64839" s="8"/>
      <c r="K64839" s="8"/>
      <c r="L64839" s="8"/>
      <c r="M64839" s="8"/>
      <c r="N64839" s="8"/>
      <c r="O64839" s="8"/>
      <c r="P64839" s="8"/>
      <c r="Q64839" s="8"/>
      <c r="R64839" s="64"/>
    </row>
    <row r="64840" spans="1:18" x14ac:dyDescent="0.25">
      <c r="A64840" s="8"/>
      <c r="B64840" s="8"/>
      <c r="C64840" s="60"/>
      <c r="D64840" s="8"/>
      <c r="E64840" s="8"/>
      <c r="F64840" s="8"/>
      <c r="G64840" s="8"/>
      <c r="H64840" s="8"/>
      <c r="I64840" s="63"/>
      <c r="J64840" s="8"/>
      <c r="K64840" s="8"/>
      <c r="L64840" s="8"/>
      <c r="M64840" s="8"/>
      <c r="N64840" s="8"/>
      <c r="O64840" s="8"/>
      <c r="P64840" s="8"/>
      <c r="Q64840" s="8"/>
      <c r="R64840" s="64"/>
    </row>
    <row r="64841" spans="1:18" x14ac:dyDescent="0.25">
      <c r="A64841" s="8"/>
      <c r="B64841" s="8"/>
      <c r="C64841" s="60"/>
      <c r="D64841" s="8"/>
      <c r="E64841" s="8"/>
      <c r="F64841" s="8"/>
      <c r="G64841" s="8"/>
      <c r="H64841" s="8"/>
      <c r="I64841" s="63"/>
      <c r="J64841" s="8"/>
      <c r="K64841" s="8"/>
      <c r="L64841" s="8"/>
      <c r="M64841" s="8"/>
      <c r="N64841" s="8"/>
      <c r="O64841" s="8"/>
      <c r="P64841" s="8"/>
      <c r="Q64841" s="8"/>
      <c r="R64841" s="64"/>
    </row>
    <row r="64842" spans="1:18" x14ac:dyDescent="0.25">
      <c r="A64842" s="8"/>
      <c r="B64842" s="8"/>
      <c r="C64842" s="60"/>
      <c r="D64842" s="8"/>
      <c r="E64842" s="8"/>
      <c r="F64842" s="8"/>
      <c r="G64842" s="8"/>
      <c r="H64842" s="8"/>
      <c r="I64842" s="63"/>
      <c r="J64842" s="8"/>
      <c r="K64842" s="8"/>
      <c r="L64842" s="8"/>
      <c r="M64842" s="8"/>
      <c r="N64842" s="8"/>
      <c r="O64842" s="8"/>
      <c r="P64842" s="8"/>
      <c r="Q64842" s="8"/>
      <c r="R64842" s="64"/>
    </row>
    <row r="64843" spans="1:18" x14ac:dyDescent="0.25">
      <c r="A64843" s="8"/>
      <c r="B64843" s="8"/>
      <c r="C64843" s="60"/>
      <c r="D64843" s="8"/>
      <c r="E64843" s="8"/>
      <c r="F64843" s="8"/>
      <c r="G64843" s="8"/>
      <c r="H64843" s="8"/>
      <c r="I64843" s="63"/>
      <c r="J64843" s="8"/>
      <c r="K64843" s="8"/>
      <c r="L64843" s="8"/>
      <c r="M64843" s="8"/>
      <c r="N64843" s="8"/>
      <c r="O64843" s="8"/>
      <c r="P64843" s="8"/>
      <c r="Q64843" s="8"/>
      <c r="R64843" s="64"/>
    </row>
    <row r="64844" spans="1:18" x14ac:dyDescent="0.25">
      <c r="A64844" s="8"/>
      <c r="B64844" s="8"/>
      <c r="C64844" s="60"/>
      <c r="D64844" s="8"/>
      <c r="E64844" s="8"/>
      <c r="F64844" s="8"/>
      <c r="G64844" s="8"/>
      <c r="H64844" s="8"/>
      <c r="I64844" s="63"/>
      <c r="J64844" s="8"/>
      <c r="K64844" s="8"/>
      <c r="L64844" s="8"/>
      <c r="M64844" s="8"/>
      <c r="N64844" s="8"/>
      <c r="O64844" s="8"/>
      <c r="P64844" s="8"/>
      <c r="Q64844" s="8"/>
      <c r="R64844" s="64"/>
    </row>
    <row r="64845" spans="1:18" x14ac:dyDescent="0.25">
      <c r="A64845" s="8"/>
      <c r="B64845" s="8"/>
      <c r="C64845" s="60"/>
      <c r="D64845" s="8"/>
      <c r="E64845" s="8"/>
      <c r="F64845" s="8"/>
      <c r="G64845" s="8"/>
      <c r="H64845" s="8"/>
      <c r="I64845" s="63"/>
      <c r="J64845" s="8"/>
      <c r="K64845" s="8"/>
      <c r="L64845" s="8"/>
      <c r="M64845" s="8"/>
      <c r="N64845" s="8"/>
      <c r="O64845" s="8"/>
      <c r="P64845" s="8"/>
      <c r="Q64845" s="8"/>
      <c r="R64845" s="64"/>
    </row>
    <row r="64846" spans="1:18" x14ac:dyDescent="0.25">
      <c r="A64846" s="8"/>
      <c r="B64846" s="8"/>
      <c r="C64846" s="60"/>
      <c r="D64846" s="8"/>
      <c r="E64846" s="8"/>
      <c r="F64846" s="8"/>
      <c r="G64846" s="8"/>
      <c r="H64846" s="8"/>
      <c r="I64846" s="63"/>
      <c r="J64846" s="8"/>
      <c r="K64846" s="8"/>
      <c r="L64846" s="8"/>
      <c r="M64846" s="8"/>
      <c r="N64846" s="8"/>
      <c r="O64846" s="8"/>
      <c r="P64846" s="8"/>
      <c r="Q64846" s="8"/>
      <c r="R64846" s="64"/>
    </row>
    <row r="64847" spans="1:18" x14ac:dyDescent="0.25">
      <c r="A64847" s="8"/>
      <c r="B64847" s="8"/>
      <c r="C64847" s="60"/>
      <c r="D64847" s="8"/>
      <c r="E64847" s="8"/>
      <c r="F64847" s="8"/>
      <c r="G64847" s="8"/>
      <c r="H64847" s="8"/>
      <c r="I64847" s="63"/>
      <c r="J64847" s="8"/>
      <c r="K64847" s="8"/>
      <c r="L64847" s="8"/>
      <c r="M64847" s="8"/>
      <c r="N64847" s="8"/>
      <c r="O64847" s="8"/>
      <c r="P64847" s="8"/>
      <c r="Q64847" s="8"/>
      <c r="R64847" s="64"/>
    </row>
    <row r="64848" spans="1:18" x14ac:dyDescent="0.25">
      <c r="A64848" s="8"/>
      <c r="B64848" s="8"/>
      <c r="C64848" s="60"/>
      <c r="D64848" s="8"/>
      <c r="E64848" s="8"/>
      <c r="F64848" s="8"/>
      <c r="G64848" s="8"/>
      <c r="H64848" s="8"/>
      <c r="I64848" s="63"/>
      <c r="J64848" s="8"/>
      <c r="K64848" s="8"/>
      <c r="L64848" s="8"/>
      <c r="M64848" s="8"/>
      <c r="N64848" s="8"/>
      <c r="O64848" s="8"/>
      <c r="P64848" s="8"/>
      <c r="Q64848" s="8"/>
      <c r="R64848" s="64"/>
    </row>
    <row r="64849" spans="1:18" x14ac:dyDescent="0.25">
      <c r="A64849" s="8"/>
      <c r="B64849" s="8"/>
      <c r="C64849" s="60"/>
      <c r="D64849" s="8"/>
      <c r="E64849" s="8"/>
      <c r="F64849" s="8"/>
      <c r="G64849" s="8"/>
      <c r="H64849" s="8"/>
      <c r="I64849" s="63"/>
      <c r="J64849" s="8"/>
      <c r="K64849" s="8"/>
      <c r="L64849" s="8"/>
      <c r="M64849" s="8"/>
      <c r="N64849" s="8"/>
      <c r="O64849" s="8"/>
      <c r="P64849" s="8"/>
      <c r="Q64849" s="8"/>
      <c r="R64849" s="64"/>
    </row>
    <row r="64850" spans="1:18" x14ac:dyDescent="0.25">
      <c r="A64850" s="8"/>
      <c r="B64850" s="8"/>
      <c r="C64850" s="60"/>
      <c r="D64850" s="8"/>
      <c r="E64850" s="8"/>
      <c r="F64850" s="8"/>
      <c r="G64850" s="8"/>
      <c r="H64850" s="8"/>
      <c r="I64850" s="63"/>
      <c r="J64850" s="8"/>
      <c r="K64850" s="8"/>
      <c r="L64850" s="8"/>
      <c r="M64850" s="8"/>
      <c r="N64850" s="8"/>
      <c r="O64850" s="8"/>
      <c r="P64850" s="8"/>
      <c r="Q64850" s="8"/>
      <c r="R64850" s="64"/>
    </row>
    <row r="64851" spans="1:18" x14ac:dyDescent="0.25">
      <c r="A64851" s="8"/>
      <c r="B64851" s="8"/>
      <c r="C64851" s="60"/>
      <c r="D64851" s="8"/>
      <c r="E64851" s="8"/>
      <c r="F64851" s="8"/>
      <c r="G64851" s="8"/>
      <c r="H64851" s="8"/>
      <c r="I64851" s="63"/>
      <c r="J64851" s="8"/>
      <c r="K64851" s="8"/>
      <c r="L64851" s="8"/>
      <c r="M64851" s="8"/>
      <c r="N64851" s="8"/>
      <c r="O64851" s="8"/>
      <c r="P64851" s="8"/>
      <c r="Q64851" s="8"/>
      <c r="R64851" s="64"/>
    </row>
    <row r="64852" spans="1:18" x14ac:dyDescent="0.25">
      <c r="A64852" s="8"/>
      <c r="B64852" s="8"/>
      <c r="C64852" s="60"/>
      <c r="D64852" s="8"/>
      <c r="E64852" s="8"/>
      <c r="F64852" s="8"/>
      <c r="G64852" s="8"/>
      <c r="H64852" s="8"/>
      <c r="I64852" s="63"/>
      <c r="J64852" s="8"/>
      <c r="K64852" s="8"/>
      <c r="L64852" s="8"/>
      <c r="M64852" s="8"/>
      <c r="N64852" s="8"/>
      <c r="O64852" s="8"/>
      <c r="P64852" s="8"/>
      <c r="Q64852" s="8"/>
      <c r="R64852" s="64"/>
    </row>
    <row r="64853" spans="1:18" x14ac:dyDescent="0.25">
      <c r="A64853" s="8"/>
      <c r="B64853" s="8"/>
      <c r="C64853" s="60"/>
      <c r="D64853" s="8"/>
      <c r="E64853" s="8"/>
      <c r="F64853" s="8"/>
      <c r="G64853" s="8"/>
      <c r="H64853" s="8"/>
      <c r="I64853" s="63"/>
      <c r="J64853" s="8"/>
      <c r="K64853" s="8"/>
      <c r="L64853" s="8"/>
      <c r="M64853" s="8"/>
      <c r="N64853" s="8"/>
      <c r="O64853" s="8"/>
      <c r="P64853" s="8"/>
      <c r="Q64853" s="8"/>
      <c r="R64853" s="64"/>
    </row>
    <row r="64854" spans="1:18" x14ac:dyDescent="0.25">
      <c r="A64854" s="8"/>
      <c r="B64854" s="8"/>
      <c r="C64854" s="60"/>
      <c r="D64854" s="8"/>
      <c r="E64854" s="8"/>
      <c r="F64854" s="8"/>
      <c r="G64854" s="8"/>
      <c r="H64854" s="8"/>
      <c r="I64854" s="63"/>
      <c r="J64854" s="8"/>
      <c r="K64854" s="8"/>
      <c r="L64854" s="8"/>
      <c r="M64854" s="8"/>
      <c r="N64854" s="8"/>
      <c r="O64854" s="8"/>
      <c r="P64854" s="8"/>
      <c r="Q64854" s="8"/>
      <c r="R64854" s="64"/>
    </row>
    <row r="64855" spans="1:18" x14ac:dyDescent="0.25">
      <c r="A64855" s="8"/>
      <c r="B64855" s="8"/>
      <c r="C64855" s="60"/>
      <c r="D64855" s="8"/>
      <c r="E64855" s="8"/>
      <c r="F64855" s="8"/>
      <c r="G64855" s="8"/>
      <c r="H64855" s="8"/>
      <c r="I64855" s="63"/>
      <c r="J64855" s="8"/>
      <c r="K64855" s="8"/>
      <c r="L64855" s="8"/>
      <c r="M64855" s="8"/>
      <c r="N64855" s="8"/>
      <c r="O64855" s="8"/>
      <c r="P64855" s="8"/>
      <c r="Q64855" s="8"/>
      <c r="R64855" s="64"/>
    </row>
    <row r="64856" spans="1:18" x14ac:dyDescent="0.25">
      <c r="A64856" s="8"/>
      <c r="B64856" s="8"/>
      <c r="C64856" s="60"/>
      <c r="D64856" s="8"/>
      <c r="E64856" s="8"/>
      <c r="F64856" s="8"/>
      <c r="G64856" s="8"/>
      <c r="H64856" s="8"/>
      <c r="I64856" s="63"/>
      <c r="J64856" s="8"/>
      <c r="K64856" s="8"/>
      <c r="L64856" s="8"/>
      <c r="M64856" s="8"/>
      <c r="N64856" s="8"/>
      <c r="O64856" s="8"/>
      <c r="P64856" s="8"/>
      <c r="Q64856" s="8"/>
      <c r="R64856" s="64"/>
    </row>
    <row r="64857" spans="1:18" x14ac:dyDescent="0.25">
      <c r="A64857" s="8"/>
      <c r="B64857" s="8"/>
      <c r="C64857" s="60"/>
      <c r="D64857" s="8"/>
      <c r="E64857" s="8"/>
      <c r="F64857" s="8"/>
      <c r="G64857" s="8"/>
      <c r="H64857" s="8"/>
      <c r="I64857" s="63"/>
      <c r="J64857" s="8"/>
      <c r="K64857" s="8"/>
      <c r="L64857" s="8"/>
      <c r="M64857" s="8"/>
      <c r="N64857" s="8"/>
      <c r="O64857" s="8"/>
      <c r="P64857" s="8"/>
      <c r="Q64857" s="8"/>
      <c r="R64857" s="64"/>
    </row>
    <row r="64858" spans="1:18" x14ac:dyDescent="0.25">
      <c r="A64858" s="8"/>
      <c r="B64858" s="8"/>
      <c r="C64858" s="60"/>
      <c r="D64858" s="8"/>
      <c r="E64858" s="8"/>
      <c r="F64858" s="8"/>
      <c r="G64858" s="8"/>
      <c r="H64858" s="8"/>
      <c r="I64858" s="63"/>
      <c r="J64858" s="8"/>
      <c r="K64858" s="8"/>
      <c r="L64858" s="8"/>
      <c r="M64858" s="8"/>
      <c r="N64858" s="8"/>
      <c r="O64858" s="8"/>
      <c r="P64858" s="8"/>
      <c r="Q64858" s="8"/>
      <c r="R64858" s="64"/>
    </row>
    <row r="64859" spans="1:18" x14ac:dyDescent="0.25">
      <c r="A64859" s="8"/>
      <c r="B64859" s="8"/>
      <c r="C64859" s="60"/>
      <c r="D64859" s="8"/>
      <c r="E64859" s="8"/>
      <c r="F64859" s="8"/>
      <c r="G64859" s="8"/>
      <c r="H64859" s="8"/>
      <c r="I64859" s="63"/>
      <c r="J64859" s="8"/>
      <c r="K64859" s="8"/>
      <c r="L64859" s="8"/>
      <c r="M64859" s="8"/>
      <c r="N64859" s="8"/>
      <c r="O64859" s="8"/>
      <c r="P64859" s="8"/>
      <c r="Q64859" s="8"/>
      <c r="R64859" s="64"/>
    </row>
    <row r="64860" spans="1:18" x14ac:dyDescent="0.25">
      <c r="A64860" s="8"/>
      <c r="B64860" s="8"/>
      <c r="C64860" s="60"/>
      <c r="D64860" s="8"/>
      <c r="E64860" s="8"/>
      <c r="F64860" s="8"/>
      <c r="G64860" s="8"/>
      <c r="H64860" s="8"/>
      <c r="I64860" s="63"/>
      <c r="J64860" s="8"/>
      <c r="K64860" s="8"/>
      <c r="L64860" s="8"/>
      <c r="M64860" s="8"/>
      <c r="N64860" s="8"/>
      <c r="O64860" s="8"/>
      <c r="P64860" s="8"/>
      <c r="Q64860" s="8"/>
      <c r="R64860" s="64"/>
    </row>
    <row r="64861" spans="1:18" x14ac:dyDescent="0.25">
      <c r="A64861" s="8"/>
      <c r="B64861" s="8"/>
      <c r="C64861" s="60"/>
      <c r="D64861" s="8"/>
      <c r="E64861" s="8"/>
      <c r="F64861" s="8"/>
      <c r="G64861" s="8"/>
      <c r="H64861" s="8"/>
      <c r="I64861" s="63"/>
      <c r="J64861" s="8"/>
      <c r="K64861" s="8"/>
      <c r="L64861" s="8"/>
      <c r="M64861" s="8"/>
      <c r="N64861" s="8"/>
      <c r="O64861" s="8"/>
      <c r="P64861" s="8"/>
      <c r="Q64861" s="8"/>
      <c r="R64861" s="64"/>
    </row>
    <row r="64862" spans="1:18" x14ac:dyDescent="0.25">
      <c r="A64862" s="8"/>
      <c r="B64862" s="8"/>
      <c r="C64862" s="60"/>
      <c r="D64862" s="8"/>
      <c r="E64862" s="8"/>
      <c r="F64862" s="8"/>
      <c r="G64862" s="8"/>
      <c r="H64862" s="8"/>
      <c r="I64862" s="63"/>
      <c r="J64862" s="8"/>
      <c r="K64862" s="8"/>
      <c r="L64862" s="8"/>
      <c r="M64862" s="8"/>
      <c r="N64862" s="8"/>
      <c r="O64862" s="8"/>
      <c r="P64862" s="8"/>
      <c r="Q64862" s="8"/>
      <c r="R64862" s="64"/>
    </row>
    <row r="64863" spans="1:18" x14ac:dyDescent="0.25">
      <c r="A64863" s="8"/>
      <c r="B64863" s="8"/>
      <c r="C64863" s="60"/>
      <c r="D64863" s="8"/>
      <c r="E64863" s="8"/>
      <c r="F64863" s="8"/>
      <c r="G64863" s="8"/>
      <c r="H64863" s="8"/>
      <c r="I64863" s="63"/>
      <c r="J64863" s="8"/>
      <c r="K64863" s="8"/>
      <c r="L64863" s="8"/>
      <c r="M64863" s="8"/>
      <c r="N64863" s="8"/>
      <c r="O64863" s="8"/>
      <c r="P64863" s="8"/>
      <c r="Q64863" s="8"/>
      <c r="R64863" s="64"/>
    </row>
    <row r="64864" spans="1:18" x14ac:dyDescent="0.25">
      <c r="A64864" s="8"/>
      <c r="B64864" s="8"/>
      <c r="C64864" s="60"/>
      <c r="D64864" s="8"/>
      <c r="E64864" s="8"/>
      <c r="F64864" s="8"/>
      <c r="G64864" s="8"/>
      <c r="H64864" s="8"/>
      <c r="I64864" s="63"/>
      <c r="J64864" s="8"/>
      <c r="K64864" s="8"/>
      <c r="L64864" s="8"/>
      <c r="M64864" s="8"/>
      <c r="N64864" s="8"/>
      <c r="O64864" s="8"/>
      <c r="P64864" s="8"/>
      <c r="Q64864" s="8"/>
      <c r="R64864" s="64"/>
    </row>
    <row r="64865" spans="1:18" x14ac:dyDescent="0.25">
      <c r="A64865" s="8"/>
      <c r="B64865" s="8"/>
      <c r="C64865" s="60"/>
      <c r="D64865" s="8"/>
      <c r="E64865" s="8"/>
      <c r="F64865" s="8"/>
      <c r="G64865" s="8"/>
      <c r="H64865" s="8"/>
      <c r="I64865" s="63"/>
      <c r="J64865" s="8"/>
      <c r="K64865" s="8"/>
      <c r="L64865" s="8"/>
      <c r="M64865" s="8"/>
      <c r="N64865" s="8"/>
      <c r="O64865" s="8"/>
      <c r="P64865" s="8"/>
      <c r="Q64865" s="8"/>
      <c r="R64865" s="64"/>
    </row>
    <row r="64866" spans="1:18" x14ac:dyDescent="0.25">
      <c r="A64866" s="8"/>
      <c r="B64866" s="8"/>
      <c r="C64866" s="60"/>
      <c r="D64866" s="8"/>
      <c r="E64866" s="8"/>
      <c r="F64866" s="8"/>
      <c r="G64866" s="8"/>
      <c r="H64866" s="8"/>
      <c r="I64866" s="63"/>
      <c r="J64866" s="8"/>
      <c r="K64866" s="8"/>
      <c r="L64866" s="8"/>
      <c r="M64866" s="8"/>
      <c r="N64866" s="8"/>
      <c r="O64866" s="8"/>
      <c r="P64866" s="8"/>
      <c r="Q64866" s="8"/>
      <c r="R64866" s="64"/>
    </row>
    <row r="64867" spans="1:18" x14ac:dyDescent="0.25">
      <c r="A64867" s="8"/>
      <c r="B64867" s="8"/>
      <c r="C64867" s="60"/>
      <c r="D64867" s="8"/>
      <c r="E64867" s="8"/>
      <c r="F64867" s="8"/>
      <c r="G64867" s="8"/>
      <c r="H64867" s="8"/>
      <c r="I64867" s="63"/>
      <c r="J64867" s="8"/>
      <c r="K64867" s="8"/>
      <c r="L64867" s="8"/>
      <c r="M64867" s="8"/>
      <c r="N64867" s="8"/>
      <c r="O64867" s="8"/>
      <c r="P64867" s="8"/>
      <c r="Q64867" s="8"/>
      <c r="R64867" s="64"/>
    </row>
    <row r="64868" spans="1:18" x14ac:dyDescent="0.25">
      <c r="A64868" s="8"/>
      <c r="B64868" s="8"/>
      <c r="C64868" s="60"/>
      <c r="D64868" s="8"/>
      <c r="E64868" s="8"/>
      <c r="F64868" s="8"/>
      <c r="G64868" s="8"/>
      <c r="H64868" s="8"/>
      <c r="I64868" s="63"/>
      <c r="J64868" s="8"/>
      <c r="K64868" s="8"/>
      <c r="L64868" s="8"/>
      <c r="M64868" s="8"/>
      <c r="N64868" s="8"/>
      <c r="O64868" s="8"/>
      <c r="P64868" s="8"/>
      <c r="Q64868" s="8"/>
      <c r="R64868" s="64"/>
    </row>
    <row r="64869" spans="1:18" x14ac:dyDescent="0.25">
      <c r="A64869" s="8"/>
      <c r="B64869" s="8"/>
      <c r="C64869" s="60"/>
      <c r="D64869" s="8"/>
      <c r="E64869" s="8"/>
      <c r="F64869" s="8"/>
      <c r="G64869" s="8"/>
      <c r="H64869" s="8"/>
      <c r="I64869" s="63"/>
      <c r="J64869" s="8"/>
      <c r="K64869" s="8"/>
      <c r="L64869" s="8"/>
      <c r="M64869" s="8"/>
      <c r="N64869" s="8"/>
      <c r="O64869" s="8"/>
      <c r="P64869" s="8"/>
      <c r="Q64869" s="8"/>
      <c r="R64869" s="64"/>
    </row>
    <row r="64870" spans="1:18" x14ac:dyDescent="0.25">
      <c r="A64870" s="8"/>
      <c r="B64870" s="8"/>
      <c r="C64870" s="60"/>
      <c r="D64870" s="8"/>
      <c r="E64870" s="8"/>
      <c r="F64870" s="8"/>
      <c r="G64870" s="8"/>
      <c r="H64870" s="8"/>
      <c r="I64870" s="63"/>
      <c r="J64870" s="8"/>
      <c r="K64870" s="8"/>
      <c r="L64870" s="8"/>
      <c r="M64870" s="8"/>
      <c r="N64870" s="8"/>
      <c r="O64870" s="8"/>
      <c r="P64870" s="8"/>
      <c r="Q64870" s="8"/>
      <c r="R64870" s="64"/>
    </row>
    <row r="64871" spans="1:18" x14ac:dyDescent="0.25">
      <c r="A64871" s="8"/>
      <c r="B64871" s="8"/>
      <c r="C64871" s="60"/>
      <c r="D64871" s="8"/>
      <c r="E64871" s="8"/>
      <c r="F64871" s="8"/>
      <c r="G64871" s="8"/>
      <c r="H64871" s="8"/>
      <c r="I64871" s="63"/>
      <c r="J64871" s="8"/>
      <c r="K64871" s="8"/>
      <c r="L64871" s="8"/>
      <c r="M64871" s="8"/>
      <c r="N64871" s="8"/>
      <c r="O64871" s="8"/>
      <c r="P64871" s="8"/>
      <c r="Q64871" s="8"/>
      <c r="R64871" s="64"/>
    </row>
    <row r="64872" spans="1:18" x14ac:dyDescent="0.25">
      <c r="A64872" s="8"/>
      <c r="B64872" s="8"/>
      <c r="C64872" s="60"/>
      <c r="D64872" s="8"/>
      <c r="E64872" s="8"/>
      <c r="F64872" s="8"/>
      <c r="G64872" s="8"/>
      <c r="H64872" s="8"/>
      <c r="I64872" s="63"/>
      <c r="J64872" s="8"/>
      <c r="K64872" s="8"/>
      <c r="L64872" s="8"/>
      <c r="M64872" s="8"/>
      <c r="N64872" s="8"/>
      <c r="O64872" s="8"/>
      <c r="P64872" s="8"/>
      <c r="Q64872" s="8"/>
      <c r="R64872" s="64"/>
    </row>
    <row r="64873" spans="1:18" x14ac:dyDescent="0.25">
      <c r="A64873" s="8"/>
      <c r="B64873" s="8"/>
      <c r="C64873" s="60"/>
      <c r="D64873" s="8"/>
      <c r="E64873" s="8"/>
      <c r="F64873" s="8"/>
      <c r="G64873" s="8"/>
      <c r="H64873" s="8"/>
      <c r="I64873" s="63"/>
      <c r="J64873" s="8"/>
      <c r="K64873" s="8"/>
      <c r="L64873" s="8"/>
      <c r="M64873" s="8"/>
      <c r="N64873" s="8"/>
      <c r="O64873" s="8"/>
      <c r="P64873" s="8"/>
      <c r="Q64873" s="8"/>
      <c r="R64873" s="64"/>
    </row>
    <row r="64874" spans="1:18" x14ac:dyDescent="0.25">
      <c r="A64874" s="8"/>
      <c r="B64874" s="8"/>
      <c r="C64874" s="60"/>
      <c r="D64874" s="8"/>
      <c r="E64874" s="8"/>
      <c r="F64874" s="8"/>
      <c r="G64874" s="8"/>
      <c r="H64874" s="8"/>
      <c r="I64874" s="63"/>
      <c r="J64874" s="8"/>
      <c r="K64874" s="8"/>
      <c r="L64874" s="8"/>
      <c r="M64874" s="8"/>
      <c r="N64874" s="8"/>
      <c r="O64874" s="8"/>
      <c r="P64874" s="8"/>
      <c r="Q64874" s="8"/>
      <c r="R64874" s="64"/>
    </row>
    <row r="64875" spans="1:18" x14ac:dyDescent="0.25">
      <c r="A64875" s="8"/>
      <c r="B64875" s="8"/>
      <c r="C64875" s="60"/>
      <c r="D64875" s="8"/>
      <c r="E64875" s="8"/>
      <c r="F64875" s="8"/>
      <c r="G64875" s="8"/>
      <c r="H64875" s="8"/>
      <c r="I64875" s="63"/>
      <c r="J64875" s="8"/>
      <c r="K64875" s="8"/>
      <c r="L64875" s="8"/>
      <c r="M64875" s="8"/>
      <c r="N64875" s="8"/>
      <c r="O64875" s="8"/>
      <c r="P64875" s="8"/>
      <c r="Q64875" s="8"/>
      <c r="R64875" s="64"/>
    </row>
    <row r="64876" spans="1:18" x14ac:dyDescent="0.25">
      <c r="A64876" s="8"/>
      <c r="B64876" s="8"/>
      <c r="C64876" s="60"/>
      <c r="D64876" s="8"/>
      <c r="E64876" s="8"/>
      <c r="F64876" s="8"/>
      <c r="G64876" s="8"/>
      <c r="H64876" s="8"/>
      <c r="I64876" s="63"/>
      <c r="J64876" s="8"/>
      <c r="K64876" s="8"/>
      <c r="L64876" s="8"/>
      <c r="M64876" s="8"/>
      <c r="N64876" s="8"/>
      <c r="O64876" s="8"/>
      <c r="P64876" s="8"/>
      <c r="Q64876" s="8"/>
      <c r="R64876" s="64"/>
    </row>
    <row r="64877" spans="1:18" x14ac:dyDescent="0.25">
      <c r="A64877" s="8"/>
      <c r="B64877" s="8"/>
      <c r="C64877" s="60"/>
      <c r="D64877" s="8"/>
      <c r="E64877" s="8"/>
      <c r="F64877" s="8"/>
      <c r="G64877" s="8"/>
      <c r="H64877" s="8"/>
      <c r="I64877" s="63"/>
      <c r="J64877" s="8"/>
      <c r="K64877" s="8"/>
      <c r="L64877" s="8"/>
      <c r="M64877" s="8"/>
      <c r="N64877" s="8"/>
      <c r="O64877" s="8"/>
      <c r="P64877" s="8"/>
      <c r="Q64877" s="8"/>
      <c r="R64877" s="64"/>
    </row>
    <row r="64878" spans="1:18" x14ac:dyDescent="0.25">
      <c r="A64878" s="8"/>
      <c r="B64878" s="8"/>
      <c r="C64878" s="60"/>
      <c r="D64878" s="8"/>
      <c r="E64878" s="8"/>
      <c r="F64878" s="8"/>
      <c r="G64878" s="8"/>
      <c r="H64878" s="8"/>
      <c r="I64878" s="63"/>
      <c r="J64878" s="8"/>
      <c r="K64878" s="8"/>
      <c r="L64878" s="8"/>
      <c r="M64878" s="8"/>
      <c r="N64878" s="8"/>
      <c r="O64878" s="8"/>
      <c r="P64878" s="8"/>
      <c r="Q64878" s="8"/>
      <c r="R64878" s="64"/>
    </row>
    <row r="64879" spans="1:18" x14ac:dyDescent="0.25">
      <c r="A64879" s="8"/>
      <c r="B64879" s="8"/>
      <c r="C64879" s="60"/>
      <c r="D64879" s="8"/>
      <c r="E64879" s="8"/>
      <c r="F64879" s="8"/>
      <c r="G64879" s="8"/>
      <c r="H64879" s="8"/>
      <c r="I64879" s="63"/>
      <c r="J64879" s="8"/>
      <c r="K64879" s="8"/>
      <c r="L64879" s="8"/>
      <c r="M64879" s="8"/>
      <c r="N64879" s="8"/>
      <c r="O64879" s="8"/>
      <c r="P64879" s="8"/>
      <c r="Q64879" s="8"/>
      <c r="R64879" s="64"/>
    </row>
    <row r="64880" spans="1:18" x14ac:dyDescent="0.25">
      <c r="A64880" s="8"/>
      <c r="B64880" s="8"/>
      <c r="C64880" s="60"/>
      <c r="D64880" s="8"/>
      <c r="E64880" s="8"/>
      <c r="F64880" s="8"/>
      <c r="G64880" s="8"/>
      <c r="H64880" s="8"/>
      <c r="I64880" s="63"/>
      <c r="J64880" s="8"/>
      <c r="K64880" s="8"/>
      <c r="L64880" s="8"/>
      <c r="M64880" s="8"/>
      <c r="N64880" s="8"/>
      <c r="O64880" s="8"/>
      <c r="P64880" s="8"/>
      <c r="Q64880" s="8"/>
      <c r="R64880" s="64"/>
    </row>
    <row r="64881" spans="1:18" x14ac:dyDescent="0.25">
      <c r="A64881" s="8"/>
      <c r="B64881" s="8"/>
      <c r="C64881" s="60"/>
      <c r="D64881" s="8"/>
      <c r="E64881" s="8"/>
      <c r="F64881" s="8"/>
      <c r="G64881" s="8"/>
      <c r="H64881" s="8"/>
      <c r="I64881" s="63"/>
      <c r="J64881" s="8"/>
      <c r="K64881" s="8"/>
      <c r="L64881" s="8"/>
      <c r="M64881" s="8"/>
      <c r="N64881" s="8"/>
      <c r="O64881" s="8"/>
      <c r="P64881" s="8"/>
      <c r="Q64881" s="8"/>
      <c r="R64881" s="64"/>
    </row>
    <row r="64882" spans="1:18" x14ac:dyDescent="0.25">
      <c r="A64882" s="8"/>
      <c r="B64882" s="8"/>
      <c r="C64882" s="60"/>
      <c r="D64882" s="8"/>
      <c r="E64882" s="8"/>
      <c r="F64882" s="8"/>
      <c r="G64882" s="8"/>
      <c r="H64882" s="8"/>
      <c r="I64882" s="63"/>
      <c r="J64882" s="8"/>
      <c r="K64882" s="8"/>
      <c r="L64882" s="8"/>
      <c r="M64882" s="8"/>
      <c r="N64882" s="8"/>
      <c r="O64882" s="8"/>
      <c r="P64882" s="8"/>
      <c r="Q64882" s="8"/>
      <c r="R64882" s="64"/>
    </row>
    <row r="64883" spans="1:18" x14ac:dyDescent="0.25">
      <c r="A64883" s="8"/>
      <c r="B64883" s="8"/>
      <c r="C64883" s="60"/>
      <c r="D64883" s="8"/>
      <c r="E64883" s="8"/>
      <c r="F64883" s="8"/>
      <c r="G64883" s="8"/>
      <c r="H64883" s="8"/>
      <c r="I64883" s="63"/>
      <c r="J64883" s="8"/>
      <c r="K64883" s="8"/>
      <c r="L64883" s="8"/>
      <c r="M64883" s="8"/>
      <c r="N64883" s="8"/>
      <c r="O64883" s="8"/>
      <c r="P64883" s="8"/>
      <c r="Q64883" s="8"/>
      <c r="R64883" s="64"/>
    </row>
    <row r="64884" spans="1:18" x14ac:dyDescent="0.25">
      <c r="A64884" s="8"/>
      <c r="B64884" s="8"/>
      <c r="C64884" s="60"/>
      <c r="D64884" s="8"/>
      <c r="E64884" s="8"/>
      <c r="F64884" s="8"/>
      <c r="G64884" s="8"/>
      <c r="H64884" s="8"/>
      <c r="I64884" s="63"/>
      <c r="J64884" s="8"/>
      <c r="K64884" s="8"/>
      <c r="L64884" s="8"/>
      <c r="M64884" s="8"/>
      <c r="N64884" s="8"/>
      <c r="O64884" s="8"/>
      <c r="P64884" s="8"/>
      <c r="Q64884" s="8"/>
      <c r="R64884" s="64"/>
    </row>
    <row r="64885" spans="1:18" x14ac:dyDescent="0.25">
      <c r="A64885" s="8"/>
      <c r="B64885" s="8"/>
      <c r="C64885" s="60"/>
      <c r="D64885" s="8"/>
      <c r="E64885" s="8"/>
      <c r="F64885" s="8"/>
      <c r="G64885" s="8"/>
      <c r="H64885" s="8"/>
      <c r="I64885" s="63"/>
      <c r="J64885" s="8"/>
      <c r="K64885" s="8"/>
      <c r="L64885" s="8"/>
      <c r="M64885" s="8"/>
      <c r="N64885" s="8"/>
      <c r="O64885" s="8"/>
      <c r="P64885" s="8"/>
      <c r="Q64885" s="8"/>
      <c r="R64885" s="64"/>
    </row>
    <row r="64886" spans="1:18" x14ac:dyDescent="0.25">
      <c r="A64886" s="8"/>
      <c r="B64886" s="8"/>
      <c r="C64886" s="60"/>
      <c r="D64886" s="8"/>
      <c r="E64886" s="8"/>
      <c r="F64886" s="8"/>
      <c r="G64886" s="8"/>
      <c r="H64886" s="8"/>
      <c r="I64886" s="63"/>
      <c r="J64886" s="8"/>
      <c r="K64886" s="8"/>
      <c r="L64886" s="8"/>
      <c r="M64886" s="8"/>
      <c r="N64886" s="8"/>
      <c r="O64886" s="8"/>
      <c r="P64886" s="8"/>
      <c r="Q64886" s="8"/>
      <c r="R64886" s="64"/>
    </row>
    <row r="64887" spans="1:18" x14ac:dyDescent="0.25">
      <c r="A64887" s="8"/>
      <c r="B64887" s="8"/>
      <c r="C64887" s="60"/>
      <c r="D64887" s="8"/>
      <c r="E64887" s="8"/>
      <c r="F64887" s="8"/>
      <c r="G64887" s="8"/>
      <c r="H64887" s="8"/>
      <c r="I64887" s="63"/>
      <c r="J64887" s="8"/>
      <c r="K64887" s="8"/>
      <c r="L64887" s="8"/>
      <c r="M64887" s="8"/>
      <c r="N64887" s="8"/>
      <c r="O64887" s="8"/>
      <c r="P64887" s="8"/>
      <c r="Q64887" s="8"/>
      <c r="R64887" s="64"/>
    </row>
    <row r="64888" spans="1:18" x14ac:dyDescent="0.25">
      <c r="A64888" s="8"/>
      <c r="B64888" s="8"/>
      <c r="C64888" s="60"/>
      <c r="D64888" s="8"/>
      <c r="E64888" s="8"/>
      <c r="F64888" s="8"/>
      <c r="G64888" s="8"/>
      <c r="H64888" s="8"/>
      <c r="I64888" s="63"/>
      <c r="J64888" s="8"/>
      <c r="K64888" s="8"/>
      <c r="L64888" s="8"/>
      <c r="M64888" s="8"/>
      <c r="N64888" s="8"/>
      <c r="O64888" s="8"/>
      <c r="P64888" s="8"/>
      <c r="Q64888" s="8"/>
      <c r="R64888" s="64"/>
    </row>
    <row r="64889" spans="1:18" x14ac:dyDescent="0.25">
      <c r="A64889" s="8"/>
      <c r="B64889" s="8"/>
      <c r="C64889" s="60"/>
      <c r="D64889" s="8"/>
      <c r="E64889" s="8"/>
      <c r="F64889" s="8"/>
      <c r="G64889" s="8"/>
      <c r="H64889" s="8"/>
      <c r="I64889" s="63"/>
      <c r="J64889" s="8"/>
      <c r="K64889" s="8"/>
      <c r="L64889" s="8"/>
      <c r="M64889" s="8"/>
      <c r="N64889" s="8"/>
      <c r="O64889" s="8"/>
      <c r="P64889" s="8"/>
      <c r="Q64889" s="8"/>
      <c r="R64889" s="64"/>
    </row>
    <row r="64890" spans="1:18" x14ac:dyDescent="0.25">
      <c r="A64890" s="8"/>
      <c r="B64890" s="8"/>
      <c r="C64890" s="60"/>
      <c r="D64890" s="8"/>
      <c r="E64890" s="8"/>
      <c r="F64890" s="8"/>
      <c r="G64890" s="8"/>
      <c r="H64890" s="8"/>
      <c r="I64890" s="63"/>
      <c r="J64890" s="8"/>
      <c r="K64890" s="8"/>
      <c r="L64890" s="8"/>
      <c r="M64890" s="8"/>
      <c r="N64890" s="8"/>
      <c r="O64890" s="8"/>
      <c r="P64890" s="8"/>
      <c r="Q64890" s="8"/>
      <c r="R64890" s="64"/>
    </row>
    <row r="64891" spans="1:18" x14ac:dyDescent="0.25">
      <c r="A64891" s="8"/>
      <c r="B64891" s="8"/>
      <c r="C64891" s="60"/>
      <c r="D64891" s="8"/>
      <c r="E64891" s="8"/>
      <c r="F64891" s="8"/>
      <c r="G64891" s="8"/>
      <c r="H64891" s="8"/>
      <c r="I64891" s="63"/>
      <c r="J64891" s="8"/>
      <c r="K64891" s="8"/>
      <c r="L64891" s="8"/>
      <c r="M64891" s="8"/>
      <c r="N64891" s="8"/>
      <c r="O64891" s="8"/>
      <c r="P64891" s="8"/>
      <c r="Q64891" s="8"/>
      <c r="R64891" s="64"/>
    </row>
    <row r="64892" spans="1:18" x14ac:dyDescent="0.25">
      <c r="A64892" s="8"/>
      <c r="B64892" s="8"/>
      <c r="C64892" s="60"/>
      <c r="D64892" s="8"/>
      <c r="E64892" s="8"/>
      <c r="F64892" s="8"/>
      <c r="G64892" s="8"/>
      <c r="H64892" s="8"/>
      <c r="I64892" s="63"/>
      <c r="J64892" s="8"/>
      <c r="K64892" s="8"/>
      <c r="L64892" s="8"/>
      <c r="M64892" s="8"/>
      <c r="N64892" s="8"/>
      <c r="O64892" s="8"/>
      <c r="P64892" s="8"/>
      <c r="Q64892" s="8"/>
      <c r="R64892" s="64"/>
    </row>
    <row r="64893" spans="1:18" x14ac:dyDescent="0.25">
      <c r="A64893" s="8"/>
      <c r="B64893" s="8"/>
      <c r="C64893" s="60"/>
      <c r="D64893" s="8"/>
      <c r="E64893" s="8"/>
      <c r="F64893" s="8"/>
      <c r="G64893" s="8"/>
      <c r="H64893" s="8"/>
      <c r="I64893" s="63"/>
      <c r="J64893" s="8"/>
      <c r="K64893" s="8"/>
      <c r="L64893" s="8"/>
      <c r="M64893" s="8"/>
      <c r="N64893" s="8"/>
      <c r="O64893" s="8"/>
      <c r="P64893" s="8"/>
      <c r="Q64893" s="8"/>
      <c r="R64893" s="64"/>
    </row>
    <row r="64894" spans="1:18" x14ac:dyDescent="0.25">
      <c r="A64894" s="8"/>
      <c r="B64894" s="8"/>
      <c r="C64894" s="60"/>
      <c r="D64894" s="8"/>
      <c r="E64894" s="8"/>
      <c r="F64894" s="8"/>
      <c r="G64894" s="8"/>
      <c r="H64894" s="8"/>
      <c r="I64894" s="63"/>
      <c r="J64894" s="8"/>
      <c r="K64894" s="8"/>
      <c r="L64894" s="8"/>
      <c r="M64894" s="8"/>
      <c r="N64894" s="8"/>
      <c r="O64894" s="8"/>
      <c r="P64894" s="8"/>
      <c r="Q64894" s="8"/>
      <c r="R64894" s="64"/>
    </row>
    <row r="64895" spans="1:18" x14ac:dyDescent="0.25">
      <c r="A64895" s="8"/>
      <c r="B64895" s="8"/>
      <c r="C64895" s="60"/>
      <c r="D64895" s="8"/>
      <c r="E64895" s="8"/>
      <c r="F64895" s="8"/>
      <c r="G64895" s="8"/>
      <c r="H64895" s="8"/>
      <c r="I64895" s="63"/>
      <c r="J64895" s="8"/>
      <c r="K64895" s="8"/>
      <c r="L64895" s="8"/>
      <c r="M64895" s="8"/>
      <c r="N64895" s="8"/>
      <c r="O64895" s="8"/>
      <c r="P64895" s="8"/>
      <c r="Q64895" s="8"/>
      <c r="R64895" s="64"/>
    </row>
    <row r="64896" spans="1:18" x14ac:dyDescent="0.25">
      <c r="A64896" s="8"/>
      <c r="B64896" s="8"/>
      <c r="C64896" s="60"/>
      <c r="D64896" s="8"/>
      <c r="E64896" s="8"/>
      <c r="F64896" s="8"/>
      <c r="G64896" s="8"/>
      <c r="H64896" s="8"/>
      <c r="I64896" s="63"/>
      <c r="J64896" s="8"/>
      <c r="K64896" s="8"/>
      <c r="L64896" s="8"/>
      <c r="M64896" s="8"/>
      <c r="N64896" s="8"/>
      <c r="O64896" s="8"/>
      <c r="P64896" s="8"/>
      <c r="Q64896" s="8"/>
      <c r="R64896" s="64"/>
    </row>
    <row r="64897" spans="1:18" x14ac:dyDescent="0.25">
      <c r="A64897" s="8"/>
      <c r="B64897" s="8"/>
      <c r="C64897" s="60"/>
      <c r="D64897" s="8"/>
      <c r="E64897" s="8"/>
      <c r="F64897" s="8"/>
      <c r="G64897" s="8"/>
      <c r="H64897" s="8"/>
      <c r="I64897" s="63"/>
      <c r="J64897" s="8"/>
      <c r="K64897" s="8"/>
      <c r="L64897" s="8"/>
      <c r="M64897" s="8"/>
      <c r="N64897" s="8"/>
      <c r="O64897" s="8"/>
      <c r="P64897" s="8"/>
      <c r="Q64897" s="8"/>
      <c r="R64897" s="64"/>
    </row>
    <row r="64898" spans="1:18" x14ac:dyDescent="0.25">
      <c r="A64898" s="8"/>
      <c r="B64898" s="8"/>
      <c r="C64898" s="60"/>
      <c r="D64898" s="8"/>
      <c r="E64898" s="8"/>
      <c r="F64898" s="8"/>
      <c r="G64898" s="8"/>
      <c r="H64898" s="8"/>
      <c r="I64898" s="63"/>
      <c r="J64898" s="8"/>
      <c r="K64898" s="8"/>
      <c r="L64898" s="8"/>
      <c r="M64898" s="8"/>
      <c r="N64898" s="8"/>
      <c r="O64898" s="8"/>
      <c r="P64898" s="8"/>
      <c r="Q64898" s="8"/>
      <c r="R64898" s="64"/>
    </row>
    <row r="64899" spans="1:18" x14ac:dyDescent="0.25">
      <c r="A64899" s="8"/>
      <c r="B64899" s="8"/>
      <c r="C64899" s="60"/>
      <c r="D64899" s="8"/>
      <c r="E64899" s="8"/>
      <c r="F64899" s="8"/>
      <c r="G64899" s="8"/>
      <c r="H64899" s="8"/>
      <c r="I64899" s="63"/>
      <c r="J64899" s="8"/>
      <c r="K64899" s="8"/>
      <c r="L64899" s="8"/>
      <c r="M64899" s="8"/>
      <c r="N64899" s="8"/>
      <c r="O64899" s="8"/>
      <c r="P64899" s="8"/>
      <c r="Q64899" s="8"/>
      <c r="R64899" s="64"/>
    </row>
    <row r="64900" spans="1:18" x14ac:dyDescent="0.25">
      <c r="A64900" s="8"/>
      <c r="B64900" s="8"/>
      <c r="C64900" s="60"/>
      <c r="D64900" s="8"/>
      <c r="E64900" s="8"/>
      <c r="F64900" s="8"/>
      <c r="G64900" s="8"/>
      <c r="H64900" s="8"/>
      <c r="I64900" s="63"/>
      <c r="J64900" s="8"/>
      <c r="K64900" s="8"/>
      <c r="L64900" s="8"/>
      <c r="M64900" s="8"/>
      <c r="N64900" s="8"/>
      <c r="O64900" s="8"/>
      <c r="P64900" s="8"/>
      <c r="Q64900" s="8"/>
      <c r="R64900" s="64"/>
    </row>
    <row r="64901" spans="1:18" x14ac:dyDescent="0.25">
      <c r="A64901" s="8"/>
      <c r="B64901" s="8"/>
      <c r="C64901" s="60"/>
      <c r="D64901" s="8"/>
      <c r="E64901" s="8"/>
      <c r="F64901" s="8"/>
      <c r="G64901" s="8"/>
      <c r="H64901" s="8"/>
      <c r="I64901" s="63"/>
      <c r="J64901" s="8"/>
      <c r="K64901" s="8"/>
      <c r="L64901" s="8"/>
      <c r="M64901" s="8"/>
      <c r="N64901" s="8"/>
      <c r="O64901" s="8"/>
      <c r="P64901" s="8"/>
      <c r="Q64901" s="8"/>
      <c r="R64901" s="64"/>
    </row>
    <row r="64902" spans="1:18" x14ac:dyDescent="0.25">
      <c r="A64902" s="8"/>
      <c r="B64902" s="8"/>
      <c r="C64902" s="60"/>
      <c r="D64902" s="8"/>
      <c r="E64902" s="8"/>
      <c r="F64902" s="8"/>
      <c r="G64902" s="8"/>
      <c r="H64902" s="8"/>
      <c r="I64902" s="63"/>
      <c r="J64902" s="8"/>
      <c r="K64902" s="8"/>
      <c r="L64902" s="8"/>
      <c r="M64902" s="8"/>
      <c r="N64902" s="8"/>
      <c r="O64902" s="8"/>
      <c r="P64902" s="8"/>
      <c r="Q64902" s="8"/>
      <c r="R64902" s="64"/>
    </row>
    <row r="64903" spans="1:18" x14ac:dyDescent="0.25">
      <c r="A64903" s="8"/>
      <c r="B64903" s="8"/>
      <c r="C64903" s="60"/>
      <c r="D64903" s="8"/>
      <c r="E64903" s="8"/>
      <c r="F64903" s="8"/>
      <c r="G64903" s="8"/>
      <c r="H64903" s="8"/>
      <c r="I64903" s="63"/>
      <c r="J64903" s="8"/>
      <c r="K64903" s="8"/>
      <c r="L64903" s="8"/>
      <c r="M64903" s="8"/>
      <c r="N64903" s="8"/>
      <c r="O64903" s="8"/>
      <c r="P64903" s="8"/>
      <c r="Q64903" s="8"/>
      <c r="R64903" s="64"/>
    </row>
    <row r="64904" spans="1:18" x14ac:dyDescent="0.25">
      <c r="A64904" s="8"/>
      <c r="B64904" s="8"/>
      <c r="C64904" s="60"/>
      <c r="D64904" s="8"/>
      <c r="E64904" s="8"/>
      <c r="F64904" s="8"/>
      <c r="G64904" s="8"/>
      <c r="H64904" s="8"/>
      <c r="I64904" s="63"/>
      <c r="J64904" s="8"/>
      <c r="K64904" s="8"/>
      <c r="L64904" s="8"/>
      <c r="M64904" s="8"/>
      <c r="N64904" s="8"/>
      <c r="O64904" s="8"/>
      <c r="P64904" s="8"/>
      <c r="Q64904" s="8"/>
      <c r="R64904" s="64"/>
    </row>
    <row r="64905" spans="1:18" x14ac:dyDescent="0.25">
      <c r="A64905" s="8"/>
      <c r="B64905" s="8"/>
      <c r="C64905" s="60"/>
      <c r="D64905" s="8"/>
      <c r="E64905" s="8"/>
      <c r="F64905" s="8"/>
      <c r="G64905" s="8"/>
      <c r="H64905" s="8"/>
      <c r="I64905" s="63"/>
      <c r="J64905" s="8"/>
      <c r="K64905" s="8"/>
      <c r="L64905" s="8"/>
      <c r="M64905" s="8"/>
      <c r="N64905" s="8"/>
      <c r="O64905" s="8"/>
      <c r="P64905" s="8"/>
      <c r="Q64905" s="8"/>
      <c r="R64905" s="64"/>
    </row>
    <row r="64906" spans="1:18" x14ac:dyDescent="0.25">
      <c r="A64906" s="8"/>
      <c r="B64906" s="8"/>
      <c r="C64906" s="60"/>
      <c r="D64906" s="8"/>
      <c r="E64906" s="8"/>
      <c r="F64906" s="8"/>
      <c r="G64906" s="8"/>
      <c r="H64906" s="8"/>
      <c r="I64906" s="63"/>
      <c r="J64906" s="8"/>
      <c r="K64906" s="8"/>
      <c r="L64906" s="8"/>
      <c r="M64906" s="8"/>
      <c r="N64906" s="8"/>
      <c r="O64906" s="8"/>
      <c r="P64906" s="8"/>
      <c r="Q64906" s="8"/>
      <c r="R64906" s="64"/>
    </row>
    <row r="64907" spans="1:18" x14ac:dyDescent="0.25">
      <c r="A64907" s="8"/>
      <c r="B64907" s="8"/>
      <c r="C64907" s="60"/>
      <c r="D64907" s="8"/>
      <c r="E64907" s="8"/>
      <c r="F64907" s="8"/>
      <c r="G64907" s="8"/>
      <c r="H64907" s="8"/>
      <c r="I64907" s="63"/>
      <c r="J64907" s="8"/>
      <c r="K64907" s="8"/>
      <c r="L64907" s="8"/>
      <c r="M64907" s="8"/>
      <c r="N64907" s="8"/>
      <c r="O64907" s="8"/>
      <c r="P64907" s="8"/>
      <c r="Q64907" s="8"/>
      <c r="R64907" s="64"/>
    </row>
    <row r="64908" spans="1:18" x14ac:dyDescent="0.25">
      <c r="A64908" s="8"/>
      <c r="B64908" s="8"/>
      <c r="C64908" s="60"/>
      <c r="D64908" s="8"/>
      <c r="E64908" s="8"/>
      <c r="F64908" s="8"/>
      <c r="G64908" s="8"/>
      <c r="H64908" s="8"/>
      <c r="I64908" s="63"/>
      <c r="J64908" s="8"/>
      <c r="K64908" s="8"/>
      <c r="L64908" s="8"/>
      <c r="M64908" s="8"/>
      <c r="N64908" s="8"/>
      <c r="O64908" s="8"/>
      <c r="P64908" s="8"/>
      <c r="Q64908" s="8"/>
      <c r="R64908" s="64"/>
    </row>
    <row r="64909" spans="1:18" x14ac:dyDescent="0.25">
      <c r="A64909" s="8"/>
      <c r="B64909" s="8"/>
      <c r="C64909" s="60"/>
      <c r="D64909" s="8"/>
      <c r="E64909" s="8"/>
      <c r="F64909" s="8"/>
      <c r="G64909" s="8"/>
      <c r="H64909" s="8"/>
      <c r="I64909" s="63"/>
      <c r="J64909" s="8"/>
      <c r="K64909" s="8"/>
      <c r="L64909" s="8"/>
      <c r="M64909" s="8"/>
      <c r="N64909" s="8"/>
      <c r="O64909" s="8"/>
      <c r="P64909" s="8"/>
      <c r="Q64909" s="8"/>
      <c r="R64909" s="64"/>
    </row>
    <row r="64910" spans="1:18" x14ac:dyDescent="0.25">
      <c r="A64910" s="8"/>
      <c r="B64910" s="8"/>
      <c r="C64910" s="60"/>
      <c r="D64910" s="8"/>
      <c r="E64910" s="8"/>
      <c r="F64910" s="8"/>
      <c r="G64910" s="8"/>
      <c r="H64910" s="8"/>
      <c r="I64910" s="63"/>
      <c r="J64910" s="8"/>
      <c r="K64910" s="8"/>
      <c r="L64910" s="8"/>
      <c r="M64910" s="8"/>
      <c r="N64910" s="8"/>
      <c r="O64910" s="8"/>
      <c r="P64910" s="8"/>
      <c r="Q64910" s="8"/>
      <c r="R64910" s="64"/>
    </row>
    <row r="64911" spans="1:18" x14ac:dyDescent="0.25">
      <c r="A64911" s="8"/>
      <c r="B64911" s="8"/>
      <c r="C64911" s="60"/>
      <c r="D64911" s="8"/>
      <c r="E64911" s="8"/>
      <c r="F64911" s="8"/>
      <c r="G64911" s="8"/>
      <c r="H64911" s="8"/>
      <c r="I64911" s="63"/>
      <c r="J64911" s="8"/>
      <c r="K64911" s="8"/>
      <c r="L64911" s="8"/>
      <c r="M64911" s="8"/>
      <c r="N64911" s="8"/>
      <c r="O64911" s="8"/>
      <c r="P64911" s="8"/>
      <c r="Q64911" s="8"/>
      <c r="R64911" s="64"/>
    </row>
    <row r="64912" spans="1:18" x14ac:dyDescent="0.25">
      <c r="A64912" s="8"/>
      <c r="B64912" s="8"/>
      <c r="C64912" s="60"/>
      <c r="D64912" s="8"/>
      <c r="E64912" s="8"/>
      <c r="F64912" s="8"/>
      <c r="G64912" s="8"/>
      <c r="H64912" s="8"/>
      <c r="I64912" s="63"/>
      <c r="J64912" s="8"/>
      <c r="K64912" s="8"/>
      <c r="L64912" s="8"/>
      <c r="M64912" s="8"/>
      <c r="N64912" s="8"/>
      <c r="O64912" s="8"/>
      <c r="P64912" s="8"/>
      <c r="Q64912" s="8"/>
      <c r="R64912" s="64"/>
    </row>
    <row r="64913" spans="1:18" x14ac:dyDescent="0.25">
      <c r="A64913" s="8"/>
      <c r="B64913" s="8"/>
      <c r="C64913" s="60"/>
      <c r="D64913" s="8"/>
      <c r="E64913" s="8"/>
      <c r="F64913" s="8"/>
      <c r="G64913" s="8"/>
      <c r="H64913" s="8"/>
      <c r="I64913" s="63"/>
      <c r="J64913" s="8"/>
      <c r="K64913" s="8"/>
      <c r="L64913" s="8"/>
      <c r="M64913" s="8"/>
      <c r="N64913" s="8"/>
      <c r="O64913" s="8"/>
      <c r="P64913" s="8"/>
      <c r="Q64913" s="8"/>
      <c r="R64913" s="64"/>
    </row>
    <row r="64914" spans="1:18" x14ac:dyDescent="0.25">
      <c r="A64914" s="8"/>
      <c r="B64914" s="8"/>
      <c r="C64914" s="60"/>
      <c r="D64914" s="8"/>
      <c r="E64914" s="8"/>
      <c r="F64914" s="8"/>
      <c r="G64914" s="8"/>
      <c r="H64914" s="8"/>
      <c r="I64914" s="63"/>
      <c r="J64914" s="8"/>
      <c r="K64914" s="8"/>
      <c r="L64914" s="8"/>
      <c r="M64914" s="8"/>
      <c r="N64914" s="8"/>
      <c r="O64914" s="8"/>
      <c r="P64914" s="8"/>
      <c r="Q64914" s="8"/>
      <c r="R64914" s="64"/>
    </row>
    <row r="64915" spans="1:18" x14ac:dyDescent="0.25">
      <c r="A64915" s="8"/>
      <c r="B64915" s="8"/>
      <c r="C64915" s="60"/>
      <c r="D64915" s="8"/>
      <c r="E64915" s="8"/>
      <c r="F64915" s="8"/>
      <c r="G64915" s="8"/>
      <c r="H64915" s="8"/>
      <c r="I64915" s="63"/>
      <c r="J64915" s="8"/>
      <c r="K64915" s="8"/>
      <c r="L64915" s="8"/>
      <c r="M64915" s="8"/>
      <c r="N64915" s="8"/>
      <c r="O64915" s="8"/>
      <c r="P64915" s="8"/>
      <c r="Q64915" s="8"/>
      <c r="R64915" s="64"/>
    </row>
    <row r="64916" spans="1:18" x14ac:dyDescent="0.25">
      <c r="A64916" s="8"/>
      <c r="B64916" s="8"/>
      <c r="C64916" s="60"/>
      <c r="D64916" s="8"/>
      <c r="E64916" s="8"/>
      <c r="F64916" s="8"/>
      <c r="G64916" s="8"/>
      <c r="H64916" s="8"/>
      <c r="I64916" s="63"/>
      <c r="J64916" s="8"/>
      <c r="K64916" s="8"/>
      <c r="L64916" s="8"/>
      <c r="M64916" s="8"/>
      <c r="N64916" s="8"/>
      <c r="O64916" s="8"/>
      <c r="P64916" s="8"/>
      <c r="Q64916" s="8"/>
      <c r="R64916" s="64"/>
    </row>
    <row r="64917" spans="1:18" x14ac:dyDescent="0.25">
      <c r="A64917" s="8"/>
      <c r="B64917" s="8"/>
      <c r="C64917" s="60"/>
      <c r="D64917" s="8"/>
      <c r="E64917" s="8"/>
      <c r="F64917" s="8"/>
      <c r="G64917" s="8"/>
      <c r="H64917" s="8"/>
      <c r="I64917" s="63"/>
      <c r="J64917" s="8"/>
      <c r="K64917" s="8"/>
      <c r="L64917" s="8"/>
      <c r="M64917" s="8"/>
      <c r="N64917" s="8"/>
      <c r="O64917" s="8"/>
      <c r="P64917" s="8"/>
      <c r="Q64917" s="8"/>
      <c r="R64917" s="64"/>
    </row>
    <row r="64918" spans="1:18" x14ac:dyDescent="0.25">
      <c r="A64918" s="8"/>
      <c r="B64918" s="8"/>
      <c r="C64918" s="60"/>
      <c r="D64918" s="8"/>
      <c r="E64918" s="8"/>
      <c r="F64918" s="8"/>
      <c r="G64918" s="8"/>
      <c r="H64918" s="8"/>
      <c r="I64918" s="63"/>
      <c r="J64918" s="8"/>
      <c r="K64918" s="8"/>
      <c r="L64918" s="8"/>
      <c r="M64918" s="8"/>
      <c r="N64918" s="8"/>
      <c r="O64918" s="8"/>
      <c r="P64918" s="8"/>
      <c r="Q64918" s="8"/>
      <c r="R64918" s="64"/>
    </row>
    <row r="64919" spans="1:18" x14ac:dyDescent="0.25">
      <c r="A64919" s="8"/>
      <c r="B64919" s="8"/>
      <c r="C64919" s="60"/>
      <c r="D64919" s="8"/>
      <c r="E64919" s="8"/>
      <c r="F64919" s="8"/>
      <c r="G64919" s="8"/>
      <c r="H64919" s="8"/>
      <c r="I64919" s="63"/>
      <c r="J64919" s="8"/>
      <c r="K64919" s="8"/>
      <c r="L64919" s="8"/>
      <c r="M64919" s="8"/>
      <c r="N64919" s="8"/>
      <c r="O64919" s="8"/>
      <c r="P64919" s="8"/>
      <c r="Q64919" s="8"/>
      <c r="R64919" s="64"/>
    </row>
    <row r="64920" spans="1:18" x14ac:dyDescent="0.25">
      <c r="A64920" s="8"/>
      <c r="B64920" s="8"/>
      <c r="C64920" s="60"/>
      <c r="D64920" s="8"/>
      <c r="E64920" s="8"/>
      <c r="F64920" s="8"/>
      <c r="G64920" s="8"/>
      <c r="H64920" s="8"/>
      <c r="I64920" s="63"/>
      <c r="J64920" s="8"/>
      <c r="K64920" s="8"/>
      <c r="L64920" s="8"/>
      <c r="M64920" s="8"/>
      <c r="N64920" s="8"/>
      <c r="O64920" s="8"/>
      <c r="P64920" s="8"/>
      <c r="Q64920" s="8"/>
      <c r="R64920" s="64"/>
    </row>
    <row r="64921" spans="1:18" x14ac:dyDescent="0.25">
      <c r="A64921" s="8"/>
      <c r="B64921" s="8"/>
      <c r="C64921" s="60"/>
      <c r="D64921" s="8"/>
      <c r="E64921" s="8"/>
      <c r="F64921" s="8"/>
      <c r="G64921" s="8"/>
      <c r="H64921" s="8"/>
      <c r="I64921" s="63"/>
      <c r="J64921" s="8"/>
      <c r="K64921" s="8"/>
      <c r="L64921" s="8"/>
      <c r="M64921" s="8"/>
      <c r="N64921" s="8"/>
      <c r="O64921" s="8"/>
      <c r="P64921" s="8"/>
      <c r="Q64921" s="8"/>
      <c r="R64921" s="64"/>
    </row>
    <row r="64922" spans="1:18" x14ac:dyDescent="0.25">
      <c r="A64922" s="8"/>
      <c r="B64922" s="8"/>
      <c r="C64922" s="60"/>
      <c r="D64922" s="8"/>
      <c r="E64922" s="8"/>
      <c r="F64922" s="8"/>
      <c r="G64922" s="8"/>
      <c r="H64922" s="8"/>
      <c r="I64922" s="63"/>
      <c r="J64922" s="8"/>
      <c r="K64922" s="8"/>
      <c r="L64922" s="8"/>
      <c r="M64922" s="8"/>
      <c r="N64922" s="8"/>
      <c r="O64922" s="8"/>
      <c r="P64922" s="8"/>
      <c r="Q64922" s="8"/>
      <c r="R64922" s="64"/>
    </row>
    <row r="64923" spans="1:18" x14ac:dyDescent="0.25">
      <c r="A64923" s="8"/>
      <c r="B64923" s="8"/>
      <c r="C64923" s="60"/>
      <c r="D64923" s="8"/>
      <c r="E64923" s="8"/>
      <c r="F64923" s="8"/>
      <c r="G64923" s="8"/>
      <c r="H64923" s="8"/>
      <c r="I64923" s="63"/>
      <c r="J64923" s="8"/>
      <c r="K64923" s="8"/>
      <c r="L64923" s="8"/>
      <c r="M64923" s="8"/>
      <c r="N64923" s="8"/>
      <c r="O64923" s="8"/>
      <c r="P64923" s="8"/>
      <c r="Q64923" s="8"/>
      <c r="R64923" s="64"/>
    </row>
    <row r="64924" spans="1:18" x14ac:dyDescent="0.25">
      <c r="A64924" s="8"/>
      <c r="B64924" s="8"/>
      <c r="C64924" s="60"/>
      <c r="D64924" s="8"/>
      <c r="E64924" s="8"/>
      <c r="F64924" s="8"/>
      <c r="G64924" s="8"/>
      <c r="H64924" s="8"/>
      <c r="I64924" s="63"/>
      <c r="J64924" s="8"/>
      <c r="K64924" s="8"/>
      <c r="L64924" s="8"/>
      <c r="M64924" s="8"/>
      <c r="N64924" s="8"/>
      <c r="O64924" s="8"/>
      <c r="P64924" s="8"/>
      <c r="Q64924" s="8"/>
      <c r="R64924" s="64"/>
    </row>
    <row r="64925" spans="1:18" x14ac:dyDescent="0.25">
      <c r="A64925" s="8"/>
      <c r="B64925" s="8"/>
      <c r="C64925" s="60"/>
      <c r="D64925" s="8"/>
      <c r="E64925" s="8"/>
      <c r="F64925" s="8"/>
      <c r="G64925" s="8"/>
      <c r="H64925" s="8"/>
      <c r="I64925" s="63"/>
      <c r="J64925" s="8"/>
      <c r="K64925" s="8"/>
      <c r="L64925" s="8"/>
      <c r="M64925" s="8"/>
      <c r="N64925" s="8"/>
      <c r="O64925" s="8"/>
      <c r="P64925" s="8"/>
      <c r="Q64925" s="8"/>
      <c r="R64925" s="64"/>
    </row>
    <row r="64926" spans="1:18" x14ac:dyDescent="0.25">
      <c r="A64926" s="8"/>
      <c r="B64926" s="8"/>
      <c r="C64926" s="60"/>
      <c r="D64926" s="8"/>
      <c r="E64926" s="8"/>
      <c r="F64926" s="8"/>
      <c r="G64926" s="8"/>
      <c r="H64926" s="8"/>
      <c r="I64926" s="63"/>
      <c r="J64926" s="8"/>
      <c r="K64926" s="8"/>
      <c r="L64926" s="8"/>
      <c r="M64926" s="8"/>
      <c r="N64926" s="8"/>
      <c r="O64926" s="8"/>
      <c r="P64926" s="8"/>
      <c r="Q64926" s="8"/>
      <c r="R64926" s="64"/>
    </row>
    <row r="64927" spans="1:18" x14ac:dyDescent="0.25">
      <c r="A64927" s="8"/>
      <c r="B64927" s="8"/>
      <c r="C64927" s="60"/>
      <c r="D64927" s="8"/>
      <c r="E64927" s="8"/>
      <c r="F64927" s="8"/>
      <c r="G64927" s="8"/>
      <c r="H64927" s="8"/>
      <c r="I64927" s="63"/>
      <c r="J64927" s="8"/>
      <c r="K64927" s="8"/>
      <c r="L64927" s="8"/>
      <c r="M64927" s="8"/>
      <c r="N64927" s="8"/>
      <c r="O64927" s="8"/>
      <c r="P64927" s="8"/>
      <c r="Q64927" s="8"/>
      <c r="R64927" s="64"/>
    </row>
    <row r="64928" spans="1:18" x14ac:dyDescent="0.25">
      <c r="A64928" s="8"/>
      <c r="B64928" s="8"/>
      <c r="C64928" s="60"/>
      <c r="D64928" s="8"/>
      <c r="E64928" s="8"/>
      <c r="F64928" s="8"/>
      <c r="G64928" s="8"/>
      <c r="H64928" s="8"/>
      <c r="I64928" s="63"/>
      <c r="J64928" s="8"/>
      <c r="K64928" s="8"/>
      <c r="L64928" s="8"/>
      <c r="M64928" s="8"/>
      <c r="N64928" s="8"/>
      <c r="O64928" s="8"/>
      <c r="P64928" s="8"/>
      <c r="Q64928" s="8"/>
      <c r="R64928" s="64"/>
    </row>
    <row r="64929" spans="1:18" x14ac:dyDescent="0.25">
      <c r="A64929" s="8"/>
      <c r="B64929" s="8"/>
      <c r="C64929" s="60"/>
      <c r="D64929" s="8"/>
      <c r="E64929" s="8"/>
      <c r="F64929" s="8"/>
      <c r="G64929" s="8"/>
      <c r="H64929" s="8"/>
      <c r="I64929" s="63"/>
      <c r="J64929" s="8"/>
      <c r="K64929" s="8"/>
      <c r="L64929" s="8"/>
      <c r="M64929" s="8"/>
      <c r="N64929" s="8"/>
      <c r="O64929" s="8"/>
      <c r="P64929" s="8"/>
      <c r="Q64929" s="8"/>
      <c r="R64929" s="64"/>
    </row>
    <row r="64930" spans="1:18" x14ac:dyDescent="0.25">
      <c r="A64930" s="8"/>
      <c r="B64930" s="8"/>
      <c r="C64930" s="60"/>
      <c r="D64930" s="8"/>
      <c r="E64930" s="8"/>
      <c r="F64930" s="8"/>
      <c r="G64930" s="8"/>
      <c r="H64930" s="8"/>
      <c r="I64930" s="63"/>
      <c r="J64930" s="8"/>
      <c r="K64930" s="8"/>
      <c r="L64930" s="8"/>
      <c r="M64930" s="8"/>
      <c r="N64930" s="8"/>
      <c r="O64930" s="8"/>
      <c r="P64930" s="8"/>
      <c r="Q64930" s="8"/>
      <c r="R64930" s="64"/>
    </row>
    <row r="64931" spans="1:18" x14ac:dyDescent="0.25">
      <c r="A64931" s="8"/>
      <c r="B64931" s="8"/>
      <c r="C64931" s="60"/>
      <c r="D64931" s="8"/>
      <c r="E64931" s="8"/>
      <c r="F64931" s="8"/>
      <c r="G64931" s="8"/>
      <c r="H64931" s="8"/>
      <c r="I64931" s="63"/>
      <c r="J64931" s="8"/>
      <c r="K64931" s="8"/>
      <c r="L64931" s="8"/>
      <c r="M64931" s="8"/>
      <c r="N64931" s="8"/>
      <c r="O64931" s="8"/>
      <c r="P64931" s="8"/>
      <c r="Q64931" s="8"/>
      <c r="R64931" s="64"/>
    </row>
    <row r="64932" spans="1:18" x14ac:dyDescent="0.25">
      <c r="A64932" s="8"/>
      <c r="B64932" s="8"/>
      <c r="C64932" s="60"/>
      <c r="D64932" s="8"/>
      <c r="E64932" s="8"/>
      <c r="F64932" s="8"/>
      <c r="G64932" s="8"/>
      <c r="H64932" s="8"/>
      <c r="I64932" s="63"/>
      <c r="J64932" s="8"/>
      <c r="K64932" s="8"/>
      <c r="L64932" s="8"/>
      <c r="M64932" s="8"/>
      <c r="N64932" s="8"/>
      <c r="O64932" s="8"/>
      <c r="P64932" s="8"/>
      <c r="Q64932" s="8"/>
      <c r="R64932" s="64"/>
    </row>
    <row r="64933" spans="1:18" x14ac:dyDescent="0.25">
      <c r="A64933" s="8"/>
      <c r="B64933" s="8"/>
      <c r="C64933" s="60"/>
      <c r="D64933" s="8"/>
      <c r="E64933" s="8"/>
      <c r="F64933" s="8"/>
      <c r="G64933" s="8"/>
      <c r="H64933" s="8"/>
      <c r="I64933" s="63"/>
      <c r="J64933" s="8"/>
      <c r="K64933" s="8"/>
      <c r="L64933" s="8"/>
      <c r="M64933" s="8"/>
      <c r="N64933" s="8"/>
      <c r="O64933" s="8"/>
      <c r="P64933" s="8"/>
      <c r="Q64933" s="8"/>
      <c r="R64933" s="64"/>
    </row>
    <row r="64934" spans="1:18" x14ac:dyDescent="0.25">
      <c r="A64934" s="8"/>
      <c r="B64934" s="8"/>
      <c r="C64934" s="60"/>
      <c r="D64934" s="8"/>
      <c r="E64934" s="8"/>
      <c r="F64934" s="8"/>
      <c r="G64934" s="8"/>
      <c r="H64934" s="8"/>
      <c r="I64934" s="63"/>
      <c r="J64934" s="8"/>
      <c r="K64934" s="8"/>
      <c r="L64934" s="8"/>
      <c r="M64934" s="8"/>
      <c r="N64934" s="8"/>
      <c r="O64934" s="8"/>
      <c r="P64934" s="8"/>
      <c r="Q64934" s="8"/>
      <c r="R64934" s="64"/>
    </row>
    <row r="64935" spans="1:18" x14ac:dyDescent="0.25">
      <c r="A64935" s="8"/>
      <c r="B64935" s="8"/>
      <c r="C64935" s="60"/>
      <c r="D64935" s="8"/>
      <c r="E64935" s="8"/>
      <c r="F64935" s="8"/>
      <c r="G64935" s="8"/>
      <c r="H64935" s="8"/>
      <c r="I64935" s="63"/>
      <c r="J64935" s="8"/>
      <c r="K64935" s="8"/>
      <c r="L64935" s="8"/>
      <c r="M64935" s="8"/>
      <c r="N64935" s="8"/>
      <c r="O64935" s="8"/>
      <c r="P64935" s="8"/>
      <c r="Q64935" s="8"/>
      <c r="R64935" s="64"/>
    </row>
    <row r="64936" spans="1:18" x14ac:dyDescent="0.25">
      <c r="A64936" s="8"/>
      <c r="B64936" s="8"/>
      <c r="C64936" s="60"/>
      <c r="D64936" s="8"/>
      <c r="E64936" s="8"/>
      <c r="F64936" s="8"/>
      <c r="G64936" s="8"/>
      <c r="H64936" s="8"/>
      <c r="I64936" s="63"/>
      <c r="J64936" s="8"/>
      <c r="K64936" s="8"/>
      <c r="L64936" s="8"/>
      <c r="M64936" s="8"/>
      <c r="N64936" s="8"/>
      <c r="O64936" s="8"/>
      <c r="P64936" s="8"/>
      <c r="Q64936" s="8"/>
      <c r="R64936" s="64"/>
    </row>
    <row r="64937" spans="1:18" x14ac:dyDescent="0.25">
      <c r="A64937" s="8"/>
      <c r="B64937" s="8"/>
      <c r="C64937" s="60"/>
      <c r="D64937" s="8"/>
      <c r="E64937" s="8"/>
      <c r="F64937" s="8"/>
      <c r="G64937" s="8"/>
      <c r="H64937" s="8"/>
      <c r="I64937" s="63"/>
      <c r="J64937" s="8"/>
      <c r="K64937" s="8"/>
      <c r="L64937" s="8"/>
      <c r="M64937" s="8"/>
      <c r="N64937" s="8"/>
      <c r="O64937" s="8"/>
      <c r="P64937" s="8"/>
      <c r="Q64937" s="8"/>
      <c r="R64937" s="64"/>
    </row>
    <row r="64938" spans="1:18" x14ac:dyDescent="0.25">
      <c r="A64938" s="8"/>
      <c r="B64938" s="8"/>
      <c r="C64938" s="60"/>
      <c r="D64938" s="8"/>
      <c r="E64938" s="8"/>
      <c r="F64938" s="8"/>
      <c r="G64938" s="8"/>
      <c r="H64938" s="8"/>
      <c r="I64938" s="63"/>
      <c r="J64938" s="8"/>
      <c r="K64938" s="8"/>
      <c r="L64938" s="8"/>
      <c r="M64938" s="8"/>
      <c r="N64938" s="8"/>
      <c r="O64938" s="8"/>
      <c r="P64938" s="8"/>
      <c r="Q64938" s="8"/>
      <c r="R64938" s="64"/>
    </row>
    <row r="64939" spans="1:18" x14ac:dyDescent="0.25">
      <c r="A64939" s="8"/>
      <c r="B64939" s="8"/>
      <c r="C64939" s="60"/>
      <c r="D64939" s="8"/>
      <c r="E64939" s="8"/>
      <c r="F64939" s="8"/>
      <c r="G64939" s="8"/>
      <c r="H64939" s="8"/>
      <c r="I64939" s="63"/>
      <c r="J64939" s="8"/>
      <c r="K64939" s="8"/>
      <c r="L64939" s="8"/>
      <c r="M64939" s="8"/>
      <c r="N64939" s="8"/>
      <c r="O64939" s="8"/>
      <c r="P64939" s="8"/>
      <c r="Q64939" s="8"/>
      <c r="R64939" s="64"/>
    </row>
    <row r="64940" spans="1:18" x14ac:dyDescent="0.25">
      <c r="A64940" s="8"/>
      <c r="B64940" s="8"/>
      <c r="C64940" s="60"/>
      <c r="D64940" s="8"/>
      <c r="E64940" s="8"/>
      <c r="F64940" s="8"/>
      <c r="G64940" s="8"/>
      <c r="H64940" s="8"/>
      <c r="I64940" s="63"/>
      <c r="J64940" s="8"/>
      <c r="K64940" s="8"/>
      <c r="L64940" s="8"/>
      <c r="M64940" s="8"/>
      <c r="N64940" s="8"/>
      <c r="O64940" s="8"/>
      <c r="P64940" s="8"/>
      <c r="Q64940" s="8"/>
      <c r="R64940" s="64"/>
    </row>
    <row r="64941" spans="1:18" x14ac:dyDescent="0.25">
      <c r="A64941" s="8"/>
      <c r="B64941" s="8"/>
      <c r="C64941" s="60"/>
      <c r="D64941" s="8"/>
      <c r="E64941" s="8"/>
      <c r="F64941" s="8"/>
      <c r="G64941" s="8"/>
      <c r="H64941" s="8"/>
      <c r="I64941" s="63"/>
      <c r="J64941" s="8"/>
      <c r="K64941" s="8"/>
      <c r="L64941" s="8"/>
      <c r="M64941" s="8"/>
      <c r="N64941" s="8"/>
      <c r="O64941" s="8"/>
      <c r="P64941" s="8"/>
      <c r="Q64941" s="8"/>
      <c r="R64941" s="64"/>
    </row>
    <row r="64942" spans="1:18" x14ac:dyDescent="0.25">
      <c r="A64942" s="8"/>
      <c r="B64942" s="8"/>
      <c r="C64942" s="60"/>
      <c r="D64942" s="8"/>
      <c r="E64942" s="8"/>
      <c r="F64942" s="8"/>
      <c r="G64942" s="8"/>
      <c r="H64942" s="8"/>
      <c r="I64942" s="63"/>
      <c r="J64942" s="8"/>
      <c r="K64942" s="8"/>
      <c r="L64942" s="8"/>
      <c r="M64942" s="8"/>
      <c r="N64942" s="8"/>
      <c r="O64942" s="8"/>
      <c r="P64942" s="8"/>
      <c r="Q64942" s="8"/>
      <c r="R64942" s="64"/>
    </row>
    <row r="64943" spans="1:18" x14ac:dyDescent="0.25">
      <c r="A64943" s="8"/>
      <c r="B64943" s="8"/>
      <c r="C64943" s="60"/>
      <c r="D64943" s="8"/>
      <c r="E64943" s="8"/>
      <c r="F64943" s="8"/>
      <c r="G64943" s="8"/>
      <c r="H64943" s="8"/>
      <c r="I64943" s="63"/>
      <c r="J64943" s="8"/>
      <c r="K64943" s="8"/>
      <c r="L64943" s="8"/>
      <c r="M64943" s="8"/>
      <c r="N64943" s="8"/>
      <c r="O64943" s="8"/>
      <c r="P64943" s="8"/>
      <c r="Q64943" s="8"/>
      <c r="R64943" s="64"/>
    </row>
    <row r="64944" spans="1:18" x14ac:dyDescent="0.25">
      <c r="A64944" s="8"/>
      <c r="B64944" s="8"/>
      <c r="C64944" s="60"/>
      <c r="D64944" s="8"/>
      <c r="E64944" s="8"/>
      <c r="F64944" s="8"/>
      <c r="G64944" s="8"/>
      <c r="H64944" s="8"/>
      <c r="I64944" s="63"/>
      <c r="J64944" s="8"/>
      <c r="K64944" s="8"/>
      <c r="L64944" s="8"/>
      <c r="M64944" s="8"/>
      <c r="N64944" s="8"/>
      <c r="O64944" s="8"/>
      <c r="P64944" s="8"/>
      <c r="Q64944" s="8"/>
      <c r="R64944" s="64"/>
    </row>
    <row r="64945" spans="1:18" x14ac:dyDescent="0.25">
      <c r="A64945" s="8"/>
      <c r="B64945" s="8"/>
      <c r="C64945" s="60"/>
      <c r="D64945" s="8"/>
      <c r="E64945" s="8"/>
      <c r="F64945" s="8"/>
      <c r="G64945" s="8"/>
      <c r="H64945" s="8"/>
      <c r="I64945" s="63"/>
      <c r="J64945" s="8"/>
      <c r="K64945" s="8"/>
      <c r="L64945" s="8"/>
      <c r="M64945" s="8"/>
      <c r="N64945" s="8"/>
      <c r="O64945" s="8"/>
      <c r="P64945" s="8"/>
      <c r="Q64945" s="8"/>
      <c r="R64945" s="64"/>
    </row>
    <row r="64946" spans="1:18" x14ac:dyDescent="0.25">
      <c r="A64946" s="8"/>
      <c r="B64946" s="8"/>
      <c r="C64946" s="60"/>
      <c r="D64946" s="8"/>
      <c r="E64946" s="8"/>
      <c r="F64946" s="8"/>
      <c r="G64946" s="8"/>
      <c r="H64946" s="8"/>
      <c r="I64946" s="63"/>
      <c r="J64946" s="8"/>
      <c r="K64946" s="8"/>
      <c r="L64946" s="8"/>
      <c r="M64946" s="8"/>
      <c r="N64946" s="8"/>
      <c r="O64946" s="8"/>
      <c r="P64946" s="8"/>
      <c r="Q64946" s="8"/>
      <c r="R64946" s="64"/>
    </row>
    <row r="64947" spans="1:18" x14ac:dyDescent="0.25">
      <c r="A64947" s="8"/>
      <c r="B64947" s="8"/>
      <c r="C64947" s="60"/>
      <c r="D64947" s="8"/>
      <c r="E64947" s="8"/>
      <c r="F64947" s="8"/>
      <c r="G64947" s="8"/>
      <c r="H64947" s="8"/>
      <c r="I64947" s="63"/>
      <c r="J64947" s="8"/>
      <c r="K64947" s="8"/>
      <c r="L64947" s="8"/>
      <c r="M64947" s="8"/>
      <c r="N64947" s="8"/>
      <c r="O64947" s="8"/>
      <c r="P64947" s="8"/>
      <c r="Q64947" s="8"/>
      <c r="R64947" s="64"/>
    </row>
    <row r="64948" spans="1:18" x14ac:dyDescent="0.25">
      <c r="A64948" s="8"/>
      <c r="B64948" s="8"/>
      <c r="C64948" s="60"/>
      <c r="D64948" s="8"/>
      <c r="E64948" s="8"/>
      <c r="F64948" s="8"/>
      <c r="G64948" s="8"/>
      <c r="H64948" s="8"/>
      <c r="I64948" s="63"/>
      <c r="J64948" s="8"/>
      <c r="K64948" s="8"/>
      <c r="L64948" s="8"/>
      <c r="M64948" s="8"/>
      <c r="N64948" s="8"/>
      <c r="O64948" s="8"/>
      <c r="P64948" s="8"/>
      <c r="Q64948" s="8"/>
      <c r="R64948" s="64"/>
    </row>
    <row r="64949" spans="1:18" x14ac:dyDescent="0.25">
      <c r="A64949" s="8"/>
      <c r="B64949" s="8"/>
      <c r="C64949" s="60"/>
      <c r="D64949" s="8"/>
      <c r="E64949" s="8"/>
      <c r="F64949" s="8"/>
      <c r="G64949" s="8"/>
      <c r="H64949" s="8"/>
      <c r="I64949" s="63"/>
      <c r="J64949" s="8"/>
      <c r="K64949" s="8"/>
      <c r="L64949" s="8"/>
      <c r="M64949" s="8"/>
      <c r="N64949" s="8"/>
      <c r="O64949" s="8"/>
      <c r="P64949" s="8"/>
      <c r="Q64949" s="8"/>
      <c r="R64949" s="64"/>
    </row>
    <row r="64950" spans="1:18" x14ac:dyDescent="0.25">
      <c r="A64950" s="8"/>
      <c r="B64950" s="8"/>
      <c r="C64950" s="60"/>
      <c r="D64950" s="8"/>
      <c r="E64950" s="8"/>
      <c r="F64950" s="8"/>
      <c r="G64950" s="8"/>
      <c r="H64950" s="8"/>
      <c r="I64950" s="63"/>
      <c r="J64950" s="8"/>
      <c r="K64950" s="8"/>
      <c r="L64950" s="8"/>
      <c r="M64950" s="8"/>
      <c r="N64950" s="8"/>
      <c r="O64950" s="8"/>
      <c r="P64950" s="8"/>
      <c r="Q64950" s="8"/>
      <c r="R64950" s="64"/>
    </row>
    <row r="64951" spans="1:18" x14ac:dyDescent="0.25">
      <c r="A64951" s="8"/>
      <c r="B64951" s="8"/>
      <c r="C64951" s="60"/>
      <c r="D64951" s="8"/>
      <c r="E64951" s="8"/>
      <c r="F64951" s="8"/>
      <c r="G64951" s="8"/>
      <c r="H64951" s="8"/>
      <c r="I64951" s="63"/>
      <c r="J64951" s="8"/>
      <c r="K64951" s="8"/>
      <c r="L64951" s="8"/>
      <c r="M64951" s="8"/>
      <c r="N64951" s="8"/>
      <c r="O64951" s="8"/>
      <c r="P64951" s="8"/>
      <c r="Q64951" s="8"/>
      <c r="R64951" s="64"/>
    </row>
    <row r="64952" spans="1:18" x14ac:dyDescent="0.25">
      <c r="A64952" s="8"/>
      <c r="B64952" s="8"/>
      <c r="C64952" s="60"/>
      <c r="D64952" s="8"/>
      <c r="E64952" s="8"/>
      <c r="F64952" s="8"/>
      <c r="G64952" s="8"/>
      <c r="H64952" s="8"/>
      <c r="I64952" s="63"/>
      <c r="J64952" s="8"/>
      <c r="K64952" s="8"/>
      <c r="L64952" s="8"/>
      <c r="M64952" s="8"/>
      <c r="N64952" s="8"/>
      <c r="O64952" s="8"/>
      <c r="P64952" s="8"/>
      <c r="Q64952" s="8"/>
      <c r="R64952" s="64"/>
    </row>
    <row r="64953" spans="1:18" x14ac:dyDescent="0.25">
      <c r="A64953" s="8"/>
      <c r="B64953" s="8"/>
      <c r="C64953" s="60"/>
      <c r="D64953" s="8"/>
      <c r="E64953" s="8"/>
      <c r="F64953" s="8"/>
      <c r="G64953" s="8"/>
      <c r="H64953" s="8"/>
      <c r="I64953" s="63"/>
      <c r="J64953" s="8"/>
      <c r="K64953" s="8"/>
      <c r="L64953" s="8"/>
      <c r="M64953" s="8"/>
      <c r="N64953" s="8"/>
      <c r="O64953" s="8"/>
      <c r="P64953" s="8"/>
      <c r="Q64953" s="8"/>
      <c r="R64953" s="64"/>
    </row>
    <row r="64954" spans="1:18" x14ac:dyDescent="0.25">
      <c r="A64954" s="8"/>
      <c r="B64954" s="8"/>
      <c r="C64954" s="60"/>
      <c r="D64954" s="8"/>
      <c r="E64954" s="8"/>
      <c r="F64954" s="8"/>
      <c r="G64954" s="8"/>
      <c r="H64954" s="8"/>
      <c r="I64954" s="63"/>
      <c r="J64954" s="8"/>
      <c r="K64954" s="8"/>
      <c r="L64954" s="8"/>
      <c r="M64954" s="8"/>
      <c r="N64954" s="8"/>
      <c r="O64954" s="8"/>
      <c r="P64954" s="8"/>
      <c r="Q64954" s="8"/>
      <c r="R64954" s="64"/>
    </row>
    <row r="64955" spans="1:18" x14ac:dyDescent="0.25">
      <c r="A64955" s="8"/>
      <c r="B64955" s="8"/>
      <c r="C64955" s="60"/>
      <c r="D64955" s="8"/>
      <c r="E64955" s="8"/>
      <c r="F64955" s="8"/>
      <c r="G64955" s="8"/>
      <c r="H64955" s="8"/>
      <c r="I64955" s="63"/>
      <c r="J64955" s="8"/>
      <c r="K64955" s="8"/>
      <c r="L64955" s="8"/>
      <c r="M64955" s="8"/>
      <c r="N64955" s="8"/>
      <c r="O64955" s="8"/>
      <c r="P64955" s="8"/>
      <c r="Q64955" s="8"/>
      <c r="R64955" s="64"/>
    </row>
    <row r="64956" spans="1:18" x14ac:dyDescent="0.25">
      <c r="A64956" s="8"/>
      <c r="B64956" s="8"/>
      <c r="C64956" s="60"/>
      <c r="D64956" s="8"/>
      <c r="E64956" s="8"/>
      <c r="F64956" s="8"/>
      <c r="G64956" s="8"/>
      <c r="H64956" s="8"/>
      <c r="I64956" s="63"/>
      <c r="J64956" s="8"/>
      <c r="K64956" s="8"/>
      <c r="L64956" s="8"/>
      <c r="M64956" s="8"/>
      <c r="N64956" s="8"/>
      <c r="O64956" s="8"/>
      <c r="P64956" s="8"/>
      <c r="Q64956" s="8"/>
      <c r="R64956" s="64"/>
    </row>
    <row r="64957" spans="1:18" x14ac:dyDescent="0.25">
      <c r="A64957" s="8"/>
      <c r="B64957" s="8"/>
      <c r="C64957" s="60"/>
      <c r="D64957" s="8"/>
      <c r="E64957" s="8"/>
      <c r="F64957" s="8"/>
      <c r="G64957" s="8"/>
      <c r="H64957" s="8"/>
      <c r="I64957" s="63"/>
      <c r="J64957" s="8"/>
      <c r="K64957" s="8"/>
      <c r="L64957" s="8"/>
      <c r="M64957" s="8"/>
      <c r="N64957" s="8"/>
      <c r="O64957" s="8"/>
      <c r="P64957" s="8"/>
      <c r="Q64957" s="8"/>
      <c r="R64957" s="64"/>
    </row>
    <row r="64958" spans="1:18" x14ac:dyDescent="0.25">
      <c r="A64958" s="8"/>
      <c r="B64958" s="8"/>
      <c r="C64958" s="60"/>
      <c r="D64958" s="8"/>
      <c r="E64958" s="8"/>
      <c r="F64958" s="8"/>
      <c r="G64958" s="8"/>
      <c r="H64958" s="8"/>
      <c r="I64958" s="63"/>
      <c r="J64958" s="8"/>
      <c r="K64958" s="8"/>
      <c r="L64958" s="8"/>
      <c r="M64958" s="8"/>
      <c r="N64958" s="8"/>
      <c r="O64958" s="8"/>
      <c r="P64958" s="8"/>
      <c r="Q64958" s="8"/>
      <c r="R64958" s="64"/>
    </row>
    <row r="64959" spans="1:18" x14ac:dyDescent="0.25">
      <c r="A64959" s="8"/>
      <c r="B64959" s="8"/>
      <c r="C64959" s="60"/>
      <c r="D64959" s="8"/>
      <c r="E64959" s="8"/>
      <c r="F64959" s="8"/>
      <c r="G64959" s="8"/>
      <c r="H64959" s="8"/>
      <c r="I64959" s="63"/>
      <c r="J64959" s="8"/>
      <c r="K64959" s="8"/>
      <c r="L64959" s="8"/>
      <c r="M64959" s="8"/>
      <c r="N64959" s="8"/>
      <c r="O64959" s="8"/>
      <c r="P64959" s="8"/>
      <c r="Q64959" s="8"/>
      <c r="R64959" s="64"/>
    </row>
    <row r="64960" spans="1:18" x14ac:dyDescent="0.25">
      <c r="A64960" s="8"/>
      <c r="B64960" s="8"/>
      <c r="C64960" s="60"/>
      <c r="D64960" s="8"/>
      <c r="E64960" s="8"/>
      <c r="F64960" s="8"/>
      <c r="G64960" s="8"/>
      <c r="H64960" s="8"/>
      <c r="I64960" s="63"/>
      <c r="J64960" s="8"/>
      <c r="K64960" s="8"/>
      <c r="L64960" s="8"/>
      <c r="M64960" s="8"/>
      <c r="N64960" s="8"/>
      <c r="O64960" s="8"/>
      <c r="P64960" s="8"/>
      <c r="Q64960" s="8"/>
      <c r="R64960" s="64"/>
    </row>
    <row r="64961" spans="1:18" x14ac:dyDescent="0.25">
      <c r="A64961" s="8"/>
      <c r="B64961" s="8"/>
      <c r="C64961" s="60"/>
      <c r="D64961" s="8"/>
      <c r="E64961" s="8"/>
      <c r="F64961" s="8"/>
      <c r="G64961" s="8"/>
      <c r="H64961" s="8"/>
      <c r="I64961" s="63"/>
      <c r="J64961" s="8"/>
      <c r="K64961" s="8"/>
      <c r="L64961" s="8"/>
      <c r="M64961" s="8"/>
      <c r="N64961" s="8"/>
      <c r="O64961" s="8"/>
      <c r="P64961" s="8"/>
      <c r="Q64961" s="8"/>
      <c r="R64961" s="64"/>
    </row>
    <row r="64962" spans="1:18" x14ac:dyDescent="0.25">
      <c r="A64962" s="8"/>
      <c r="B64962" s="8"/>
      <c r="C64962" s="60"/>
      <c r="D64962" s="8"/>
      <c r="E64962" s="8"/>
      <c r="F64962" s="8"/>
      <c r="G64962" s="8"/>
      <c r="H64962" s="8"/>
      <c r="I64962" s="63"/>
      <c r="J64962" s="8"/>
      <c r="K64962" s="8"/>
      <c r="L64962" s="8"/>
      <c r="M64962" s="8"/>
      <c r="N64962" s="8"/>
      <c r="O64962" s="8"/>
      <c r="P64962" s="8"/>
      <c r="Q64962" s="8"/>
      <c r="R64962" s="64"/>
    </row>
    <row r="64963" spans="1:18" x14ac:dyDescent="0.25">
      <c r="A64963" s="8"/>
      <c r="B64963" s="8"/>
      <c r="C64963" s="60"/>
      <c r="D64963" s="8"/>
      <c r="E64963" s="8"/>
      <c r="F64963" s="8"/>
      <c r="G64963" s="8"/>
      <c r="H64963" s="8"/>
      <c r="I64963" s="63"/>
      <c r="J64963" s="8"/>
      <c r="K64963" s="8"/>
      <c r="L64963" s="8"/>
      <c r="M64963" s="8"/>
      <c r="N64963" s="8"/>
      <c r="O64963" s="8"/>
      <c r="P64963" s="8"/>
      <c r="Q64963" s="8"/>
      <c r="R64963" s="64"/>
    </row>
    <row r="64964" spans="1:18" x14ac:dyDescent="0.25">
      <c r="A64964" s="8"/>
      <c r="B64964" s="8"/>
      <c r="C64964" s="60"/>
      <c r="D64964" s="8"/>
      <c r="E64964" s="8"/>
      <c r="F64964" s="8"/>
      <c r="G64964" s="8"/>
      <c r="H64964" s="8"/>
      <c r="I64964" s="63"/>
      <c r="J64964" s="8"/>
      <c r="K64964" s="8"/>
      <c r="L64964" s="8"/>
      <c r="M64964" s="8"/>
      <c r="N64964" s="8"/>
      <c r="O64964" s="8"/>
      <c r="P64964" s="8"/>
      <c r="Q64964" s="8"/>
      <c r="R64964" s="64"/>
    </row>
    <row r="64965" spans="1:18" x14ac:dyDescent="0.25">
      <c r="A64965" s="8"/>
      <c r="B64965" s="8"/>
      <c r="C64965" s="60"/>
      <c r="D64965" s="8"/>
      <c r="E64965" s="8"/>
      <c r="F64965" s="8"/>
      <c r="G64965" s="8"/>
      <c r="H64965" s="8"/>
      <c r="I64965" s="63"/>
      <c r="J64965" s="8"/>
      <c r="K64965" s="8"/>
      <c r="L64965" s="8"/>
      <c r="M64965" s="8"/>
      <c r="N64965" s="8"/>
      <c r="O64965" s="8"/>
      <c r="P64965" s="8"/>
      <c r="Q64965" s="8"/>
      <c r="R64965" s="64"/>
    </row>
    <row r="64966" spans="1:18" x14ac:dyDescent="0.25">
      <c r="A64966" s="8"/>
      <c r="B64966" s="8"/>
      <c r="C64966" s="60"/>
      <c r="D64966" s="8"/>
      <c r="E64966" s="8"/>
      <c r="F64966" s="8"/>
      <c r="G64966" s="8"/>
      <c r="H64966" s="8"/>
      <c r="I64966" s="63"/>
      <c r="J64966" s="8"/>
      <c r="K64966" s="8"/>
      <c r="L64966" s="8"/>
      <c r="M64966" s="8"/>
      <c r="N64966" s="8"/>
      <c r="O64966" s="8"/>
      <c r="P64966" s="8"/>
      <c r="Q64966" s="8"/>
      <c r="R64966" s="64"/>
    </row>
    <row r="64967" spans="1:18" x14ac:dyDescent="0.25">
      <c r="A64967" s="8"/>
      <c r="B64967" s="8"/>
      <c r="C64967" s="60"/>
      <c r="D64967" s="8"/>
      <c r="E64967" s="8"/>
      <c r="F64967" s="8"/>
      <c r="G64967" s="8"/>
      <c r="H64967" s="8"/>
      <c r="I64967" s="63"/>
      <c r="J64967" s="8"/>
      <c r="K64967" s="8"/>
      <c r="L64967" s="8"/>
      <c r="M64967" s="8"/>
      <c r="N64967" s="8"/>
      <c r="O64967" s="8"/>
      <c r="P64967" s="8"/>
      <c r="Q64967" s="8"/>
      <c r="R64967" s="64"/>
    </row>
    <row r="64968" spans="1:18" x14ac:dyDescent="0.25">
      <c r="A64968" s="8"/>
      <c r="B64968" s="8"/>
      <c r="C64968" s="60"/>
      <c r="D64968" s="8"/>
      <c r="E64968" s="8"/>
      <c r="F64968" s="8"/>
      <c r="G64968" s="8"/>
      <c r="H64968" s="8"/>
      <c r="I64968" s="63"/>
      <c r="J64968" s="8"/>
      <c r="K64968" s="8"/>
      <c r="L64968" s="8"/>
      <c r="M64968" s="8"/>
      <c r="N64968" s="8"/>
      <c r="O64968" s="8"/>
      <c r="P64968" s="8"/>
      <c r="Q64968" s="8"/>
      <c r="R64968" s="64"/>
    </row>
    <row r="64969" spans="1:18" x14ac:dyDescent="0.25">
      <c r="A64969" s="8"/>
      <c r="B64969" s="8"/>
      <c r="C64969" s="60"/>
      <c r="D64969" s="8"/>
      <c r="E64969" s="8"/>
      <c r="F64969" s="8"/>
      <c r="G64969" s="8"/>
      <c r="H64969" s="8"/>
      <c r="I64969" s="63"/>
      <c r="J64969" s="8"/>
      <c r="K64969" s="8"/>
      <c r="L64969" s="8"/>
      <c r="M64969" s="8"/>
      <c r="N64969" s="8"/>
      <c r="O64969" s="8"/>
      <c r="P64969" s="8"/>
      <c r="Q64969" s="8"/>
      <c r="R64969" s="64"/>
    </row>
    <row r="64970" spans="1:18" x14ac:dyDescent="0.25">
      <c r="A64970" s="8"/>
      <c r="B64970" s="8"/>
      <c r="C64970" s="60"/>
      <c r="D64970" s="8"/>
      <c r="E64970" s="8"/>
      <c r="F64970" s="8"/>
      <c r="G64970" s="8"/>
      <c r="H64970" s="8"/>
      <c r="I64970" s="63"/>
      <c r="J64970" s="8"/>
      <c r="K64970" s="8"/>
      <c r="L64970" s="8"/>
      <c r="M64970" s="8"/>
      <c r="N64970" s="8"/>
      <c r="O64970" s="8"/>
      <c r="P64970" s="8"/>
      <c r="Q64970" s="8"/>
      <c r="R64970" s="64"/>
    </row>
    <row r="64971" spans="1:18" x14ac:dyDescent="0.25">
      <c r="A64971" s="8"/>
      <c r="B64971" s="8"/>
      <c r="C64971" s="60"/>
      <c r="D64971" s="8"/>
      <c r="E64971" s="8"/>
      <c r="F64971" s="8"/>
      <c r="G64971" s="8"/>
      <c r="H64971" s="8"/>
      <c r="I64971" s="63"/>
      <c r="J64971" s="8"/>
      <c r="K64971" s="8"/>
      <c r="L64971" s="8"/>
      <c r="M64971" s="8"/>
      <c r="N64971" s="8"/>
      <c r="O64971" s="8"/>
      <c r="P64971" s="8"/>
      <c r="Q64971" s="8"/>
      <c r="R64971" s="64"/>
    </row>
    <row r="64972" spans="1:18" x14ac:dyDescent="0.25">
      <c r="A64972" s="8"/>
      <c r="B64972" s="8"/>
      <c r="C64972" s="60"/>
      <c r="D64972" s="8"/>
      <c r="E64972" s="8"/>
      <c r="F64972" s="8"/>
      <c r="G64972" s="8"/>
      <c r="H64972" s="8"/>
      <c r="I64972" s="63"/>
      <c r="J64972" s="8"/>
      <c r="K64972" s="8"/>
      <c r="L64972" s="8"/>
      <c r="M64972" s="8"/>
      <c r="N64972" s="8"/>
      <c r="O64972" s="8"/>
      <c r="P64972" s="8"/>
      <c r="Q64972" s="8"/>
      <c r="R64972" s="64"/>
    </row>
    <row r="64973" spans="1:18" x14ac:dyDescent="0.25">
      <c r="A64973" s="8"/>
      <c r="B64973" s="8"/>
      <c r="C64973" s="60"/>
      <c r="D64973" s="8"/>
      <c r="E64973" s="8"/>
      <c r="F64973" s="8"/>
      <c r="G64973" s="8"/>
      <c r="H64973" s="8"/>
      <c r="I64973" s="63"/>
      <c r="J64973" s="8"/>
      <c r="K64973" s="8"/>
      <c r="L64973" s="8"/>
      <c r="M64973" s="8"/>
      <c r="N64973" s="8"/>
      <c r="O64973" s="8"/>
      <c r="P64973" s="8"/>
      <c r="Q64973" s="8"/>
      <c r="R64973" s="64"/>
    </row>
    <row r="64974" spans="1:18" x14ac:dyDescent="0.25">
      <c r="A64974" s="8"/>
      <c r="B64974" s="8"/>
      <c r="C64974" s="60"/>
      <c r="D64974" s="8"/>
      <c r="E64974" s="8"/>
      <c r="F64974" s="8"/>
      <c r="G64974" s="8"/>
      <c r="H64974" s="8"/>
      <c r="I64974" s="63"/>
      <c r="J64974" s="8"/>
      <c r="K64974" s="8"/>
      <c r="L64974" s="8"/>
      <c r="M64974" s="8"/>
      <c r="N64974" s="8"/>
      <c r="O64974" s="8"/>
      <c r="P64974" s="8"/>
      <c r="Q64974" s="8"/>
      <c r="R64974" s="64"/>
    </row>
    <row r="64975" spans="1:18" x14ac:dyDescent="0.25">
      <c r="A64975" s="8"/>
      <c r="B64975" s="8"/>
      <c r="C64975" s="60"/>
      <c r="D64975" s="8"/>
      <c r="E64975" s="8"/>
      <c r="F64975" s="8"/>
      <c r="G64975" s="8"/>
      <c r="H64975" s="8"/>
      <c r="I64975" s="63"/>
      <c r="J64975" s="8"/>
      <c r="K64975" s="8"/>
      <c r="L64975" s="8"/>
      <c r="M64975" s="8"/>
      <c r="N64975" s="8"/>
      <c r="O64975" s="8"/>
      <c r="P64975" s="8"/>
      <c r="Q64975" s="8"/>
      <c r="R64975" s="64"/>
    </row>
    <row r="64976" spans="1:18" x14ac:dyDescent="0.25">
      <c r="A64976" s="8"/>
      <c r="B64976" s="8"/>
      <c r="C64976" s="60"/>
      <c r="D64976" s="8"/>
      <c r="E64976" s="8"/>
      <c r="F64976" s="8"/>
      <c r="G64976" s="8"/>
      <c r="H64976" s="8"/>
      <c r="I64976" s="63"/>
      <c r="J64976" s="8"/>
      <c r="K64976" s="8"/>
      <c r="L64976" s="8"/>
      <c r="M64976" s="8"/>
      <c r="N64976" s="8"/>
      <c r="O64976" s="8"/>
      <c r="P64976" s="8"/>
      <c r="Q64976" s="8"/>
      <c r="R64976" s="64"/>
    </row>
    <row r="64977" spans="1:18" x14ac:dyDescent="0.25">
      <c r="A64977" s="8"/>
      <c r="B64977" s="8"/>
      <c r="C64977" s="60"/>
      <c r="D64977" s="8"/>
      <c r="E64977" s="8"/>
      <c r="F64977" s="8"/>
      <c r="G64977" s="8"/>
      <c r="H64977" s="8"/>
      <c r="I64977" s="63"/>
      <c r="J64977" s="8"/>
      <c r="K64977" s="8"/>
      <c r="L64977" s="8"/>
      <c r="M64977" s="8"/>
      <c r="N64977" s="8"/>
      <c r="O64977" s="8"/>
      <c r="P64977" s="8"/>
      <c r="Q64977" s="8"/>
      <c r="R64977" s="64"/>
    </row>
    <row r="64978" spans="1:18" x14ac:dyDescent="0.25">
      <c r="A64978" s="8"/>
      <c r="B64978" s="8"/>
      <c r="C64978" s="60"/>
      <c r="D64978" s="8"/>
      <c r="E64978" s="8"/>
      <c r="F64978" s="8"/>
      <c r="G64978" s="8"/>
      <c r="H64978" s="8"/>
      <c r="I64978" s="63"/>
      <c r="J64978" s="8"/>
      <c r="K64978" s="8"/>
      <c r="L64978" s="8"/>
      <c r="M64978" s="8"/>
      <c r="N64978" s="8"/>
      <c r="O64978" s="8"/>
      <c r="P64978" s="8"/>
      <c r="Q64978" s="8"/>
      <c r="R64978" s="64"/>
    </row>
    <row r="64979" spans="1:18" x14ac:dyDescent="0.25">
      <c r="A64979" s="8"/>
      <c r="B64979" s="8"/>
      <c r="C64979" s="60"/>
      <c r="D64979" s="8"/>
      <c r="E64979" s="8"/>
      <c r="F64979" s="8"/>
      <c r="G64979" s="8"/>
      <c r="H64979" s="8"/>
      <c r="I64979" s="63"/>
      <c r="J64979" s="8"/>
      <c r="K64979" s="8"/>
      <c r="L64979" s="8"/>
      <c r="M64979" s="8"/>
      <c r="N64979" s="8"/>
      <c r="O64979" s="8"/>
      <c r="P64979" s="8"/>
      <c r="Q64979" s="8"/>
      <c r="R64979" s="64"/>
    </row>
    <row r="64980" spans="1:18" x14ac:dyDescent="0.25">
      <c r="A64980" s="8"/>
      <c r="B64980" s="8"/>
      <c r="C64980" s="60"/>
      <c r="D64980" s="8"/>
      <c r="E64980" s="8"/>
      <c r="F64980" s="8"/>
      <c r="G64980" s="8"/>
      <c r="H64980" s="8"/>
      <c r="I64980" s="63"/>
      <c r="J64980" s="8"/>
      <c r="K64980" s="8"/>
      <c r="L64980" s="8"/>
      <c r="M64980" s="8"/>
      <c r="N64980" s="8"/>
      <c r="O64980" s="8"/>
      <c r="P64980" s="8"/>
      <c r="Q64980" s="8"/>
      <c r="R64980" s="64"/>
    </row>
    <row r="64981" spans="1:18" x14ac:dyDescent="0.25">
      <c r="A64981" s="8"/>
      <c r="B64981" s="8"/>
      <c r="C64981" s="60"/>
      <c r="D64981" s="8"/>
      <c r="E64981" s="8"/>
      <c r="F64981" s="8"/>
      <c r="G64981" s="8"/>
      <c r="H64981" s="8"/>
      <c r="I64981" s="63"/>
      <c r="J64981" s="8"/>
      <c r="K64981" s="8"/>
      <c r="L64981" s="8"/>
      <c r="M64981" s="8"/>
      <c r="N64981" s="8"/>
      <c r="O64981" s="8"/>
      <c r="P64981" s="8"/>
      <c r="Q64981" s="8"/>
      <c r="R64981" s="64"/>
    </row>
    <row r="64982" spans="1:18" x14ac:dyDescent="0.25">
      <c r="A64982" s="8"/>
      <c r="B64982" s="8"/>
      <c r="C64982" s="60"/>
      <c r="D64982" s="8"/>
      <c r="E64982" s="8"/>
      <c r="F64982" s="8"/>
      <c r="G64982" s="8"/>
      <c r="H64982" s="8"/>
      <c r="I64982" s="63"/>
      <c r="J64982" s="8"/>
      <c r="K64982" s="8"/>
      <c r="L64982" s="8"/>
      <c r="M64982" s="8"/>
      <c r="N64982" s="8"/>
      <c r="O64982" s="8"/>
      <c r="P64982" s="8"/>
      <c r="Q64982" s="8"/>
      <c r="R64982" s="64"/>
    </row>
    <row r="64983" spans="1:18" x14ac:dyDescent="0.25">
      <c r="A64983" s="8"/>
      <c r="B64983" s="8"/>
      <c r="C64983" s="60"/>
      <c r="D64983" s="8"/>
      <c r="E64983" s="8"/>
      <c r="F64983" s="8"/>
      <c r="G64983" s="8"/>
      <c r="H64983" s="8"/>
      <c r="I64983" s="63"/>
      <c r="J64983" s="8"/>
      <c r="K64983" s="8"/>
      <c r="L64983" s="8"/>
      <c r="M64983" s="8"/>
      <c r="N64983" s="8"/>
      <c r="O64983" s="8"/>
      <c r="P64983" s="8"/>
      <c r="Q64983" s="8"/>
      <c r="R64983" s="64"/>
    </row>
    <row r="64984" spans="1:18" x14ac:dyDescent="0.25">
      <c r="A64984" s="8"/>
      <c r="B64984" s="8"/>
      <c r="C64984" s="60"/>
      <c r="D64984" s="8"/>
      <c r="E64984" s="8"/>
      <c r="F64984" s="8"/>
      <c r="G64984" s="8"/>
      <c r="H64984" s="8"/>
      <c r="I64984" s="63"/>
      <c r="J64984" s="8"/>
      <c r="K64984" s="8"/>
      <c r="L64984" s="8"/>
      <c r="M64984" s="8"/>
      <c r="N64984" s="8"/>
      <c r="O64984" s="8"/>
      <c r="P64984" s="8"/>
      <c r="Q64984" s="8"/>
      <c r="R64984" s="64"/>
    </row>
    <row r="64985" spans="1:18" x14ac:dyDescent="0.25">
      <c r="A64985" s="8"/>
      <c r="B64985" s="8"/>
      <c r="C64985" s="60"/>
      <c r="D64985" s="8"/>
      <c r="E64985" s="8"/>
      <c r="F64985" s="8"/>
      <c r="G64985" s="8"/>
      <c r="H64985" s="8"/>
      <c r="I64985" s="63"/>
      <c r="J64985" s="8"/>
      <c r="K64985" s="8"/>
      <c r="L64985" s="8"/>
      <c r="M64985" s="8"/>
      <c r="N64985" s="8"/>
      <c r="O64985" s="8"/>
      <c r="P64985" s="8"/>
      <c r="Q64985" s="8"/>
      <c r="R64985" s="64"/>
    </row>
    <row r="64986" spans="1:18" x14ac:dyDescent="0.25">
      <c r="A64986" s="8"/>
      <c r="B64986" s="8"/>
      <c r="C64986" s="60"/>
      <c r="D64986" s="8"/>
      <c r="E64986" s="8"/>
      <c r="F64986" s="8"/>
      <c r="G64986" s="8"/>
      <c r="H64986" s="8"/>
      <c r="I64986" s="63"/>
      <c r="J64986" s="8"/>
      <c r="K64986" s="8"/>
      <c r="L64986" s="8"/>
      <c r="M64986" s="8"/>
      <c r="N64986" s="8"/>
      <c r="O64986" s="8"/>
      <c r="P64986" s="8"/>
      <c r="Q64986" s="8"/>
      <c r="R64986" s="64"/>
    </row>
    <row r="64987" spans="1:18" x14ac:dyDescent="0.25">
      <c r="A64987" s="8"/>
      <c r="B64987" s="8"/>
      <c r="C64987" s="60"/>
      <c r="D64987" s="8"/>
      <c r="E64987" s="8"/>
      <c r="F64987" s="8"/>
      <c r="G64987" s="8"/>
      <c r="H64987" s="8"/>
      <c r="I64987" s="63"/>
      <c r="J64987" s="8"/>
      <c r="K64987" s="8"/>
      <c r="L64987" s="8"/>
      <c r="M64987" s="8"/>
      <c r="N64987" s="8"/>
      <c r="O64987" s="8"/>
      <c r="P64987" s="8"/>
      <c r="Q64987" s="8"/>
      <c r="R64987" s="64"/>
    </row>
    <row r="64988" spans="1:18" x14ac:dyDescent="0.25">
      <c r="A64988" s="8"/>
      <c r="B64988" s="8"/>
      <c r="C64988" s="60"/>
      <c r="D64988" s="8"/>
      <c r="E64988" s="8"/>
      <c r="F64988" s="8"/>
      <c r="G64988" s="8"/>
      <c r="H64988" s="8"/>
      <c r="I64988" s="63"/>
      <c r="J64988" s="8"/>
      <c r="K64988" s="8"/>
      <c r="L64988" s="8"/>
      <c r="M64988" s="8"/>
      <c r="N64988" s="8"/>
      <c r="O64988" s="8"/>
      <c r="P64988" s="8"/>
      <c r="Q64988" s="8"/>
      <c r="R64988" s="64"/>
    </row>
    <row r="64989" spans="1:18" x14ac:dyDescent="0.25">
      <c r="A64989" s="8"/>
      <c r="B64989" s="8"/>
      <c r="C64989" s="60"/>
      <c r="D64989" s="8"/>
      <c r="E64989" s="8"/>
      <c r="F64989" s="8"/>
      <c r="G64989" s="8"/>
      <c r="H64989" s="8"/>
      <c r="I64989" s="63"/>
      <c r="J64989" s="8"/>
      <c r="K64989" s="8"/>
      <c r="L64989" s="8"/>
      <c r="M64989" s="8"/>
      <c r="N64989" s="8"/>
      <c r="O64989" s="8"/>
      <c r="P64989" s="8"/>
      <c r="Q64989" s="8"/>
      <c r="R64989" s="64"/>
    </row>
    <row r="64990" spans="1:18" x14ac:dyDescent="0.25">
      <c r="A64990" s="8"/>
      <c r="B64990" s="8"/>
      <c r="C64990" s="60"/>
      <c r="D64990" s="8"/>
      <c r="E64990" s="8"/>
      <c r="F64990" s="8"/>
      <c r="G64990" s="8"/>
      <c r="H64990" s="8"/>
      <c r="I64990" s="63"/>
      <c r="J64990" s="8"/>
      <c r="K64990" s="8"/>
      <c r="L64990" s="8"/>
      <c r="M64990" s="8"/>
      <c r="N64990" s="8"/>
      <c r="O64990" s="8"/>
      <c r="P64990" s="8"/>
      <c r="Q64990" s="8"/>
      <c r="R64990" s="64"/>
    </row>
    <row r="64991" spans="1:18" x14ac:dyDescent="0.25">
      <c r="A64991" s="8"/>
      <c r="B64991" s="8"/>
      <c r="C64991" s="60"/>
      <c r="D64991" s="8"/>
      <c r="E64991" s="8"/>
      <c r="F64991" s="8"/>
      <c r="G64991" s="8"/>
      <c r="H64991" s="8"/>
      <c r="I64991" s="63"/>
      <c r="J64991" s="8"/>
      <c r="K64991" s="8"/>
      <c r="L64991" s="8"/>
      <c r="M64991" s="8"/>
      <c r="N64991" s="8"/>
      <c r="O64991" s="8"/>
      <c r="P64991" s="8"/>
      <c r="Q64991" s="8"/>
      <c r="R64991" s="64"/>
    </row>
    <row r="64992" spans="1:18" x14ac:dyDescent="0.25">
      <c r="A64992" s="8"/>
      <c r="B64992" s="8"/>
      <c r="C64992" s="60"/>
      <c r="D64992" s="8"/>
      <c r="E64992" s="8"/>
      <c r="F64992" s="8"/>
      <c r="G64992" s="8"/>
      <c r="H64992" s="8"/>
      <c r="I64992" s="63"/>
      <c r="J64992" s="8"/>
      <c r="K64992" s="8"/>
      <c r="L64992" s="8"/>
      <c r="M64992" s="8"/>
      <c r="N64992" s="8"/>
      <c r="O64992" s="8"/>
      <c r="P64992" s="8"/>
      <c r="Q64992" s="8"/>
      <c r="R64992" s="64"/>
    </row>
    <row r="64993" spans="1:18" x14ac:dyDescent="0.25">
      <c r="A64993" s="8"/>
      <c r="B64993" s="8"/>
      <c r="C64993" s="60"/>
      <c r="D64993" s="8"/>
      <c r="E64993" s="8"/>
      <c r="F64993" s="8"/>
      <c r="G64993" s="8"/>
      <c r="H64993" s="8"/>
      <c r="I64993" s="63"/>
      <c r="J64993" s="8"/>
      <c r="K64993" s="8"/>
      <c r="L64993" s="8"/>
      <c r="M64993" s="8"/>
      <c r="N64993" s="8"/>
      <c r="O64993" s="8"/>
      <c r="P64993" s="8"/>
      <c r="Q64993" s="8"/>
      <c r="R64993" s="64"/>
    </row>
    <row r="64994" spans="1:18" x14ac:dyDescent="0.25">
      <c r="A64994" s="8"/>
      <c r="B64994" s="8"/>
      <c r="C64994" s="60"/>
      <c r="D64994" s="8"/>
      <c r="E64994" s="8"/>
      <c r="F64994" s="8"/>
      <c r="G64994" s="8"/>
      <c r="H64994" s="8"/>
      <c r="I64994" s="63"/>
      <c r="J64994" s="8"/>
      <c r="K64994" s="8"/>
      <c r="L64994" s="8"/>
      <c r="M64994" s="8"/>
      <c r="N64994" s="8"/>
      <c r="O64994" s="8"/>
      <c r="P64994" s="8"/>
      <c r="Q64994" s="8"/>
      <c r="R64994" s="64"/>
    </row>
    <row r="64995" spans="1:18" x14ac:dyDescent="0.25">
      <c r="A64995" s="8"/>
      <c r="B64995" s="8"/>
      <c r="C64995" s="60"/>
      <c r="D64995" s="8"/>
      <c r="E64995" s="8"/>
      <c r="F64995" s="8"/>
      <c r="G64995" s="8"/>
      <c r="H64995" s="8"/>
      <c r="I64995" s="63"/>
      <c r="J64995" s="8"/>
      <c r="K64995" s="8"/>
      <c r="L64995" s="8"/>
      <c r="M64995" s="8"/>
      <c r="N64995" s="8"/>
      <c r="O64995" s="8"/>
      <c r="P64995" s="8"/>
      <c r="Q64995" s="8"/>
      <c r="R64995" s="64"/>
    </row>
    <row r="64996" spans="1:18" x14ac:dyDescent="0.25">
      <c r="A64996" s="8"/>
      <c r="B64996" s="8"/>
      <c r="C64996" s="60"/>
      <c r="D64996" s="8"/>
      <c r="E64996" s="8"/>
      <c r="F64996" s="8"/>
      <c r="G64996" s="8"/>
      <c r="H64996" s="8"/>
      <c r="I64996" s="63"/>
      <c r="J64996" s="8"/>
      <c r="K64996" s="8"/>
      <c r="L64996" s="8"/>
      <c r="M64996" s="8"/>
      <c r="N64996" s="8"/>
      <c r="O64996" s="8"/>
      <c r="P64996" s="8"/>
      <c r="Q64996" s="8"/>
      <c r="R64996" s="64"/>
    </row>
  </sheetData>
  <mergeCells count="29">
    <mergeCell ref="S9:S10"/>
    <mergeCell ref="AA9:AA10"/>
    <mergeCell ref="U9:U10"/>
    <mergeCell ref="V9:V10"/>
    <mergeCell ref="W9:W10"/>
    <mergeCell ref="X9:X10"/>
    <mergeCell ref="Y9:Y10"/>
    <mergeCell ref="Z9:Z10"/>
    <mergeCell ref="N9:N10"/>
    <mergeCell ref="O9:O10"/>
    <mergeCell ref="P9:P10"/>
    <mergeCell ref="Q9:Q10"/>
    <mergeCell ref="R9:R10"/>
    <mergeCell ref="A4:AA4"/>
    <mergeCell ref="A5:W6"/>
    <mergeCell ref="A8:A10"/>
    <mergeCell ref="B8:B10"/>
    <mergeCell ref="C8:C10"/>
    <mergeCell ref="D8:D10"/>
    <mergeCell ref="E8:R8"/>
    <mergeCell ref="S8:AA8"/>
    <mergeCell ref="E9:E10"/>
    <mergeCell ref="G9:G10"/>
    <mergeCell ref="T9:T10"/>
    <mergeCell ref="H9:H10"/>
    <mergeCell ref="I9:I10"/>
    <mergeCell ref="J9:K9"/>
    <mergeCell ref="L9:L10"/>
    <mergeCell ref="M9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2025-07-03T11:35:40Z</dcterms:created>
  <dcterms:modified xsi:type="dcterms:W3CDTF">2025-07-03T12:33:54Z</dcterms:modified>
</cp:coreProperties>
</file>