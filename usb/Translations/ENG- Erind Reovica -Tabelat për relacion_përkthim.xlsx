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7A4FB95-D006-48B5-8EE0-3126294F2940}" xr6:coauthVersionLast="47" xr6:coauthVersionMax="47" xr10:uidLastSave="{00000000-0000-0000-0000-000000000000}"/>
  <bookViews>
    <workbookView xWindow="15660" yWindow="135" windowWidth="12810" windowHeight="15120" xr2:uid="{7910A24D-CC3A-4ECF-AD24-7672F02DDE14}"/>
  </bookViews>
  <sheets>
    <sheet name="Sheet1" sheetId="1" r:id="rId1"/>
  </sheets>
  <definedNames>
    <definedName name="_ftn1" localSheetId="0">Sheet1!$A$22</definedName>
    <definedName name="_ftn2" localSheetId="0">Sheet1!#REF!</definedName>
    <definedName name="_ftnref1" localSheetId="0">Sheet1!$A$10</definedName>
    <definedName name="_ftnref2" localSheetId="0">Sheet1!$A$15</definedName>
    <definedName name="_Toc172706769" localSheetId="0">Sheet1!$A$77</definedName>
    <definedName name="_Toc172706772" localSheetId="0">Sheet1!$A$162</definedName>
    <definedName name="_Toc190874766" localSheetId="0">Sheet1!$A$273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1" l="1"/>
  <c r="D47" i="1"/>
  <c r="C225" i="1"/>
  <c r="C224" i="1"/>
  <c r="C223" i="1"/>
  <c r="C222" i="1"/>
  <c r="C221" i="1"/>
  <c r="C220" i="1"/>
  <c r="B219" i="1"/>
  <c r="C218" i="1"/>
  <c r="C217" i="1"/>
  <c r="C216" i="1"/>
  <c r="C214" i="1"/>
  <c r="C213" i="1"/>
  <c r="B212" i="1"/>
  <c r="C211" i="1"/>
  <c r="C210" i="1"/>
  <c r="C209" i="1"/>
  <c r="C208" i="1"/>
  <c r="C212" i="1" l="1"/>
  <c r="B226" i="1"/>
  <c r="C219" i="1"/>
  <c r="C226" i="1" l="1"/>
  <c r="C310" i="1"/>
  <c r="E310" i="1"/>
  <c r="D310" i="1"/>
  <c r="B310" i="1"/>
  <c r="E309" i="1"/>
  <c r="E304" i="1" s="1"/>
  <c r="B309" i="1"/>
  <c r="C308" i="1"/>
  <c r="C309" i="1" s="1"/>
  <c r="C314" i="1" l="1"/>
  <c r="E314" i="1"/>
  <c r="B322" i="1"/>
  <c r="B314" i="1"/>
  <c r="D322" i="1"/>
  <c r="E322" i="1"/>
  <c r="D309" i="1"/>
  <c r="B304" i="1"/>
  <c r="C304" i="1"/>
  <c r="B130" i="1"/>
  <c r="B251" i="1"/>
  <c r="B260" i="1"/>
  <c r="B284" i="1"/>
  <c r="B269" i="1"/>
  <c r="B265" i="1" s="1"/>
  <c r="B151" i="1"/>
  <c r="B158" i="1"/>
  <c r="E332" i="1" l="1"/>
  <c r="B332" i="1"/>
  <c r="B240" i="1"/>
  <c r="B235" i="1"/>
  <c r="B232" i="1"/>
  <c r="C290" i="1"/>
  <c r="D290" i="1"/>
  <c r="B290" i="1"/>
  <c r="C284" i="1"/>
  <c r="D284" i="1"/>
  <c r="C278" i="1"/>
  <c r="D278" i="1"/>
  <c r="B278" i="1"/>
  <c r="B270" i="1" l="1"/>
  <c r="B245" i="1"/>
  <c r="C298" i="1"/>
  <c r="B298" i="1"/>
  <c r="D298" i="1"/>
  <c r="B152" i="1"/>
  <c r="B147" i="1"/>
  <c r="B144" i="1"/>
  <c r="B126" i="1"/>
  <c r="B131" i="1"/>
  <c r="B123" i="1"/>
  <c r="B105" i="1"/>
  <c r="B110" i="1"/>
  <c r="B102" i="1"/>
  <c r="C110" i="1"/>
  <c r="C105" i="1"/>
  <c r="C102" i="1"/>
  <c r="B185" i="1"/>
  <c r="B89" i="1"/>
  <c r="B85" i="1"/>
  <c r="B82" i="1"/>
  <c r="B70" i="1"/>
  <c r="B73" i="1"/>
  <c r="B72" i="1"/>
  <c r="B71" i="1"/>
  <c r="B66" i="1"/>
  <c r="B63" i="1"/>
  <c r="B194" i="1"/>
  <c r="B189" i="1"/>
  <c r="D44" i="1"/>
  <c r="D51" i="1"/>
  <c r="B51" i="1"/>
  <c r="B44" i="1"/>
  <c r="C44" i="1"/>
  <c r="C51" i="1"/>
  <c r="C47" i="1"/>
  <c r="C32" i="1"/>
  <c r="C29" i="1"/>
  <c r="C26" i="1"/>
  <c r="B32" i="1"/>
  <c r="B31" i="1"/>
  <c r="B29" i="1" s="1"/>
  <c r="B26" i="1"/>
  <c r="B13" i="1"/>
  <c r="B11" i="1" s="1"/>
  <c r="B14" i="1"/>
  <c r="B8" i="1"/>
  <c r="B159" i="1" l="1"/>
  <c r="B199" i="1"/>
  <c r="C117" i="1"/>
  <c r="B117" i="1"/>
  <c r="B69" i="1"/>
  <c r="B74" i="1" s="1"/>
  <c r="B138" i="1"/>
  <c r="B96" i="1"/>
  <c r="B56" i="1"/>
  <c r="D56" i="1"/>
  <c r="B19" i="1"/>
  <c r="B37" i="1"/>
  <c r="C56" i="1"/>
  <c r="D314" i="1" l="1"/>
  <c r="C322" i="1"/>
  <c r="C332" i="1" s="1"/>
  <c r="D304" i="1"/>
  <c r="D3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Jonida Hakani</author>
  </authors>
  <commentList>
    <comment ref="D305" authorId="0" shapeId="0" xr:uid="{7E1CA369-E5F1-43CE-B44D-77A0DFE8E2AE}">
      <text>
        <r>
          <rPr>
            <b/>
            <sz val="9"/>
            <color indexed="81"/>
            <rFont val="Tahoma"/>
            <family val="2"/>
            <charset val="238"/>
          </rPr>
          <t>Windows User:</t>
        </r>
        <r>
          <rPr>
            <sz val="9"/>
            <color indexed="81"/>
            <rFont val="Tahoma"/>
            <family val="2"/>
            <charset val="238"/>
          </rPr>
          <t xml:space="preserve">
30.07.2015</t>
        </r>
      </text>
    </comment>
    <comment ref="D307" authorId="0" shapeId="0" xr:uid="{113D92E3-617A-46BD-935C-889545243AC1}">
      <text>
        <r>
          <rPr>
            <b/>
            <sz val="9"/>
            <color indexed="81"/>
            <rFont val="Tahoma"/>
            <family val="2"/>
            <charset val="238"/>
          </rPr>
          <t>Windows User:</t>
        </r>
        <r>
          <rPr>
            <sz val="9"/>
            <color indexed="81"/>
            <rFont val="Tahoma"/>
            <family val="2"/>
            <charset val="238"/>
          </rPr>
          <t xml:space="preserve">
15.02.2015</t>
        </r>
      </text>
    </comment>
    <comment ref="E329" authorId="1" shapeId="0" xr:uid="{DBD47CFC-DAC8-4CBB-BC53-6250E54AB89D}">
      <text>
        <r>
          <rPr>
            <b/>
            <sz val="9"/>
            <color indexed="81"/>
            <rFont val="Tahoma"/>
            <family val="2"/>
          </rPr>
          <t>Jonida Hakani:</t>
        </r>
        <r>
          <rPr>
            <sz val="9"/>
            <color indexed="81"/>
            <rFont val="Tahoma"/>
            <family val="2"/>
          </rPr>
          <t xml:space="preserve">
KPK e ka llogaritur për 4 muaj??? Lapsus? 131.341 lekë</t>
        </r>
      </text>
    </comment>
    <comment ref="D330" authorId="0" shapeId="0" xr:uid="{B2B1F91B-1C83-4CB3-ABEC-71392A8E9109}">
      <text>
        <r>
          <rPr>
            <b/>
            <sz val="9"/>
            <color indexed="81"/>
            <rFont val="Tahoma"/>
            <family val="2"/>
            <charset val="238"/>
          </rPr>
          <t>Windows User:</t>
        </r>
        <r>
          <rPr>
            <sz val="9"/>
            <color indexed="81"/>
            <rFont val="Tahoma"/>
            <family val="2"/>
            <charset val="238"/>
          </rPr>
          <t xml:space="preserve">
30.04.2015</t>
        </r>
      </text>
    </comment>
  </commentList>
</comments>
</file>

<file path=xl/sharedStrings.xml><?xml version="1.0" encoding="utf-8"?>
<sst xmlns="http://schemas.openxmlformats.org/spreadsheetml/2006/main" count="316" uniqueCount="157">
  <si>
    <t>(sipas SR)</t>
  </si>
  <si>
    <t>(sipas KPA)</t>
  </si>
  <si>
    <t>Fitimi/humbja nga noteria - bashkëshortja</t>
  </si>
  <si>
    <t>1.1.2015 - 30.7.2015</t>
  </si>
  <si>
    <t xml:space="preserve">20.6.2014 </t>
  </si>
  <si>
    <t>Shkaku ankimor nr. 1 - Në lidhje me automjetin tip “Volkswagen” me targa AA838KC;</t>
  </si>
  <si>
    <t>23.7.2014</t>
  </si>
  <si>
    <t>27.1.2016</t>
  </si>
  <si>
    <t>31.1.2017</t>
  </si>
  <si>
    <t>31.3.2017</t>
  </si>
  <si>
    <t>22.10.2021</t>
  </si>
  <si>
    <t>7.2.2022
31.3.2022</t>
  </si>
  <si>
    <t>Tabela nr. 4.1 - Mundësia e krijimit të pasurive para fillimit të detyrës (subjekti)</t>
  </si>
  <si>
    <t>Tabela nr. 4.2 - Analiza financiare për periudhën 20.6.2014 - 31.12.2014 (subjekti)</t>
  </si>
  <si>
    <t>Tabelat e relacionit ekonomik SR Erind Reovica</t>
  </si>
  <si>
    <t>Tabela nr. 1 - Mundësia e krijimit të automjetit tip "Volkswagen" (sipas Komisionit)</t>
  </si>
  <si>
    <t>Tabela nr. 1.1 - Mundësia e krijimit të automjetit tip "Volkswagen" (sipas subjektit)</t>
  </si>
  <si>
    <t>Tabela nr. 1.2 - Mundësia e krijimit të automjetit tip "Volkswagen" (sipas Kolegjit)</t>
  </si>
  <si>
    <t>Tabela nr. 1.3 - Mundësia e krijimit të automjetit tip "Volkswagen" (sipas Kolegjit - analiza vetëm me të ardhurat e bashkëshortes)</t>
  </si>
  <si>
    <t>Shkaku ankimor nr. 5 - Në lidhje me analizën financiare</t>
  </si>
  <si>
    <t>Tabela nr. 5 - Analiza financiare paraprake (Komisioni)</t>
  </si>
  <si>
    <t>Tabela nr. 5.1 - Analiza financiare sipas Kolegjit</t>
  </si>
  <si>
    <t xml:space="preserve">Description </t>
  </si>
  <si>
    <t>Period 
1.1.2015 - 30.7.2015</t>
  </si>
  <si>
    <t>Assets (A)</t>
  </si>
  <si>
    <t>Vehicle, Vokswagen, year 2011, AA838KC</t>
  </si>
  <si>
    <t xml:space="preserve">Increase/Decrease of liquidities </t>
  </si>
  <si>
    <t>Income (B)</t>
  </si>
  <si>
    <t xml:space="preserve">Profit from Notary, Spouse </t>
  </si>
  <si>
    <t>Expenditure (C)</t>
  </si>
  <si>
    <t xml:space="preserve">Living expenses as per household composition </t>
  </si>
  <si>
    <t>Travel expenses as per TIMS</t>
  </si>
  <si>
    <t xml:space="preserve">Commuting expenses  </t>
  </si>
  <si>
    <t xml:space="preserve">Property registration expenses </t>
  </si>
  <si>
    <t>Result (D)=(B)-(A)-(C)</t>
  </si>
  <si>
    <t xml:space="preserve">Income from salary, Assessee </t>
  </si>
  <si>
    <t>Description</t>
  </si>
  <si>
    <t xml:space="preserve">Period </t>
  </si>
  <si>
    <t>Period 20.6.2014 - 31.12.2014</t>
  </si>
  <si>
    <t>(as per IQC)</t>
  </si>
  <si>
    <t>((as per Assessee)</t>
  </si>
  <si>
    <t xml:space="preserve">Donation to daughter from Assessee's father </t>
  </si>
  <si>
    <t>Assets</t>
  </si>
  <si>
    <t>December 2005  - 20.06.2014 (IQC)</t>
  </si>
  <si>
    <t>Income</t>
  </si>
  <si>
    <t>Income(B)</t>
  </si>
  <si>
    <t>Tabela nr. 2.1 - Mundësia e krijimit të shumës 20.000 EUR depozituar në RZB (sipas SR)</t>
  </si>
  <si>
    <t>Tabela nr. 2.3 - Mundësia e krijimit të shumës 20.000 EUR depozituar në RZB (KPA)</t>
  </si>
  <si>
    <t>Living expenses</t>
  </si>
  <si>
    <t>Expenditure</t>
  </si>
  <si>
    <t>Expenditure (D)</t>
  </si>
  <si>
    <t>Travel expenses</t>
  </si>
  <si>
    <t>Commuting expenses</t>
  </si>
  <si>
    <t xml:space="preserve">Commuting expenses </t>
  </si>
  <si>
    <t>Property registration expenses</t>
  </si>
  <si>
    <t xml:space="preserve">Salaries of Assessee </t>
  </si>
  <si>
    <t>Vehicle  “Volkswagen”, year 2011, AA 838 KC</t>
  </si>
  <si>
    <t>Income from salary of Assessee</t>
  </si>
  <si>
    <t>Financial result (D)=(B)-(A)-(C)</t>
  </si>
  <si>
    <t>Increase/Decrease of liquidities</t>
  </si>
  <si>
    <t>Capacity for savings</t>
  </si>
  <si>
    <t>Capacity for savings (D)=(B)-(A)-(C)</t>
  </si>
  <si>
    <t>Capacity for savings (E)=(B)+(C)-(A)-(D)</t>
  </si>
  <si>
    <t>Increase/Decrease of liquidities (cash)</t>
  </si>
  <si>
    <t>Salary of Spouse</t>
  </si>
  <si>
    <t>Salaries of Spouse</t>
  </si>
  <si>
    <t>Date</t>
  </si>
  <si>
    <t>(sipas IQC)</t>
  </si>
  <si>
    <t>Tabela nr. 2 - Mundësia e krijimit të shumës 20.000 EUR depozituar në RZB (sipas IQC)</t>
  </si>
  <si>
    <t>Tabela nr. 2.2 - Mundësia e krijimit të shumës 20.000 EUR depozituar në RZB (analiza përfundimtare IQC)</t>
  </si>
  <si>
    <t>Shkaku ankimor nr. 2 - Në lidhje savingst nga paga si OPGj në vlerën 20.000 EUR</t>
  </si>
  <si>
    <t>Shkaku ankimor nr. 4 - Në lidhje me savingst cash në vlerën 1.500.000 ALL</t>
  </si>
  <si>
    <t>Tabela nr. 3 – Burimet e deklaruara nga subjekti për savingst cash 1.500.000 ALL</t>
  </si>
  <si>
    <t>Tabela nr. 4 - Mundësia e krijimit të savingsve cash (Komisioni)</t>
  </si>
  <si>
    <t>Tabela nr. 4.3 - Mundësia e krijimit të savingsve cash (Komisioni)</t>
  </si>
  <si>
    <t>December 2005 until 4.7.2014 (SR)</t>
  </si>
  <si>
    <t>December 2005 until 20.6.2014 (IQC)</t>
  </si>
  <si>
    <t>December 2005 until 20.6.2014</t>
  </si>
  <si>
    <t xml:space="preserve">Period until 20.6.2014 </t>
  </si>
  <si>
    <t>nga 20.6.2014 until 31.12.2014</t>
  </si>
  <si>
    <t xml:space="preserve">Deposit, EUR 20.000 </t>
  </si>
  <si>
    <t>Salary of spouse</t>
  </si>
  <si>
    <t>Apartment in Vlora</t>
  </si>
  <si>
    <t>Balance of Balance of liquidities cash</t>
  </si>
  <si>
    <t xml:space="preserve">Balance of liquidities (cash) </t>
  </si>
  <si>
    <t xml:space="preserve">Balance of liquidities (bank) </t>
  </si>
  <si>
    <t>Paid loan instalment Raiffeisen Bank</t>
  </si>
  <si>
    <t xml:space="preserve">Furnishing expenses </t>
  </si>
  <si>
    <t>Used loan from Raiffeisen Bank</t>
  </si>
  <si>
    <t xml:space="preserve">Donation from grandfather  </t>
  </si>
  <si>
    <t>Paid loan instalment to Raiffeisen Bank</t>
  </si>
  <si>
    <t>Paid to bailiffs via BKT Bank, end of 2013</t>
  </si>
  <si>
    <t>Donation + support from Assessee's father</t>
  </si>
  <si>
    <t>Paid to bailiffs via BKT Bank + Credins Bank</t>
  </si>
  <si>
    <t>Document</t>
  </si>
  <si>
    <t>Declaration Before Assuming Office 2014</t>
  </si>
  <si>
    <t>HIDAACI Minutes</t>
  </si>
  <si>
    <t xml:space="preserve">Vetting Declaration </t>
  </si>
  <si>
    <t>PAD - 2016</t>
  </si>
  <si>
    <t>Questionnaire No. 2</t>
  </si>
  <si>
    <t xml:space="preserve">Submissions and Appeal </t>
  </si>
  <si>
    <t>ALL 500.000  - proceeds from sale of land in Gjokaj, Tirana</t>
  </si>
  <si>
    <t>Loan lent to B.E.</t>
  </si>
  <si>
    <t xml:space="preserve">Deposit of EUR 20.000 </t>
  </si>
  <si>
    <t>Balance of liquidities (bank + cash)</t>
  </si>
  <si>
    <t xml:space="preserve">Profit from notary, Spouse </t>
  </si>
  <si>
    <t xml:space="preserve">Bank interest gained </t>
  </si>
  <si>
    <t xml:space="preserve">Savings of EUR 20.000 from salary as judicial police officer </t>
  </si>
  <si>
    <t xml:space="preserve">Expenses for children's kindergarten </t>
  </si>
  <si>
    <t>Apartment in Vlora, 34.800 EUR, paid in 2011 and 2012</t>
  </si>
  <si>
    <t>Deposit of EUR 20.000, July 2015 (balance before assuming office)</t>
  </si>
  <si>
    <t>Balance of liquidities (bank dhe cash)</t>
  </si>
  <si>
    <t>Increase/Decrease of liquidities (bank)</t>
  </si>
  <si>
    <t>Loan lent to Mr. Bledar Eskiu, EUR 17.000 , Feb 2015</t>
  </si>
  <si>
    <t xml:space="preserve">Increase/Decrease of liquidities (bank) </t>
  </si>
  <si>
    <t>Income from work as migrant in Italy</t>
  </si>
  <si>
    <t>Loan, Raiffeisen Bank</t>
  </si>
  <si>
    <t>Donations and support from parents (deposits into the daughter's account + bailiff)</t>
  </si>
  <si>
    <t xml:space="preserve">Bank interest gained  </t>
  </si>
  <si>
    <t>Balance of liquidities (cash) in ALL</t>
  </si>
  <si>
    <t>Balance of liquidities (cash) in EUR</t>
  </si>
  <si>
    <t>Paid to bailiffs via BKT Bank</t>
  </si>
  <si>
    <t xml:space="preserve">Source </t>
  </si>
  <si>
    <t>ALL 1.000.000  - savings from work as migrant in Italy</t>
  </si>
  <si>
    <t>ALL 1.000.000  - Savings from work as migrant in Italy</t>
  </si>
  <si>
    <t>Savings from work as migrant (amount not specified)</t>
  </si>
  <si>
    <t>Deposit of EUR 20.000</t>
  </si>
  <si>
    <t>Vehicle Vokswagen year, 2011 AA838KC</t>
  </si>
  <si>
    <t>Loan lent to Bledar Eskiu</t>
  </si>
  <si>
    <t>Loan from Raiffeisen Bank (C)</t>
  </si>
  <si>
    <t>Proceeds from sale of land, year 2006</t>
  </si>
  <si>
    <t>Ap. 34.8 m², in Vlora, bought for EUR 34.800, paid in 2011 and 2012</t>
  </si>
  <si>
    <t xml:space="preserve">Income from work as migrant </t>
  </si>
  <si>
    <t>ALL 500.000  - proceeds from sale of land in Gjokaj, Tirana (source - work as migrant)</t>
  </si>
  <si>
    <t xml:space="preserve">Source inaccurately declared in questionnaire no. 2, stands by the sources disclosed in declarations. </t>
  </si>
  <si>
    <t>ALL 500.000  - did not state (IQC demanded probative docs only for the amount of ALL 1.000.000  - income from work as migrant)</t>
  </si>
  <si>
    <t>Various savings (amount not specified)</t>
  </si>
  <si>
    <t>Vehicle, Volkswagen, year 2011, AA838KC</t>
  </si>
  <si>
    <t>Loan at Raiffeisen Bank 20.12.2006 until 20.12.2009</t>
  </si>
  <si>
    <t>Vehicle Volkswagen year, 2011, AA838KC, purchased in July 2015</t>
  </si>
  <si>
    <t>until 20.06.2014</t>
  </si>
  <si>
    <t>from 20.6.2014 until 31.12.2014</t>
  </si>
  <si>
    <t xml:space="preserve">Profit / Loss from Notary, Spouse </t>
  </si>
  <si>
    <t>Sale of arable land</t>
  </si>
  <si>
    <t>Balance of liquidities (bank and cash)</t>
  </si>
  <si>
    <t xml:space="preserve">Funding from the father for purchase of apartment, expenses at BKT and gift to daughter </t>
  </si>
  <si>
    <t xml:space="preserve">ALL 1.000.000  - proceeds from sale of land in Gjokaj, Tirana and savings from salary as judicial police officer </t>
  </si>
  <si>
    <t xml:space="preserve">without the  parents' support </t>
  </si>
  <si>
    <t xml:space="preserve">with the  parents' support </t>
  </si>
  <si>
    <t xml:space="preserve">Transport / Commuting expenses  </t>
  </si>
  <si>
    <t>Amount of EUR 20.000  savings of salaries as JPO</t>
  </si>
  <si>
    <t>EUR 20.000, savings of salaries as JPO</t>
  </si>
  <si>
    <t xml:space="preserve">EUR 20.000, savings of salaries as JPO </t>
  </si>
  <si>
    <t>Correction of calclation for unlawful source re. cash balance of ALL 1.500.000</t>
  </si>
  <si>
    <t>Correction of calculation for unlawful source of cash balance of ALL 1.500.000</t>
  </si>
  <si>
    <t>Correction of calculation for unlawful source of cash balance of AL 20.000 EUR</t>
  </si>
  <si>
    <r>
      <t>Increase/Decrease of liquidities (cash</t>
    </r>
    <r>
      <rPr>
        <sz val="9"/>
        <color theme="1"/>
        <rFont val="Times New Roman"/>
        <family val="1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</si>
</sst>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 ;[Red]\-#,##0\ 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9"/>
      <color indexed="81"/>
      <name val="Tahoma"/>
      <family val="2"/>
    </font>
    <font>
      <b/>
      <sz val="11"/>
      <color rgb="FF002060"/>
      <name val="Times New Roman"/>
      <family val="1"/>
      <charset val="238"/>
    </font>
    <font>
      <b/>
      <sz val="9"/>
      <color indexed="81"/>
      <name val="Tahoma"/>
      <family val="2"/>
    </font>
    <font>
      <b/>
      <i/>
      <sz val="12"/>
      <color theme="4" tint="-0.249977111117893"/>
      <name val="Times New Roman"/>
      <family val="1"/>
    </font>
    <font>
      <b/>
      <i/>
      <sz val="11.5"/>
      <color rgb="FF002060"/>
      <name val="Times New Roman"/>
      <family val="1"/>
    </font>
    <font>
      <b/>
      <i/>
      <sz val="12"/>
      <color rgb="FF002060"/>
      <name val="Times New Roman"/>
      <family val="1"/>
    </font>
    <font>
      <b/>
      <sz val="11"/>
      <color theme="1"/>
      <name val="Times New Roman"/>
      <family val="1"/>
    </font>
    <font>
      <sz val="7"/>
      <color rgb="FF000000"/>
      <name val="Times New Roman"/>
      <family val="1"/>
    </font>
    <font>
      <i/>
      <sz val="9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theme="4" tint="-0.499984740745262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rgb="FFFF0000"/>
      <name val="Times New Roman"/>
      <family val="1"/>
    </font>
    <font>
      <b/>
      <i/>
      <sz val="10"/>
      <color rgb="FF002060"/>
      <name val="Times New Roman"/>
      <family val="1"/>
    </font>
    <font>
      <b/>
      <sz val="10"/>
      <color theme="1"/>
      <name val="Times New Roman"/>
      <family val="1"/>
    </font>
    <font>
      <sz val="10"/>
      <color theme="1" tint="0.34998626667073579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i/>
      <sz val="9"/>
      <color rgb="FF000000"/>
      <name val="Times New Roman"/>
      <family val="1"/>
    </font>
    <font>
      <b/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b/>
      <sz val="9"/>
      <color rgb="FF00206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2" tint="-0.499984740745262"/>
      </bottom>
      <diagonal/>
    </border>
    <border>
      <left/>
      <right style="medium">
        <color indexed="64"/>
      </right>
      <top style="thin">
        <color theme="2" tint="-0.499984740745262"/>
      </top>
      <bottom/>
      <diagonal/>
    </border>
    <border>
      <left/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2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theme="4" tint="-0.24994659260841701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-0.24994659260841701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4" tint="-0.24994659260841701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4" tint="-0.24994659260841701"/>
      </right>
      <top style="hair">
        <color indexed="64"/>
      </top>
      <bottom style="hair">
        <color indexed="64"/>
      </bottom>
      <diagonal/>
    </border>
    <border>
      <left/>
      <right style="thin">
        <color theme="4" tint="-0.24994659260841701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theme="4" tint="-0.24994659260841701"/>
      </right>
      <top/>
      <bottom style="hair">
        <color indexed="64"/>
      </bottom>
      <diagonal/>
    </border>
    <border>
      <left/>
      <right style="thin">
        <color theme="4" tint="-0.2499465926084170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theme="0" tint="-0.34998626667073579"/>
      </right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3" fontId="2" fillId="0" borderId="23" xfId="0" applyNumberFormat="1" applyFont="1" applyBorder="1" applyAlignment="1">
      <alignment vertical="center" wrapText="1"/>
    </xf>
    <xf numFmtId="0" fontId="2" fillId="0" borderId="28" xfId="0" applyFont="1" applyBorder="1"/>
    <xf numFmtId="43" fontId="2" fillId="0" borderId="0" xfId="1" applyFont="1"/>
    <xf numFmtId="43" fontId="2" fillId="0" borderId="0" xfId="1" applyFont="1" applyAlignment="1">
      <alignment horizontal="center"/>
    </xf>
    <xf numFmtId="3" fontId="2" fillId="0" borderId="0" xfId="0" applyNumberFormat="1" applyFont="1"/>
    <xf numFmtId="3" fontId="7" fillId="0" borderId="0" xfId="0" applyNumberFormat="1" applyFont="1"/>
    <xf numFmtId="0" fontId="4" fillId="6" borderId="26" xfId="0" applyFont="1" applyFill="1" applyBorder="1" applyAlignment="1">
      <alignment vertical="center" wrapText="1"/>
    </xf>
    <xf numFmtId="3" fontId="4" fillId="6" borderId="27" xfId="0" applyNumberFormat="1" applyFont="1" applyFill="1" applyBorder="1" applyAlignment="1">
      <alignment horizontal="right" vertical="center"/>
    </xf>
    <xf numFmtId="0" fontId="6" fillId="0" borderId="0" xfId="0" applyFont="1"/>
    <xf numFmtId="0" fontId="4" fillId="0" borderId="71" xfId="0" applyFont="1" applyBorder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horizontal="justify" vertical="center"/>
    </xf>
    <xf numFmtId="0" fontId="20" fillId="2" borderId="6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3" fontId="21" fillId="3" borderId="6" xfId="0" applyNumberFormat="1" applyFont="1" applyFill="1" applyBorder="1" applyAlignment="1">
      <alignment horizontal="right" vertical="center"/>
    </xf>
    <xf numFmtId="0" fontId="22" fillId="0" borderId="3" xfId="0" applyFont="1" applyBorder="1" applyAlignment="1">
      <alignment vertical="center" wrapText="1"/>
    </xf>
    <xf numFmtId="3" fontId="22" fillId="0" borderId="4" xfId="1" applyNumberFormat="1" applyFont="1" applyBorder="1" applyAlignment="1">
      <alignment horizontal="right" vertical="center"/>
    </xf>
    <xf numFmtId="0" fontId="22" fillId="0" borderId="7" xfId="0" applyFont="1" applyBorder="1" applyAlignment="1">
      <alignment vertical="center" wrapText="1"/>
    </xf>
    <xf numFmtId="0" fontId="21" fillId="4" borderId="5" xfId="0" applyFont="1" applyFill="1" applyBorder="1" applyAlignment="1">
      <alignment vertical="center" wrapText="1"/>
    </xf>
    <xf numFmtId="3" fontId="22" fillId="0" borderId="4" xfId="0" applyNumberFormat="1" applyFont="1" applyBorder="1" applyAlignment="1">
      <alignment horizontal="right" vertical="center"/>
    </xf>
    <xf numFmtId="3" fontId="22" fillId="0" borderId="8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vertical="center" wrapText="1"/>
    </xf>
    <xf numFmtId="3" fontId="23" fillId="0" borderId="2" xfId="0" applyNumberFormat="1" applyFont="1" applyBorder="1" applyAlignment="1">
      <alignment horizontal="right" vertical="center"/>
    </xf>
    <xf numFmtId="0" fontId="23" fillId="0" borderId="1" xfId="0" applyFont="1" applyFill="1" applyBorder="1" applyAlignment="1">
      <alignment vertical="center" wrapText="1"/>
    </xf>
    <xf numFmtId="0" fontId="23" fillId="0" borderId="7" xfId="0" applyFont="1" applyFill="1" applyBorder="1" applyAlignment="1">
      <alignment vertical="center" wrapText="1"/>
    </xf>
    <xf numFmtId="3" fontId="23" fillId="0" borderId="8" xfId="0" applyNumberFormat="1" applyFont="1" applyBorder="1" applyAlignment="1">
      <alignment horizontal="right" vertical="center"/>
    </xf>
    <xf numFmtId="0" fontId="21" fillId="5" borderId="5" xfId="0" applyFont="1" applyFill="1" applyBorder="1" applyAlignment="1">
      <alignment vertical="center" wrapText="1"/>
    </xf>
    <xf numFmtId="3" fontId="24" fillId="5" borderId="6" xfId="0" applyNumberFormat="1" applyFont="1" applyFill="1" applyBorder="1" applyAlignment="1">
      <alignment horizontal="right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vertical="center" wrapText="1"/>
    </xf>
    <xf numFmtId="3" fontId="26" fillId="6" borderId="6" xfId="0" applyNumberFormat="1" applyFont="1" applyFill="1" applyBorder="1" applyAlignment="1">
      <alignment horizontal="right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3" fontId="21" fillId="3" borderId="13" xfId="0" applyNumberFormat="1" applyFont="1" applyFill="1" applyBorder="1" applyAlignment="1">
      <alignment horizontal="right" vertical="center"/>
    </xf>
    <xf numFmtId="3" fontId="21" fillId="3" borderId="9" xfId="0" applyNumberFormat="1" applyFont="1" applyFill="1" applyBorder="1" applyAlignment="1">
      <alignment horizontal="right" vertical="center"/>
    </xf>
    <xf numFmtId="3" fontId="22" fillId="0" borderId="16" xfId="0" applyNumberFormat="1" applyFont="1" applyBorder="1" applyAlignment="1">
      <alignment vertical="center" wrapText="1"/>
    </xf>
    <xf numFmtId="3" fontId="22" fillId="0" borderId="16" xfId="1" applyNumberFormat="1" applyFont="1" applyBorder="1" applyAlignment="1">
      <alignment horizontal="right" vertical="center"/>
    </xf>
    <xf numFmtId="3" fontId="22" fillId="0" borderId="4" xfId="2" applyNumberFormat="1" applyFont="1" applyFill="1" applyBorder="1" applyAlignment="1">
      <alignment horizontal="right" vertical="center"/>
    </xf>
    <xf numFmtId="3" fontId="22" fillId="0" borderId="16" xfId="2" applyNumberFormat="1" applyFont="1" applyFill="1" applyBorder="1" applyAlignment="1">
      <alignment horizontal="right" vertical="center"/>
    </xf>
    <xf numFmtId="3" fontId="22" fillId="0" borderId="16" xfId="0" applyNumberFormat="1" applyFont="1" applyBorder="1" applyAlignment="1">
      <alignment horizontal="right" vertical="center"/>
    </xf>
    <xf numFmtId="3" fontId="22" fillId="0" borderId="17" xfId="0" applyNumberFormat="1" applyFont="1" applyBorder="1" applyAlignment="1">
      <alignment vertical="center" wrapText="1"/>
    </xf>
    <xf numFmtId="3" fontId="22" fillId="0" borderId="17" xfId="0" applyNumberFormat="1" applyFont="1" applyBorder="1" applyAlignment="1">
      <alignment horizontal="right" vertical="center"/>
    </xf>
    <xf numFmtId="3" fontId="23" fillId="7" borderId="8" xfId="0" applyNumberFormat="1" applyFont="1" applyFill="1" applyBorder="1" applyAlignment="1">
      <alignment horizontal="right" vertical="center"/>
    </xf>
    <xf numFmtId="0" fontId="22" fillId="0" borderId="72" xfId="0" applyFont="1" applyBorder="1" applyAlignment="1">
      <alignment vertical="center" wrapText="1"/>
    </xf>
    <xf numFmtId="3" fontId="23" fillId="0" borderId="18" xfId="0" applyNumberFormat="1" applyFont="1" applyBorder="1" applyAlignment="1">
      <alignment horizontal="right" vertical="center"/>
    </xf>
    <xf numFmtId="3" fontId="22" fillId="0" borderId="19" xfId="0" applyNumberFormat="1" applyFont="1" applyBorder="1" applyAlignment="1">
      <alignment vertical="center" wrapText="1"/>
    </xf>
    <xf numFmtId="3" fontId="22" fillId="6" borderId="4" xfId="0" applyNumberFormat="1" applyFont="1" applyFill="1" applyBorder="1" applyAlignment="1">
      <alignment horizontal="right" vertical="center"/>
    </xf>
    <xf numFmtId="3" fontId="22" fillId="0" borderId="21" xfId="0" applyNumberFormat="1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3" fontId="23" fillId="0" borderId="21" xfId="0" applyNumberFormat="1" applyFont="1" applyBorder="1" applyAlignment="1">
      <alignment vertical="center" wrapText="1"/>
    </xf>
    <xf numFmtId="3" fontId="23" fillId="6" borderId="2" xfId="0" applyNumberFormat="1" applyFont="1" applyFill="1" applyBorder="1" applyAlignment="1">
      <alignment horizontal="right" vertical="center"/>
    </xf>
    <xf numFmtId="3" fontId="23" fillId="0" borderId="20" xfId="0" applyNumberFormat="1" applyFont="1" applyBorder="1" applyAlignment="1">
      <alignment vertical="center" wrapText="1"/>
    </xf>
    <xf numFmtId="3" fontId="23" fillId="0" borderId="17" xfId="0" applyNumberFormat="1" applyFont="1" applyBorder="1" applyAlignment="1">
      <alignment horizontal="right" vertical="center"/>
    </xf>
    <xf numFmtId="3" fontId="24" fillId="5" borderId="13" xfId="0" applyNumberFormat="1" applyFont="1" applyFill="1" applyBorder="1" applyAlignment="1">
      <alignment horizontal="right" vertical="center" wrapText="1"/>
    </xf>
    <xf numFmtId="3" fontId="26" fillId="6" borderId="9" xfId="0" applyNumberFormat="1" applyFont="1" applyFill="1" applyBorder="1" applyAlignment="1">
      <alignment horizontal="right" vertical="center" wrapText="1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3" fontId="22" fillId="7" borderId="8" xfId="0" applyNumberFormat="1" applyFont="1" applyFill="1" applyBorder="1" applyAlignment="1">
      <alignment horizontal="right" vertical="center"/>
    </xf>
    <xf numFmtId="0" fontId="20" fillId="2" borderId="13" xfId="0" applyFont="1" applyFill="1" applyBorder="1" applyAlignment="1">
      <alignment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vertical="center" wrapText="1"/>
    </xf>
    <xf numFmtId="3" fontId="21" fillId="3" borderId="30" xfId="0" applyNumberFormat="1" applyFont="1" applyFill="1" applyBorder="1" applyAlignment="1">
      <alignment horizontal="right" vertical="center"/>
    </xf>
    <xf numFmtId="0" fontId="22" fillId="0" borderId="11" xfId="0" applyFont="1" applyBorder="1" applyAlignment="1">
      <alignment vertical="center" wrapText="1"/>
    </xf>
    <xf numFmtId="3" fontId="22" fillId="0" borderId="30" xfId="0" applyNumberFormat="1" applyFont="1" applyBorder="1" applyAlignment="1">
      <alignment horizontal="right" vertical="center"/>
    </xf>
    <xf numFmtId="0" fontId="20" fillId="0" borderId="11" xfId="0" applyFont="1" applyBorder="1" applyAlignment="1">
      <alignment vertical="center" wrapText="1"/>
    </xf>
    <xf numFmtId="3" fontId="20" fillId="0" borderId="30" xfId="0" applyNumberFormat="1" applyFont="1" applyBorder="1" applyAlignment="1">
      <alignment horizontal="right" vertical="center"/>
    </xf>
    <xf numFmtId="0" fontId="23" fillId="0" borderId="11" xfId="0" applyFont="1" applyBorder="1" applyAlignment="1">
      <alignment vertical="center" wrapText="1"/>
    </xf>
    <xf numFmtId="0" fontId="21" fillId="5" borderId="11" xfId="0" applyFont="1" applyFill="1" applyBorder="1" applyAlignment="1">
      <alignment vertical="center" wrapText="1"/>
    </xf>
    <xf numFmtId="3" fontId="28" fillId="5" borderId="30" xfId="0" applyNumberFormat="1" applyFont="1" applyFill="1" applyBorder="1" applyAlignment="1">
      <alignment horizontal="right" vertical="center" wrapText="1"/>
    </xf>
    <xf numFmtId="3" fontId="27" fillId="0" borderId="30" xfId="0" applyNumberFormat="1" applyFont="1" applyBorder="1" applyAlignment="1">
      <alignment horizontal="right" vertical="center"/>
    </xf>
    <xf numFmtId="3" fontId="22" fillId="0" borderId="30" xfId="0" applyNumberFormat="1" applyFont="1" applyBorder="1" applyAlignment="1">
      <alignment horizontal="right"/>
    </xf>
    <xf numFmtId="0" fontId="22" fillId="0" borderId="30" xfId="0" applyFont="1" applyBorder="1" applyAlignment="1">
      <alignment horizontal="right" vertical="center" wrapText="1"/>
    </xf>
    <xf numFmtId="3" fontId="29" fillId="6" borderId="30" xfId="0" applyNumberFormat="1" applyFont="1" applyFill="1" applyBorder="1" applyAlignment="1">
      <alignment horizontal="right" vertical="center" wrapText="1"/>
    </xf>
    <xf numFmtId="3" fontId="22" fillId="0" borderId="30" xfId="0" applyNumberFormat="1" applyFont="1" applyBorder="1" applyAlignment="1">
      <alignment horizontal="right" vertical="center" wrapText="1"/>
    </xf>
    <xf numFmtId="0" fontId="23" fillId="5" borderId="11" xfId="0" applyFont="1" applyFill="1" applyBorder="1" applyAlignment="1">
      <alignment vertical="center" wrapText="1"/>
    </xf>
    <xf numFmtId="3" fontId="22" fillId="5" borderId="30" xfId="0" applyNumberFormat="1" applyFont="1" applyFill="1" applyBorder="1" applyAlignment="1">
      <alignment horizontal="right" vertical="center"/>
    </xf>
    <xf numFmtId="0" fontId="30" fillId="0" borderId="73" xfId="0" applyFont="1" applyBorder="1" applyAlignment="1">
      <alignment horizontal="center"/>
    </xf>
    <xf numFmtId="0" fontId="30" fillId="0" borderId="74" xfId="0" applyFont="1" applyBorder="1" applyAlignment="1">
      <alignment horizontal="center"/>
    </xf>
    <xf numFmtId="0" fontId="30" fillId="0" borderId="75" xfId="0" applyFont="1" applyBorder="1"/>
    <xf numFmtId="0" fontId="23" fillId="0" borderId="76" xfId="0" applyFont="1" applyBorder="1" applyAlignment="1">
      <alignment horizontal="center" vertical="center"/>
    </xf>
    <xf numFmtId="0" fontId="23" fillId="0" borderId="77" xfId="0" applyFont="1" applyBorder="1" applyAlignment="1">
      <alignment horizontal="center" vertical="center"/>
    </xf>
    <xf numFmtId="0" fontId="23" fillId="0" borderId="78" xfId="0" applyFont="1" applyBorder="1"/>
    <xf numFmtId="0" fontId="23" fillId="0" borderId="79" xfId="0" applyFont="1" applyBorder="1" applyAlignment="1">
      <alignment horizontal="center" vertical="center"/>
    </xf>
    <xf numFmtId="0" fontId="23" fillId="0" borderId="80" xfId="0" applyFont="1" applyBorder="1" applyAlignment="1">
      <alignment horizontal="center" vertical="center"/>
    </xf>
    <xf numFmtId="0" fontId="23" fillId="0" borderId="81" xfId="0" applyFont="1" applyBorder="1"/>
    <xf numFmtId="0" fontId="23" fillId="0" borderId="81" xfId="0" applyFont="1" applyBorder="1" applyAlignment="1">
      <alignment vertical="center" wrapText="1"/>
    </xf>
    <xf numFmtId="0" fontId="23" fillId="0" borderId="82" xfId="0" applyFont="1" applyBorder="1" applyAlignment="1">
      <alignment horizontal="center" vertical="center"/>
    </xf>
    <xf numFmtId="0" fontId="23" fillId="0" borderId="80" xfId="0" applyFont="1" applyBorder="1" applyAlignment="1">
      <alignment horizontal="center" vertical="center" wrapText="1"/>
    </xf>
    <xf numFmtId="0" fontId="23" fillId="0" borderId="81" xfId="0" applyFont="1" applyBorder="1" applyAlignment="1">
      <alignment wrapText="1"/>
    </xf>
    <xf numFmtId="0" fontId="23" fillId="0" borderId="83" xfId="0" applyFont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0" borderId="85" xfId="0" applyFont="1" applyBorder="1" applyAlignment="1">
      <alignment horizontal="center" vertical="center"/>
    </xf>
    <xf numFmtId="0" fontId="23" fillId="0" borderId="86" xfId="0" applyFont="1" applyBorder="1"/>
    <xf numFmtId="0" fontId="20" fillId="2" borderId="26" xfId="0" applyFont="1" applyFill="1" applyBorder="1" applyAlignment="1">
      <alignment vertical="center" wrapText="1"/>
    </xf>
    <xf numFmtId="0" fontId="20" fillId="2" borderId="27" xfId="0" applyFont="1" applyFill="1" applyBorder="1" applyAlignment="1">
      <alignment vertical="center" wrapText="1"/>
    </xf>
    <xf numFmtId="0" fontId="21" fillId="3" borderId="26" xfId="0" applyFont="1" applyFill="1" applyBorder="1" applyAlignment="1">
      <alignment vertical="center" wrapText="1"/>
    </xf>
    <xf numFmtId="3" fontId="21" fillId="3" borderId="27" xfId="0" applyNumberFormat="1" applyFont="1" applyFill="1" applyBorder="1" applyAlignment="1">
      <alignment horizontal="right" vertical="center"/>
    </xf>
    <xf numFmtId="0" fontId="23" fillId="0" borderId="24" xfId="0" applyFont="1" applyBorder="1"/>
    <xf numFmtId="3" fontId="23" fillId="0" borderId="25" xfId="0" applyNumberFormat="1" applyFont="1" applyBorder="1" applyAlignment="1">
      <alignment vertical="center" wrapText="1"/>
    </xf>
    <xf numFmtId="0" fontId="27" fillId="0" borderId="22" xfId="0" applyFont="1" applyBorder="1"/>
    <xf numFmtId="3" fontId="23" fillId="0" borderId="23" xfId="0" applyNumberFormat="1" applyFont="1" applyBorder="1" applyAlignment="1">
      <alignment vertical="center" wrapText="1"/>
    </xf>
    <xf numFmtId="0" fontId="31" fillId="0" borderId="28" xfId="0" applyFont="1" applyBorder="1"/>
    <xf numFmtId="3" fontId="31" fillId="0" borderId="29" xfId="0" applyNumberFormat="1" applyFont="1" applyBorder="1" applyAlignment="1">
      <alignment vertical="center" wrapText="1"/>
    </xf>
    <xf numFmtId="0" fontId="23" fillId="0" borderId="22" xfId="0" applyFont="1" applyBorder="1"/>
    <xf numFmtId="0" fontId="23" fillId="0" borderId="28" xfId="0" applyFont="1" applyBorder="1"/>
    <xf numFmtId="3" fontId="23" fillId="0" borderId="29" xfId="0" applyNumberFormat="1" applyFont="1" applyBorder="1" applyAlignment="1">
      <alignment vertical="center" wrapText="1"/>
    </xf>
    <xf numFmtId="0" fontId="24" fillId="5" borderId="26" xfId="0" applyFont="1" applyFill="1" applyBorder="1" applyAlignment="1">
      <alignment vertical="center" wrapText="1"/>
    </xf>
    <xf numFmtId="3" fontId="24" fillId="5" borderId="27" xfId="0" applyNumberFormat="1" applyFont="1" applyFill="1" applyBorder="1" applyAlignment="1">
      <alignment horizontal="right" vertical="center"/>
    </xf>
    <xf numFmtId="0" fontId="23" fillId="0" borderId="12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0" fillId="2" borderId="27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wrapText="1"/>
    </xf>
    <xf numFmtId="3" fontId="23" fillId="7" borderId="23" xfId="0" applyNumberFormat="1" applyFont="1" applyFill="1" applyBorder="1" applyAlignment="1">
      <alignment vertical="center" wrapText="1"/>
    </xf>
    <xf numFmtId="0" fontId="21" fillId="6" borderId="26" xfId="0" applyFont="1" applyFill="1" applyBorder="1" applyAlignment="1">
      <alignment vertical="center" wrapText="1"/>
    </xf>
    <xf numFmtId="3" fontId="21" fillId="6" borderId="27" xfId="0" applyNumberFormat="1" applyFont="1" applyFill="1" applyBorder="1" applyAlignment="1">
      <alignment horizontal="right" vertical="center"/>
    </xf>
    <xf numFmtId="0" fontId="19" fillId="2" borderId="26" xfId="0" applyFont="1" applyFill="1" applyBorder="1" applyAlignment="1">
      <alignment vertical="center" wrapText="1"/>
    </xf>
    <xf numFmtId="0" fontId="19" fillId="2" borderId="27" xfId="0" applyFont="1" applyFill="1" applyBorder="1" applyAlignment="1">
      <alignment vertical="center" wrapText="1"/>
    </xf>
    <xf numFmtId="0" fontId="32" fillId="3" borderId="26" xfId="0" applyFont="1" applyFill="1" applyBorder="1" applyAlignment="1">
      <alignment vertical="center" wrapText="1"/>
    </xf>
    <xf numFmtId="3" fontId="32" fillId="3" borderId="27" xfId="0" applyNumberFormat="1" applyFont="1" applyFill="1" applyBorder="1" applyAlignment="1">
      <alignment horizontal="right" vertical="center"/>
    </xf>
    <xf numFmtId="0" fontId="33" fillId="0" borderId="46" xfId="0" applyFont="1" applyBorder="1" applyAlignment="1">
      <alignment vertical="center" wrapText="1"/>
    </xf>
    <xf numFmtId="3" fontId="33" fillId="0" borderId="47" xfId="0" applyNumberFormat="1" applyFont="1" applyBorder="1" applyAlignment="1">
      <alignment vertical="center"/>
    </xf>
    <xf numFmtId="0" fontId="33" fillId="0" borderId="48" xfId="0" applyFont="1" applyBorder="1"/>
    <xf numFmtId="0" fontId="34" fillId="9" borderId="46" xfId="0" applyFont="1" applyFill="1" applyBorder="1" applyAlignment="1">
      <alignment vertical="center" wrapText="1"/>
    </xf>
    <xf numFmtId="3" fontId="34" fillId="0" borderId="47" xfId="0" applyNumberFormat="1" applyFont="1" applyBorder="1" applyAlignment="1">
      <alignment vertical="center"/>
    </xf>
    <xf numFmtId="0" fontId="34" fillId="12" borderId="46" xfId="0" applyFont="1" applyFill="1" applyBorder="1" applyAlignment="1">
      <alignment vertical="center" wrapText="1"/>
    </xf>
    <xf numFmtId="3" fontId="34" fillId="12" borderId="47" xfId="0" applyNumberFormat="1" applyFont="1" applyFill="1" applyBorder="1" applyAlignment="1">
      <alignment vertical="center"/>
    </xf>
    <xf numFmtId="0" fontId="33" fillId="9" borderId="46" xfId="0" applyFont="1" applyFill="1" applyBorder="1" applyAlignment="1">
      <alignment vertical="center" wrapText="1"/>
    </xf>
    <xf numFmtId="164" fontId="35" fillId="0" borderId="47" xfId="0" applyNumberFormat="1" applyFont="1" applyBorder="1" applyAlignment="1">
      <alignment vertical="center"/>
    </xf>
    <xf numFmtId="3" fontId="33" fillId="0" borderId="49" xfId="0" applyNumberFormat="1" applyFont="1" applyBorder="1" applyAlignment="1">
      <alignment vertical="center"/>
    </xf>
    <xf numFmtId="0" fontId="33" fillId="0" borderId="46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6" fillId="5" borderId="26" xfId="0" applyFont="1" applyFill="1" applyBorder="1" applyAlignment="1">
      <alignment vertical="center" wrapText="1"/>
    </xf>
    <xf numFmtId="3" fontId="36" fillId="5" borderId="27" xfId="0" applyNumberFormat="1" applyFont="1" applyFill="1" applyBorder="1" applyAlignment="1">
      <alignment horizontal="right" vertical="center"/>
    </xf>
    <xf numFmtId="0" fontId="37" fillId="2" borderId="33" xfId="0" applyFont="1" applyFill="1" applyBorder="1" applyAlignment="1">
      <alignment vertical="center" wrapText="1"/>
    </xf>
    <xf numFmtId="0" fontId="37" fillId="2" borderId="34" xfId="0" applyFont="1" applyFill="1" applyBorder="1" applyAlignment="1">
      <alignment horizontal="center" vertical="center" wrapText="1"/>
    </xf>
    <xf numFmtId="0" fontId="37" fillId="2" borderId="35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vertical="center" wrapText="1"/>
    </xf>
    <xf numFmtId="3" fontId="32" fillId="3" borderId="32" xfId="0" applyNumberFormat="1" applyFont="1" applyFill="1" applyBorder="1" applyAlignment="1">
      <alignment horizontal="right" vertical="center"/>
    </xf>
    <xf numFmtId="3" fontId="32" fillId="3" borderId="37" xfId="0" applyNumberFormat="1" applyFont="1" applyFill="1" applyBorder="1" applyAlignment="1">
      <alignment horizontal="right" vertical="center"/>
    </xf>
    <xf numFmtId="0" fontId="33" fillId="0" borderId="38" xfId="0" applyFont="1" applyBorder="1"/>
    <xf numFmtId="3" fontId="33" fillId="0" borderId="31" xfId="0" applyNumberFormat="1" applyFont="1" applyBorder="1"/>
    <xf numFmtId="3" fontId="33" fillId="0" borderId="39" xfId="0" applyNumberFormat="1" applyFont="1" applyBorder="1"/>
    <xf numFmtId="0" fontId="32" fillId="3" borderId="38" xfId="0" applyFont="1" applyFill="1" applyBorder="1" applyAlignment="1">
      <alignment vertical="center" wrapText="1"/>
    </xf>
    <xf numFmtId="3" fontId="32" fillId="3" borderId="31" xfId="0" applyNumberFormat="1" applyFont="1" applyFill="1" applyBorder="1" applyAlignment="1">
      <alignment horizontal="right" vertical="center"/>
    </xf>
    <xf numFmtId="3" fontId="32" fillId="3" borderId="39" xfId="0" applyNumberFormat="1" applyFont="1" applyFill="1" applyBorder="1" applyAlignment="1">
      <alignment horizontal="right" vertical="center"/>
    </xf>
    <xf numFmtId="3" fontId="33" fillId="0" borderId="41" xfId="0" applyNumberFormat="1" applyFont="1" applyBorder="1"/>
    <xf numFmtId="3" fontId="33" fillId="0" borderId="42" xfId="0" applyNumberFormat="1" applyFont="1" applyBorder="1"/>
    <xf numFmtId="0" fontId="32" fillId="3" borderId="33" xfId="0" applyFont="1" applyFill="1" applyBorder="1" applyAlignment="1">
      <alignment vertical="center" wrapText="1"/>
    </xf>
    <xf numFmtId="3" fontId="36" fillId="8" borderId="34" xfId="0" applyNumberFormat="1" applyFont="1" applyFill="1" applyBorder="1" applyAlignment="1">
      <alignment horizontal="right" vertical="center"/>
    </xf>
    <xf numFmtId="3" fontId="32" fillId="3" borderId="35" xfId="0" applyNumberFormat="1" applyFont="1" applyFill="1" applyBorder="1" applyAlignment="1">
      <alignment horizontal="right" vertical="center"/>
    </xf>
    <xf numFmtId="0" fontId="33" fillId="0" borderId="40" xfId="0" applyFont="1" applyFill="1" applyBorder="1"/>
    <xf numFmtId="0" fontId="33" fillId="9" borderId="51" xfId="0" applyFont="1" applyFill="1" applyBorder="1" applyAlignment="1">
      <alignment horizontal="left" vertical="center" wrapText="1"/>
    </xf>
    <xf numFmtId="0" fontId="34" fillId="9" borderId="52" xfId="0" applyFont="1" applyFill="1" applyBorder="1" applyAlignment="1">
      <alignment horizontal="center" vertical="center" wrapText="1"/>
    </xf>
    <xf numFmtId="14" fontId="38" fillId="9" borderId="53" xfId="0" applyNumberFormat="1" applyFont="1" applyFill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/>
    </xf>
    <xf numFmtId="0" fontId="39" fillId="10" borderId="56" xfId="0" applyFont="1" applyFill="1" applyBorder="1" applyAlignment="1">
      <alignment vertical="center" wrapText="1"/>
    </xf>
    <xf numFmtId="3" fontId="39" fillId="10" borderId="57" xfId="0" applyNumberFormat="1" applyFont="1" applyFill="1" applyBorder="1" applyAlignment="1">
      <alignment vertical="center"/>
    </xf>
    <xf numFmtId="3" fontId="39" fillId="10" borderId="58" xfId="0" applyNumberFormat="1" applyFont="1" applyFill="1" applyBorder="1" applyAlignment="1">
      <alignment vertical="center"/>
    </xf>
    <xf numFmtId="3" fontId="39" fillId="10" borderId="59" xfId="0" applyNumberFormat="1" applyFont="1" applyFill="1" applyBorder="1" applyAlignment="1">
      <alignment vertical="center"/>
    </xf>
    <xf numFmtId="3" fontId="39" fillId="10" borderId="60" xfId="0" applyNumberFormat="1" applyFont="1" applyFill="1" applyBorder="1" applyAlignment="1">
      <alignment vertical="center"/>
    </xf>
    <xf numFmtId="0" fontId="33" fillId="0" borderId="61" xfId="0" applyFont="1" applyBorder="1" applyAlignment="1">
      <alignment vertical="center" wrapText="1"/>
    </xf>
    <xf numFmtId="3" fontId="33" fillId="0" borderId="62" xfId="0" applyNumberFormat="1" applyFont="1" applyBorder="1" applyAlignment="1">
      <alignment vertical="center"/>
    </xf>
    <xf numFmtId="3" fontId="33" fillId="0" borderId="63" xfId="0" applyNumberFormat="1" applyFont="1" applyBorder="1" applyAlignment="1">
      <alignment vertical="center"/>
    </xf>
    <xf numFmtId="3" fontId="33" fillId="0" borderId="64" xfId="0" applyNumberFormat="1" applyFont="1" applyBorder="1" applyAlignment="1">
      <alignment vertical="center"/>
    </xf>
    <xf numFmtId="3" fontId="33" fillId="0" borderId="65" xfId="0" applyNumberFormat="1" applyFont="1" applyBorder="1" applyAlignment="1">
      <alignment vertical="center"/>
    </xf>
    <xf numFmtId="3" fontId="33" fillId="5" borderId="66" xfId="0" applyNumberFormat="1" applyFont="1" applyFill="1" applyBorder="1" applyAlignment="1">
      <alignment vertical="center"/>
    </xf>
    <xf numFmtId="0" fontId="33" fillId="0" borderId="0" xfId="0" applyFont="1"/>
    <xf numFmtId="3" fontId="33" fillId="0" borderId="66" xfId="0" applyNumberFormat="1" applyFont="1" applyBorder="1" applyAlignment="1">
      <alignment vertical="center"/>
    </xf>
    <xf numFmtId="3" fontId="33" fillId="0" borderId="43" xfId="0" applyNumberFormat="1" applyFont="1" applyBorder="1" applyAlignment="1">
      <alignment vertical="center"/>
    </xf>
    <xf numFmtId="3" fontId="33" fillId="0" borderId="44" xfId="0" applyNumberFormat="1" applyFont="1" applyBorder="1" applyAlignment="1">
      <alignment vertical="center"/>
    </xf>
    <xf numFmtId="3" fontId="33" fillId="5" borderId="43" xfId="0" applyNumberFormat="1" applyFont="1" applyFill="1" applyBorder="1" applyAlignment="1">
      <alignment vertical="center"/>
    </xf>
    <xf numFmtId="3" fontId="34" fillId="0" borderId="66" xfId="0" applyNumberFormat="1" applyFont="1" applyBorder="1" applyAlignment="1">
      <alignment vertical="center"/>
    </xf>
    <xf numFmtId="3" fontId="34" fillId="0" borderId="43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vertical="center"/>
    </xf>
    <xf numFmtId="3" fontId="34" fillId="0" borderId="49" xfId="0" applyNumberFormat="1" applyFont="1" applyBorder="1" applyAlignment="1">
      <alignment vertical="center"/>
    </xf>
    <xf numFmtId="3" fontId="34" fillId="0" borderId="67" xfId="0" applyNumberFormat="1" applyFont="1" applyBorder="1" applyAlignment="1">
      <alignment vertical="center"/>
    </xf>
    <xf numFmtId="3" fontId="33" fillId="5" borderId="67" xfId="0" applyNumberFormat="1" applyFont="1" applyFill="1" applyBorder="1"/>
    <xf numFmtId="164" fontId="35" fillId="0" borderId="43" xfId="0" applyNumberFormat="1" applyFont="1" applyBorder="1" applyAlignment="1">
      <alignment vertical="center"/>
    </xf>
    <xf numFmtId="0" fontId="33" fillId="9" borderId="68" xfId="0" applyFont="1" applyFill="1" applyBorder="1" applyAlignment="1">
      <alignment vertical="center" wrapText="1"/>
    </xf>
    <xf numFmtId="164" fontId="40" fillId="11" borderId="45" xfId="0" applyNumberFormat="1" applyFont="1" applyFill="1" applyBorder="1" applyAlignment="1">
      <alignment vertical="center"/>
    </xf>
    <xf numFmtId="164" fontId="35" fillId="0" borderId="45" xfId="0" applyNumberFormat="1" applyFont="1" applyBorder="1" applyAlignment="1">
      <alignment vertical="center"/>
    </xf>
    <xf numFmtId="164" fontId="35" fillId="0" borderId="50" xfId="0" applyNumberFormat="1" applyFont="1" applyBorder="1" applyAlignment="1">
      <alignment vertical="center"/>
    </xf>
    <xf numFmtId="0" fontId="33" fillId="5" borderId="61" xfId="0" applyFont="1" applyFill="1" applyBorder="1" applyAlignment="1">
      <alignment vertical="center" wrapText="1"/>
    </xf>
    <xf numFmtId="3" fontId="33" fillId="5" borderId="69" xfId="0" applyNumberFormat="1" applyFont="1" applyFill="1" applyBorder="1" applyAlignment="1">
      <alignment vertical="center"/>
    </xf>
    <xf numFmtId="3" fontId="33" fillId="0" borderId="70" xfId="0" applyNumberFormat="1" applyFont="1" applyBorder="1" applyAlignment="1">
      <alignment vertical="center"/>
    </xf>
    <xf numFmtId="0" fontId="33" fillId="5" borderId="46" xfId="0" applyFont="1" applyFill="1" applyBorder="1" applyAlignment="1">
      <alignment vertical="center" wrapText="1"/>
    </xf>
    <xf numFmtId="3" fontId="33" fillId="5" borderId="70" xfId="0" applyNumberFormat="1" applyFont="1" applyFill="1" applyBorder="1" applyAlignment="1">
      <alignment vertical="center"/>
    </xf>
    <xf numFmtId="3" fontId="33" fillId="0" borderId="0" xfId="0" applyNumberFormat="1" applyFont="1" applyAlignment="1">
      <alignment vertical="center"/>
    </xf>
    <xf numFmtId="3" fontId="33" fillId="9" borderId="44" xfId="0" applyNumberFormat="1" applyFont="1" applyFill="1" applyBorder="1" applyAlignment="1">
      <alignment vertical="center"/>
    </xf>
    <xf numFmtId="3" fontId="33" fillId="9" borderId="49" xfId="0" applyNumberFormat="1" applyFont="1" applyFill="1" applyBorder="1" applyAlignment="1">
      <alignment vertical="center"/>
    </xf>
    <xf numFmtId="3" fontId="33" fillId="0" borderId="67" xfId="0" applyNumberFormat="1" applyFont="1" applyBorder="1"/>
    <xf numFmtId="164" fontId="35" fillId="0" borderId="44" xfId="0" applyNumberFormat="1" applyFont="1" applyBorder="1" applyAlignment="1">
      <alignment vertical="center"/>
    </xf>
    <xf numFmtId="164" fontId="35" fillId="0" borderId="49" xfId="0" applyNumberFormat="1" applyFont="1" applyBorder="1" applyAlignment="1">
      <alignment vertical="center"/>
    </xf>
    <xf numFmtId="3" fontId="41" fillId="5" borderId="70" xfId="0" applyNumberFormat="1" applyFont="1" applyFill="1" applyBorder="1" applyAlignment="1">
      <alignment vertical="center"/>
    </xf>
    <xf numFmtId="164" fontId="41" fillId="5" borderId="49" xfId="0" applyNumberFormat="1" applyFont="1" applyFill="1" applyBorder="1" applyAlignment="1">
      <alignment vertical="center"/>
    </xf>
    <xf numFmtId="0" fontId="35" fillId="0" borderId="46" xfId="0" applyFont="1" applyBorder="1" applyAlignment="1">
      <alignment vertical="center" wrapText="1"/>
    </xf>
    <xf numFmtId="164" fontId="35" fillId="0" borderId="66" xfId="0" applyNumberFormat="1" applyFont="1" applyBorder="1" applyAlignment="1">
      <alignment vertical="center"/>
    </xf>
    <xf numFmtId="0" fontId="32" fillId="5" borderId="12" xfId="0" applyFont="1" applyFill="1" applyBorder="1" applyAlignment="1">
      <alignment vertical="center" wrapText="1"/>
    </xf>
    <xf numFmtId="164" fontId="42" fillId="5" borderId="57" xfId="0" applyNumberFormat="1" applyFont="1" applyFill="1" applyBorder="1" applyAlignment="1">
      <alignment vertical="center" wrapText="1"/>
    </xf>
    <xf numFmtId="164" fontId="43" fillId="6" borderId="58" xfId="0" applyNumberFormat="1" applyFont="1" applyFill="1" applyBorder="1" applyAlignment="1">
      <alignment vertical="center" wrapText="1"/>
    </xf>
    <xf numFmtId="164" fontId="42" fillId="5" borderId="59" xfId="0" applyNumberFormat="1" applyFont="1" applyFill="1" applyBorder="1" applyAlignment="1">
      <alignment vertical="center" wrapText="1"/>
    </xf>
    <xf numFmtId="164" fontId="43" fillId="6" borderId="60" xfId="0" applyNumberFormat="1" applyFont="1" applyFill="1" applyBorder="1" applyAlignment="1">
      <alignment vertical="center" wrapText="1"/>
    </xf>
  </cellXfs>
  <cellStyles count="3">
    <cellStyle name="Comma" xfId="1" builtinId="3"/>
    <cellStyle name="Comma 2" xfId="2" xr:uid="{3CDE9422-6BA4-41EC-829E-B2D915999E34}"/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AD11-5168-4C99-8AC8-DE9DE0030258}">
  <dimension ref="A1:K341"/>
  <sheetViews>
    <sheetView tabSelected="1" topLeftCell="A34" zoomScale="90" zoomScaleNormal="90" workbookViewId="0">
      <selection activeCell="C29" sqref="C29"/>
    </sheetView>
  </sheetViews>
  <sheetFormatPr defaultRowHeight="15.75" x14ac:dyDescent="0.25"/>
  <cols>
    <col min="1" max="1" width="39.7109375" style="1" customWidth="1"/>
    <col min="2" max="2" width="15.5703125" style="1" customWidth="1"/>
    <col min="3" max="3" width="13.85546875" style="1" customWidth="1"/>
    <col min="4" max="4" width="11.28515625" style="1" customWidth="1"/>
    <col min="5" max="5" width="12.42578125" style="1" customWidth="1"/>
    <col min="6" max="6" width="11.42578125" style="1" customWidth="1"/>
    <col min="7" max="9" width="9.140625" style="1"/>
    <col min="10" max="10" width="12.7109375" style="1" bestFit="1" customWidth="1"/>
    <col min="11" max="16384" width="9.140625" style="1"/>
  </cols>
  <sheetData>
    <row r="1" spans="1:2" x14ac:dyDescent="0.25">
      <c r="A1" s="2" t="s">
        <v>14</v>
      </c>
    </row>
    <row r="3" spans="1:2" x14ac:dyDescent="0.25">
      <c r="A3" s="16" t="s">
        <v>5</v>
      </c>
    </row>
    <row r="5" spans="1:2" x14ac:dyDescent="0.25">
      <c r="A5" s="19" t="s">
        <v>15</v>
      </c>
    </row>
    <row r="6" spans="1:2" ht="16.5" thickBot="1" x14ac:dyDescent="0.3"/>
    <row r="7" spans="1:2" ht="33" customHeight="1" thickBot="1" x14ac:dyDescent="0.3">
      <c r="A7" s="22" t="s">
        <v>22</v>
      </c>
      <c r="B7" s="21" t="s">
        <v>23</v>
      </c>
    </row>
    <row r="8" spans="1:2" ht="15" customHeight="1" thickBot="1" x14ac:dyDescent="0.3">
      <c r="A8" s="23" t="s">
        <v>24</v>
      </c>
      <c r="B8" s="24">
        <f>SUM(B9:B10)</f>
        <v>877014</v>
      </c>
    </row>
    <row r="9" spans="1:2" ht="15" customHeight="1" x14ac:dyDescent="0.25">
      <c r="A9" s="25" t="s">
        <v>25</v>
      </c>
      <c r="B9" s="26">
        <v>700000</v>
      </c>
    </row>
    <row r="10" spans="1:2" ht="15" customHeight="1" thickBot="1" x14ac:dyDescent="0.3">
      <c r="A10" s="27" t="s">
        <v>26</v>
      </c>
      <c r="B10" s="26">
        <v>177014</v>
      </c>
    </row>
    <row r="11" spans="1:2" ht="15" customHeight="1" thickBot="1" x14ac:dyDescent="0.3">
      <c r="A11" s="28" t="s">
        <v>27</v>
      </c>
      <c r="B11" s="24">
        <f>SUM(B12:B13)</f>
        <v>1449051.9166666667</v>
      </c>
    </row>
    <row r="12" spans="1:2" ht="15" customHeight="1" x14ac:dyDescent="0.25">
      <c r="A12" s="25" t="s">
        <v>35</v>
      </c>
      <c r="B12" s="29">
        <v>591129</v>
      </c>
    </row>
    <row r="13" spans="1:2" ht="15" customHeight="1" thickBot="1" x14ac:dyDescent="0.3">
      <c r="A13" s="27" t="s">
        <v>28</v>
      </c>
      <c r="B13" s="30">
        <f>1470725/12*7</f>
        <v>857922.91666666674</v>
      </c>
    </row>
    <row r="14" spans="1:2" ht="16.5" customHeight="1" thickBot="1" x14ac:dyDescent="0.3">
      <c r="A14" s="23" t="s">
        <v>29</v>
      </c>
      <c r="B14" s="24">
        <f>SUM(B15:B18)</f>
        <v>773120</v>
      </c>
    </row>
    <row r="15" spans="1:2" ht="15" customHeight="1" x14ac:dyDescent="0.25">
      <c r="A15" s="25" t="s">
        <v>30</v>
      </c>
      <c r="B15" s="29">
        <v>501506</v>
      </c>
    </row>
    <row r="16" spans="1:2" ht="15" customHeight="1" x14ac:dyDescent="0.25">
      <c r="A16" s="31" t="s">
        <v>31</v>
      </c>
      <c r="B16" s="32">
        <v>93979</v>
      </c>
    </row>
    <row r="17" spans="1:3" ht="15" customHeight="1" x14ac:dyDescent="0.25">
      <c r="A17" s="33" t="s">
        <v>149</v>
      </c>
      <c r="B17" s="32">
        <v>67445</v>
      </c>
    </row>
    <row r="18" spans="1:3" ht="15" customHeight="1" thickBot="1" x14ac:dyDescent="0.3">
      <c r="A18" s="34" t="s">
        <v>33</v>
      </c>
      <c r="B18" s="35">
        <v>110190</v>
      </c>
    </row>
    <row r="19" spans="1:3" ht="15" customHeight="1" thickBot="1" x14ac:dyDescent="0.3">
      <c r="A19" s="36" t="s">
        <v>34</v>
      </c>
      <c r="B19" s="37">
        <f>B11-B8-B14</f>
        <v>-201082.08333333326</v>
      </c>
    </row>
    <row r="20" spans="1:3" x14ac:dyDescent="0.25">
      <c r="A20" s="3"/>
      <c r="B20" s="3"/>
    </row>
    <row r="21" spans="1:3" x14ac:dyDescent="0.25">
      <c r="A21" s="3"/>
      <c r="B21" s="3"/>
    </row>
    <row r="22" spans="1:3" x14ac:dyDescent="0.25">
      <c r="A22" s="19" t="s">
        <v>16</v>
      </c>
      <c r="B22" s="3"/>
    </row>
    <row r="23" spans="1:3" ht="16.5" thickBot="1" x14ac:dyDescent="0.3"/>
    <row r="24" spans="1:3" ht="30.75" customHeight="1" thickBot="1" x14ac:dyDescent="0.3">
      <c r="A24" s="38" t="s">
        <v>36</v>
      </c>
      <c r="B24" s="39" t="s">
        <v>23</v>
      </c>
      <c r="C24" s="40"/>
    </row>
    <row r="25" spans="1:3" ht="22.5" customHeight="1" thickBot="1" x14ac:dyDescent="0.3">
      <c r="A25" s="41"/>
      <c r="B25" s="42" t="s">
        <v>39</v>
      </c>
      <c r="C25" s="43" t="s">
        <v>40</v>
      </c>
    </row>
    <row r="26" spans="1:3" ht="16.5" thickBot="1" x14ac:dyDescent="0.3">
      <c r="A26" s="23" t="s">
        <v>24</v>
      </c>
      <c r="B26" s="24">
        <f>SUM(B27:B28)</f>
        <v>877014</v>
      </c>
      <c r="C26" s="24">
        <f>SUM(C27:C28)</f>
        <v>877014</v>
      </c>
    </row>
    <row r="27" spans="1:3" ht="18" customHeight="1" x14ac:dyDescent="0.25">
      <c r="A27" s="25" t="s">
        <v>137</v>
      </c>
      <c r="B27" s="26">
        <v>700000</v>
      </c>
      <c r="C27" s="26">
        <v>700000</v>
      </c>
    </row>
    <row r="28" spans="1:3" ht="18" customHeight="1" thickBot="1" x14ac:dyDescent="0.3">
      <c r="A28" s="27" t="s">
        <v>26</v>
      </c>
      <c r="B28" s="26">
        <v>177014</v>
      </c>
      <c r="C28" s="26">
        <v>177014</v>
      </c>
    </row>
    <row r="29" spans="1:3" ht="18" customHeight="1" thickBot="1" x14ac:dyDescent="0.3">
      <c r="A29" s="28" t="s">
        <v>27</v>
      </c>
      <c r="B29" s="24">
        <f>SUM(B30:B31)</f>
        <v>1449051.9166666667</v>
      </c>
      <c r="C29" s="24">
        <f>SUM(C30:C31)</f>
        <v>1479052</v>
      </c>
    </row>
    <row r="30" spans="1:3" ht="18" customHeight="1" x14ac:dyDescent="0.25">
      <c r="A30" s="25" t="s">
        <v>35</v>
      </c>
      <c r="B30" s="29">
        <v>591129</v>
      </c>
      <c r="C30" s="29">
        <v>591129</v>
      </c>
    </row>
    <row r="31" spans="1:3" ht="18" customHeight="1" thickBot="1" x14ac:dyDescent="0.3">
      <c r="A31" s="27" t="s">
        <v>28</v>
      </c>
      <c r="B31" s="30">
        <f>1470725/12*7</f>
        <v>857922.91666666674</v>
      </c>
      <c r="C31" s="30">
        <v>887923</v>
      </c>
    </row>
    <row r="32" spans="1:3" ht="18" customHeight="1" thickBot="1" x14ac:dyDescent="0.3">
      <c r="A32" s="23" t="s">
        <v>29</v>
      </c>
      <c r="B32" s="24">
        <f>SUM(B33:B36)</f>
        <v>773120</v>
      </c>
      <c r="C32" s="24">
        <f>SUM(C33:C36)</f>
        <v>595485</v>
      </c>
    </row>
    <row r="33" spans="1:4" ht="18" customHeight="1" x14ac:dyDescent="0.25">
      <c r="A33" s="25" t="s">
        <v>30</v>
      </c>
      <c r="B33" s="29">
        <v>501506</v>
      </c>
      <c r="C33" s="29">
        <v>501506</v>
      </c>
    </row>
    <row r="34" spans="1:4" ht="18" customHeight="1" x14ac:dyDescent="0.25">
      <c r="A34" s="31" t="s">
        <v>31</v>
      </c>
      <c r="B34" s="32">
        <v>93979</v>
      </c>
      <c r="C34" s="32">
        <v>93979</v>
      </c>
    </row>
    <row r="35" spans="1:4" ht="18" customHeight="1" x14ac:dyDescent="0.25">
      <c r="A35" s="33" t="s">
        <v>149</v>
      </c>
      <c r="B35" s="32">
        <v>67445</v>
      </c>
      <c r="C35" s="32">
        <v>0</v>
      </c>
    </row>
    <row r="36" spans="1:4" ht="18" customHeight="1" thickBot="1" x14ac:dyDescent="0.3">
      <c r="A36" s="44" t="s">
        <v>33</v>
      </c>
      <c r="B36" s="35">
        <v>110190</v>
      </c>
      <c r="C36" s="35">
        <v>0</v>
      </c>
    </row>
    <row r="37" spans="1:4" ht="16.5" thickBot="1" x14ac:dyDescent="0.3">
      <c r="A37" s="36" t="s">
        <v>34</v>
      </c>
      <c r="B37" s="37">
        <f>B29-B26-B32</f>
        <v>-201082.08333333326</v>
      </c>
      <c r="C37" s="45">
        <v>6553</v>
      </c>
    </row>
    <row r="40" spans="1:4" x14ac:dyDescent="0.25">
      <c r="A40" s="19" t="s">
        <v>17</v>
      </c>
      <c r="B40" s="3"/>
    </row>
    <row r="41" spans="1:4" ht="16.5" thickBot="1" x14ac:dyDescent="0.3"/>
    <row r="42" spans="1:4" ht="30.75" customHeight="1" thickBot="1" x14ac:dyDescent="0.3">
      <c r="A42" s="38" t="s">
        <v>36</v>
      </c>
      <c r="B42" s="39" t="s">
        <v>23</v>
      </c>
      <c r="C42" s="46"/>
      <c r="D42" s="40"/>
    </row>
    <row r="43" spans="1:4" ht="21.75" customHeight="1" thickBot="1" x14ac:dyDescent="0.3">
      <c r="A43" s="47"/>
      <c r="B43" s="48" t="s">
        <v>67</v>
      </c>
      <c r="C43" s="42" t="s">
        <v>0</v>
      </c>
      <c r="D43" s="42" t="s">
        <v>1</v>
      </c>
    </row>
    <row r="44" spans="1:4" ht="16.5" thickBot="1" x14ac:dyDescent="0.3">
      <c r="A44" s="23" t="s">
        <v>24</v>
      </c>
      <c r="B44" s="49">
        <f>SUM(B45:B46)</f>
        <v>877013.82500000019</v>
      </c>
      <c r="C44" s="50">
        <f>SUM(C45:C46)</f>
        <v>877014</v>
      </c>
      <c r="D44" s="24">
        <f>SUM(D45:D46)</f>
        <v>877013.82500000019</v>
      </c>
    </row>
    <row r="45" spans="1:4" ht="18" customHeight="1" x14ac:dyDescent="0.25">
      <c r="A45" s="25" t="s">
        <v>137</v>
      </c>
      <c r="B45" s="51">
        <v>700000</v>
      </c>
      <c r="C45" s="52">
        <v>700000</v>
      </c>
      <c r="D45" s="53">
        <v>700000</v>
      </c>
    </row>
    <row r="46" spans="1:4" ht="18" customHeight="1" thickBot="1" x14ac:dyDescent="0.3">
      <c r="A46" s="27" t="s">
        <v>26</v>
      </c>
      <c r="B46" s="54">
        <v>177013.82500000019</v>
      </c>
      <c r="C46" s="52">
        <v>177014</v>
      </c>
      <c r="D46" s="53">
        <v>177013.82500000019</v>
      </c>
    </row>
    <row r="47" spans="1:4" ht="18" customHeight="1" thickBot="1" x14ac:dyDescent="0.3">
      <c r="A47" s="28" t="s">
        <v>27</v>
      </c>
      <c r="B47" s="49">
        <f>SUM(B48:B50)</f>
        <v>1538076.6238666668</v>
      </c>
      <c r="C47" s="50">
        <f>SUM(C48:C49)</f>
        <v>1479052</v>
      </c>
      <c r="D47" s="24">
        <f>SUM(D48:D50)</f>
        <v>1538076.6238666668</v>
      </c>
    </row>
    <row r="48" spans="1:4" ht="18" customHeight="1" x14ac:dyDescent="0.25">
      <c r="A48" s="25" t="s">
        <v>35</v>
      </c>
      <c r="B48" s="51">
        <v>591129</v>
      </c>
      <c r="C48" s="55">
        <v>591129</v>
      </c>
      <c r="D48" s="29">
        <v>591129</v>
      </c>
    </row>
    <row r="49" spans="1:4" ht="18" customHeight="1" x14ac:dyDescent="0.25">
      <c r="A49" s="27" t="s">
        <v>28</v>
      </c>
      <c r="B49" s="56">
        <v>857922.91666666674</v>
      </c>
      <c r="C49" s="57">
        <v>887923</v>
      </c>
      <c r="D49" s="58">
        <v>857922.91666666674</v>
      </c>
    </row>
    <row r="50" spans="1:4" ht="18" customHeight="1" thickBot="1" x14ac:dyDescent="0.3">
      <c r="A50" s="59" t="s">
        <v>41</v>
      </c>
      <c r="B50" s="60">
        <v>89024.707199999975</v>
      </c>
      <c r="C50" s="60"/>
      <c r="D50" s="32">
        <v>89024.707199999975</v>
      </c>
    </row>
    <row r="51" spans="1:4" ht="18" customHeight="1" thickBot="1" x14ac:dyDescent="0.3">
      <c r="A51" s="23" t="s">
        <v>29</v>
      </c>
      <c r="B51" s="49">
        <f>SUM(B52:B55)</f>
        <v>773120.51436260552</v>
      </c>
      <c r="C51" s="50">
        <f>SUM(C52:C55)</f>
        <v>595485</v>
      </c>
      <c r="D51" s="24">
        <f>SUM(D52:D55)</f>
        <v>752305.42429104005</v>
      </c>
    </row>
    <row r="52" spans="1:4" ht="18" customHeight="1" x14ac:dyDescent="0.25">
      <c r="A52" s="25" t="s">
        <v>30</v>
      </c>
      <c r="B52" s="61">
        <v>501506.05555555562</v>
      </c>
      <c r="C52" s="55">
        <v>501506</v>
      </c>
      <c r="D52" s="62">
        <v>485931.33333333337</v>
      </c>
    </row>
    <row r="53" spans="1:4" ht="18" customHeight="1" x14ac:dyDescent="0.25">
      <c r="A53" s="31" t="s">
        <v>31</v>
      </c>
      <c r="B53" s="63">
        <v>93979.458144009986</v>
      </c>
      <c r="C53" s="60">
        <v>93979</v>
      </c>
      <c r="D53" s="32">
        <v>93979</v>
      </c>
    </row>
    <row r="54" spans="1:4" ht="18" customHeight="1" x14ac:dyDescent="0.25">
      <c r="A54" s="64" t="s">
        <v>32</v>
      </c>
      <c r="B54" s="65">
        <v>67445.000663040002</v>
      </c>
      <c r="C54" s="60">
        <v>0</v>
      </c>
      <c r="D54" s="66">
        <v>62205.09095770667</v>
      </c>
    </row>
    <row r="55" spans="1:4" ht="18" customHeight="1" thickBot="1" x14ac:dyDescent="0.3">
      <c r="A55" s="44" t="s">
        <v>33</v>
      </c>
      <c r="B55" s="67">
        <v>110190</v>
      </c>
      <c r="C55" s="68">
        <v>0</v>
      </c>
      <c r="D55" s="58">
        <v>110190</v>
      </c>
    </row>
    <row r="56" spans="1:4" ht="16.5" thickBot="1" x14ac:dyDescent="0.3">
      <c r="A56" s="36" t="s">
        <v>34</v>
      </c>
      <c r="B56" s="69">
        <f>B47-B44-B51</f>
        <v>-112057.7154959389</v>
      </c>
      <c r="C56" s="70">
        <f>C47-C44-C51</f>
        <v>6553</v>
      </c>
      <c r="D56" s="37">
        <f>D47-D44-D51</f>
        <v>-91242.625424373429</v>
      </c>
    </row>
    <row r="59" spans="1:4" x14ac:dyDescent="0.25">
      <c r="A59" s="19" t="s">
        <v>18</v>
      </c>
    </row>
    <row r="60" spans="1:4" ht="16.5" thickBot="1" x14ac:dyDescent="0.3"/>
    <row r="61" spans="1:4" x14ac:dyDescent="0.25">
      <c r="A61" s="38" t="s">
        <v>36</v>
      </c>
      <c r="B61" s="71" t="s">
        <v>37</v>
      </c>
    </row>
    <row r="62" spans="1:4" ht="16.5" thickBot="1" x14ac:dyDescent="0.3">
      <c r="A62" s="41"/>
      <c r="B62" s="72" t="s">
        <v>3</v>
      </c>
    </row>
    <row r="63" spans="1:4" ht="16.5" thickBot="1" x14ac:dyDescent="0.3">
      <c r="A63" s="23" t="s">
        <v>24</v>
      </c>
      <c r="B63" s="24">
        <f>SUM(B64:B65)</f>
        <v>726145.45</v>
      </c>
    </row>
    <row r="64" spans="1:4" x14ac:dyDescent="0.25">
      <c r="A64" s="25" t="s">
        <v>137</v>
      </c>
      <c r="B64" s="53">
        <v>700000</v>
      </c>
    </row>
    <row r="65" spans="1:2" ht="16.5" thickBot="1" x14ac:dyDescent="0.3">
      <c r="A65" s="27" t="s">
        <v>26</v>
      </c>
      <c r="B65" s="53">
        <v>26145.45</v>
      </c>
    </row>
    <row r="66" spans="1:2" ht="16.5" thickBot="1" x14ac:dyDescent="0.3">
      <c r="A66" s="28" t="s">
        <v>27</v>
      </c>
      <c r="B66" s="24">
        <f>SUM(B67:B68)</f>
        <v>857922.91666666674</v>
      </c>
    </row>
    <row r="67" spans="1:2" x14ac:dyDescent="0.25">
      <c r="A67" s="25" t="s">
        <v>35</v>
      </c>
      <c r="B67" s="29">
        <v>0</v>
      </c>
    </row>
    <row r="68" spans="1:2" ht="16.5" thickBot="1" x14ac:dyDescent="0.3">
      <c r="A68" s="27" t="s">
        <v>28</v>
      </c>
      <c r="B68" s="73">
        <v>857922.91666666674</v>
      </c>
    </row>
    <row r="69" spans="1:2" ht="16.5" thickBot="1" x14ac:dyDescent="0.3">
      <c r="A69" s="23" t="s">
        <v>29</v>
      </c>
      <c r="B69" s="24">
        <f>SUM(B70:B73)</f>
        <v>376152.71</v>
      </c>
    </row>
    <row r="70" spans="1:2" x14ac:dyDescent="0.25">
      <c r="A70" s="25" t="s">
        <v>30</v>
      </c>
      <c r="B70" s="62">
        <f>485931.33/2</f>
        <v>242965.66500000001</v>
      </c>
    </row>
    <row r="71" spans="1:2" x14ac:dyDescent="0.25">
      <c r="A71" s="31" t="s">
        <v>31</v>
      </c>
      <c r="B71" s="32">
        <f>93979/2</f>
        <v>46989.5</v>
      </c>
    </row>
    <row r="72" spans="1:2" x14ac:dyDescent="0.25">
      <c r="A72" s="64" t="s">
        <v>32</v>
      </c>
      <c r="B72" s="66">
        <f>62205.09/2</f>
        <v>31102.544999999998</v>
      </c>
    </row>
    <row r="73" spans="1:2" ht="16.5" thickBot="1" x14ac:dyDescent="0.3">
      <c r="A73" s="44" t="s">
        <v>33</v>
      </c>
      <c r="B73" s="58">
        <f>110190/2</f>
        <v>55095</v>
      </c>
    </row>
    <row r="74" spans="1:2" ht="16.5" thickBot="1" x14ac:dyDescent="0.3">
      <c r="A74" s="36" t="s">
        <v>34</v>
      </c>
      <c r="B74" s="37">
        <f>B66-B63-B69</f>
        <v>-244375.24333333323</v>
      </c>
    </row>
    <row r="77" spans="1:2" x14ac:dyDescent="0.25">
      <c r="A77" s="18" t="s">
        <v>70</v>
      </c>
    </row>
    <row r="78" spans="1:2" x14ac:dyDescent="0.25">
      <c r="A78" s="17"/>
    </row>
    <row r="79" spans="1:2" x14ac:dyDescent="0.25">
      <c r="A79" s="19" t="s">
        <v>68</v>
      </c>
    </row>
    <row r="80" spans="1:2" ht="16.5" thickBot="1" x14ac:dyDescent="0.3"/>
    <row r="81" spans="1:2" ht="35.25" customHeight="1" thickBot="1" x14ac:dyDescent="0.3">
      <c r="A81" s="74" t="s">
        <v>22</v>
      </c>
      <c r="B81" s="75" t="s">
        <v>43</v>
      </c>
    </row>
    <row r="82" spans="1:2" ht="16.5" thickBot="1" x14ac:dyDescent="0.3">
      <c r="A82" s="76" t="s">
        <v>42</v>
      </c>
      <c r="B82" s="77">
        <f>SUM(B83:B84)</f>
        <v>3159796</v>
      </c>
    </row>
    <row r="83" spans="1:2" ht="16.5" thickBot="1" x14ac:dyDescent="0.3">
      <c r="A83" s="78" t="s">
        <v>150</v>
      </c>
      <c r="B83" s="79">
        <v>2671434</v>
      </c>
    </row>
    <row r="84" spans="1:2" ht="16.5" thickBot="1" x14ac:dyDescent="0.3">
      <c r="A84" s="80" t="s">
        <v>59</v>
      </c>
      <c r="B84" s="81">
        <v>488362</v>
      </c>
    </row>
    <row r="85" spans="1:2" ht="16.5" thickBot="1" x14ac:dyDescent="0.3">
      <c r="A85" s="76" t="s">
        <v>44</v>
      </c>
      <c r="B85" s="77">
        <f>SUM(B86:B88)</f>
        <v>6705427</v>
      </c>
    </row>
    <row r="86" spans="1:2" ht="16.5" thickBot="1" x14ac:dyDescent="0.3">
      <c r="A86" s="78" t="s">
        <v>35</v>
      </c>
      <c r="B86" s="79">
        <v>6022781</v>
      </c>
    </row>
    <row r="87" spans="1:2" ht="16.5" thickBot="1" x14ac:dyDescent="0.3">
      <c r="A87" s="78" t="s">
        <v>64</v>
      </c>
      <c r="B87" s="79">
        <v>302646</v>
      </c>
    </row>
    <row r="88" spans="1:2" ht="16.5" thickBot="1" x14ac:dyDescent="0.3">
      <c r="A88" s="78" t="s">
        <v>138</v>
      </c>
      <c r="B88" s="79">
        <v>380000</v>
      </c>
    </row>
    <row r="89" spans="1:2" ht="16.5" thickBot="1" x14ac:dyDescent="0.3">
      <c r="A89" s="76" t="s">
        <v>49</v>
      </c>
      <c r="B89" s="77">
        <f>SUM(B90:B95)</f>
        <v>5450350</v>
      </c>
    </row>
    <row r="90" spans="1:2" ht="16.5" thickBot="1" x14ac:dyDescent="0.3">
      <c r="A90" s="78" t="s">
        <v>48</v>
      </c>
      <c r="B90" s="79">
        <v>1693575</v>
      </c>
    </row>
    <row r="91" spans="1:2" ht="16.5" thickBot="1" x14ac:dyDescent="0.3">
      <c r="A91" s="78" t="s">
        <v>51</v>
      </c>
      <c r="B91" s="79">
        <v>846332</v>
      </c>
    </row>
    <row r="92" spans="1:2" ht="16.5" thickBot="1" x14ac:dyDescent="0.3">
      <c r="A92" s="82" t="s">
        <v>86</v>
      </c>
      <c r="B92" s="79">
        <v>518943</v>
      </c>
    </row>
    <row r="93" spans="1:2" ht="16.5" thickBot="1" x14ac:dyDescent="0.3">
      <c r="A93" s="82" t="s">
        <v>87</v>
      </c>
      <c r="B93" s="79">
        <v>100000</v>
      </c>
    </row>
    <row r="94" spans="1:2" ht="16.5" thickBot="1" x14ac:dyDescent="0.3">
      <c r="A94" s="82" t="s">
        <v>88</v>
      </c>
      <c r="B94" s="79">
        <v>380000</v>
      </c>
    </row>
    <row r="95" spans="1:2" ht="16.5" thickBot="1" x14ac:dyDescent="0.3">
      <c r="A95" s="82" t="s">
        <v>91</v>
      </c>
      <c r="B95" s="79">
        <v>1911500</v>
      </c>
    </row>
    <row r="96" spans="1:2" ht="16.5" thickBot="1" x14ac:dyDescent="0.3">
      <c r="A96" s="83" t="s">
        <v>60</v>
      </c>
      <c r="B96" s="84">
        <f>B85-B82-B89</f>
        <v>-1904719</v>
      </c>
    </row>
    <row r="99" spans="1:3" x14ac:dyDescent="0.25">
      <c r="A99" s="19" t="s">
        <v>46</v>
      </c>
    </row>
    <row r="100" spans="1:3" ht="16.5" thickBot="1" x14ac:dyDescent="0.3"/>
    <row r="101" spans="1:3" ht="51.75" thickBot="1" x14ac:dyDescent="0.3">
      <c r="A101" s="74" t="s">
        <v>22</v>
      </c>
      <c r="B101" s="75" t="s">
        <v>75</v>
      </c>
      <c r="C101" s="75" t="s">
        <v>76</v>
      </c>
    </row>
    <row r="102" spans="1:3" ht="16.5" thickBot="1" x14ac:dyDescent="0.3">
      <c r="A102" s="76" t="s">
        <v>42</v>
      </c>
      <c r="B102" s="77">
        <f>SUM(B103:B104)</f>
        <v>3159796</v>
      </c>
      <c r="C102" s="77">
        <f>SUM(C103:C104)</f>
        <v>3159796</v>
      </c>
    </row>
    <row r="103" spans="1:3" ht="18" customHeight="1" thickBot="1" x14ac:dyDescent="0.3">
      <c r="A103" s="78" t="s">
        <v>151</v>
      </c>
      <c r="B103" s="79">
        <v>2671434</v>
      </c>
      <c r="C103" s="79">
        <v>2671434</v>
      </c>
    </row>
    <row r="104" spans="1:3" ht="18" customHeight="1" thickBot="1" x14ac:dyDescent="0.3">
      <c r="A104" s="80" t="s">
        <v>59</v>
      </c>
      <c r="B104" s="85">
        <v>488362</v>
      </c>
      <c r="C104" s="81">
        <v>488362</v>
      </c>
    </row>
    <row r="105" spans="1:3" ht="16.5" thickBot="1" x14ac:dyDescent="0.3">
      <c r="A105" s="76" t="s">
        <v>44</v>
      </c>
      <c r="B105" s="77">
        <f>SUM(B106:B109)</f>
        <v>6912777</v>
      </c>
      <c r="C105" s="77">
        <f>SUM(C106:C109)</f>
        <v>6705427</v>
      </c>
    </row>
    <row r="106" spans="1:3" ht="16.5" thickBot="1" x14ac:dyDescent="0.3">
      <c r="A106" s="78" t="s">
        <v>35</v>
      </c>
      <c r="B106" s="79">
        <v>6022781</v>
      </c>
      <c r="C106" s="79">
        <v>6022781</v>
      </c>
    </row>
    <row r="107" spans="1:3" ht="16.5" thickBot="1" x14ac:dyDescent="0.3">
      <c r="A107" s="78" t="s">
        <v>64</v>
      </c>
      <c r="B107" s="79">
        <v>302646</v>
      </c>
      <c r="C107" s="79">
        <v>302646</v>
      </c>
    </row>
    <row r="108" spans="1:3" ht="16.5" thickBot="1" x14ac:dyDescent="0.3">
      <c r="A108" s="78" t="s">
        <v>138</v>
      </c>
      <c r="B108" s="79">
        <v>380000</v>
      </c>
      <c r="C108" s="86">
        <v>380000</v>
      </c>
    </row>
    <row r="109" spans="1:3" ht="16.5" thickBot="1" x14ac:dyDescent="0.3">
      <c r="A109" s="78" t="s">
        <v>89</v>
      </c>
      <c r="B109" s="79">
        <v>207350</v>
      </c>
      <c r="C109" s="87">
        <v>0</v>
      </c>
    </row>
    <row r="110" spans="1:3" ht="16.5" thickBot="1" x14ac:dyDescent="0.3">
      <c r="A110" s="76" t="s">
        <v>49</v>
      </c>
      <c r="B110" s="77">
        <f>SUM(B111:B116)</f>
        <v>3538850</v>
      </c>
      <c r="C110" s="77">
        <f>SUM(C111:C116)</f>
        <v>5450350</v>
      </c>
    </row>
    <row r="111" spans="1:3" ht="16.5" thickBot="1" x14ac:dyDescent="0.3">
      <c r="A111" s="78" t="s">
        <v>48</v>
      </c>
      <c r="B111" s="79">
        <v>1693575</v>
      </c>
      <c r="C111" s="79">
        <v>1693575</v>
      </c>
    </row>
    <row r="112" spans="1:3" ht="16.5" thickBot="1" x14ac:dyDescent="0.3">
      <c r="A112" s="78" t="s">
        <v>51</v>
      </c>
      <c r="B112" s="79">
        <v>846332</v>
      </c>
      <c r="C112" s="79">
        <v>846332</v>
      </c>
    </row>
    <row r="113" spans="1:6" ht="16.5" thickBot="1" x14ac:dyDescent="0.3">
      <c r="A113" s="82" t="s">
        <v>90</v>
      </c>
      <c r="B113" s="79">
        <v>518943</v>
      </c>
      <c r="C113" s="79">
        <v>518943</v>
      </c>
    </row>
    <row r="114" spans="1:6" ht="16.5" thickBot="1" x14ac:dyDescent="0.3">
      <c r="A114" s="82" t="s">
        <v>87</v>
      </c>
      <c r="B114" s="79">
        <v>100000</v>
      </c>
      <c r="C114" s="79">
        <v>100000</v>
      </c>
    </row>
    <row r="115" spans="1:6" ht="16.5" thickBot="1" x14ac:dyDescent="0.3">
      <c r="A115" s="82" t="s">
        <v>88</v>
      </c>
      <c r="B115" s="79">
        <v>380000</v>
      </c>
      <c r="C115" s="79">
        <v>380000</v>
      </c>
    </row>
    <row r="116" spans="1:6" ht="15" customHeight="1" thickBot="1" x14ac:dyDescent="0.3">
      <c r="A116" s="82" t="s">
        <v>91</v>
      </c>
      <c r="B116" s="79">
        <v>0</v>
      </c>
      <c r="C116" s="79">
        <v>1911500</v>
      </c>
    </row>
    <row r="117" spans="1:6" ht="16.5" thickBot="1" x14ac:dyDescent="0.3">
      <c r="A117" s="76" t="s">
        <v>60</v>
      </c>
      <c r="B117" s="88">
        <f>B105-B102-B110</f>
        <v>214131</v>
      </c>
      <c r="C117" s="84">
        <f>C105-C102-C110</f>
        <v>-1904719</v>
      </c>
      <c r="F117" s="8"/>
    </row>
    <row r="120" spans="1:6" x14ac:dyDescent="0.25">
      <c r="A120" s="2" t="s">
        <v>69</v>
      </c>
    </row>
    <row r="121" spans="1:6" ht="16.5" thickBot="1" x14ac:dyDescent="0.3"/>
    <row r="122" spans="1:6" ht="37.5" customHeight="1" thickBot="1" x14ac:dyDescent="0.3">
      <c r="A122" s="74" t="s">
        <v>22</v>
      </c>
      <c r="B122" s="75" t="s">
        <v>76</v>
      </c>
    </row>
    <row r="123" spans="1:6" ht="16.5" thickBot="1" x14ac:dyDescent="0.3">
      <c r="A123" s="76" t="s">
        <v>42</v>
      </c>
      <c r="B123" s="77">
        <f>SUM(B124:B125)</f>
        <v>3159796</v>
      </c>
    </row>
    <row r="124" spans="1:6" ht="16.5" thickBot="1" x14ac:dyDescent="0.3">
      <c r="A124" s="78" t="s">
        <v>152</v>
      </c>
      <c r="B124" s="79">
        <v>2671434</v>
      </c>
    </row>
    <row r="125" spans="1:6" ht="16.5" thickBot="1" x14ac:dyDescent="0.3">
      <c r="A125" s="80" t="s">
        <v>59</v>
      </c>
      <c r="B125" s="81">
        <v>488362</v>
      </c>
    </row>
    <row r="126" spans="1:6" ht="16.5" thickBot="1" x14ac:dyDescent="0.3">
      <c r="A126" s="76" t="s">
        <v>44</v>
      </c>
      <c r="B126" s="77">
        <f>SUM(B127:B130)</f>
        <v>7824316</v>
      </c>
    </row>
    <row r="127" spans="1:6" ht="16.5" thickBot="1" x14ac:dyDescent="0.3">
      <c r="A127" s="78" t="s">
        <v>35</v>
      </c>
      <c r="B127" s="79">
        <v>6022781</v>
      </c>
    </row>
    <row r="128" spans="1:6" ht="16.5" thickBot="1" x14ac:dyDescent="0.3">
      <c r="A128" s="78" t="s">
        <v>64</v>
      </c>
      <c r="B128" s="79">
        <v>302646</v>
      </c>
    </row>
    <row r="129" spans="1:2" ht="16.5" thickBot="1" x14ac:dyDescent="0.3">
      <c r="A129" s="78" t="s">
        <v>138</v>
      </c>
      <c r="B129" s="86">
        <v>380000</v>
      </c>
    </row>
    <row r="130" spans="1:2" ht="16.5" thickBot="1" x14ac:dyDescent="0.3">
      <c r="A130" s="78" t="s">
        <v>89</v>
      </c>
      <c r="B130" s="89">
        <f>(B109+39)+911500</f>
        <v>1118889</v>
      </c>
    </row>
    <row r="131" spans="1:2" ht="16.5" thickBot="1" x14ac:dyDescent="0.3">
      <c r="A131" s="76" t="s">
        <v>49</v>
      </c>
      <c r="B131" s="77">
        <f>SUM(B132:B137)</f>
        <v>5450350</v>
      </c>
    </row>
    <row r="132" spans="1:2" ht="16.5" thickBot="1" x14ac:dyDescent="0.3">
      <c r="A132" s="78" t="s">
        <v>48</v>
      </c>
      <c r="B132" s="79">
        <v>1693575</v>
      </c>
    </row>
    <row r="133" spans="1:2" ht="16.5" thickBot="1" x14ac:dyDescent="0.3">
      <c r="A133" s="78" t="s">
        <v>51</v>
      </c>
      <c r="B133" s="79">
        <v>846332</v>
      </c>
    </row>
    <row r="134" spans="1:2" ht="16.5" thickBot="1" x14ac:dyDescent="0.3">
      <c r="A134" s="82" t="s">
        <v>90</v>
      </c>
      <c r="B134" s="79">
        <v>518943</v>
      </c>
    </row>
    <row r="135" spans="1:2" ht="16.5" thickBot="1" x14ac:dyDescent="0.3">
      <c r="A135" s="82" t="s">
        <v>87</v>
      </c>
      <c r="B135" s="79">
        <v>100000</v>
      </c>
    </row>
    <row r="136" spans="1:2" ht="16.5" thickBot="1" x14ac:dyDescent="0.3">
      <c r="A136" s="82" t="s">
        <v>88</v>
      </c>
      <c r="B136" s="79">
        <v>380000</v>
      </c>
    </row>
    <row r="137" spans="1:2" ht="16.5" thickBot="1" x14ac:dyDescent="0.3">
      <c r="A137" s="82" t="s">
        <v>91</v>
      </c>
      <c r="B137" s="79">
        <v>1911500</v>
      </c>
    </row>
    <row r="138" spans="1:2" ht="16.5" thickBot="1" x14ac:dyDescent="0.3">
      <c r="A138" s="76" t="s">
        <v>60</v>
      </c>
      <c r="B138" s="84">
        <f>B126-B123-B131</f>
        <v>-785830</v>
      </c>
    </row>
    <row r="141" spans="1:2" x14ac:dyDescent="0.25">
      <c r="A141" s="2" t="s">
        <v>47</v>
      </c>
    </row>
    <row r="142" spans="1:2" ht="16.5" thickBot="1" x14ac:dyDescent="0.3"/>
    <row r="143" spans="1:2" ht="63.75" customHeight="1" thickBot="1" x14ac:dyDescent="0.3">
      <c r="A143" s="74" t="s">
        <v>22</v>
      </c>
      <c r="B143" s="75" t="s">
        <v>77</v>
      </c>
    </row>
    <row r="144" spans="1:2" ht="16.5" thickBot="1" x14ac:dyDescent="0.3">
      <c r="A144" s="76" t="s">
        <v>24</v>
      </c>
      <c r="B144" s="77">
        <f>SUM(B145:B146)</f>
        <v>3159796</v>
      </c>
    </row>
    <row r="145" spans="1:2" ht="16.5" thickBot="1" x14ac:dyDescent="0.3">
      <c r="A145" s="78" t="s">
        <v>152</v>
      </c>
      <c r="B145" s="79">
        <v>2671434</v>
      </c>
    </row>
    <row r="146" spans="1:2" ht="16.5" thickBot="1" x14ac:dyDescent="0.3">
      <c r="A146" s="80" t="s">
        <v>59</v>
      </c>
      <c r="B146" s="85">
        <v>488362</v>
      </c>
    </row>
    <row r="147" spans="1:2" ht="16.5" thickBot="1" x14ac:dyDescent="0.3">
      <c r="A147" s="76" t="s">
        <v>27</v>
      </c>
      <c r="B147" s="77">
        <f>SUM(B148:B151)</f>
        <v>7824316</v>
      </c>
    </row>
    <row r="148" spans="1:2" ht="16.5" thickBot="1" x14ac:dyDescent="0.3">
      <c r="A148" s="78" t="s">
        <v>35</v>
      </c>
      <c r="B148" s="79">
        <v>6022781</v>
      </c>
    </row>
    <row r="149" spans="1:2" ht="16.5" thickBot="1" x14ac:dyDescent="0.3">
      <c r="A149" s="78" t="s">
        <v>64</v>
      </c>
      <c r="B149" s="79">
        <v>302646</v>
      </c>
    </row>
    <row r="150" spans="1:2" ht="16.5" thickBot="1" x14ac:dyDescent="0.3">
      <c r="A150" s="78" t="s">
        <v>138</v>
      </c>
      <c r="B150" s="79">
        <v>380000</v>
      </c>
    </row>
    <row r="151" spans="1:2" ht="16.5" thickBot="1" x14ac:dyDescent="0.3">
      <c r="A151" s="78" t="s">
        <v>92</v>
      </c>
      <c r="B151" s="79">
        <f>207350+39+911500</f>
        <v>1118889</v>
      </c>
    </row>
    <row r="152" spans="1:2" ht="16.5" thickBot="1" x14ac:dyDescent="0.3">
      <c r="A152" s="76" t="s">
        <v>29</v>
      </c>
      <c r="B152" s="77">
        <f>SUM(B153:B158)</f>
        <v>6757293</v>
      </c>
    </row>
    <row r="153" spans="1:2" ht="16.5" thickBot="1" x14ac:dyDescent="0.3">
      <c r="A153" s="78" t="s">
        <v>48</v>
      </c>
      <c r="B153" s="79">
        <v>1693575</v>
      </c>
    </row>
    <row r="154" spans="1:2" ht="16.5" thickBot="1" x14ac:dyDescent="0.3">
      <c r="A154" s="78" t="s">
        <v>51</v>
      </c>
      <c r="B154" s="79">
        <v>846332</v>
      </c>
    </row>
    <row r="155" spans="1:2" ht="16.5" thickBot="1" x14ac:dyDescent="0.3">
      <c r="A155" s="82" t="s">
        <v>90</v>
      </c>
      <c r="B155" s="79">
        <v>518943</v>
      </c>
    </row>
    <row r="156" spans="1:2" ht="16.5" thickBot="1" x14ac:dyDescent="0.3">
      <c r="A156" s="82" t="s">
        <v>87</v>
      </c>
      <c r="B156" s="79">
        <v>100000</v>
      </c>
    </row>
    <row r="157" spans="1:2" ht="16.5" thickBot="1" x14ac:dyDescent="0.3">
      <c r="A157" s="82" t="s">
        <v>88</v>
      </c>
      <c r="B157" s="79">
        <v>380000</v>
      </c>
    </row>
    <row r="158" spans="1:2" ht="17.25" customHeight="1" thickBot="1" x14ac:dyDescent="0.3">
      <c r="A158" s="90" t="s">
        <v>93</v>
      </c>
      <c r="B158" s="91">
        <f>911500+962000+344943+1000000</f>
        <v>3218443</v>
      </c>
    </row>
    <row r="159" spans="1:2" ht="16.5" thickBot="1" x14ac:dyDescent="0.3">
      <c r="A159" s="76" t="s">
        <v>58</v>
      </c>
      <c r="B159" s="84">
        <f>B147-B144-B152</f>
        <v>-2092773</v>
      </c>
    </row>
    <row r="160" spans="1:2" x14ac:dyDescent="0.25">
      <c r="B160" s="8"/>
    </row>
    <row r="162" spans="1:3" x14ac:dyDescent="0.25">
      <c r="A162" s="18" t="s">
        <v>71</v>
      </c>
    </row>
    <row r="164" spans="1:3" x14ac:dyDescent="0.25">
      <c r="A164" s="19" t="s">
        <v>72</v>
      </c>
    </row>
    <row r="166" spans="1:3" x14ac:dyDescent="0.25">
      <c r="A166" s="92" t="s">
        <v>94</v>
      </c>
      <c r="B166" s="93" t="s">
        <v>66</v>
      </c>
      <c r="C166" s="94" t="s">
        <v>122</v>
      </c>
    </row>
    <row r="167" spans="1:3" x14ac:dyDescent="0.25">
      <c r="A167" s="95" t="s">
        <v>95</v>
      </c>
      <c r="B167" s="96" t="s">
        <v>6</v>
      </c>
      <c r="C167" s="97" t="s">
        <v>101</v>
      </c>
    </row>
    <row r="168" spans="1:3" x14ac:dyDescent="0.25">
      <c r="A168" s="98"/>
      <c r="B168" s="99"/>
      <c r="C168" s="100" t="s">
        <v>124</v>
      </c>
    </row>
    <row r="169" spans="1:3" x14ac:dyDescent="0.25">
      <c r="A169" s="98" t="s">
        <v>96</v>
      </c>
      <c r="B169" s="99" t="s">
        <v>7</v>
      </c>
      <c r="C169" s="100" t="s">
        <v>125</v>
      </c>
    </row>
    <row r="170" spans="1:3" x14ac:dyDescent="0.25">
      <c r="A170" s="98"/>
      <c r="B170" s="99"/>
      <c r="C170" s="100" t="s">
        <v>136</v>
      </c>
    </row>
    <row r="171" spans="1:3" x14ac:dyDescent="0.25">
      <c r="A171" s="98" t="s">
        <v>97</v>
      </c>
      <c r="B171" s="99" t="s">
        <v>8</v>
      </c>
      <c r="C171" s="100" t="s">
        <v>101</v>
      </c>
    </row>
    <row r="172" spans="1:3" x14ac:dyDescent="0.25">
      <c r="A172" s="98"/>
      <c r="B172" s="99"/>
      <c r="C172" s="100" t="s">
        <v>123</v>
      </c>
    </row>
    <row r="173" spans="1:3" x14ac:dyDescent="0.25">
      <c r="A173" s="98" t="s">
        <v>98</v>
      </c>
      <c r="B173" s="99" t="s">
        <v>9</v>
      </c>
      <c r="C173" s="100" t="s">
        <v>101</v>
      </c>
    </row>
    <row r="174" spans="1:3" x14ac:dyDescent="0.25">
      <c r="A174" s="98"/>
      <c r="B174" s="99"/>
      <c r="C174" s="100" t="s">
        <v>123</v>
      </c>
    </row>
    <row r="175" spans="1:3" ht="46.5" customHeight="1" x14ac:dyDescent="0.25">
      <c r="A175" s="98" t="s">
        <v>99</v>
      </c>
      <c r="B175" s="99" t="s">
        <v>10</v>
      </c>
      <c r="C175" s="101" t="s">
        <v>135</v>
      </c>
    </row>
    <row r="176" spans="1:3" ht="38.25" customHeight="1" x14ac:dyDescent="0.25">
      <c r="A176" s="98"/>
      <c r="B176" s="99"/>
      <c r="C176" s="101" t="s">
        <v>146</v>
      </c>
    </row>
    <row r="177" spans="1:11" ht="29.25" customHeight="1" x14ac:dyDescent="0.25">
      <c r="A177" s="102" t="s">
        <v>100</v>
      </c>
      <c r="B177" s="103" t="s">
        <v>11</v>
      </c>
      <c r="C177" s="104" t="s">
        <v>134</v>
      </c>
    </row>
    <row r="178" spans="1:11" ht="31.5" customHeight="1" x14ac:dyDescent="0.25">
      <c r="A178" s="105"/>
      <c r="B178" s="99"/>
      <c r="C178" s="104" t="s">
        <v>133</v>
      </c>
    </row>
    <row r="179" spans="1:11" x14ac:dyDescent="0.25">
      <c r="A179" s="106"/>
      <c r="B179" s="107"/>
      <c r="C179" s="108" t="s">
        <v>123</v>
      </c>
    </row>
    <row r="182" spans="1:11" x14ac:dyDescent="0.25">
      <c r="A182" s="2" t="s">
        <v>73</v>
      </c>
    </row>
    <row r="183" spans="1:11" ht="16.5" thickBot="1" x14ac:dyDescent="0.3"/>
    <row r="184" spans="1:11" ht="26.25" thickBot="1" x14ac:dyDescent="0.3">
      <c r="A184" s="109" t="s">
        <v>36</v>
      </c>
      <c r="B184" s="110" t="s">
        <v>38</v>
      </c>
    </row>
    <row r="185" spans="1:11" ht="16.5" thickBot="1" x14ac:dyDescent="0.3">
      <c r="A185" s="111" t="s">
        <v>24</v>
      </c>
      <c r="B185" s="112">
        <f>SUM(B186:B187)</f>
        <v>4104636</v>
      </c>
    </row>
    <row r="186" spans="1:11" x14ac:dyDescent="0.25">
      <c r="A186" s="113" t="s">
        <v>103</v>
      </c>
      <c r="B186" s="114">
        <v>2802800</v>
      </c>
      <c r="J186" s="7"/>
      <c r="K186" s="6"/>
    </row>
    <row r="187" spans="1:11" x14ac:dyDescent="0.25">
      <c r="A187" s="115" t="s">
        <v>59</v>
      </c>
      <c r="B187" s="116">
        <v>1301836</v>
      </c>
      <c r="J187" s="6"/>
    </row>
    <row r="188" spans="1:11" ht="16.5" thickBot="1" x14ac:dyDescent="0.3">
      <c r="A188" s="117" t="s">
        <v>144</v>
      </c>
      <c r="B188" s="118">
        <v>4592998</v>
      </c>
      <c r="J188" s="6"/>
    </row>
    <row r="189" spans="1:11" ht="16.5" thickBot="1" x14ac:dyDescent="0.3">
      <c r="A189" s="111" t="s">
        <v>27</v>
      </c>
      <c r="B189" s="112">
        <f>SUM(B190:B193)</f>
        <v>638235</v>
      </c>
    </row>
    <row r="190" spans="1:11" x14ac:dyDescent="0.25">
      <c r="A190" s="113" t="s">
        <v>55</v>
      </c>
      <c r="B190" s="114">
        <v>403083</v>
      </c>
    </row>
    <row r="191" spans="1:11" x14ac:dyDescent="0.25">
      <c r="A191" s="119" t="s">
        <v>65</v>
      </c>
      <c r="B191" s="116">
        <v>240935</v>
      </c>
    </row>
    <row r="192" spans="1:11" x14ac:dyDescent="0.25">
      <c r="A192" s="119" t="s">
        <v>142</v>
      </c>
      <c r="B192" s="116">
        <v>-5783</v>
      </c>
    </row>
    <row r="193" spans="1:6" ht="16.5" thickBot="1" x14ac:dyDescent="0.3">
      <c r="A193" s="120" t="s">
        <v>143</v>
      </c>
      <c r="B193" s="121">
        <v>0</v>
      </c>
    </row>
    <row r="194" spans="1:6" ht="16.5" thickBot="1" x14ac:dyDescent="0.3">
      <c r="A194" s="111" t="s">
        <v>29</v>
      </c>
      <c r="B194" s="112">
        <f>SUM(B195:B198)</f>
        <v>1949907</v>
      </c>
    </row>
    <row r="195" spans="1:6" x14ac:dyDescent="0.25">
      <c r="A195" s="113" t="s">
        <v>48</v>
      </c>
      <c r="B195" s="114">
        <v>211536</v>
      </c>
    </row>
    <row r="196" spans="1:6" x14ac:dyDescent="0.25">
      <c r="A196" s="119" t="s">
        <v>31</v>
      </c>
      <c r="B196" s="116">
        <v>184191</v>
      </c>
    </row>
    <row r="197" spans="1:6" x14ac:dyDescent="0.25">
      <c r="A197" s="119" t="s">
        <v>52</v>
      </c>
      <c r="B197" s="116">
        <v>54180</v>
      </c>
    </row>
    <row r="198" spans="1:6" ht="16.5" thickBot="1" x14ac:dyDescent="0.3">
      <c r="A198" s="119" t="s">
        <v>153</v>
      </c>
      <c r="B198" s="121">
        <v>1500000</v>
      </c>
      <c r="C198" s="8"/>
      <c r="D198" s="9"/>
      <c r="F198" s="12"/>
    </row>
    <row r="199" spans="1:6" ht="16.5" thickBot="1" x14ac:dyDescent="0.3">
      <c r="A199" s="122" t="s">
        <v>61</v>
      </c>
      <c r="B199" s="123">
        <f>B189-B185-B194</f>
        <v>-5416308</v>
      </c>
      <c r="D199" s="8"/>
    </row>
    <row r="203" spans="1:6" x14ac:dyDescent="0.25">
      <c r="A203" s="2" t="s">
        <v>12</v>
      </c>
      <c r="B203" s="14"/>
      <c r="C203" s="15"/>
      <c r="D203" s="14"/>
      <c r="E203" s="15"/>
    </row>
    <row r="204" spans="1:6" ht="16.5" thickBot="1" x14ac:dyDescent="0.3">
      <c r="A204" s="13"/>
      <c r="B204" s="14"/>
      <c r="C204" s="15"/>
      <c r="D204" s="14"/>
      <c r="E204" s="15"/>
    </row>
    <row r="205" spans="1:6" ht="16.5" thickBot="1" x14ac:dyDescent="0.3">
      <c r="A205" s="38" t="s">
        <v>36</v>
      </c>
      <c r="B205" s="124" t="s">
        <v>78</v>
      </c>
      <c r="C205" s="125"/>
      <c r="D205" s="14"/>
      <c r="E205" s="15"/>
    </row>
    <row r="206" spans="1:6" ht="26.25" thickBot="1" x14ac:dyDescent="0.3">
      <c r="A206" s="41"/>
      <c r="B206" s="75" t="s">
        <v>147</v>
      </c>
      <c r="C206" s="126" t="s">
        <v>148</v>
      </c>
      <c r="D206" s="14"/>
      <c r="E206" s="15"/>
    </row>
    <row r="207" spans="1:6" ht="16.5" thickBot="1" x14ac:dyDescent="0.3">
      <c r="A207" s="111" t="s">
        <v>24</v>
      </c>
      <c r="B207" s="112">
        <v>9313516</v>
      </c>
      <c r="C207" s="112">
        <v>9313516</v>
      </c>
      <c r="D207" s="14"/>
      <c r="E207" s="15"/>
    </row>
    <row r="208" spans="1:6" x14ac:dyDescent="0.25">
      <c r="A208" s="113" t="s">
        <v>131</v>
      </c>
      <c r="B208" s="116">
        <v>4822354</v>
      </c>
      <c r="C208" s="116">
        <f>B208</f>
        <v>4822354</v>
      </c>
      <c r="D208" s="14"/>
      <c r="E208" s="15"/>
    </row>
    <row r="209" spans="1:5" x14ac:dyDescent="0.25">
      <c r="A209" s="113" t="s">
        <v>80</v>
      </c>
      <c r="B209" s="116">
        <v>2802800</v>
      </c>
      <c r="C209" s="116">
        <f t="shared" ref="C209:C211" si="0">B209</f>
        <v>2802800</v>
      </c>
      <c r="D209" s="14"/>
      <c r="E209" s="15"/>
    </row>
    <row r="210" spans="1:5" x14ac:dyDescent="0.25">
      <c r="A210" s="119" t="s">
        <v>83</v>
      </c>
      <c r="B210" s="116">
        <v>1500000</v>
      </c>
      <c r="C210" s="116">
        <f t="shared" si="0"/>
        <v>1500000</v>
      </c>
      <c r="D210" s="14"/>
      <c r="E210" s="15"/>
    </row>
    <row r="211" spans="1:5" ht="16.5" thickBot="1" x14ac:dyDescent="0.3">
      <c r="A211" s="115" t="s">
        <v>59</v>
      </c>
      <c r="B211" s="116">
        <v>488362</v>
      </c>
      <c r="C211" s="116">
        <f t="shared" si="0"/>
        <v>488362</v>
      </c>
      <c r="D211" s="14"/>
      <c r="E211" s="15"/>
    </row>
    <row r="212" spans="1:5" ht="16.5" thickBot="1" x14ac:dyDescent="0.3">
      <c r="A212" s="111" t="s">
        <v>27</v>
      </c>
      <c r="B212" s="112">
        <f>SUM(B213:B217)</f>
        <v>15158467</v>
      </c>
      <c r="C212" s="112">
        <f>SUM(C213:C217)</f>
        <v>18733615</v>
      </c>
      <c r="D212" s="14"/>
      <c r="E212" s="15"/>
    </row>
    <row r="213" spans="1:5" x14ac:dyDescent="0.25">
      <c r="A213" s="113" t="s">
        <v>55</v>
      </c>
      <c r="B213" s="116">
        <v>6022781</v>
      </c>
      <c r="C213" s="116">
        <f>B213</f>
        <v>6022781</v>
      </c>
      <c r="D213" s="14"/>
      <c r="E213" s="15"/>
    </row>
    <row r="214" spans="1:5" x14ac:dyDescent="0.25">
      <c r="A214" s="113" t="s">
        <v>132</v>
      </c>
      <c r="B214" s="116">
        <v>7352400</v>
      </c>
      <c r="C214" s="116">
        <f t="shared" ref="C214:C217" si="1">B214</f>
        <v>7352400</v>
      </c>
      <c r="D214" s="14"/>
      <c r="E214" s="15"/>
    </row>
    <row r="215" spans="1:5" ht="26.25" x14ac:dyDescent="0.25">
      <c r="A215" s="127" t="s">
        <v>145</v>
      </c>
      <c r="B215" s="116">
        <v>1121714</v>
      </c>
      <c r="C215" s="128">
        <v>4696862</v>
      </c>
      <c r="D215" s="14"/>
      <c r="E215" s="15"/>
    </row>
    <row r="216" spans="1:5" x14ac:dyDescent="0.25">
      <c r="A216" s="120" t="s">
        <v>130</v>
      </c>
      <c r="B216" s="116">
        <v>500000</v>
      </c>
      <c r="C216" s="116">
        <f t="shared" si="1"/>
        <v>500000</v>
      </c>
      <c r="D216" s="14"/>
      <c r="E216" s="15"/>
    </row>
    <row r="217" spans="1:5" ht="16.5" thickBot="1" x14ac:dyDescent="0.3">
      <c r="A217" s="119" t="s">
        <v>65</v>
      </c>
      <c r="B217" s="116">
        <v>161572</v>
      </c>
      <c r="C217" s="116">
        <f t="shared" si="1"/>
        <v>161572</v>
      </c>
      <c r="D217" s="14"/>
      <c r="E217" s="15"/>
    </row>
    <row r="218" spans="1:5" ht="16.5" thickBot="1" x14ac:dyDescent="0.3">
      <c r="A218" s="111" t="s">
        <v>129</v>
      </c>
      <c r="B218" s="112">
        <v>380000</v>
      </c>
      <c r="C218" s="112">
        <f>B218</f>
        <v>380000</v>
      </c>
      <c r="D218" s="14"/>
      <c r="E218" s="15"/>
    </row>
    <row r="219" spans="1:5" ht="16.5" thickBot="1" x14ac:dyDescent="0.3">
      <c r="A219" s="111" t="s">
        <v>50</v>
      </c>
      <c r="B219" s="112">
        <f>SUM(B220:B225)</f>
        <v>5002465</v>
      </c>
      <c r="C219" s="112">
        <f>SUM(C220:C225)</f>
        <v>5002465</v>
      </c>
      <c r="D219" s="14"/>
      <c r="E219" s="15"/>
    </row>
    <row r="220" spans="1:5" x14ac:dyDescent="0.25">
      <c r="A220" s="113" t="s">
        <v>48</v>
      </c>
      <c r="B220" s="116">
        <v>1363578</v>
      </c>
      <c r="C220" s="116">
        <f>B220</f>
        <v>1363578</v>
      </c>
      <c r="D220" s="14"/>
      <c r="E220" s="15"/>
    </row>
    <row r="221" spans="1:5" x14ac:dyDescent="0.25">
      <c r="A221" s="119" t="s">
        <v>31</v>
      </c>
      <c r="B221" s="116">
        <v>728444</v>
      </c>
      <c r="C221" s="116">
        <f t="shared" ref="C221:C225" si="2">B221</f>
        <v>728444</v>
      </c>
      <c r="D221" s="14"/>
      <c r="E221" s="15"/>
    </row>
    <row r="222" spans="1:5" x14ac:dyDescent="0.25">
      <c r="A222" s="119" t="s">
        <v>90</v>
      </c>
      <c r="B222" s="116">
        <v>518943</v>
      </c>
      <c r="C222" s="116">
        <f t="shared" si="2"/>
        <v>518943</v>
      </c>
      <c r="D222" s="14"/>
      <c r="E222" s="15"/>
    </row>
    <row r="223" spans="1:5" x14ac:dyDescent="0.25">
      <c r="A223" s="119" t="s">
        <v>87</v>
      </c>
      <c r="B223" s="116">
        <v>100000</v>
      </c>
      <c r="C223" s="116">
        <f t="shared" si="2"/>
        <v>100000</v>
      </c>
      <c r="D223" s="14"/>
      <c r="E223" s="15"/>
    </row>
    <row r="224" spans="1:5" x14ac:dyDescent="0.25">
      <c r="A224" s="120" t="s">
        <v>88</v>
      </c>
      <c r="B224" s="116">
        <v>380000</v>
      </c>
      <c r="C224" s="116">
        <f t="shared" si="2"/>
        <v>380000</v>
      </c>
      <c r="D224" s="14"/>
      <c r="E224" s="15"/>
    </row>
    <row r="225" spans="1:5" ht="16.5" thickBot="1" x14ac:dyDescent="0.3">
      <c r="A225" s="5" t="s">
        <v>121</v>
      </c>
      <c r="B225" s="4">
        <v>1911500</v>
      </c>
      <c r="C225" s="4">
        <f t="shared" si="2"/>
        <v>1911500</v>
      </c>
      <c r="D225" s="14"/>
      <c r="E225" s="15"/>
    </row>
    <row r="226" spans="1:5" ht="16.5" thickBot="1" x14ac:dyDescent="0.3">
      <c r="A226" s="10" t="s">
        <v>62</v>
      </c>
      <c r="B226" s="11">
        <f>B212+B218-B207-B219</f>
        <v>1222486</v>
      </c>
      <c r="C226" s="11">
        <f>C212+C218-C207-C219</f>
        <v>4797634</v>
      </c>
      <c r="D226" s="14"/>
      <c r="E226" s="15"/>
    </row>
    <row r="227" spans="1:5" x14ac:dyDescent="0.25">
      <c r="A227" s="13"/>
      <c r="B227" s="14"/>
      <c r="C227" s="15"/>
      <c r="D227" s="14"/>
      <c r="E227" s="15"/>
    </row>
    <row r="229" spans="1:5" x14ac:dyDescent="0.25">
      <c r="A229" s="2" t="s">
        <v>13</v>
      </c>
    </row>
    <row r="230" spans="1:5" ht="16.5" thickBot="1" x14ac:dyDescent="0.3"/>
    <row r="231" spans="1:5" ht="26.25" thickBot="1" x14ac:dyDescent="0.3">
      <c r="A231" s="109" t="s">
        <v>36</v>
      </c>
      <c r="B231" s="110" t="s">
        <v>38</v>
      </c>
    </row>
    <row r="232" spans="1:5" ht="16.5" thickBot="1" x14ac:dyDescent="0.3">
      <c r="A232" s="111" t="s">
        <v>24</v>
      </c>
      <c r="B232" s="112">
        <f>SUM(B233:B233)</f>
        <v>-198164</v>
      </c>
    </row>
    <row r="233" spans="1:5" x14ac:dyDescent="0.25">
      <c r="A233" s="115" t="s">
        <v>59</v>
      </c>
      <c r="B233" s="116">
        <v>-198164</v>
      </c>
    </row>
    <row r="234" spans="1:5" ht="16.5" thickBot="1" x14ac:dyDescent="0.3">
      <c r="A234" s="117" t="s">
        <v>111</v>
      </c>
      <c r="B234" s="118">
        <v>4592998</v>
      </c>
    </row>
    <row r="235" spans="1:5" ht="16.5" thickBot="1" x14ac:dyDescent="0.3">
      <c r="A235" s="111" t="s">
        <v>27</v>
      </c>
      <c r="B235" s="112">
        <f>SUM(B236:B239)</f>
        <v>638235</v>
      </c>
    </row>
    <row r="236" spans="1:5" x14ac:dyDescent="0.25">
      <c r="A236" s="113" t="s">
        <v>55</v>
      </c>
      <c r="B236" s="114">
        <v>403083</v>
      </c>
    </row>
    <row r="237" spans="1:5" x14ac:dyDescent="0.25">
      <c r="A237" s="119" t="s">
        <v>65</v>
      </c>
      <c r="B237" s="116">
        <v>240935</v>
      </c>
    </row>
    <row r="238" spans="1:5" x14ac:dyDescent="0.25">
      <c r="A238" s="119" t="s">
        <v>2</v>
      </c>
      <c r="B238" s="116">
        <v>-5783</v>
      </c>
    </row>
    <row r="239" spans="1:5" ht="16.5" thickBot="1" x14ac:dyDescent="0.3">
      <c r="A239" s="120" t="s">
        <v>118</v>
      </c>
      <c r="B239" s="121">
        <v>0</v>
      </c>
    </row>
    <row r="240" spans="1:5" ht="16.5" thickBot="1" x14ac:dyDescent="0.3">
      <c r="A240" s="111" t="s">
        <v>29</v>
      </c>
      <c r="B240" s="112">
        <f>SUM(B241:B244)</f>
        <v>449907</v>
      </c>
    </row>
    <row r="241" spans="1:2" x14ac:dyDescent="0.25">
      <c r="A241" s="113" t="s">
        <v>48</v>
      </c>
      <c r="B241" s="114">
        <v>211536</v>
      </c>
    </row>
    <row r="242" spans="1:2" x14ac:dyDescent="0.25">
      <c r="A242" s="119" t="s">
        <v>31</v>
      </c>
      <c r="B242" s="116">
        <v>184191</v>
      </c>
    </row>
    <row r="243" spans="1:2" x14ac:dyDescent="0.25">
      <c r="A243" s="119" t="s">
        <v>52</v>
      </c>
      <c r="B243" s="116">
        <v>54180</v>
      </c>
    </row>
    <row r="244" spans="1:2" ht="16.5" thickBot="1" x14ac:dyDescent="0.3">
      <c r="A244" s="120" t="s">
        <v>108</v>
      </c>
      <c r="B244" s="121">
        <v>0</v>
      </c>
    </row>
    <row r="245" spans="1:2" ht="16.5" thickBot="1" x14ac:dyDescent="0.3">
      <c r="A245" s="129" t="s">
        <v>61</v>
      </c>
      <c r="B245" s="130">
        <f>B235-B232-B240</f>
        <v>386492</v>
      </c>
    </row>
    <row r="248" spans="1:2" x14ac:dyDescent="0.25">
      <c r="A248" s="2" t="s">
        <v>74</v>
      </c>
    </row>
    <row r="249" spans="1:2" ht="16.5" thickBot="1" x14ac:dyDescent="0.3"/>
    <row r="250" spans="1:2" ht="24.75" thickBot="1" x14ac:dyDescent="0.3">
      <c r="A250" s="131" t="s">
        <v>36</v>
      </c>
      <c r="B250" s="132" t="s">
        <v>79</v>
      </c>
    </row>
    <row r="251" spans="1:2" ht="16.5" thickBot="1" x14ac:dyDescent="0.3">
      <c r="A251" s="133" t="s">
        <v>24</v>
      </c>
      <c r="B251" s="134">
        <f>SUM(B252:B257)</f>
        <v>4104636.4517999999</v>
      </c>
    </row>
    <row r="252" spans="1:2" x14ac:dyDescent="0.25">
      <c r="A252" s="135" t="s">
        <v>127</v>
      </c>
      <c r="B252" s="136"/>
    </row>
    <row r="253" spans="1:2" x14ac:dyDescent="0.25">
      <c r="A253" s="135" t="s">
        <v>82</v>
      </c>
      <c r="B253" s="137"/>
    </row>
    <row r="254" spans="1:2" x14ac:dyDescent="0.25">
      <c r="A254" s="135" t="s">
        <v>128</v>
      </c>
      <c r="B254" s="136"/>
    </row>
    <row r="255" spans="1:2" x14ac:dyDescent="0.25">
      <c r="A255" s="135" t="s">
        <v>126</v>
      </c>
      <c r="B255" s="136">
        <v>2802799.9999999995</v>
      </c>
    </row>
    <row r="256" spans="1:2" x14ac:dyDescent="0.25">
      <c r="A256" s="138" t="s">
        <v>112</v>
      </c>
      <c r="B256" s="139">
        <v>-198163.54819999961</v>
      </c>
    </row>
    <row r="257" spans="1:2" x14ac:dyDescent="0.25">
      <c r="A257" s="140" t="s">
        <v>63</v>
      </c>
      <c r="B257" s="141">
        <v>1500000</v>
      </c>
    </row>
    <row r="258" spans="1:2" x14ac:dyDescent="0.25">
      <c r="A258" s="142" t="s">
        <v>85</v>
      </c>
      <c r="B258" s="143">
        <v>3092998.486</v>
      </c>
    </row>
    <row r="259" spans="1:2" ht="16.5" thickBot="1" x14ac:dyDescent="0.3">
      <c r="A259" s="142" t="s">
        <v>84</v>
      </c>
      <c r="B259" s="143">
        <v>1500000</v>
      </c>
    </row>
    <row r="260" spans="1:2" ht="16.5" thickBot="1" x14ac:dyDescent="0.3">
      <c r="A260" s="133" t="s">
        <v>27</v>
      </c>
      <c r="B260" s="134">
        <f>SUM(B261:B264)</f>
        <v>638235</v>
      </c>
    </row>
    <row r="261" spans="1:2" x14ac:dyDescent="0.25">
      <c r="A261" s="135" t="s">
        <v>57</v>
      </c>
      <c r="B261" s="136">
        <v>403083</v>
      </c>
    </row>
    <row r="262" spans="1:2" x14ac:dyDescent="0.25">
      <c r="A262" s="135" t="s">
        <v>64</v>
      </c>
      <c r="B262" s="144">
        <v>240935</v>
      </c>
    </row>
    <row r="263" spans="1:2" x14ac:dyDescent="0.25">
      <c r="A263" s="135" t="s">
        <v>28</v>
      </c>
      <c r="B263" s="136">
        <v>-5783</v>
      </c>
    </row>
    <row r="264" spans="1:2" ht="16.5" thickBot="1" x14ac:dyDescent="0.3">
      <c r="A264" s="142" t="s">
        <v>118</v>
      </c>
      <c r="B264" s="137"/>
    </row>
    <row r="265" spans="1:2" ht="16.5" thickBot="1" x14ac:dyDescent="0.3">
      <c r="A265" s="133" t="s">
        <v>29</v>
      </c>
      <c r="B265" s="134">
        <f>SUM(B266:B269)</f>
        <v>1949906.983565351</v>
      </c>
    </row>
    <row r="266" spans="1:2" x14ac:dyDescent="0.25">
      <c r="A266" s="135" t="s">
        <v>48</v>
      </c>
      <c r="B266" s="136">
        <v>211536</v>
      </c>
    </row>
    <row r="267" spans="1:2" x14ac:dyDescent="0.25">
      <c r="A267" s="145" t="s">
        <v>51</v>
      </c>
      <c r="B267" s="143">
        <v>184190.61572023091</v>
      </c>
    </row>
    <row r="268" spans="1:2" x14ac:dyDescent="0.25">
      <c r="A268" s="146" t="s">
        <v>53</v>
      </c>
      <c r="B268" s="143">
        <v>54180.367845119996</v>
      </c>
    </row>
    <row r="269" spans="1:2" ht="24.75" thickBot="1" x14ac:dyDescent="0.3">
      <c r="A269" s="140" t="s">
        <v>154</v>
      </c>
      <c r="B269" s="141">
        <f>1500000</f>
        <v>1500000</v>
      </c>
    </row>
    <row r="270" spans="1:2" ht="16.5" thickBot="1" x14ac:dyDescent="0.3">
      <c r="A270" s="147" t="s">
        <v>58</v>
      </c>
      <c r="B270" s="148">
        <f>B260-B265-B251</f>
        <v>-5416308.4353653509</v>
      </c>
    </row>
    <row r="272" spans="1:2" x14ac:dyDescent="0.25">
      <c r="A272" s="20"/>
    </row>
    <row r="273" spans="1:4" x14ac:dyDescent="0.25">
      <c r="A273" s="18" t="s">
        <v>19</v>
      </c>
    </row>
    <row r="274" spans="1:4" x14ac:dyDescent="0.25">
      <c r="A274" s="17"/>
    </row>
    <row r="275" spans="1:4" x14ac:dyDescent="0.25">
      <c r="A275" s="19" t="s">
        <v>20</v>
      </c>
    </row>
    <row r="276" spans="1:4" ht="16.5" thickBot="1" x14ac:dyDescent="0.3"/>
    <row r="277" spans="1:4" ht="17.25" customHeight="1" thickBot="1" x14ac:dyDescent="0.3">
      <c r="A277" s="149" t="s">
        <v>36</v>
      </c>
      <c r="B277" s="150" t="s">
        <v>4</v>
      </c>
      <c r="C277" s="150">
        <v>2015</v>
      </c>
      <c r="D277" s="151">
        <v>2016</v>
      </c>
    </row>
    <row r="278" spans="1:4" x14ac:dyDescent="0.25">
      <c r="A278" s="152" t="s">
        <v>24</v>
      </c>
      <c r="B278" s="153">
        <f>SUM(B279:B282)</f>
        <v>4104636</v>
      </c>
      <c r="C278" s="153">
        <f t="shared" ref="C278:D278" si="3">SUM(C279:C282)</f>
        <v>1285898</v>
      </c>
      <c r="D278" s="154">
        <f t="shared" si="3"/>
        <v>537780</v>
      </c>
    </row>
    <row r="279" spans="1:4" x14ac:dyDescent="0.25">
      <c r="A279" s="155" t="s">
        <v>56</v>
      </c>
      <c r="B279" s="156"/>
      <c r="C279" s="156">
        <v>700000</v>
      </c>
      <c r="D279" s="157"/>
    </row>
    <row r="280" spans="1:4" x14ac:dyDescent="0.25">
      <c r="A280" s="155" t="s">
        <v>102</v>
      </c>
      <c r="B280" s="156"/>
      <c r="C280" s="156">
        <v>2382380</v>
      </c>
      <c r="D280" s="157"/>
    </row>
    <row r="281" spans="1:4" x14ac:dyDescent="0.25">
      <c r="A281" s="155" t="s">
        <v>103</v>
      </c>
      <c r="B281" s="156">
        <v>2802800</v>
      </c>
      <c r="C281" s="156"/>
      <c r="D281" s="157"/>
    </row>
    <row r="282" spans="1:4" x14ac:dyDescent="0.25">
      <c r="A282" s="155" t="s">
        <v>59</v>
      </c>
      <c r="B282" s="156">
        <v>1301836</v>
      </c>
      <c r="C282" s="156">
        <v>-1796482</v>
      </c>
      <c r="D282" s="157">
        <v>537780</v>
      </c>
    </row>
    <row r="283" spans="1:4" x14ac:dyDescent="0.25">
      <c r="A283" s="155" t="s">
        <v>104</v>
      </c>
      <c r="B283" s="156">
        <v>4592998</v>
      </c>
      <c r="C283" s="156">
        <v>2796517</v>
      </c>
      <c r="D283" s="157">
        <v>3334296</v>
      </c>
    </row>
    <row r="284" spans="1:4" x14ac:dyDescent="0.25">
      <c r="A284" s="158" t="s">
        <v>45</v>
      </c>
      <c r="B284" s="159">
        <f>SUM(B285:B289)</f>
        <v>3441035</v>
      </c>
      <c r="C284" s="159">
        <f t="shared" ref="C284:D284" si="4">SUM(C285:C289)</f>
        <v>2486340</v>
      </c>
      <c r="D284" s="160">
        <f t="shared" si="4"/>
        <v>2254904</v>
      </c>
    </row>
    <row r="285" spans="1:4" x14ac:dyDescent="0.25">
      <c r="A285" s="155" t="s">
        <v>35</v>
      </c>
      <c r="B285" s="156">
        <v>403083</v>
      </c>
      <c r="C285" s="156">
        <v>1013364</v>
      </c>
      <c r="D285" s="157">
        <v>1043207</v>
      </c>
    </row>
    <row r="286" spans="1:4" x14ac:dyDescent="0.25">
      <c r="A286" s="155" t="s">
        <v>81</v>
      </c>
      <c r="B286" s="156">
        <v>240935</v>
      </c>
      <c r="C286" s="156"/>
      <c r="D286" s="157"/>
    </row>
    <row r="287" spans="1:4" x14ac:dyDescent="0.25">
      <c r="A287" s="155" t="s">
        <v>105</v>
      </c>
      <c r="B287" s="156">
        <v>-5783</v>
      </c>
      <c r="C287" s="156">
        <v>1470725</v>
      </c>
      <c r="D287" s="157">
        <v>1211697</v>
      </c>
    </row>
    <row r="288" spans="1:4" x14ac:dyDescent="0.25">
      <c r="A288" s="155" t="s">
        <v>106</v>
      </c>
      <c r="B288" s="156"/>
      <c r="C288" s="156">
        <v>2251</v>
      </c>
      <c r="D288" s="157"/>
    </row>
    <row r="289" spans="1:5" x14ac:dyDescent="0.25">
      <c r="A289" s="155" t="s">
        <v>107</v>
      </c>
      <c r="B289" s="156">
        <v>2802800</v>
      </c>
      <c r="C289" s="156"/>
      <c r="D289" s="157"/>
    </row>
    <row r="290" spans="1:5" x14ac:dyDescent="0.25">
      <c r="A290" s="158" t="s">
        <v>29</v>
      </c>
      <c r="B290" s="159">
        <f>SUM(B291:B297)</f>
        <v>4752707</v>
      </c>
      <c r="C290" s="159">
        <f t="shared" ref="C290:D290" si="5">SUM(C291:C297)</f>
        <v>1433983</v>
      </c>
      <c r="D290" s="160">
        <f t="shared" si="5"/>
        <v>1287666</v>
      </c>
    </row>
    <row r="291" spans="1:5" x14ac:dyDescent="0.25">
      <c r="A291" s="155" t="s">
        <v>48</v>
      </c>
      <c r="B291" s="156">
        <v>211536</v>
      </c>
      <c r="C291" s="156">
        <v>859725</v>
      </c>
      <c r="D291" s="157">
        <v>940368</v>
      </c>
    </row>
    <row r="292" spans="1:5" x14ac:dyDescent="0.25">
      <c r="A292" s="155" t="s">
        <v>51</v>
      </c>
      <c r="B292" s="156">
        <v>184191</v>
      </c>
      <c r="C292" s="156">
        <v>350083</v>
      </c>
      <c r="D292" s="157">
        <v>285518</v>
      </c>
    </row>
    <row r="293" spans="1:5" x14ac:dyDescent="0.25">
      <c r="A293" s="155" t="s">
        <v>52</v>
      </c>
      <c r="B293" s="156">
        <v>54180</v>
      </c>
      <c r="C293" s="156">
        <v>105985</v>
      </c>
      <c r="D293" s="157">
        <v>43780</v>
      </c>
    </row>
    <row r="294" spans="1:5" x14ac:dyDescent="0.25">
      <c r="A294" s="155" t="s">
        <v>54</v>
      </c>
      <c r="B294" s="156"/>
      <c r="C294" s="156">
        <v>110190</v>
      </c>
      <c r="D294" s="157"/>
    </row>
    <row r="295" spans="1:5" x14ac:dyDescent="0.25">
      <c r="A295" s="155" t="s">
        <v>108</v>
      </c>
      <c r="B295" s="156"/>
      <c r="C295" s="156">
        <v>8000</v>
      </c>
      <c r="D295" s="157">
        <v>18000</v>
      </c>
    </row>
    <row r="296" spans="1:5" x14ac:dyDescent="0.25">
      <c r="A296" s="155"/>
      <c r="B296" s="156">
        <v>1500000</v>
      </c>
      <c r="C296" s="156"/>
      <c r="D296" s="157"/>
    </row>
    <row r="297" spans="1:5" ht="16.5" thickBot="1" x14ac:dyDescent="0.3">
      <c r="A297" s="166" t="s">
        <v>155</v>
      </c>
      <c r="B297" s="161">
        <v>2802800</v>
      </c>
      <c r="C297" s="161"/>
      <c r="D297" s="162"/>
    </row>
    <row r="298" spans="1:5" ht="16.5" thickBot="1" x14ac:dyDescent="0.3">
      <c r="A298" s="163" t="s">
        <v>34</v>
      </c>
      <c r="B298" s="164">
        <f>B284-B278-B290</f>
        <v>-5416308</v>
      </c>
      <c r="C298" s="164">
        <f t="shared" ref="C298:D298" si="6">C284-C278-C290</f>
        <v>-233541</v>
      </c>
      <c r="D298" s="165">
        <f t="shared" si="6"/>
        <v>429458</v>
      </c>
    </row>
    <row r="301" spans="1:5" x14ac:dyDescent="0.25">
      <c r="A301" s="2" t="s">
        <v>21</v>
      </c>
    </row>
    <row r="302" spans="1:5" ht="16.5" thickBot="1" x14ac:dyDescent="0.3"/>
    <row r="303" spans="1:5" ht="24.75" thickBot="1" x14ac:dyDescent="0.3">
      <c r="A303" s="167" t="s">
        <v>36</v>
      </c>
      <c r="B303" s="168" t="s">
        <v>140</v>
      </c>
      <c r="C303" s="169" t="s">
        <v>141</v>
      </c>
      <c r="D303" s="170">
        <v>2015</v>
      </c>
      <c r="E303" s="171">
        <v>2016</v>
      </c>
    </row>
    <row r="304" spans="1:5" ht="16.5" thickBot="1" x14ac:dyDescent="0.3">
      <c r="A304" s="172" t="s">
        <v>24</v>
      </c>
      <c r="B304" s="173">
        <f>SUM(B305:B310)</f>
        <v>9534690.0419352092</v>
      </c>
      <c r="C304" s="174">
        <f>SUM(C305:C310)</f>
        <v>-66797.992644444574</v>
      </c>
      <c r="D304" s="175">
        <f>SUM(D305:D309)</f>
        <v>1285898.0532</v>
      </c>
      <c r="E304" s="176">
        <f>SUM(E305:E309)</f>
        <v>537779.79429999995</v>
      </c>
    </row>
    <row r="305" spans="1:5" ht="24" x14ac:dyDescent="0.25">
      <c r="A305" s="177" t="s">
        <v>139</v>
      </c>
      <c r="B305" s="178"/>
      <c r="C305" s="179"/>
      <c r="D305" s="180">
        <v>700000</v>
      </c>
      <c r="E305" s="181"/>
    </row>
    <row r="306" spans="1:5" ht="24" x14ac:dyDescent="0.25">
      <c r="A306" s="135" t="s">
        <v>109</v>
      </c>
      <c r="B306" s="182">
        <v>4874893.5632907655</v>
      </c>
      <c r="C306" s="183"/>
      <c r="D306" s="183"/>
      <c r="E306" s="144"/>
    </row>
    <row r="307" spans="1:5" x14ac:dyDescent="0.25">
      <c r="A307" s="135" t="s">
        <v>113</v>
      </c>
      <c r="B307" s="184"/>
      <c r="C307" s="185"/>
      <c r="D307" s="186">
        <v>2382380</v>
      </c>
      <c r="E307" s="144"/>
    </row>
    <row r="308" spans="1:5" ht="30.75" customHeight="1" x14ac:dyDescent="0.25">
      <c r="A308" s="135" t="s">
        <v>110</v>
      </c>
      <c r="B308" s="184"/>
      <c r="C308" s="187">
        <f>B313</f>
        <v>2671434.4444444445</v>
      </c>
      <c r="D308" s="186"/>
      <c r="E308" s="144"/>
    </row>
    <row r="309" spans="1:5" x14ac:dyDescent="0.25">
      <c r="A309" s="138" t="s">
        <v>114</v>
      </c>
      <c r="B309" s="188">
        <f>B311</f>
        <v>188362.03419999991</v>
      </c>
      <c r="C309" s="189">
        <f>C311-B311-C308</f>
        <v>233202.00735555543</v>
      </c>
      <c r="D309" s="190">
        <f>D311-C311</f>
        <v>-1796481.9468</v>
      </c>
      <c r="E309" s="191">
        <f>E311-D311</f>
        <v>537779.79429999995</v>
      </c>
    </row>
    <row r="310" spans="1:5" x14ac:dyDescent="0.25">
      <c r="A310" s="138" t="s">
        <v>156</v>
      </c>
      <c r="B310" s="192">
        <f>B312+B313</f>
        <v>4471434.444444444</v>
      </c>
      <c r="C310" s="189">
        <f>C312-B312-B313</f>
        <v>-2971434.4444444445</v>
      </c>
      <c r="D310" s="189">
        <f>D312-C312-C313</f>
        <v>0</v>
      </c>
      <c r="E310" s="139">
        <f>E312-D312-D313</f>
        <v>0</v>
      </c>
    </row>
    <row r="311" spans="1:5" x14ac:dyDescent="0.25">
      <c r="A311" s="142" t="s">
        <v>85</v>
      </c>
      <c r="B311" s="193">
        <v>188362.03419999991</v>
      </c>
      <c r="C311" s="194">
        <v>3092998.486</v>
      </c>
      <c r="D311" s="194">
        <v>1296516.5392</v>
      </c>
      <c r="E311" s="143">
        <v>1834296.3334999999</v>
      </c>
    </row>
    <row r="312" spans="1:5" x14ac:dyDescent="0.25">
      <c r="A312" s="142" t="s">
        <v>119</v>
      </c>
      <c r="B312" s="193">
        <v>1800000</v>
      </c>
      <c r="C312" s="194">
        <v>1500000</v>
      </c>
      <c r="D312" s="194">
        <v>1500000</v>
      </c>
      <c r="E312" s="143">
        <v>1500000</v>
      </c>
    </row>
    <row r="313" spans="1:5" ht="16.5" thickBot="1" x14ac:dyDescent="0.3">
      <c r="A313" s="195" t="s">
        <v>120</v>
      </c>
      <c r="B313" s="193">
        <v>2671434.4444444445</v>
      </c>
      <c r="C313" s="196">
        <v>0</v>
      </c>
      <c r="D313" s="197">
        <v>0</v>
      </c>
      <c r="E313" s="198">
        <v>0</v>
      </c>
    </row>
    <row r="314" spans="1:5" ht="16.5" thickBot="1" x14ac:dyDescent="0.3">
      <c r="A314" s="172" t="s">
        <v>27</v>
      </c>
      <c r="B314" s="173">
        <f>SUM(B315:B321)</f>
        <v>7827141.2041999996</v>
      </c>
      <c r="C314" s="174">
        <f>SUM(C315:C321)</f>
        <v>638235</v>
      </c>
      <c r="D314" s="175">
        <f t="shared" ref="D314:E314" si="7">SUM(D315:D321)</f>
        <v>2486340.3491000002</v>
      </c>
      <c r="E314" s="176">
        <f t="shared" si="7"/>
        <v>2254904</v>
      </c>
    </row>
    <row r="315" spans="1:5" x14ac:dyDescent="0.25">
      <c r="A315" s="199" t="s">
        <v>115</v>
      </c>
      <c r="B315" s="200">
        <v>0</v>
      </c>
      <c r="C315" s="179"/>
      <c r="D315" s="180"/>
      <c r="E315" s="181"/>
    </row>
    <row r="316" spans="1:5" x14ac:dyDescent="0.25">
      <c r="A316" s="135" t="s">
        <v>35</v>
      </c>
      <c r="B316" s="201">
        <v>6022781</v>
      </c>
      <c r="C316" s="185">
        <v>403083</v>
      </c>
      <c r="D316" s="186">
        <v>1013364</v>
      </c>
      <c r="E316" s="144">
        <v>1043207</v>
      </c>
    </row>
    <row r="317" spans="1:5" x14ac:dyDescent="0.25">
      <c r="A317" s="135" t="s">
        <v>64</v>
      </c>
      <c r="B317" s="201">
        <v>302646</v>
      </c>
      <c r="C317" s="185">
        <v>240935</v>
      </c>
      <c r="D317" s="186"/>
      <c r="E317" s="144"/>
    </row>
    <row r="318" spans="1:5" x14ac:dyDescent="0.25">
      <c r="A318" s="202" t="s">
        <v>116</v>
      </c>
      <c r="B318" s="203">
        <v>380000</v>
      </c>
      <c r="C318" s="185"/>
      <c r="D318" s="186"/>
      <c r="E318" s="144"/>
    </row>
    <row r="319" spans="1:5" x14ac:dyDescent="0.25">
      <c r="A319" s="135" t="s">
        <v>105</v>
      </c>
      <c r="B319" s="201"/>
      <c r="C319" s="185">
        <v>-5783</v>
      </c>
      <c r="D319" s="186">
        <v>1470725</v>
      </c>
      <c r="E319" s="144">
        <v>1211697</v>
      </c>
    </row>
    <row r="320" spans="1:5" ht="24" x14ac:dyDescent="0.25">
      <c r="A320" s="202" t="s">
        <v>117</v>
      </c>
      <c r="B320" s="203">
        <v>1121714.2042</v>
      </c>
      <c r="C320" s="204"/>
      <c r="D320" s="186"/>
      <c r="E320" s="144"/>
    </row>
    <row r="321" spans="1:5" ht="16.5" thickBot="1" x14ac:dyDescent="0.3">
      <c r="A321" s="142" t="s">
        <v>106</v>
      </c>
      <c r="B321" s="201"/>
      <c r="C321" s="183"/>
      <c r="D321" s="205">
        <v>2251.3490999999999</v>
      </c>
      <c r="E321" s="206"/>
    </row>
    <row r="322" spans="1:5" ht="16.5" thickBot="1" x14ac:dyDescent="0.3">
      <c r="A322" s="172" t="s">
        <v>29</v>
      </c>
      <c r="B322" s="173">
        <f>SUM(B323:B331)</f>
        <v>5450349.7161190752</v>
      </c>
      <c r="C322" s="174">
        <f>SUM(C323:C331)</f>
        <v>449906.98356535088</v>
      </c>
      <c r="D322" s="175">
        <f>SUM(D323:D331)</f>
        <v>1433982.5218963516</v>
      </c>
      <c r="E322" s="176">
        <f>SUM(E323:E331)</f>
        <v>1287665.9944559138</v>
      </c>
    </row>
    <row r="323" spans="1:5" x14ac:dyDescent="0.25">
      <c r="A323" s="135" t="s">
        <v>48</v>
      </c>
      <c r="B323" s="201">
        <v>1693575</v>
      </c>
      <c r="C323" s="185">
        <v>211536</v>
      </c>
      <c r="D323" s="185">
        <v>859724.66666666674</v>
      </c>
      <c r="E323" s="136">
        <v>940368</v>
      </c>
    </row>
    <row r="324" spans="1:5" x14ac:dyDescent="0.25">
      <c r="A324" s="135" t="s">
        <v>51</v>
      </c>
      <c r="B324" s="207">
        <v>846331.78611907572</v>
      </c>
      <c r="C324" s="194">
        <v>184190.61572023091</v>
      </c>
      <c r="D324" s="208">
        <v>350082.85418776504</v>
      </c>
      <c r="E324" s="209">
        <v>285517.63030839391</v>
      </c>
    </row>
    <row r="325" spans="1:5" x14ac:dyDescent="0.25">
      <c r="A325" s="202" t="s">
        <v>90</v>
      </c>
      <c r="B325" s="203">
        <v>518942.93000000005</v>
      </c>
      <c r="C325" s="194"/>
      <c r="D325" s="194"/>
      <c r="E325" s="209"/>
    </row>
    <row r="326" spans="1:5" x14ac:dyDescent="0.25">
      <c r="A326" s="202" t="s">
        <v>87</v>
      </c>
      <c r="B326" s="203">
        <v>100000</v>
      </c>
      <c r="C326" s="194"/>
      <c r="D326" s="194"/>
      <c r="E326" s="209"/>
    </row>
    <row r="327" spans="1:5" x14ac:dyDescent="0.25">
      <c r="A327" s="202" t="s">
        <v>88</v>
      </c>
      <c r="B327" s="203">
        <v>380000</v>
      </c>
      <c r="C327" s="194"/>
      <c r="D327" s="194"/>
      <c r="E327" s="209"/>
    </row>
    <row r="328" spans="1:5" x14ac:dyDescent="0.25">
      <c r="A328" s="202" t="s">
        <v>121</v>
      </c>
      <c r="B328" s="210">
        <v>1911500</v>
      </c>
      <c r="C328" s="194"/>
      <c r="D328" s="194"/>
      <c r="E328" s="209"/>
    </row>
    <row r="329" spans="1:5" x14ac:dyDescent="0.25">
      <c r="A329" s="135" t="s">
        <v>53</v>
      </c>
      <c r="B329" s="184"/>
      <c r="C329" s="194">
        <v>54180.367845119996</v>
      </c>
      <c r="D329" s="194">
        <v>105985.00104192</v>
      </c>
      <c r="E329" s="211">
        <v>43780.364147519991</v>
      </c>
    </row>
    <row r="330" spans="1:5" x14ac:dyDescent="0.25">
      <c r="A330" s="212" t="s">
        <v>54</v>
      </c>
      <c r="B330" s="213"/>
      <c r="C330" s="194"/>
      <c r="D330" s="208">
        <v>110190</v>
      </c>
      <c r="E330" s="209"/>
    </row>
    <row r="331" spans="1:5" ht="16.5" thickBot="1" x14ac:dyDescent="0.3">
      <c r="A331" s="135" t="s">
        <v>108</v>
      </c>
      <c r="B331" s="213"/>
      <c r="C331" s="185"/>
      <c r="D331" s="208">
        <v>8000</v>
      </c>
      <c r="E331" s="206">
        <v>18000</v>
      </c>
    </row>
    <row r="332" spans="1:5" ht="16.5" thickBot="1" x14ac:dyDescent="0.3">
      <c r="A332" s="214" t="s">
        <v>58</v>
      </c>
      <c r="B332" s="215">
        <f>B314-B322-B304</f>
        <v>-7157898.5538542848</v>
      </c>
      <c r="C332" s="216">
        <f>C314-C322-C304</f>
        <v>255126.0090790937</v>
      </c>
      <c r="D332" s="217">
        <f>D314-D322-D304</f>
        <v>-233540.22599635134</v>
      </c>
      <c r="E332" s="218">
        <f>E314-E322-E304</f>
        <v>429458.21124408627</v>
      </c>
    </row>
    <row r="333" spans="1:5" x14ac:dyDescent="0.25">
      <c r="A333" s="13"/>
      <c r="B333" s="14"/>
      <c r="C333" s="15"/>
      <c r="D333" s="14"/>
      <c r="E333" s="15"/>
    </row>
    <row r="334" spans="1:5" x14ac:dyDescent="0.25">
      <c r="A334" s="13"/>
      <c r="B334" s="14"/>
      <c r="C334" s="15"/>
      <c r="D334" s="14"/>
      <c r="E334" s="15"/>
    </row>
    <row r="335" spans="1:5" x14ac:dyDescent="0.25">
      <c r="A335" s="13"/>
      <c r="B335" s="14"/>
      <c r="C335" s="15"/>
      <c r="D335" s="14"/>
      <c r="E335" s="15"/>
    </row>
    <row r="336" spans="1:5" x14ac:dyDescent="0.25">
      <c r="A336" s="13"/>
      <c r="B336" s="14"/>
      <c r="C336" s="15"/>
      <c r="D336" s="14"/>
      <c r="E336" s="15"/>
    </row>
    <row r="337" spans="1:5" x14ac:dyDescent="0.25">
      <c r="A337" s="13"/>
      <c r="B337" s="14"/>
      <c r="C337" s="15"/>
      <c r="D337" s="14"/>
      <c r="E337" s="15"/>
    </row>
    <row r="338" spans="1:5" x14ac:dyDescent="0.25">
      <c r="A338" s="13"/>
      <c r="B338" s="14"/>
      <c r="C338" s="15"/>
      <c r="D338" s="14"/>
      <c r="E338" s="15"/>
    </row>
    <row r="339" spans="1:5" x14ac:dyDescent="0.25">
      <c r="A339" s="13"/>
      <c r="B339" s="14"/>
      <c r="C339" s="15"/>
      <c r="D339" s="14"/>
      <c r="E339" s="15"/>
    </row>
    <row r="340" spans="1:5" x14ac:dyDescent="0.25">
      <c r="A340" s="13"/>
      <c r="B340" s="14"/>
      <c r="C340" s="15"/>
      <c r="D340" s="14"/>
      <c r="E340" s="15"/>
    </row>
    <row r="341" spans="1:5" x14ac:dyDescent="0.25">
      <c r="A341" s="13"/>
      <c r="B341" s="14"/>
      <c r="C341" s="15"/>
      <c r="D341" s="14"/>
      <c r="E341" s="15"/>
    </row>
  </sheetData>
  <mergeCells count="19">
    <mergeCell ref="A167:A168"/>
    <mergeCell ref="B167:B168"/>
    <mergeCell ref="A169:A170"/>
    <mergeCell ref="B169:B170"/>
    <mergeCell ref="A171:A172"/>
    <mergeCell ref="B171:B172"/>
    <mergeCell ref="A24:A25"/>
    <mergeCell ref="B24:C24"/>
    <mergeCell ref="A42:A43"/>
    <mergeCell ref="B42:D42"/>
    <mergeCell ref="A61:A62"/>
    <mergeCell ref="A173:A174"/>
    <mergeCell ref="B173:B174"/>
    <mergeCell ref="A205:A206"/>
    <mergeCell ref="B205:C205"/>
    <mergeCell ref="A175:A176"/>
    <mergeCell ref="B175:B176"/>
    <mergeCell ref="A177:A179"/>
    <mergeCell ref="B177:B17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Sheet1!_ftn1</vt:lpstr>
      <vt:lpstr>Sheet1!_ftnref1</vt:lpstr>
      <vt:lpstr>Sheet1!_ftnref2</vt:lpstr>
      <vt:lpstr>Sheet1!_Toc172706769</vt:lpstr>
      <vt:lpstr>Sheet1!_Toc172706772</vt:lpstr>
      <vt:lpstr>Sheet1!_Toc190874766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Jonida Hakani</dc:creator>
  <cp:lastModifiedBy>Admin</cp:lastModifiedBy>
  <dcterms:created xsi:type="dcterms:W3CDTF">2024-06-13T14:11:16Z</dcterms:created>
  <dcterms:modified xsi:type="dcterms:W3CDTF">2025-03-05T15:38:41Z</dcterms:modified>
</cp:coreProperties>
</file>