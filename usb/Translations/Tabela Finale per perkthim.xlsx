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B3F081D-D269-4E54-A049-827AAC360638}" xr6:coauthVersionLast="47" xr6:coauthVersionMax="47" xr10:uidLastSave="{00000000-0000-0000-0000-000000000000}"/>
  <bookViews>
    <workbookView xWindow="-120" yWindow="-120" windowWidth="29040" windowHeight="15840" xr2:uid="{0FA63A1A-9A2A-4F95-B3CA-2A7B77FBAF03}"/>
  </bookViews>
  <sheets>
    <sheet name="Analiza Financiare Perkthim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D56" i="1"/>
  <c r="E56" i="1"/>
  <c r="F56" i="1"/>
  <c r="G56" i="1"/>
  <c r="H56" i="1"/>
  <c r="H87" i="1" s="1"/>
  <c r="H88" i="1" s="1"/>
  <c r="I56" i="1"/>
  <c r="G58" i="1"/>
  <c r="H58" i="1"/>
  <c r="I58" i="1"/>
  <c r="J58" i="1"/>
  <c r="K58" i="1"/>
  <c r="K67" i="1" s="1"/>
  <c r="K56" i="1" s="1"/>
  <c r="K87" i="1" s="1"/>
  <c r="L58" i="1"/>
  <c r="L67" i="1" s="1"/>
  <c r="M58" i="1"/>
  <c r="N58" i="1"/>
  <c r="O58" i="1"/>
  <c r="O55" i="1" s="1"/>
  <c r="P58" i="1"/>
  <c r="Q58" i="1"/>
  <c r="Q67" i="1" s="1"/>
  <c r="R58" i="1"/>
  <c r="S58" i="1"/>
  <c r="S67" i="1" s="1"/>
  <c r="T58" i="1"/>
  <c r="T67" i="1" s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J67" i="1"/>
  <c r="J56" i="1" s="1"/>
  <c r="J87" i="1" s="1"/>
  <c r="J88" i="1" s="1"/>
  <c r="M67" i="1"/>
  <c r="M56" i="1" s="1"/>
  <c r="M87" i="1" s="1"/>
  <c r="N67" i="1"/>
  <c r="O67" i="1"/>
  <c r="P67" i="1"/>
  <c r="P56" i="1" s="1"/>
  <c r="R67" i="1"/>
  <c r="R56" i="1" s="1"/>
  <c r="M72" i="1"/>
  <c r="N72" i="1"/>
  <c r="O72" i="1"/>
  <c r="P72" i="1"/>
  <c r="Q72" i="1"/>
  <c r="R72" i="1"/>
  <c r="N73" i="1"/>
  <c r="O73" i="1"/>
  <c r="P73" i="1"/>
  <c r="R73" i="1"/>
  <c r="O74" i="1"/>
  <c r="P74" i="1"/>
  <c r="Q74" i="1"/>
  <c r="R74" i="1"/>
  <c r="S74" i="1"/>
  <c r="T74" i="1"/>
  <c r="S80" i="1"/>
  <c r="T81" i="1"/>
  <c r="C87" i="1"/>
  <c r="C88" i="1" s="1"/>
  <c r="D87" i="1"/>
  <c r="D14" i="1" s="1"/>
  <c r="E87" i="1"/>
  <c r="F88" i="1" s="1"/>
  <c r="F87" i="1"/>
  <c r="G87" i="1"/>
  <c r="G88" i="1" s="1"/>
  <c r="I87" i="1"/>
  <c r="T39" i="1"/>
  <c r="S39" i="1"/>
  <c r="R39" i="1"/>
  <c r="Q39" i="1"/>
  <c r="P39" i="1"/>
  <c r="T36" i="1"/>
  <c r="S36" i="1"/>
  <c r="R36" i="1"/>
  <c r="Q36" i="1"/>
  <c r="P36" i="1"/>
  <c r="O36" i="1"/>
  <c r="N36" i="1"/>
  <c r="N30" i="1" s="1"/>
  <c r="M36" i="1"/>
  <c r="L36" i="1"/>
  <c r="K36" i="1"/>
  <c r="J36" i="1"/>
  <c r="I36" i="1"/>
  <c r="T35" i="1"/>
  <c r="S35" i="1"/>
  <c r="R35" i="1"/>
  <c r="T31" i="1"/>
  <c r="S31" i="1"/>
  <c r="R31" i="1"/>
  <c r="Q31" i="1"/>
  <c r="P31" i="1"/>
  <c r="P30" i="1" s="1"/>
  <c r="O31" i="1"/>
  <c r="O30" i="1" s="1"/>
  <c r="N31" i="1"/>
  <c r="M31" i="1"/>
  <c r="M30" i="1" s="1"/>
  <c r="L31" i="1"/>
  <c r="K31" i="1"/>
  <c r="J31" i="1"/>
  <c r="J30" i="1" s="1"/>
  <c r="I31" i="1"/>
  <c r="H31" i="1"/>
  <c r="H30" i="1" s="1"/>
  <c r="G31" i="1"/>
  <c r="F31" i="1" s="1"/>
  <c r="D31" i="1"/>
  <c r="D30" i="1" s="1"/>
  <c r="C31" i="1"/>
  <c r="C30" i="1" s="1"/>
  <c r="O29" i="1"/>
  <c r="O27" i="1"/>
  <c r="N27" i="1"/>
  <c r="P23" i="1"/>
  <c r="P22" i="1"/>
  <c r="O22" i="1"/>
  <c r="N22" i="1"/>
  <c r="M22" i="1"/>
  <c r="L22" i="1"/>
  <c r="K22" i="1"/>
  <c r="T21" i="1"/>
  <c r="R21" i="1"/>
  <c r="P21" i="1"/>
  <c r="O21" i="1"/>
  <c r="N21" i="1"/>
  <c r="M21" i="1"/>
  <c r="T19" i="1"/>
  <c r="S19" i="1"/>
  <c r="R19" i="1"/>
  <c r="Q19" i="1"/>
  <c r="P19" i="1"/>
  <c r="O19" i="1"/>
  <c r="N19" i="1"/>
  <c r="M19" i="1"/>
  <c r="L19" i="1"/>
  <c r="K19" i="1"/>
  <c r="K18" i="1" s="1"/>
  <c r="J19" i="1"/>
  <c r="I19" i="1"/>
  <c r="I18" i="1" s="1"/>
  <c r="H19" i="1"/>
  <c r="G19" i="1"/>
  <c r="G18" i="1" s="1"/>
  <c r="F19" i="1"/>
  <c r="F18" i="1" s="1"/>
  <c r="E19" i="1"/>
  <c r="E18" i="1" s="1"/>
  <c r="D19" i="1"/>
  <c r="D18" i="1" s="1"/>
  <c r="C19" i="1"/>
  <c r="C18" i="1" s="1"/>
  <c r="J18" i="1"/>
  <c r="H18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R11" i="1"/>
  <c r="L6" i="1"/>
  <c r="N56" i="1" l="1"/>
  <c r="N87" i="1" s="1"/>
  <c r="N88" i="1" s="1"/>
  <c r="E88" i="1"/>
  <c r="D88" i="1"/>
  <c r="O56" i="1"/>
  <c r="I88" i="1"/>
  <c r="Q56" i="1"/>
  <c r="P55" i="1"/>
  <c r="O87" i="1"/>
  <c r="O88" i="1" s="1"/>
  <c r="K88" i="1"/>
  <c r="G30" i="1"/>
  <c r="I30" i="1"/>
  <c r="Q30" i="1"/>
  <c r="Q73" i="1"/>
  <c r="O18" i="1"/>
  <c r="R30" i="1"/>
  <c r="R18" i="1"/>
  <c r="S21" i="1"/>
  <c r="S18" i="1" s="1"/>
  <c r="T72" i="1"/>
  <c r="T56" i="1" s="1"/>
  <c r="L72" i="1"/>
  <c r="L56" i="1" s="1"/>
  <c r="L87" i="1" s="1"/>
  <c r="T18" i="1"/>
  <c r="S72" i="1"/>
  <c r="S10" i="1"/>
  <c r="S73" i="1"/>
  <c r="K30" i="1"/>
  <c r="S30" i="1"/>
  <c r="E13" i="1"/>
  <c r="E4" i="1" s="1"/>
  <c r="E17" i="1" s="1"/>
  <c r="E14" i="1"/>
  <c r="F13" i="1"/>
  <c r="F4" i="1" s="1"/>
  <c r="F17" i="1" s="1"/>
  <c r="F14" i="1"/>
  <c r="Q21" i="1"/>
  <c r="Q18" i="1" s="1"/>
  <c r="P18" i="1"/>
  <c r="L30" i="1"/>
  <c r="T30" i="1"/>
  <c r="M18" i="1"/>
  <c r="N18" i="1"/>
  <c r="L18" i="1"/>
  <c r="D13" i="1"/>
  <c r="D4" i="1" s="1"/>
  <c r="D17" i="1" s="1"/>
  <c r="D41" i="1" s="1"/>
  <c r="D44" i="1" s="1"/>
  <c r="C13" i="1"/>
  <c r="C4" i="1" s="1"/>
  <c r="C17" i="1" s="1"/>
  <c r="C41" i="1" s="1"/>
  <c r="C44" i="1" s="1"/>
  <c r="C14" i="1"/>
  <c r="K13" i="1"/>
  <c r="K4" i="1" s="1"/>
  <c r="K17" i="1" s="1"/>
  <c r="K14" i="1"/>
  <c r="E31" i="1"/>
  <c r="E30" i="1" s="1"/>
  <c r="F30" i="1"/>
  <c r="G14" i="1"/>
  <c r="G13" i="1"/>
  <c r="G4" i="1" s="1"/>
  <c r="G17" i="1" s="1"/>
  <c r="H14" i="1"/>
  <c r="H13" i="1"/>
  <c r="H4" i="1" s="1"/>
  <c r="H17" i="1" s="1"/>
  <c r="H41" i="1" s="1"/>
  <c r="H44" i="1" s="1"/>
  <c r="J13" i="1"/>
  <c r="J4" i="1" s="1"/>
  <c r="J17" i="1" s="1"/>
  <c r="J41" i="1" s="1"/>
  <c r="J44" i="1" s="1"/>
  <c r="J14" i="1"/>
  <c r="I13" i="1"/>
  <c r="I4" i="1" s="1"/>
  <c r="I17" i="1" s="1"/>
  <c r="I14" i="1"/>
  <c r="S56" i="1" l="1"/>
  <c r="L88" i="1"/>
  <c r="L13" i="1" s="1"/>
  <c r="L4" i="1" s="1"/>
  <c r="L17" i="1" s="1"/>
  <c r="M88" i="1"/>
  <c r="M13" i="1" s="1"/>
  <c r="M4" i="1" s="1"/>
  <c r="M17" i="1" s="1"/>
  <c r="M41" i="1" s="1"/>
  <c r="M44" i="1" s="1"/>
  <c r="L14" i="1"/>
  <c r="G41" i="1"/>
  <c r="G44" i="1" s="1"/>
  <c r="I41" i="1"/>
  <c r="I44" i="1" s="1"/>
  <c r="F41" i="1"/>
  <c r="F44" i="1" s="1"/>
  <c r="Q55" i="1"/>
  <c r="P87" i="1"/>
  <c r="P88" i="1" s="1"/>
  <c r="E41" i="1"/>
  <c r="E44" i="1" s="1"/>
  <c r="L41" i="1"/>
  <c r="L44" i="1" s="1"/>
  <c r="K41" i="1"/>
  <c r="K44" i="1" s="1"/>
  <c r="O14" i="1"/>
  <c r="M14" i="1"/>
  <c r="Q87" i="1" l="1"/>
  <c r="Q88" i="1" s="1"/>
  <c r="R55" i="1"/>
  <c r="N13" i="1"/>
  <c r="N4" i="1" s="1"/>
  <c r="N17" i="1" s="1"/>
  <c r="N41" i="1" s="1"/>
  <c r="N44" i="1" s="1"/>
  <c r="N14" i="1"/>
  <c r="O13" i="1"/>
  <c r="O4" i="1" s="1"/>
  <c r="O17" i="1" s="1"/>
  <c r="O41" i="1" s="1"/>
  <c r="P14" i="1"/>
  <c r="P13" i="1"/>
  <c r="P4" i="1" s="1"/>
  <c r="P17" i="1" s="1"/>
  <c r="P41" i="1" s="1"/>
  <c r="P44" i="1" s="1"/>
  <c r="O44" i="1" l="1"/>
  <c r="R87" i="1"/>
  <c r="R88" i="1" s="1"/>
  <c r="S55" i="1"/>
  <c r="Q13" i="1"/>
  <c r="Q4" i="1" s="1"/>
  <c r="Q17" i="1" s="1"/>
  <c r="Q41" i="1" s="1"/>
  <c r="Q44" i="1" s="1"/>
  <c r="Q14" i="1"/>
  <c r="T55" i="1" l="1"/>
  <c r="T87" i="1" s="1"/>
  <c r="S87" i="1"/>
  <c r="S88" i="1" s="1"/>
  <c r="R13" i="1"/>
  <c r="R4" i="1" s="1"/>
  <c r="R17" i="1" s="1"/>
  <c r="R41" i="1" s="1"/>
  <c r="R44" i="1" s="1"/>
  <c r="R14" i="1"/>
  <c r="T88" i="1" l="1"/>
  <c r="T13" i="1" s="1"/>
  <c r="T4" i="1" s="1"/>
  <c r="T17" i="1" s="1"/>
  <c r="T41" i="1" s="1"/>
  <c r="T14" i="1"/>
  <c r="S13" i="1"/>
  <c r="S4" i="1" s="1"/>
  <c r="S17" i="1" s="1"/>
  <c r="S41" i="1" s="1"/>
  <c r="S44" i="1" s="1"/>
  <c r="S14" i="1"/>
  <c r="T44" i="1" l="1"/>
  <c r="N45" i="1"/>
  <c r="T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20" authorId="0" shapeId="0" xr:uid="{A7CE74F9-19A7-4242-825E-81A6DEE0DB7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Te barabarta me cmimet e blerjeve dhe zhdoganimet perkatese, pasi nuk eshte paguar tatim mbi te ardhurat</t>
        </r>
      </text>
    </comment>
    <comment ref="T80" authorId="0" shapeId="0" xr:uid="{49FB777A-FF08-4AE8-8E97-0492E1F621B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Kaluar te PF</t>
        </r>
      </text>
    </comment>
  </commentList>
</comments>
</file>

<file path=xl/sharedStrings.xml><?xml version="1.0" encoding="utf-8"?>
<sst xmlns="http://schemas.openxmlformats.org/spreadsheetml/2006/main" count="151" uniqueCount="80">
  <si>
    <t>ÇLIRIM SINO</t>
  </si>
  <si>
    <t>Emërimi</t>
  </si>
  <si>
    <t>01 Prill 2005</t>
  </si>
  <si>
    <t>Viti</t>
  </si>
  <si>
    <t>Pasuri</t>
  </si>
  <si>
    <t>Automjet Mercedes Benz FR8888B</t>
  </si>
  <si>
    <t>Automjet Mercedes Benz AA888AB</t>
  </si>
  <si>
    <t>Apartament banimi dhe garazh në L. Apollonia, Fier</t>
  </si>
  <si>
    <t>Apartament banimi L. Pavarësia, Vlorë (b/sh)</t>
  </si>
  <si>
    <t>Automjet BMë seria 7, AA606LM</t>
  </si>
  <si>
    <t>Automjet Mercedes Benz AA888MN</t>
  </si>
  <si>
    <t>Automjet me targë AA888JP</t>
  </si>
  <si>
    <t>Automjet në pronësi të babait</t>
  </si>
  <si>
    <t>Ndryshim likuiditeti</t>
  </si>
  <si>
    <t>TOTAL LIKUIDITETE DEKLARUAR</t>
  </si>
  <si>
    <t>Detyrime</t>
  </si>
  <si>
    <t>Kredi në RZB për blerje pajisjesh</t>
  </si>
  <si>
    <t>Pasuri Neto</t>
  </si>
  <si>
    <t>Të Ardhura</t>
  </si>
  <si>
    <t>Te ardhura SR</t>
  </si>
  <si>
    <t>Te ardhura nga shitja e automjeteve</t>
  </si>
  <si>
    <t>Të ardhura nga interesat bankare</t>
  </si>
  <si>
    <t>Te ardhura të B/sh nga paga</t>
  </si>
  <si>
    <t>Te ardhura të B/sh nga aktiviteti</t>
  </si>
  <si>
    <t>Parapagim nga Aktiviteti / Kthim Aktivitetit</t>
  </si>
  <si>
    <t>Te ardhura të babait nga pensioni</t>
  </si>
  <si>
    <t>Te ardhura të nënës nga pensioni</t>
  </si>
  <si>
    <t>Te ardhura nga aktiviteti nënës</t>
  </si>
  <si>
    <t>Te ardhura nga kthimi i garancise pasurore</t>
  </si>
  <si>
    <t>Dhuratë nga babai</t>
  </si>
  <si>
    <t>Shpenzime</t>
  </si>
  <si>
    <t>Shpenzime jetese</t>
  </si>
  <si>
    <t>Shpenzime zhdoganimi automjeti</t>
  </si>
  <si>
    <t>Shpenzime mjekësore pranë Spitalit Amerikan</t>
  </si>
  <si>
    <t>Shpenzime mobilimi</t>
  </si>
  <si>
    <t>Shpenzime shkollimi</t>
  </si>
  <si>
    <t>Shpenzime udhëtimi</t>
  </si>
  <si>
    <t>Shpenzime për riparim automjeti</t>
  </si>
  <si>
    <t>Shpenzime për interesa dhe komisione kredie</t>
  </si>
  <si>
    <t>Shpenzime për siguracion automjeti</t>
  </si>
  <si>
    <t>Shpenzim për garanci pasurore K. B.</t>
  </si>
  <si>
    <t>Mundësia/Pamundësia Financiare e SR</t>
  </si>
  <si>
    <t>KPK</t>
  </si>
  <si>
    <t>Punesimi</t>
  </si>
  <si>
    <t>Prok. Fier</t>
  </si>
  <si>
    <t>Adresa</t>
  </si>
  <si>
    <t>L. Apollonia, Fier</t>
  </si>
  <si>
    <t>-</t>
  </si>
  <si>
    <t>L. 15 Tetori, Fier</t>
  </si>
  <si>
    <t>Përbërja familjare</t>
  </si>
  <si>
    <t>Kujtim Sino</t>
  </si>
  <si>
    <t>Clirim Sino</t>
  </si>
  <si>
    <t>Hajrie Sino</t>
  </si>
  <si>
    <t>Arta Sino</t>
  </si>
  <si>
    <t>Vivian Sino</t>
  </si>
  <si>
    <t>Cash në banesë</t>
  </si>
  <si>
    <t>Gjendjet në llogaritë bankare</t>
  </si>
  <si>
    <t>Kursi i këmbimit EUR</t>
  </si>
  <si>
    <t>Kursi i këmbimit USD</t>
  </si>
  <si>
    <t>Llogari page në RZB subjekti</t>
  </si>
  <si>
    <t>Llogari page në RZB b/sh</t>
  </si>
  <si>
    <t>Llogari rrjedhëse në RZB b/sh</t>
  </si>
  <si>
    <t>Depozitë kursimi në RZB b/sh</t>
  </si>
  <si>
    <t>Llogari page në ISP subjekti</t>
  </si>
  <si>
    <t>Llogari kursimi në ISP subjekti</t>
  </si>
  <si>
    <t>Llogari rrjedhëse në ISP b/sh</t>
  </si>
  <si>
    <t>Llogari kursimi në Tirana Bank b/sh</t>
  </si>
  <si>
    <t>Llogari rrjedhëse në Tirana Bank b/sh</t>
  </si>
  <si>
    <t>Llogari në ProCredit Bank të vajzës EUR</t>
  </si>
  <si>
    <t>Llogari kursimi në ProCredit Bank të vajzës EUR</t>
  </si>
  <si>
    <t>Llogari kursimi në ProCredit Bank të vajzës USD</t>
  </si>
  <si>
    <t>Llogari kursimi në ProCredit Bank të vajzës ALL</t>
  </si>
  <si>
    <t>Llogari në BKT b/sh</t>
  </si>
  <si>
    <t>Depozitë kursimi në BKT b/sh</t>
  </si>
  <si>
    <t>Depozitë kursimi në BKT b/sh EUR</t>
  </si>
  <si>
    <t>Depozitë kursimi në BKT PF Arta Sino EUR</t>
  </si>
  <si>
    <t>Kujtim Sino Credins Bank</t>
  </si>
  <si>
    <t>Hajrie Sino ProCredit Bank</t>
  </si>
  <si>
    <t>Kujtim Sino BKT</t>
  </si>
  <si>
    <t>Ndryshim likuiditeti deklaruar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</si>
</sst>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66" formatCode="0.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u/>
      <sz val="11"/>
      <color theme="10"/>
      <name val="Times New Roman"/>
      <family val="1"/>
    </font>
    <font>
      <i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E7F6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1DFE0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2" borderId="1" xfId="0" applyFont="1" applyFill="1" applyBorder="1" applyAlignment="1">
      <alignment vertical="center"/>
    </xf>
    <xf numFmtId="1" fontId="4" fillId="2" borderId="1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3" fontId="4" fillId="3" borderId="1" xfId="0" applyNumberFormat="1" applyFont="1" applyFill="1" applyBorder="1" applyAlignment="1">
      <alignment vertical="center"/>
    </xf>
    <xf numFmtId="0" fontId="3" fillId="0" borderId="1" xfId="3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3" fillId="0" borderId="1" xfId="3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4" borderId="1" xfId="0" applyFont="1" applyFill="1" applyBorder="1" applyAlignment="1">
      <alignment vertical="center"/>
    </xf>
    <xf numFmtId="3" fontId="4" fillId="4" borderId="1" xfId="0" applyNumberFormat="1" applyFont="1" applyFill="1" applyBorder="1" applyAlignment="1">
      <alignment vertical="center"/>
    </xf>
    <xf numFmtId="164" fontId="5" fillId="0" borderId="1" xfId="1" applyNumberFormat="1" applyFont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164" fontId="3" fillId="0" borderId="1" xfId="1" applyNumberFormat="1" applyFont="1" applyFill="1" applyBorder="1" applyAlignment="1">
      <alignment vertical="center"/>
    </xf>
    <xf numFmtId="164" fontId="7" fillId="0" borderId="1" xfId="1" applyNumberFormat="1" applyFont="1" applyFill="1" applyBorder="1" applyAlignment="1">
      <alignment vertical="center"/>
    </xf>
    <xf numFmtId="164" fontId="7" fillId="0" borderId="1" xfId="1" applyNumberFormat="1" applyFont="1" applyBorder="1" applyAlignment="1">
      <alignment vertical="center"/>
    </xf>
    <xf numFmtId="165" fontId="3" fillId="0" borderId="1" xfId="2" applyFont="1" applyBorder="1" applyAlignment="1">
      <alignment vertical="center"/>
    </xf>
    <xf numFmtId="3" fontId="5" fillId="0" borderId="0" xfId="0" applyNumberFormat="1" applyFont="1" applyAlignment="1">
      <alignment vertical="center"/>
    </xf>
    <xf numFmtId="0" fontId="3" fillId="5" borderId="1" xfId="3" applyFont="1" applyFill="1" applyBorder="1" applyAlignment="1">
      <alignment vertical="center"/>
    </xf>
    <xf numFmtId="0" fontId="2" fillId="2" borderId="1" xfId="3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vertical="center"/>
    </xf>
    <xf numFmtId="0" fontId="3" fillId="0" borderId="0" xfId="3" applyFont="1" applyBorder="1" applyAlignment="1">
      <alignment vertical="center"/>
    </xf>
    <xf numFmtId="3" fontId="8" fillId="0" borderId="0" xfId="0" applyNumberFormat="1" applyFont="1" applyAlignment="1">
      <alignment vertical="center"/>
    </xf>
    <xf numFmtId="0" fontId="5" fillId="6" borderId="0" xfId="0" applyFont="1" applyFill="1" applyAlignment="1">
      <alignment vertical="center"/>
    </xf>
    <xf numFmtId="3" fontId="5" fillId="6" borderId="0" xfId="0" applyNumberFormat="1" applyFont="1" applyFill="1" applyAlignment="1">
      <alignment vertical="center"/>
    </xf>
    <xf numFmtId="0" fontId="9" fillId="0" borderId="0" xfId="3" applyFont="1" applyAlignment="1">
      <alignment vertical="center"/>
    </xf>
    <xf numFmtId="0" fontId="5" fillId="7" borderId="0" xfId="0" applyFont="1" applyFill="1" applyAlignment="1">
      <alignment vertical="center"/>
    </xf>
    <xf numFmtId="3" fontId="5" fillId="7" borderId="0" xfId="0" applyNumberFormat="1" applyFont="1" applyFill="1" applyAlignment="1">
      <alignment vertical="center"/>
    </xf>
    <xf numFmtId="0" fontId="5" fillId="8" borderId="2" xfId="0" applyFont="1" applyFill="1" applyBorder="1" applyAlignment="1">
      <alignment vertical="center"/>
    </xf>
    <xf numFmtId="3" fontId="5" fillId="8" borderId="3" xfId="0" applyNumberFormat="1" applyFont="1" applyFill="1" applyBorder="1" applyAlignment="1">
      <alignment vertical="center"/>
    </xf>
    <xf numFmtId="3" fontId="7" fillId="8" borderId="3" xfId="0" applyNumberFormat="1" applyFont="1" applyFill="1" applyBorder="1" applyAlignment="1">
      <alignment vertical="center"/>
    </xf>
    <xf numFmtId="3" fontId="3" fillId="8" borderId="3" xfId="0" applyNumberFormat="1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3" fontId="5" fillId="0" borderId="3" xfId="0" applyNumberFormat="1" applyFont="1" applyBorder="1" applyAlignment="1">
      <alignment vertical="center"/>
    </xf>
    <xf numFmtId="3" fontId="3" fillId="0" borderId="3" xfId="0" applyNumberFormat="1" applyFont="1" applyBorder="1" applyAlignment="1">
      <alignment vertical="center"/>
    </xf>
    <xf numFmtId="3" fontId="3" fillId="0" borderId="9" xfId="0" applyNumberFormat="1" applyFont="1" applyBorder="1" applyAlignment="1">
      <alignment vertical="center"/>
    </xf>
    <xf numFmtId="3" fontId="3" fillId="5" borderId="3" xfId="0" applyNumberFormat="1" applyFont="1" applyFill="1" applyBorder="1" applyAlignment="1">
      <alignment vertical="center"/>
    </xf>
    <xf numFmtId="3" fontId="3" fillId="0" borderId="6" xfId="0" applyNumberFormat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3" fontId="3" fillId="0" borderId="11" xfId="0" applyNumberFormat="1" applyFont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3" fontId="3" fillId="0" borderId="12" xfId="0" applyNumberFormat="1" applyFont="1" applyBorder="1" applyAlignment="1">
      <alignment vertical="center"/>
    </xf>
    <xf numFmtId="3" fontId="3" fillId="5" borderId="12" xfId="0" applyNumberFormat="1" applyFont="1" applyFill="1" applyBorder="1" applyAlignment="1">
      <alignment vertical="center"/>
    </xf>
    <xf numFmtId="3" fontId="5" fillId="0" borderId="13" xfId="0" applyNumberFormat="1" applyFont="1" applyBorder="1" applyAlignment="1">
      <alignment vertical="center"/>
    </xf>
    <xf numFmtId="3" fontId="3" fillId="0" borderId="13" xfId="0" applyNumberFormat="1" applyFont="1" applyBorder="1" applyAlignment="1">
      <alignment vertical="center"/>
    </xf>
    <xf numFmtId="3" fontId="3" fillId="0" borderId="14" xfId="0" applyNumberFormat="1" applyFont="1" applyBorder="1" applyAlignment="1">
      <alignment vertical="center"/>
    </xf>
    <xf numFmtId="3" fontId="3" fillId="0" borderId="15" xfId="0" applyNumberFormat="1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3" fontId="5" fillId="0" borderId="5" xfId="0" applyNumberFormat="1" applyFont="1" applyBorder="1" applyAlignment="1">
      <alignment vertical="center"/>
    </xf>
    <xf numFmtId="3" fontId="3" fillId="0" borderId="5" xfId="0" applyNumberFormat="1" applyFont="1" applyBorder="1" applyAlignment="1">
      <alignment vertical="center"/>
    </xf>
    <xf numFmtId="3" fontId="3" fillId="0" borderId="17" xfId="0" applyNumberFormat="1" applyFont="1" applyBorder="1" applyAlignment="1">
      <alignment vertical="center"/>
    </xf>
    <xf numFmtId="3" fontId="3" fillId="0" borderId="8" xfId="0" applyNumberFormat="1" applyFont="1" applyBorder="1" applyAlignment="1">
      <alignment vertical="center"/>
    </xf>
  </cellXfs>
  <cellStyles count="4">
    <cellStyle name="Comma" xfId="1" builtinId="3"/>
    <cellStyle name="Comma [0]" xfId="2" builtinId="6"/>
    <cellStyle name="Hyperlink" xfId="3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0.%20Clirim%20Sino%20-%20Pres%20komente\Analiza%20financiare%20Clirim%20Sino_K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F. R.H."/>
      <sheetName val="A.F. VENDIM"/>
      <sheetName val="TIMS"/>
      <sheetName val="Te ardhura"/>
      <sheetName val="Personi Fizik"/>
      <sheetName val="P.F. Bankat 2016"/>
      <sheetName val="ID"/>
      <sheetName val="Shpenzime jetese"/>
      <sheetName val="KK"/>
      <sheetName val="Pasurite"/>
      <sheetName val="Shpenzime jetese GR"/>
      <sheetName val="A.F. KPA"/>
      <sheetName val="Makina 2001"/>
      <sheetName val="Makina BMW 15.09.15"/>
      <sheetName val="A.F. KPA-Makinat"/>
      <sheetName val="2015-Relacion"/>
      <sheetName val="A.F. KPA FITIM"/>
      <sheetName val="CASH"/>
      <sheetName val="KPA Relacion Final"/>
      <sheetName val="Terheqjet nga personi fizik"/>
    </sheetNames>
    <sheetDataSet>
      <sheetData sheetId="0"/>
      <sheetData sheetId="1"/>
      <sheetData sheetId="2">
        <row r="2">
          <cell r="U2">
            <v>15930.2</v>
          </cell>
        </row>
        <row r="4">
          <cell r="U4">
            <v>148443.6</v>
          </cell>
        </row>
        <row r="6">
          <cell r="U6">
            <v>140566.81266719996</v>
          </cell>
        </row>
        <row r="14">
          <cell r="U14">
            <v>343512.87369770004</v>
          </cell>
        </row>
        <row r="35">
          <cell r="U35">
            <v>249057.44012159994</v>
          </cell>
        </row>
        <row r="53">
          <cell r="U53">
            <v>137217.34958400001</v>
          </cell>
        </row>
        <row r="63">
          <cell r="U63">
            <v>250757.22880800001</v>
          </cell>
        </row>
        <row r="77">
          <cell r="U77">
            <v>178414.79452159998</v>
          </cell>
        </row>
        <row r="83">
          <cell r="U83">
            <v>408000.44404000003</v>
          </cell>
        </row>
        <row r="96">
          <cell r="U96">
            <v>511401.50000000006</v>
          </cell>
        </row>
        <row r="107">
          <cell r="U107">
            <v>635831.80632999993</v>
          </cell>
        </row>
        <row r="125">
          <cell r="U125">
            <v>378640.08848970005</v>
          </cell>
        </row>
      </sheetData>
      <sheetData sheetId="3">
        <row r="9">
          <cell r="E9">
            <v>104036</v>
          </cell>
          <cell r="F9">
            <v>394128</v>
          </cell>
          <cell r="G9">
            <v>420908</v>
          </cell>
          <cell r="H9">
            <v>442588</v>
          </cell>
          <cell r="I9">
            <v>478849</v>
          </cell>
          <cell r="J9">
            <v>569093</v>
          </cell>
          <cell r="K9">
            <v>780228</v>
          </cell>
          <cell r="L9">
            <v>834522</v>
          </cell>
          <cell r="M9">
            <v>889766</v>
          </cell>
          <cell r="N9">
            <v>912840</v>
          </cell>
          <cell r="O9">
            <v>906879</v>
          </cell>
          <cell r="P9">
            <v>875074</v>
          </cell>
          <cell r="Q9">
            <v>943493</v>
          </cell>
          <cell r="R9">
            <v>879337</v>
          </cell>
          <cell r="S9">
            <v>906176</v>
          </cell>
          <cell r="T9">
            <v>1493903.8599999999</v>
          </cell>
          <cell r="U9">
            <v>1228632</v>
          </cell>
          <cell r="V9">
            <v>1209397.3600000001</v>
          </cell>
        </row>
        <row r="21">
          <cell r="M21">
            <v>514218</v>
          </cell>
          <cell r="N21">
            <v>249580</v>
          </cell>
          <cell r="O21">
            <v>537889</v>
          </cell>
          <cell r="P21">
            <v>544099</v>
          </cell>
          <cell r="Q21">
            <v>541376</v>
          </cell>
          <cell r="R21">
            <v>471645.76</v>
          </cell>
        </row>
      </sheetData>
      <sheetData sheetId="4">
        <row r="5">
          <cell r="I5">
            <v>0</v>
          </cell>
        </row>
        <row r="29">
          <cell r="H29">
            <v>-16747</v>
          </cell>
        </row>
        <row r="30">
          <cell r="H30">
            <v>-243771</v>
          </cell>
        </row>
      </sheetData>
      <sheetData sheetId="5"/>
      <sheetData sheetId="6"/>
      <sheetData sheetId="7">
        <row r="10">
          <cell r="B10">
            <v>281592</v>
          </cell>
          <cell r="C10">
            <v>281592</v>
          </cell>
          <cell r="D10">
            <v>328671</v>
          </cell>
          <cell r="E10">
            <v>328671</v>
          </cell>
          <cell r="F10">
            <v>492354</v>
          </cell>
          <cell r="G10">
            <v>683100</v>
          </cell>
          <cell r="H10">
            <v>683100</v>
          </cell>
          <cell r="I10">
            <v>683100</v>
          </cell>
          <cell r="J10">
            <v>683100</v>
          </cell>
          <cell r="K10">
            <v>423072</v>
          </cell>
          <cell r="L10">
            <v>423072</v>
          </cell>
          <cell r="M10">
            <v>659994</v>
          </cell>
          <cell r="N10">
            <v>672828</v>
          </cell>
          <cell r="O10">
            <v>705276</v>
          </cell>
        </row>
      </sheetData>
      <sheetData sheetId="8">
        <row r="4">
          <cell r="C4">
            <v>133.65</v>
          </cell>
          <cell r="D4">
            <v>126.74</v>
          </cell>
          <cell r="E4">
            <v>122.54</v>
          </cell>
          <cell r="F4">
            <v>123.703</v>
          </cell>
          <cell r="G4">
            <v>120.91</v>
          </cell>
          <cell r="H4">
            <v>123.1825</v>
          </cell>
          <cell r="I4">
            <v>137.16999999999999</v>
          </cell>
          <cell r="J4">
            <v>138.81</v>
          </cell>
          <cell r="K4">
            <v>138.30000000000001</v>
          </cell>
          <cell r="L4">
            <v>139.72</v>
          </cell>
          <cell r="M4">
            <v>140.21</v>
          </cell>
          <cell r="N4">
            <v>140.11000000000001</v>
          </cell>
          <cell r="O4">
            <v>137.65</v>
          </cell>
          <cell r="P4">
            <v>135.27000000000001</v>
          </cell>
        </row>
        <row r="5">
          <cell r="C5">
            <v>108.69</v>
          </cell>
          <cell r="D5">
            <v>94.58</v>
          </cell>
          <cell r="E5">
            <v>103.33</v>
          </cell>
          <cell r="F5">
            <v>93.671999999999997</v>
          </cell>
          <cell r="G5">
            <v>83.03</v>
          </cell>
          <cell r="H5">
            <v>90.96</v>
          </cell>
          <cell r="I5">
            <v>93.98</v>
          </cell>
          <cell r="J5">
            <v>104.95</v>
          </cell>
          <cell r="K5">
            <v>105.08</v>
          </cell>
          <cell r="L5">
            <v>106.57</v>
          </cell>
          <cell r="M5">
            <v>102.38</v>
          </cell>
          <cell r="N5">
            <v>113.64</v>
          </cell>
          <cell r="O5">
            <v>126.64</v>
          </cell>
          <cell r="P5">
            <v>128.29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B8C01-F640-407D-A6DC-AEF43B157C27}">
  <dimension ref="B1:T121"/>
  <sheetViews>
    <sheetView tabSelected="1" workbookViewId="0">
      <pane xSplit="2" ySplit="4" topLeftCell="C15" activePane="bottomRight" state="frozen"/>
      <selection pane="topRight" activeCell="D1" sqref="D1"/>
      <selection pane="bottomLeft" activeCell="A6" sqref="A6"/>
      <selection pane="bottomRight" activeCell="O101" sqref="O101"/>
    </sheetView>
  </sheetViews>
  <sheetFormatPr defaultColWidth="8.875" defaultRowHeight="15"/>
  <cols>
    <col min="1" max="1" width="2.25" style="6" customWidth="1"/>
    <col min="2" max="2" width="50.375" style="6" bestFit="1" customWidth="1"/>
    <col min="3" max="6" width="11.25" style="6" hidden="1" customWidth="1"/>
    <col min="7" max="7" width="10.75" style="6" hidden="1" customWidth="1"/>
    <col min="8" max="8" width="11.75" style="6" hidden="1" customWidth="1"/>
    <col min="9" max="16" width="10.75" style="6" customWidth="1"/>
    <col min="17" max="17" width="11.125" style="6" customWidth="1"/>
    <col min="18" max="19" width="10.75" style="6" customWidth="1"/>
    <col min="20" max="20" width="13.625" style="6" customWidth="1"/>
    <col min="21" max="16384" width="8.875" style="6"/>
  </cols>
  <sheetData>
    <row r="1" spans="2:20" s="2" customFormat="1">
      <c r="B1" s="1" t="s">
        <v>0</v>
      </c>
      <c r="I1" s="1"/>
      <c r="J1" s="1" t="s">
        <v>1</v>
      </c>
      <c r="K1" s="3">
        <v>38443</v>
      </c>
      <c r="L1" s="1" t="s">
        <v>2</v>
      </c>
      <c r="M1" s="1"/>
      <c r="N1" s="3"/>
      <c r="O1" s="1"/>
    </row>
    <row r="3" spans="2:20" ht="18" customHeight="1">
      <c r="B3" s="4" t="s">
        <v>3</v>
      </c>
      <c r="C3" s="5">
        <v>1999</v>
      </c>
      <c r="D3" s="5">
        <v>2000</v>
      </c>
      <c r="E3" s="5">
        <v>2001</v>
      </c>
      <c r="F3" s="5">
        <v>2002</v>
      </c>
      <c r="G3" s="5">
        <v>2003</v>
      </c>
      <c r="H3" s="5">
        <v>2004</v>
      </c>
      <c r="I3" s="5">
        <v>2005</v>
      </c>
      <c r="J3" s="5">
        <v>2006</v>
      </c>
      <c r="K3" s="5">
        <v>2007</v>
      </c>
      <c r="L3" s="5">
        <v>2008</v>
      </c>
      <c r="M3" s="5">
        <v>2009</v>
      </c>
      <c r="N3" s="5">
        <v>2010</v>
      </c>
      <c r="O3" s="5">
        <v>2011</v>
      </c>
      <c r="P3" s="5">
        <v>2012</v>
      </c>
      <c r="Q3" s="5">
        <v>2013</v>
      </c>
      <c r="R3" s="5">
        <v>2014</v>
      </c>
      <c r="S3" s="5">
        <v>2015</v>
      </c>
      <c r="T3" s="5">
        <v>2016</v>
      </c>
    </row>
    <row r="4" spans="2:20">
      <c r="B4" s="7" t="s">
        <v>4</v>
      </c>
      <c r="C4" s="8">
        <f t="shared" ref="C4:T4" si="0">SUM(C5:C13)</f>
        <v>0</v>
      </c>
      <c r="D4" s="8">
        <f t="shared" si="0"/>
        <v>0</v>
      </c>
      <c r="E4" s="8">
        <f t="shared" si="0"/>
        <v>50000</v>
      </c>
      <c r="F4" s="8">
        <f t="shared" si="0"/>
        <v>0</v>
      </c>
      <c r="G4" s="8">
        <f t="shared" si="0"/>
        <v>0</v>
      </c>
      <c r="H4" s="8">
        <f t="shared" si="0"/>
        <v>0</v>
      </c>
      <c r="I4" s="8">
        <f t="shared" si="0"/>
        <v>97420.25</v>
      </c>
      <c r="J4" s="8">
        <f t="shared" si="0"/>
        <v>294850.39615000004</v>
      </c>
      <c r="K4" s="8">
        <f t="shared" si="0"/>
        <v>625063.63304999995</v>
      </c>
      <c r="L4" s="8">
        <f t="shared" si="0"/>
        <v>1037519.2807750001</v>
      </c>
      <c r="M4" s="8">
        <f t="shared" si="0"/>
        <v>223243.92612499977</v>
      </c>
      <c r="N4" s="8">
        <f t="shared" si="0"/>
        <v>124439.65320000006</v>
      </c>
      <c r="O4" s="8">
        <f t="shared" si="0"/>
        <v>3723994.5006999997</v>
      </c>
      <c r="P4" s="8">
        <f t="shared" si="0"/>
        <v>51681.977500000037</v>
      </c>
      <c r="Q4" s="8">
        <f t="shared" si="0"/>
        <v>3944885.1991000008</v>
      </c>
      <c r="R4" s="8">
        <f t="shared" si="0"/>
        <v>199012.82419999875</v>
      </c>
      <c r="S4" s="8">
        <f t="shared" si="0"/>
        <v>3608040.1079000011</v>
      </c>
      <c r="T4" s="8">
        <f t="shared" si="0"/>
        <v>1845473.2932999991</v>
      </c>
    </row>
    <row r="5" spans="2:20">
      <c r="B5" s="9" t="s">
        <v>5</v>
      </c>
      <c r="C5" s="10"/>
      <c r="D5" s="11"/>
      <c r="E5" s="12">
        <v>50000</v>
      </c>
      <c r="F5" s="11"/>
      <c r="G5" s="11"/>
      <c r="H5" s="11"/>
      <c r="I5" s="12"/>
      <c r="J5" s="11"/>
      <c r="K5" s="11"/>
      <c r="L5" s="11"/>
      <c r="M5" s="11"/>
      <c r="N5" s="10"/>
      <c r="O5" s="10"/>
      <c r="P5" s="10"/>
      <c r="Q5" s="10"/>
      <c r="R5" s="10"/>
      <c r="S5" s="10"/>
      <c r="T5" s="10"/>
    </row>
    <row r="6" spans="2:20">
      <c r="B6" s="9" t="s">
        <v>6</v>
      </c>
      <c r="C6" s="10"/>
      <c r="D6" s="11"/>
      <c r="E6" s="11"/>
      <c r="F6" s="11"/>
      <c r="G6" s="11"/>
      <c r="H6" s="11"/>
      <c r="I6" s="11"/>
      <c r="J6" s="11"/>
      <c r="K6" s="11"/>
      <c r="L6" s="12">
        <f>4000*L58</f>
        <v>492730</v>
      </c>
      <c r="M6" s="11"/>
      <c r="N6" s="10"/>
      <c r="O6" s="10"/>
      <c r="P6" s="10"/>
      <c r="Q6" s="10"/>
      <c r="R6" s="10"/>
      <c r="S6" s="10"/>
      <c r="T6" s="10"/>
    </row>
    <row r="7" spans="2:20">
      <c r="B7" s="9" t="s">
        <v>7</v>
      </c>
      <c r="C7" s="10"/>
      <c r="D7" s="11"/>
      <c r="E7" s="11"/>
      <c r="F7" s="11"/>
      <c r="G7" s="11"/>
      <c r="H7" s="11"/>
      <c r="I7" s="11"/>
      <c r="J7" s="11"/>
      <c r="K7" s="11"/>
      <c r="L7" s="11"/>
      <c r="M7" s="13"/>
      <c r="N7" s="10"/>
      <c r="O7" s="10"/>
      <c r="P7" s="10"/>
      <c r="Q7" s="10"/>
      <c r="R7" s="10"/>
      <c r="S7" s="10"/>
      <c r="T7" s="10"/>
    </row>
    <row r="8" spans="2:20">
      <c r="B8" s="14" t="s">
        <v>8</v>
      </c>
      <c r="C8" s="10"/>
      <c r="D8" s="11"/>
      <c r="E8" s="11"/>
      <c r="F8" s="11"/>
      <c r="G8" s="11"/>
      <c r="H8" s="12"/>
      <c r="I8" s="11"/>
      <c r="J8" s="11"/>
      <c r="K8" s="11"/>
      <c r="L8" s="11"/>
      <c r="M8" s="11"/>
      <c r="N8" s="10"/>
      <c r="O8" s="10"/>
      <c r="P8" s="10"/>
      <c r="Q8" s="10"/>
      <c r="R8" s="10"/>
      <c r="S8" s="10"/>
      <c r="T8" s="10"/>
    </row>
    <row r="9" spans="2:20">
      <c r="B9" s="14" t="s">
        <v>9</v>
      </c>
      <c r="C9" s="10"/>
      <c r="D9" s="11"/>
      <c r="E9" s="11"/>
      <c r="F9" s="11"/>
      <c r="G9" s="11"/>
      <c r="H9" s="11"/>
      <c r="I9" s="11"/>
      <c r="J9" s="12"/>
      <c r="K9" s="11"/>
      <c r="L9" s="11"/>
      <c r="M9" s="11"/>
      <c r="N9" s="10"/>
      <c r="O9" s="10"/>
      <c r="P9" s="10"/>
      <c r="Q9" s="10"/>
      <c r="R9" s="10"/>
      <c r="S9" s="10">
        <v>500000</v>
      </c>
      <c r="T9" s="10"/>
    </row>
    <row r="10" spans="2:20">
      <c r="B10" s="14" t="s">
        <v>10</v>
      </c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0"/>
      <c r="O10" s="10"/>
      <c r="P10" s="10"/>
      <c r="Q10" s="10"/>
      <c r="R10" s="10"/>
      <c r="S10" s="10">
        <f>14000*S58</f>
        <v>1927100</v>
      </c>
      <c r="T10" s="10"/>
    </row>
    <row r="11" spans="2:20">
      <c r="B11" s="14" t="s">
        <v>11</v>
      </c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0"/>
      <c r="O11" s="10"/>
      <c r="P11" s="10"/>
      <c r="Q11" s="10"/>
      <c r="R11" s="10">
        <f>2000*R58</f>
        <v>280220</v>
      </c>
      <c r="S11" s="10"/>
      <c r="T11" s="10"/>
    </row>
    <row r="12" spans="2:20">
      <c r="B12" s="14" t="s">
        <v>12</v>
      </c>
      <c r="C12" s="10"/>
      <c r="D12" s="11"/>
      <c r="E12" s="11"/>
      <c r="F12" s="11"/>
      <c r="G12" s="11"/>
      <c r="H12" s="11"/>
      <c r="I12" s="11"/>
      <c r="J12" s="11"/>
      <c r="K12" s="12">
        <v>200000</v>
      </c>
      <c r="L12" s="11"/>
      <c r="M12" s="11"/>
      <c r="N12" s="10"/>
      <c r="O12" s="10"/>
      <c r="P12" s="10"/>
      <c r="Q12" s="10"/>
      <c r="R12" s="10"/>
      <c r="S12" s="10"/>
      <c r="T12" s="10"/>
    </row>
    <row r="13" spans="2:20">
      <c r="B13" s="15" t="s">
        <v>13</v>
      </c>
      <c r="C13" s="10">
        <f t="shared" ref="C13:T13" si="1">+C88</f>
        <v>0</v>
      </c>
      <c r="D13" s="10">
        <f t="shared" si="1"/>
        <v>0</v>
      </c>
      <c r="E13" s="10">
        <f t="shared" si="1"/>
        <v>0</v>
      </c>
      <c r="F13" s="10">
        <f t="shared" si="1"/>
        <v>0</v>
      </c>
      <c r="G13" s="10">
        <f t="shared" si="1"/>
        <v>0</v>
      </c>
      <c r="H13" s="10">
        <f t="shared" si="1"/>
        <v>0</v>
      </c>
      <c r="I13" s="10">
        <f t="shared" si="1"/>
        <v>97420.25</v>
      </c>
      <c r="J13" s="10">
        <f t="shared" si="1"/>
        <v>294850.39615000004</v>
      </c>
      <c r="K13" s="10">
        <f t="shared" si="1"/>
        <v>425063.63304999995</v>
      </c>
      <c r="L13" s="10">
        <f t="shared" si="1"/>
        <v>544789.28077500011</v>
      </c>
      <c r="M13" s="10">
        <f t="shared" si="1"/>
        <v>223243.92612499977</v>
      </c>
      <c r="N13" s="10">
        <f t="shared" si="1"/>
        <v>124439.65320000006</v>
      </c>
      <c r="O13" s="10">
        <f t="shared" si="1"/>
        <v>3723994.5006999997</v>
      </c>
      <c r="P13" s="10">
        <f t="shared" si="1"/>
        <v>51681.977500000037</v>
      </c>
      <c r="Q13" s="10">
        <f t="shared" si="1"/>
        <v>3944885.1991000008</v>
      </c>
      <c r="R13" s="10">
        <f t="shared" si="1"/>
        <v>-81207.175800001249</v>
      </c>
      <c r="S13" s="10">
        <f t="shared" si="1"/>
        <v>1180940.1079000011</v>
      </c>
      <c r="T13" s="10">
        <f t="shared" si="1"/>
        <v>1845473.2932999991</v>
      </c>
    </row>
    <row r="14" spans="2:20" hidden="1">
      <c r="B14" s="16" t="s">
        <v>14</v>
      </c>
      <c r="C14" s="10">
        <f t="shared" ref="C14:T14" si="2">+C87</f>
        <v>0</v>
      </c>
      <c r="D14" s="10">
        <f t="shared" si="2"/>
        <v>0</v>
      </c>
      <c r="E14" s="10">
        <f t="shared" si="2"/>
        <v>0</v>
      </c>
      <c r="F14" s="10">
        <f t="shared" si="2"/>
        <v>0</v>
      </c>
      <c r="G14" s="10">
        <f t="shared" si="2"/>
        <v>0</v>
      </c>
      <c r="H14" s="10">
        <f t="shared" si="2"/>
        <v>0</v>
      </c>
      <c r="I14" s="10">
        <f t="shared" si="2"/>
        <v>97420.25</v>
      </c>
      <c r="J14" s="10">
        <f t="shared" si="2"/>
        <v>392270.64615000004</v>
      </c>
      <c r="K14" s="10">
        <f t="shared" si="2"/>
        <v>817334.27919999999</v>
      </c>
      <c r="L14" s="10">
        <f t="shared" si="2"/>
        <v>1362123.5599750001</v>
      </c>
      <c r="M14" s="10">
        <f t="shared" si="2"/>
        <v>1585367.4860999999</v>
      </c>
      <c r="N14" s="10">
        <f t="shared" si="2"/>
        <v>1709807.1392999999</v>
      </c>
      <c r="O14" s="10">
        <f t="shared" si="2"/>
        <v>5433801.6399999997</v>
      </c>
      <c r="P14" s="10">
        <f t="shared" si="2"/>
        <v>5485483.6174999997</v>
      </c>
      <c r="Q14" s="10">
        <f t="shared" si="2"/>
        <v>9430368.8166000005</v>
      </c>
      <c r="R14" s="10">
        <f t="shared" si="2"/>
        <v>9349161.6407999992</v>
      </c>
      <c r="S14" s="10">
        <f t="shared" si="2"/>
        <v>10530101.7487</v>
      </c>
      <c r="T14" s="10">
        <f t="shared" si="2"/>
        <v>12375575.041999999</v>
      </c>
    </row>
    <row r="15" spans="2:20">
      <c r="B15" s="7" t="s">
        <v>15</v>
      </c>
      <c r="C15" s="8">
        <f t="shared" ref="C15:T15" si="3">SUM(C16:C16)</f>
        <v>0</v>
      </c>
      <c r="D15" s="8">
        <f t="shared" si="3"/>
        <v>0</v>
      </c>
      <c r="E15" s="8">
        <f t="shared" si="3"/>
        <v>0</v>
      </c>
      <c r="F15" s="8">
        <f t="shared" si="3"/>
        <v>0</v>
      </c>
      <c r="G15" s="8">
        <f t="shared" si="3"/>
        <v>0</v>
      </c>
      <c r="H15" s="8">
        <f t="shared" si="3"/>
        <v>0</v>
      </c>
      <c r="I15" s="8">
        <f t="shared" si="3"/>
        <v>0</v>
      </c>
      <c r="J15" s="8">
        <f t="shared" si="3"/>
        <v>0</v>
      </c>
      <c r="K15" s="8">
        <f t="shared" si="3"/>
        <v>0</v>
      </c>
      <c r="L15" s="8">
        <f t="shared" si="3"/>
        <v>0</v>
      </c>
      <c r="M15" s="8">
        <f t="shared" si="3"/>
        <v>0</v>
      </c>
      <c r="N15" s="8">
        <f t="shared" si="3"/>
        <v>82534.69</v>
      </c>
      <c r="O15" s="8">
        <f t="shared" si="3"/>
        <v>-25331.8</v>
      </c>
      <c r="P15" s="8">
        <f t="shared" si="3"/>
        <v>-30892.42</v>
      </c>
      <c r="Q15" s="8">
        <f t="shared" si="3"/>
        <v>-26310.47</v>
      </c>
      <c r="R15" s="8">
        <f t="shared" si="3"/>
        <v>4994.9399999999996</v>
      </c>
      <c r="S15" s="8">
        <f t="shared" si="3"/>
        <v>-4724.74</v>
      </c>
      <c r="T15" s="8">
        <f t="shared" si="3"/>
        <v>0</v>
      </c>
    </row>
    <row r="16" spans="2:20">
      <c r="B16" s="15" t="s">
        <v>16</v>
      </c>
      <c r="C16" s="10"/>
      <c r="D16" s="12"/>
      <c r="E16" s="12"/>
      <c r="F16" s="12"/>
      <c r="G16" s="12"/>
      <c r="H16" s="12"/>
      <c r="I16" s="11"/>
      <c r="J16" s="11"/>
      <c r="K16" s="12"/>
      <c r="L16" s="12"/>
      <c r="M16" s="12"/>
      <c r="N16" s="12">
        <v>82534.69</v>
      </c>
      <c r="O16" s="12">
        <v>-25331.8</v>
      </c>
      <c r="P16" s="12">
        <v>-30892.42</v>
      </c>
      <c r="Q16" s="12">
        <v>-26310.47</v>
      </c>
      <c r="R16" s="12">
        <v>4994.9399999999996</v>
      </c>
      <c r="S16" s="12">
        <v>-4724.74</v>
      </c>
      <c r="T16" s="12"/>
    </row>
    <row r="17" spans="2:20">
      <c r="B17" s="18" t="s">
        <v>17</v>
      </c>
      <c r="C17" s="19">
        <f t="shared" ref="C17:T17" si="4">+C4-C15</f>
        <v>0</v>
      </c>
      <c r="D17" s="19">
        <f t="shared" si="4"/>
        <v>0</v>
      </c>
      <c r="E17" s="19">
        <f t="shared" si="4"/>
        <v>50000</v>
      </c>
      <c r="F17" s="19">
        <f t="shared" si="4"/>
        <v>0</v>
      </c>
      <c r="G17" s="19">
        <f t="shared" si="4"/>
        <v>0</v>
      </c>
      <c r="H17" s="19">
        <f t="shared" si="4"/>
        <v>0</v>
      </c>
      <c r="I17" s="19">
        <f t="shared" si="4"/>
        <v>97420.25</v>
      </c>
      <c r="J17" s="19">
        <f t="shared" si="4"/>
        <v>294850.39615000004</v>
      </c>
      <c r="K17" s="19">
        <f t="shared" si="4"/>
        <v>625063.63304999995</v>
      </c>
      <c r="L17" s="19">
        <f t="shared" si="4"/>
        <v>1037519.2807750001</v>
      </c>
      <c r="M17" s="19">
        <f t="shared" si="4"/>
        <v>223243.92612499977</v>
      </c>
      <c r="N17" s="19">
        <f t="shared" si="4"/>
        <v>41904.963200000057</v>
      </c>
      <c r="O17" s="19">
        <f t="shared" si="4"/>
        <v>3749326.3006999996</v>
      </c>
      <c r="P17" s="19">
        <f t="shared" si="4"/>
        <v>82574.397500000036</v>
      </c>
      <c r="Q17" s="19">
        <f t="shared" si="4"/>
        <v>3971195.669100001</v>
      </c>
      <c r="R17" s="19">
        <f t="shared" si="4"/>
        <v>194017.88419999875</v>
      </c>
      <c r="S17" s="19">
        <f t="shared" si="4"/>
        <v>3612764.8479000013</v>
      </c>
      <c r="T17" s="19">
        <f t="shared" si="4"/>
        <v>1845473.2932999991</v>
      </c>
    </row>
    <row r="18" spans="2:20">
      <c r="B18" s="18" t="s">
        <v>18</v>
      </c>
      <c r="C18" s="19">
        <f t="shared" ref="C18:T18" si="5">SUM(C19:C29)</f>
        <v>124231</v>
      </c>
      <c r="D18" s="19">
        <f t="shared" si="5"/>
        <v>503070</v>
      </c>
      <c r="E18" s="19">
        <f t="shared" si="5"/>
        <v>563090</v>
      </c>
      <c r="F18" s="19">
        <f t="shared" si="5"/>
        <v>596092</v>
      </c>
      <c r="G18" s="19">
        <f t="shared" si="5"/>
        <v>641455</v>
      </c>
      <c r="H18" s="19">
        <f t="shared" si="5"/>
        <v>744731</v>
      </c>
      <c r="I18" s="19">
        <f t="shared" si="5"/>
        <v>977397.61</v>
      </c>
      <c r="J18" s="19">
        <f t="shared" si="5"/>
        <v>1040894.91</v>
      </c>
      <c r="K18" s="19">
        <f t="shared" si="5"/>
        <v>1646661.53</v>
      </c>
      <c r="L18" s="19">
        <f t="shared" si="5"/>
        <v>2439102.04</v>
      </c>
      <c r="M18" s="19">
        <f t="shared" si="5"/>
        <v>1721791.0191000002</v>
      </c>
      <c r="N18" s="19">
        <f t="shared" si="5"/>
        <v>1710747.2228000001</v>
      </c>
      <c r="O18" s="19">
        <f t="shared" si="5"/>
        <v>4651203.574</v>
      </c>
      <c r="P18" s="19">
        <f t="shared" si="5"/>
        <v>1397187.7039999999</v>
      </c>
      <c r="Q18" s="19">
        <f t="shared" si="5"/>
        <v>4928033.0004000003</v>
      </c>
      <c r="R18" s="19">
        <f t="shared" si="5"/>
        <v>3866003.4452999998</v>
      </c>
      <c r="S18" s="19">
        <f t="shared" si="5"/>
        <v>4782476.6305</v>
      </c>
      <c r="T18" s="19">
        <f t="shared" si="5"/>
        <v>2235100.1649000002</v>
      </c>
    </row>
    <row r="19" spans="2:20">
      <c r="B19" s="16" t="s">
        <v>19</v>
      </c>
      <c r="C19" s="20">
        <f>'[1]Te ardhura'!E9</f>
        <v>104036</v>
      </c>
      <c r="D19" s="20">
        <f>'[1]Te ardhura'!F9</f>
        <v>394128</v>
      </c>
      <c r="E19" s="20">
        <f>'[1]Te ardhura'!G9</f>
        <v>420908</v>
      </c>
      <c r="F19" s="20">
        <f>'[1]Te ardhura'!H9</f>
        <v>442588</v>
      </c>
      <c r="G19" s="20">
        <f>'[1]Te ardhura'!I9</f>
        <v>478849</v>
      </c>
      <c r="H19" s="20">
        <f>'[1]Te ardhura'!J9</f>
        <v>569093</v>
      </c>
      <c r="I19" s="20">
        <f>'[1]Te ardhura'!K9</f>
        <v>780228</v>
      </c>
      <c r="J19" s="20">
        <f>'[1]Te ardhura'!L9</f>
        <v>834522</v>
      </c>
      <c r="K19" s="20">
        <f>'[1]Te ardhura'!M9</f>
        <v>889766</v>
      </c>
      <c r="L19" s="20">
        <f>'[1]Te ardhura'!N9</f>
        <v>912840</v>
      </c>
      <c r="M19" s="20">
        <f>'[1]Te ardhura'!O9</f>
        <v>906879</v>
      </c>
      <c r="N19" s="20">
        <f>'[1]Te ardhura'!P9</f>
        <v>875074</v>
      </c>
      <c r="O19" s="20">
        <f>'[1]Te ardhura'!Q9</f>
        <v>943493</v>
      </c>
      <c r="P19" s="20">
        <f>'[1]Te ardhura'!R9</f>
        <v>879337</v>
      </c>
      <c r="Q19" s="20">
        <f>'[1]Te ardhura'!S9</f>
        <v>906176</v>
      </c>
      <c r="R19" s="20">
        <f>'[1]Te ardhura'!T9</f>
        <v>1493903.8599999999</v>
      </c>
      <c r="S19" s="20">
        <f>'[1]Te ardhura'!U9</f>
        <v>1228632</v>
      </c>
      <c r="T19" s="20">
        <f>'[1]Te ardhura'!V9</f>
        <v>1209397.3600000001</v>
      </c>
    </row>
    <row r="20" spans="2:20">
      <c r="B20" s="16" t="s">
        <v>20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1">
        <v>1382251</v>
      </c>
      <c r="T20" s="20"/>
    </row>
    <row r="21" spans="2:20">
      <c r="B21" s="16" t="s">
        <v>21</v>
      </c>
      <c r="C21" s="20"/>
      <c r="D21" s="20"/>
      <c r="E21" s="20"/>
      <c r="F21" s="20"/>
      <c r="G21" s="20"/>
      <c r="H21" s="20"/>
      <c r="I21" s="20">
        <v>7285.61</v>
      </c>
      <c r="J21" s="20">
        <v>3255.91</v>
      </c>
      <c r="K21" s="20">
        <v>3391.53</v>
      </c>
      <c r="L21" s="20">
        <v>6068.04</v>
      </c>
      <c r="M21" s="20">
        <f>4784.9+21.23*M58</f>
        <v>7697.0190999999995</v>
      </c>
      <c r="N21" s="20">
        <f>2858.3+6216.44+3928.59+54.88*N58</f>
        <v>20621.2228</v>
      </c>
      <c r="O21" s="20">
        <f>4255.69+21211.73+92.38*O58</f>
        <v>38243.574000000001</v>
      </c>
      <c r="P21" s="20">
        <f>9349.02+29841.98+50.2*P58</f>
        <v>46204.944000000003</v>
      </c>
      <c r="Q21" s="20">
        <f>6929.7+7742.94+51.24*Q58</f>
        <v>21857.000400000001</v>
      </c>
      <c r="R21" s="20">
        <f>522.89+41424.75+52.23*R58</f>
        <v>49265.585299999999</v>
      </c>
      <c r="S21" s="20">
        <f>18138.5+114321.22+1433.89+279.45+10838.15+217.36+4.57*S58</f>
        <v>145857.6305</v>
      </c>
      <c r="T21" s="20">
        <f>78.07+15.87*T58</f>
        <v>2224.8049000000001</v>
      </c>
    </row>
    <row r="22" spans="2:20">
      <c r="B22" s="16" t="s">
        <v>22</v>
      </c>
      <c r="C22" s="21"/>
      <c r="D22" s="21"/>
      <c r="E22" s="21"/>
      <c r="F22" s="21"/>
      <c r="G22" s="21"/>
      <c r="H22" s="21"/>
      <c r="I22" s="21"/>
      <c r="J22" s="21"/>
      <c r="K22" s="21">
        <f>'[1]Te ardhura'!M21</f>
        <v>514218</v>
      </c>
      <c r="L22" s="21">
        <f>'[1]Te ardhura'!N21</f>
        <v>249580</v>
      </c>
      <c r="M22" s="21">
        <f>'[1]Te ardhura'!O21</f>
        <v>537889</v>
      </c>
      <c r="N22" s="21">
        <f>'[1]Te ardhura'!P21</f>
        <v>544099</v>
      </c>
      <c r="O22" s="21">
        <f>'[1]Te ardhura'!Q21</f>
        <v>541376</v>
      </c>
      <c r="P22" s="21">
        <f>'[1]Te ardhura'!R21</f>
        <v>471645.76</v>
      </c>
      <c r="Q22" s="21"/>
      <c r="R22" s="21"/>
      <c r="S22" s="21"/>
      <c r="T22" s="21"/>
    </row>
    <row r="23" spans="2:20">
      <c r="B23" s="16" t="s">
        <v>23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>
        <f>'[1]Personi Fizik'!I5</f>
        <v>0</v>
      </c>
      <c r="Q23" s="23">
        <v>2104764</v>
      </c>
      <c r="R23" s="23">
        <v>2322834</v>
      </c>
      <c r="S23" s="23">
        <v>2025736</v>
      </c>
      <c r="T23" s="23">
        <v>2918714</v>
      </c>
    </row>
    <row r="24" spans="2:20">
      <c r="B24" s="16" t="s">
        <v>24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3">
        <v>1895236</v>
      </c>
      <c r="R24" s="22"/>
      <c r="S24" s="22"/>
      <c r="T24" s="23">
        <v>-1895236</v>
      </c>
    </row>
    <row r="25" spans="2:20">
      <c r="B25" s="16" t="s">
        <v>25</v>
      </c>
      <c r="C25" s="21"/>
      <c r="D25" s="21">
        <v>40686</v>
      </c>
      <c r="E25" s="21">
        <v>66966</v>
      </c>
      <c r="F25" s="21">
        <v>72480</v>
      </c>
      <c r="G25" s="21">
        <v>79128</v>
      </c>
      <c r="H25" s="21">
        <v>85674</v>
      </c>
      <c r="I25" s="21">
        <v>92604</v>
      </c>
      <c r="J25" s="21">
        <v>98817</v>
      </c>
      <c r="K25" s="21">
        <v>116826</v>
      </c>
      <c r="L25" s="21">
        <v>124092</v>
      </c>
      <c r="M25" s="21">
        <v>134418</v>
      </c>
      <c r="N25" s="21">
        <v>143304</v>
      </c>
      <c r="O25" s="21">
        <v>149220</v>
      </c>
      <c r="P25" s="24"/>
      <c r="Q25" s="24"/>
      <c r="R25" s="24"/>
      <c r="S25" s="24"/>
      <c r="T25" s="24"/>
    </row>
    <row r="26" spans="2:20">
      <c r="B26" s="16" t="s">
        <v>26</v>
      </c>
      <c r="C26" s="21">
        <v>20195</v>
      </c>
      <c r="D26" s="21">
        <v>68256</v>
      </c>
      <c r="E26" s="21">
        <v>75216</v>
      </c>
      <c r="F26" s="21">
        <v>81024</v>
      </c>
      <c r="G26" s="21">
        <v>83478</v>
      </c>
      <c r="H26" s="21">
        <v>89964</v>
      </c>
      <c r="I26" s="21">
        <v>97280</v>
      </c>
      <c r="J26" s="21">
        <v>104300</v>
      </c>
      <c r="K26" s="21">
        <v>122460</v>
      </c>
      <c r="L26" s="21">
        <v>130110</v>
      </c>
      <c r="M26" s="21">
        <v>134908</v>
      </c>
      <c r="N26" s="21">
        <v>144396</v>
      </c>
      <c r="O26" s="21">
        <v>156642</v>
      </c>
      <c r="P26" s="24"/>
      <c r="Q26" s="24"/>
      <c r="R26" s="24"/>
      <c r="S26" s="24"/>
      <c r="T26" s="24"/>
    </row>
    <row r="27" spans="2:20">
      <c r="B27" s="16" t="s">
        <v>27</v>
      </c>
      <c r="C27" s="21"/>
      <c r="D27" s="21"/>
      <c r="E27" s="21"/>
      <c r="F27" s="21"/>
      <c r="G27" s="21"/>
      <c r="H27" s="21"/>
      <c r="I27" s="21"/>
      <c r="J27" s="21"/>
      <c r="K27" s="21"/>
      <c r="L27" s="22">
        <v>1016412</v>
      </c>
      <c r="M27" s="22"/>
      <c r="N27" s="22">
        <f>'[1]Personi Fizik'!H29</f>
        <v>-16747</v>
      </c>
      <c r="O27" s="22">
        <f>'[1]Personi Fizik'!H30</f>
        <v>-243771</v>
      </c>
      <c r="P27" s="24"/>
      <c r="Q27" s="24"/>
      <c r="R27" s="24"/>
      <c r="S27" s="24"/>
      <c r="T27" s="24"/>
    </row>
    <row r="28" spans="2:20">
      <c r="B28" s="16" t="s">
        <v>28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  <c r="M28" s="22"/>
      <c r="N28" s="22"/>
      <c r="O28" s="22">
        <v>300000</v>
      </c>
      <c r="P28" s="24"/>
      <c r="Q28" s="24"/>
      <c r="R28" s="24"/>
      <c r="S28" s="24"/>
      <c r="T28" s="24"/>
    </row>
    <row r="29" spans="2:20">
      <c r="B29" s="16" t="s">
        <v>29</v>
      </c>
      <c r="C29" s="11"/>
      <c r="D29" s="11"/>
      <c r="E29" s="11"/>
      <c r="F29" s="10"/>
      <c r="G29" s="10"/>
      <c r="H29" s="11"/>
      <c r="I29" s="11"/>
      <c r="J29" s="11"/>
      <c r="K29" s="10"/>
      <c r="L29" s="10"/>
      <c r="M29" s="11"/>
      <c r="N29" s="11"/>
      <c r="O29" s="25">
        <f>20000*O58</f>
        <v>2766000</v>
      </c>
      <c r="P29" s="12"/>
      <c r="Q29" s="11"/>
      <c r="R29" s="11"/>
      <c r="S29" s="10"/>
      <c r="T29" s="10"/>
    </row>
    <row r="30" spans="2:20">
      <c r="B30" s="18" t="s">
        <v>30</v>
      </c>
      <c r="C30" s="19">
        <f t="shared" ref="C30:T30" si="6">SUM(C31:C40)</f>
        <v>180000</v>
      </c>
      <c r="D30" s="19">
        <f t="shared" si="6"/>
        <v>324000</v>
      </c>
      <c r="E30" s="19">
        <f t="shared" si="6"/>
        <v>531592</v>
      </c>
      <c r="F30" s="19">
        <f t="shared" si="6"/>
        <v>281592</v>
      </c>
      <c r="G30" s="19">
        <f t="shared" si="6"/>
        <v>281592</v>
      </c>
      <c r="H30" s="19">
        <f t="shared" si="6"/>
        <v>281592</v>
      </c>
      <c r="I30" s="19">
        <f t="shared" si="6"/>
        <v>344601.2</v>
      </c>
      <c r="J30" s="19">
        <f t="shared" si="6"/>
        <v>477114.6</v>
      </c>
      <c r="K30" s="19">
        <f t="shared" si="6"/>
        <v>632920.81266719999</v>
      </c>
      <c r="L30" s="19">
        <f t="shared" si="6"/>
        <v>1379957.8736977</v>
      </c>
      <c r="M30" s="19">
        <f t="shared" si="6"/>
        <v>946757.44012159994</v>
      </c>
      <c r="N30" s="19">
        <f t="shared" si="6"/>
        <v>1441553.7795839999</v>
      </c>
      <c r="O30" s="19">
        <f t="shared" si="6"/>
        <v>1259232.3888079999</v>
      </c>
      <c r="P30" s="19">
        <f t="shared" si="6"/>
        <v>636261.33452160005</v>
      </c>
      <c r="Q30" s="19">
        <f t="shared" si="6"/>
        <v>862512.20403999998</v>
      </c>
      <c r="R30" s="19">
        <f t="shared" si="6"/>
        <v>1441323.86</v>
      </c>
      <c r="S30" s="19">
        <f t="shared" si="6"/>
        <v>2113704.6763300002</v>
      </c>
      <c r="T30" s="19">
        <f t="shared" si="6"/>
        <v>2029836.0884897001</v>
      </c>
    </row>
    <row r="31" spans="2:20">
      <c r="B31" s="15" t="s">
        <v>31</v>
      </c>
      <c r="C31" s="10">
        <f>3*5000*12</f>
        <v>180000</v>
      </c>
      <c r="D31" s="10">
        <f>3*108000</f>
        <v>324000</v>
      </c>
      <c r="E31" s="10">
        <f>F31</f>
        <v>281592</v>
      </c>
      <c r="F31" s="10">
        <f>G31</f>
        <v>281592</v>
      </c>
      <c r="G31" s="10">
        <f>'[1]Shpenzime jetese'!B10</f>
        <v>281592</v>
      </c>
      <c r="H31" s="10">
        <f>'[1]Shpenzime jetese'!C10</f>
        <v>281592</v>
      </c>
      <c r="I31" s="10">
        <f>'[1]Shpenzime jetese'!D10</f>
        <v>328671</v>
      </c>
      <c r="J31" s="10">
        <f>'[1]Shpenzime jetese'!E10</f>
        <v>328671</v>
      </c>
      <c r="K31" s="10">
        <f>'[1]Shpenzime jetese'!F10</f>
        <v>492354</v>
      </c>
      <c r="L31" s="10">
        <f>'[1]Shpenzime jetese'!G10</f>
        <v>683100</v>
      </c>
      <c r="M31" s="10">
        <f>'[1]Shpenzime jetese'!H10</f>
        <v>683100</v>
      </c>
      <c r="N31" s="10">
        <f>'[1]Shpenzime jetese'!I10</f>
        <v>683100</v>
      </c>
      <c r="O31" s="10">
        <f>'[1]Shpenzime jetese'!J10</f>
        <v>683100</v>
      </c>
      <c r="P31" s="10">
        <f>'[1]Shpenzime jetese'!K10</f>
        <v>423072</v>
      </c>
      <c r="Q31" s="10">
        <f>'[1]Shpenzime jetese'!L10</f>
        <v>423072</v>
      </c>
      <c r="R31" s="10">
        <f>'[1]Shpenzime jetese'!M10</f>
        <v>659994</v>
      </c>
      <c r="S31" s="10">
        <f>'[1]Shpenzime jetese'!N10</f>
        <v>672828</v>
      </c>
      <c r="T31" s="10">
        <f>'[1]Shpenzime jetese'!O10</f>
        <v>705276</v>
      </c>
    </row>
    <row r="32" spans="2:20">
      <c r="B32" s="15" t="s">
        <v>32</v>
      </c>
      <c r="C32" s="12"/>
      <c r="D32" s="12"/>
      <c r="E32" s="12"/>
      <c r="F32" s="12"/>
      <c r="G32" s="12"/>
      <c r="H32" s="12"/>
      <c r="I32" s="12"/>
      <c r="J32" s="12"/>
      <c r="K32" s="12"/>
      <c r="L32" s="12">
        <v>339521</v>
      </c>
      <c r="M32" s="12"/>
      <c r="N32" s="12"/>
      <c r="O32" s="12"/>
      <c r="P32" s="12"/>
      <c r="Q32" s="12"/>
      <c r="R32" s="12">
        <v>132155</v>
      </c>
      <c r="S32" s="12">
        <v>397079</v>
      </c>
      <c r="T32" s="12"/>
    </row>
    <row r="33" spans="2:20">
      <c r="B33" s="27" t="s">
        <v>33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1"/>
      <c r="P33" s="11"/>
      <c r="Q33" s="11"/>
      <c r="R33" s="12"/>
      <c r="S33" s="11"/>
      <c r="T33" s="10">
        <v>820300</v>
      </c>
    </row>
    <row r="34" spans="2:20">
      <c r="B34" s="9" t="s">
        <v>34</v>
      </c>
      <c r="C34" s="16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>
        <v>300000</v>
      </c>
      <c r="O34" s="12">
        <v>300000</v>
      </c>
      <c r="P34" s="11"/>
      <c r="Q34" s="11"/>
      <c r="R34" s="12">
        <v>55900</v>
      </c>
      <c r="S34" s="11"/>
      <c r="T34" s="10"/>
    </row>
    <row r="35" spans="2:20" s="2" customFormat="1">
      <c r="B35" s="9" t="s">
        <v>35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>
        <f>10000*4</f>
        <v>40000</v>
      </c>
      <c r="S35" s="12">
        <f>5*10000+4*11000</f>
        <v>94000</v>
      </c>
      <c r="T35" s="12">
        <f>5*11000+4*10000</f>
        <v>95000</v>
      </c>
    </row>
    <row r="36" spans="2:20">
      <c r="B36" s="9" t="s">
        <v>36</v>
      </c>
      <c r="C36" s="10"/>
      <c r="D36" s="10"/>
      <c r="E36" s="10"/>
      <c r="F36" s="10"/>
      <c r="G36" s="10"/>
      <c r="H36" s="10"/>
      <c r="I36" s="10">
        <f>[1]TIMS!U2</f>
        <v>15930.2</v>
      </c>
      <c r="J36" s="10">
        <f>[1]TIMS!U4</f>
        <v>148443.6</v>
      </c>
      <c r="K36" s="10">
        <f>[1]TIMS!U6</f>
        <v>140566.81266719996</v>
      </c>
      <c r="L36" s="10">
        <f>[1]TIMS!U14</f>
        <v>343512.87369770004</v>
      </c>
      <c r="M36" s="10">
        <f>[1]TIMS!U35</f>
        <v>249057.44012159994</v>
      </c>
      <c r="N36" s="10">
        <f>[1]TIMS!U53</f>
        <v>137217.34958400001</v>
      </c>
      <c r="O36" s="10">
        <f>[1]TIMS!U63</f>
        <v>250757.22880800001</v>
      </c>
      <c r="P36" s="10">
        <f>[1]TIMS!U77</f>
        <v>178414.79452159998</v>
      </c>
      <c r="Q36" s="10">
        <f>[1]TIMS!U83</f>
        <v>408000.44404000003</v>
      </c>
      <c r="R36" s="10">
        <f>[1]TIMS!U96</f>
        <v>511401.50000000006</v>
      </c>
      <c r="S36" s="12">
        <f>[1]TIMS!U107</f>
        <v>635831.80632999993</v>
      </c>
      <c r="T36" s="10">
        <f>[1]TIMS!U125</f>
        <v>378640.08848970005</v>
      </c>
    </row>
    <row r="37" spans="2:20">
      <c r="B37" s="9" t="s">
        <v>37</v>
      </c>
      <c r="C37" s="10"/>
      <c r="D37" s="10"/>
      <c r="E37" s="10">
        <v>250000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2">
        <v>283200</v>
      </c>
      <c r="T37" s="10"/>
    </row>
    <row r="38" spans="2:20">
      <c r="B38" s="9" t="s">
        <v>38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>
        <v>6636.43</v>
      </c>
      <c r="O38" s="10">
        <v>14275.16</v>
      </c>
      <c r="P38" s="10">
        <v>8714.5400000000009</v>
      </c>
      <c r="Q38" s="10">
        <v>2159.7600000000002</v>
      </c>
      <c r="R38" s="10">
        <v>7833.36</v>
      </c>
      <c r="S38" s="12">
        <v>65.87</v>
      </c>
      <c r="T38" s="10"/>
    </row>
    <row r="39" spans="2:20">
      <c r="B39" s="9" t="s">
        <v>39</v>
      </c>
      <c r="C39" s="10"/>
      <c r="D39" s="10"/>
      <c r="E39" s="10"/>
      <c r="F39" s="10"/>
      <c r="G39" s="10"/>
      <c r="H39" s="10"/>
      <c r="I39" s="10"/>
      <c r="J39" s="10"/>
      <c r="K39" s="10"/>
      <c r="L39" s="10">
        <v>13824</v>
      </c>
      <c r="M39" s="10">
        <v>14600</v>
      </c>
      <c r="N39" s="10">
        <v>14600</v>
      </c>
      <c r="O39" s="10">
        <v>11100</v>
      </c>
      <c r="P39" s="10">
        <f>12500+13560</f>
        <v>26060</v>
      </c>
      <c r="Q39" s="10">
        <f>14620+14660</f>
        <v>29280</v>
      </c>
      <c r="R39" s="10">
        <f>16990+17050</f>
        <v>34040</v>
      </c>
      <c r="S39" s="12">
        <f>15350+15350</f>
        <v>30700</v>
      </c>
      <c r="T39" s="10">
        <f>15310+15310</f>
        <v>30620</v>
      </c>
    </row>
    <row r="40" spans="2:20">
      <c r="B40" s="9" t="s">
        <v>40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>
        <v>300000</v>
      </c>
      <c r="O40" s="10"/>
      <c r="P40" s="10"/>
      <c r="Q40" s="10"/>
      <c r="R40" s="10"/>
      <c r="S40" s="12"/>
      <c r="T40" s="10"/>
    </row>
    <row r="41" spans="2:20" s="17" customFormat="1" ht="15.75" customHeight="1">
      <c r="B41" s="28" t="s">
        <v>41</v>
      </c>
      <c r="C41" s="29">
        <f>C18-C17-C30</f>
        <v>-55769</v>
      </c>
      <c r="D41" s="29">
        <f>D18-D17-D30</f>
        <v>179070</v>
      </c>
      <c r="E41" s="29">
        <f t="shared" ref="E41:S41" si="7">E18-E17-E30</f>
        <v>-18502</v>
      </c>
      <c r="F41" s="29">
        <f t="shared" si="7"/>
        <v>314500</v>
      </c>
      <c r="G41" s="29">
        <f t="shared" si="7"/>
        <v>359863</v>
      </c>
      <c r="H41" s="29">
        <f t="shared" si="7"/>
        <v>463139</v>
      </c>
      <c r="I41" s="29">
        <f t="shared" si="7"/>
        <v>535376.15999999992</v>
      </c>
      <c r="J41" s="29">
        <f t="shared" si="7"/>
        <v>268929.91385000001</v>
      </c>
      <c r="K41" s="29">
        <f t="shared" si="7"/>
        <v>388677.08428280009</v>
      </c>
      <c r="L41" s="29">
        <f t="shared" si="7"/>
        <v>21624.88552729995</v>
      </c>
      <c r="M41" s="29">
        <f t="shared" si="7"/>
        <v>551789.65285340045</v>
      </c>
      <c r="N41" s="29">
        <f t="shared" si="7"/>
        <v>227288.4800160001</v>
      </c>
      <c r="O41" s="29">
        <f>O18-O17-O30</f>
        <v>-357355.11550799944</v>
      </c>
      <c r="P41" s="29">
        <f t="shared" si="7"/>
        <v>678351.9719783999</v>
      </c>
      <c r="Q41" s="29">
        <f t="shared" si="7"/>
        <v>94325.127259999281</v>
      </c>
      <c r="R41" s="29">
        <f t="shared" si="7"/>
        <v>2230661.7011000011</v>
      </c>
      <c r="S41" s="29">
        <f t="shared" si="7"/>
        <v>-943992.89373000152</v>
      </c>
      <c r="T41" s="29">
        <f>T18-T17-T30</f>
        <v>-1640209.216889699</v>
      </c>
    </row>
    <row r="42" spans="2:20">
      <c r="B42" s="30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9">
        <f>O41+T41+S41</f>
        <v>-2941557.2261276999</v>
      </c>
    </row>
    <row r="43" spans="2:20" hidden="1">
      <c r="B43" s="30" t="s">
        <v>42</v>
      </c>
      <c r="C43" s="26">
        <v>-55769</v>
      </c>
      <c r="D43" s="26">
        <v>179070</v>
      </c>
      <c r="E43" s="26">
        <v>-18502</v>
      </c>
      <c r="F43" s="26">
        <v>314500</v>
      </c>
      <c r="G43" s="26">
        <v>359863</v>
      </c>
      <c r="H43" s="26">
        <v>463139</v>
      </c>
      <c r="I43" s="26">
        <v>535376.15999999992</v>
      </c>
      <c r="J43" s="26">
        <v>268929.91385000001</v>
      </c>
      <c r="K43" s="26">
        <v>388677.08428280009</v>
      </c>
      <c r="L43" s="26">
        <v>21624.88552729995</v>
      </c>
      <c r="M43" s="26">
        <v>551789.65285340045</v>
      </c>
      <c r="N43" s="26">
        <v>227288.4800160001</v>
      </c>
      <c r="O43" s="26">
        <v>-357355.11550799944</v>
      </c>
      <c r="P43" s="26">
        <v>678351.9719783999</v>
      </c>
      <c r="Q43" s="26">
        <v>509828.12725999928</v>
      </c>
      <c r="R43" s="26">
        <v>2345793.7011000011</v>
      </c>
      <c r="S43" s="26">
        <v>-834038.89373000152</v>
      </c>
      <c r="T43" s="26">
        <v>-2044199.216889699</v>
      </c>
    </row>
    <row r="44" spans="2:20" hidden="1">
      <c r="B44" s="30"/>
      <c r="C44" s="26">
        <f>C41-C43</f>
        <v>0</v>
      </c>
      <c r="D44" s="26">
        <f t="shared" ref="D44:M44" si="8">D41-D43</f>
        <v>0</v>
      </c>
      <c r="E44" s="26">
        <f t="shared" si="8"/>
        <v>0</v>
      </c>
      <c r="F44" s="26">
        <f t="shared" si="8"/>
        <v>0</v>
      </c>
      <c r="G44" s="26">
        <f t="shared" si="8"/>
        <v>0</v>
      </c>
      <c r="H44" s="26">
        <f t="shared" si="8"/>
        <v>0</v>
      </c>
      <c r="I44" s="26">
        <f t="shared" si="8"/>
        <v>0</v>
      </c>
      <c r="J44" s="26">
        <f t="shared" si="8"/>
        <v>0</v>
      </c>
      <c r="K44" s="26">
        <f t="shared" si="8"/>
        <v>0</v>
      </c>
      <c r="L44" s="26">
        <f t="shared" si="8"/>
        <v>0</v>
      </c>
      <c r="M44" s="26">
        <f t="shared" si="8"/>
        <v>0</v>
      </c>
      <c r="N44" s="26">
        <f>N41-N43</f>
        <v>0</v>
      </c>
      <c r="O44" s="26">
        <f t="shared" ref="O44:T44" si="9">O41-O43</f>
        <v>0</v>
      </c>
      <c r="P44" s="26">
        <f t="shared" si="9"/>
        <v>0</v>
      </c>
      <c r="Q44" s="26">
        <f t="shared" si="9"/>
        <v>-415503</v>
      </c>
      <c r="R44" s="26">
        <f t="shared" si="9"/>
        <v>-115132</v>
      </c>
      <c r="S44" s="26">
        <f t="shared" si="9"/>
        <v>-109954</v>
      </c>
      <c r="T44" s="26">
        <f t="shared" si="9"/>
        <v>403990</v>
      </c>
    </row>
    <row r="45" spans="2:20" hidden="1">
      <c r="B45" s="30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31">
        <f>O41+T41</f>
        <v>-1997564.3323976984</v>
      </c>
      <c r="O45" s="26"/>
      <c r="P45" s="26"/>
      <c r="Q45" s="26"/>
      <c r="R45" s="26"/>
      <c r="S45" s="26"/>
      <c r="T45" s="26"/>
    </row>
    <row r="46" spans="2:20" ht="15.75" hidden="1" thickBot="1">
      <c r="B46" s="30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7" spans="2:20" ht="15.75" hidden="1" thickBot="1">
      <c r="B47" s="32" t="s">
        <v>43</v>
      </c>
      <c r="C47" s="33"/>
      <c r="D47" s="33"/>
      <c r="E47" s="33"/>
      <c r="F47" s="33"/>
      <c r="G47" s="33" t="s">
        <v>44</v>
      </c>
      <c r="H47" s="33" t="s">
        <v>44</v>
      </c>
      <c r="I47" s="33" t="s">
        <v>44</v>
      </c>
      <c r="J47" s="33" t="s">
        <v>44</v>
      </c>
      <c r="K47" s="33" t="s">
        <v>44</v>
      </c>
      <c r="L47" s="33" t="s">
        <v>44</v>
      </c>
      <c r="M47" s="33" t="s">
        <v>44</v>
      </c>
      <c r="N47" s="33" t="s">
        <v>44</v>
      </c>
      <c r="O47" s="33" t="s">
        <v>44</v>
      </c>
      <c r="P47" s="33" t="s">
        <v>44</v>
      </c>
      <c r="Q47" s="33" t="s">
        <v>44</v>
      </c>
      <c r="R47" s="33" t="s">
        <v>44</v>
      </c>
      <c r="S47" s="33" t="s">
        <v>44</v>
      </c>
      <c r="T47" s="33" t="s">
        <v>44</v>
      </c>
    </row>
    <row r="48" spans="2:20" ht="15.75" hidden="1" thickBot="1">
      <c r="B48" s="6" t="s">
        <v>45</v>
      </c>
      <c r="C48" s="2"/>
      <c r="D48" s="2"/>
      <c r="E48" s="34"/>
      <c r="F48" s="34"/>
      <c r="G48" s="2" t="s">
        <v>46</v>
      </c>
      <c r="H48" s="2" t="s">
        <v>46</v>
      </c>
      <c r="I48" s="2" t="s">
        <v>47</v>
      </c>
      <c r="J48" s="2" t="s">
        <v>47</v>
      </c>
      <c r="K48" s="2" t="s">
        <v>46</v>
      </c>
      <c r="L48" s="2" t="s">
        <v>48</v>
      </c>
      <c r="M48" s="2" t="s">
        <v>47</v>
      </c>
      <c r="N48" s="2" t="s">
        <v>48</v>
      </c>
      <c r="O48" s="2" t="s">
        <v>46</v>
      </c>
      <c r="P48" s="2" t="s">
        <v>46</v>
      </c>
      <c r="Q48" s="2" t="s">
        <v>46</v>
      </c>
      <c r="R48" s="2" t="s">
        <v>46</v>
      </c>
      <c r="S48" s="2" t="s">
        <v>46</v>
      </c>
      <c r="T48" s="2" t="s">
        <v>46</v>
      </c>
    </row>
    <row r="49" spans="2:20" ht="15.75" hidden="1" thickBot="1">
      <c r="B49" s="35" t="s">
        <v>49</v>
      </c>
      <c r="C49" s="35"/>
      <c r="D49" s="35"/>
      <c r="E49" s="35"/>
      <c r="F49" s="35"/>
      <c r="G49" s="35" t="s">
        <v>50</v>
      </c>
      <c r="H49" s="35" t="s">
        <v>50</v>
      </c>
      <c r="I49" s="35" t="s">
        <v>50</v>
      </c>
      <c r="J49" s="35" t="s">
        <v>50</v>
      </c>
      <c r="K49" s="35" t="s">
        <v>50</v>
      </c>
      <c r="L49" s="35" t="s">
        <v>50</v>
      </c>
      <c r="M49" s="35" t="s">
        <v>50</v>
      </c>
      <c r="N49" s="36" t="s">
        <v>51</v>
      </c>
      <c r="O49" s="36" t="s">
        <v>51</v>
      </c>
      <c r="P49" s="36" t="s">
        <v>51</v>
      </c>
      <c r="Q49" s="36" t="s">
        <v>51</v>
      </c>
      <c r="R49" s="36" t="s">
        <v>51</v>
      </c>
      <c r="S49" s="36" t="s">
        <v>51</v>
      </c>
      <c r="T49" s="36" t="s">
        <v>51</v>
      </c>
    </row>
    <row r="50" spans="2:20" ht="15.75" hidden="1" thickBot="1">
      <c r="B50" s="35"/>
      <c r="C50" s="36"/>
      <c r="D50" s="36"/>
      <c r="E50" s="36"/>
      <c r="F50" s="36"/>
      <c r="G50" s="36" t="s">
        <v>52</v>
      </c>
      <c r="H50" s="36" t="s">
        <v>52</v>
      </c>
      <c r="I50" s="36" t="s">
        <v>52</v>
      </c>
      <c r="J50" s="36" t="s">
        <v>52</v>
      </c>
      <c r="K50" s="36" t="s">
        <v>52</v>
      </c>
      <c r="L50" s="36" t="s">
        <v>52</v>
      </c>
      <c r="M50" s="36" t="s">
        <v>52</v>
      </c>
      <c r="N50" s="36" t="s">
        <v>53</v>
      </c>
      <c r="O50" s="36" t="s">
        <v>53</v>
      </c>
      <c r="P50" s="36" t="s">
        <v>53</v>
      </c>
      <c r="Q50" s="36" t="s">
        <v>53</v>
      </c>
      <c r="R50" s="36" t="s">
        <v>53</v>
      </c>
      <c r="S50" s="36" t="s">
        <v>53</v>
      </c>
      <c r="T50" s="36" t="s">
        <v>53</v>
      </c>
    </row>
    <row r="51" spans="2:20" ht="15.75" hidden="1" thickBot="1">
      <c r="B51" s="35"/>
      <c r="C51" s="36"/>
      <c r="D51" s="36"/>
      <c r="E51" s="36"/>
      <c r="F51" s="36"/>
      <c r="G51" s="36" t="s">
        <v>51</v>
      </c>
      <c r="H51" s="36" t="s">
        <v>51</v>
      </c>
      <c r="I51" s="36" t="s">
        <v>51</v>
      </c>
      <c r="J51" s="36" t="s">
        <v>51</v>
      </c>
      <c r="K51" s="36" t="s">
        <v>51</v>
      </c>
      <c r="L51" s="36" t="s">
        <v>51</v>
      </c>
      <c r="M51" s="36" t="s">
        <v>51</v>
      </c>
      <c r="N51" s="36" t="s">
        <v>54</v>
      </c>
      <c r="O51" s="36" t="s">
        <v>54</v>
      </c>
      <c r="P51" s="36" t="s">
        <v>54</v>
      </c>
      <c r="Q51" s="36" t="s">
        <v>54</v>
      </c>
      <c r="R51" s="36" t="s">
        <v>54</v>
      </c>
      <c r="S51" s="36" t="s">
        <v>54</v>
      </c>
      <c r="T51" s="36" t="s">
        <v>54</v>
      </c>
    </row>
    <row r="52" spans="2:20" ht="15.75" hidden="1" thickBot="1">
      <c r="B52" s="35"/>
      <c r="C52" s="36"/>
      <c r="D52" s="36"/>
      <c r="E52" s="36"/>
      <c r="F52" s="36"/>
      <c r="G52" s="36"/>
      <c r="H52" s="36"/>
      <c r="I52" s="36"/>
      <c r="J52" s="36"/>
      <c r="K52" s="36" t="s">
        <v>53</v>
      </c>
      <c r="L52" s="36" t="s">
        <v>53</v>
      </c>
      <c r="M52" s="36" t="s">
        <v>53</v>
      </c>
      <c r="N52" s="36"/>
      <c r="O52" s="36"/>
      <c r="P52" s="36"/>
      <c r="Q52" s="36"/>
      <c r="R52" s="36"/>
      <c r="S52" s="36"/>
      <c r="T52" s="36"/>
    </row>
    <row r="53" spans="2:20" ht="15.75" hidden="1" thickBot="1">
      <c r="B53" s="35"/>
      <c r="C53" s="36"/>
      <c r="D53" s="36"/>
      <c r="E53" s="36"/>
      <c r="F53" s="36"/>
      <c r="G53" s="36"/>
      <c r="H53" s="36"/>
      <c r="I53" s="36"/>
      <c r="J53" s="36"/>
      <c r="K53" s="36"/>
      <c r="L53" s="36" t="s">
        <v>54</v>
      </c>
      <c r="M53" s="36" t="s">
        <v>54</v>
      </c>
      <c r="N53" s="36"/>
      <c r="O53" s="36"/>
      <c r="P53" s="36"/>
      <c r="Q53" s="36"/>
      <c r="R53" s="36"/>
      <c r="S53" s="36"/>
      <c r="T53" s="36"/>
    </row>
    <row r="54" spans="2:20" ht="15.75" hidden="1" thickBot="1">
      <c r="B54" s="35"/>
      <c r="C54" s="36"/>
      <c r="D54" s="36"/>
      <c r="E54" s="36"/>
      <c r="F54" s="36"/>
      <c r="G54" s="36">
        <v>3</v>
      </c>
      <c r="H54" s="36">
        <v>3</v>
      </c>
      <c r="I54" s="36">
        <v>3</v>
      </c>
      <c r="J54" s="36">
        <v>3</v>
      </c>
      <c r="K54" s="36">
        <v>4</v>
      </c>
      <c r="L54" s="36">
        <v>5</v>
      </c>
      <c r="M54" s="36">
        <v>5</v>
      </c>
      <c r="N54" s="36">
        <v>3</v>
      </c>
      <c r="O54" s="36">
        <v>3</v>
      </c>
      <c r="P54" s="36">
        <v>3</v>
      </c>
      <c r="Q54" s="36">
        <v>3</v>
      </c>
      <c r="R54" s="36">
        <v>3</v>
      </c>
      <c r="S54" s="36">
        <v>3</v>
      </c>
      <c r="T54" s="36">
        <v>3</v>
      </c>
    </row>
    <row r="55" spans="2:20" ht="15.75" hidden="1" thickBot="1">
      <c r="B55" s="37" t="s">
        <v>55</v>
      </c>
      <c r="C55" s="38"/>
      <c r="D55" s="38"/>
      <c r="E55" s="38"/>
      <c r="F55" s="38"/>
      <c r="G55" s="39"/>
      <c r="H55" s="38"/>
      <c r="I55" s="38"/>
      <c r="J55" s="38"/>
      <c r="K55" s="38"/>
      <c r="L55" s="38"/>
      <c r="M55" s="38">
        <v>500000</v>
      </c>
      <c r="N55" s="38">
        <v>500000</v>
      </c>
      <c r="O55" s="38">
        <f>N55+300000+20000*O58</f>
        <v>3566000</v>
      </c>
      <c r="P55" s="38">
        <f>O55+100000</f>
        <v>3666000</v>
      </c>
      <c r="Q55" s="38">
        <f>P55</f>
        <v>3666000</v>
      </c>
      <c r="R55" s="38">
        <f>Q55</f>
        <v>3666000</v>
      </c>
      <c r="S55" s="38">
        <f>R55</f>
        <v>3666000</v>
      </c>
      <c r="T55" s="40">
        <f>S55+10000*T58</f>
        <v>5018700</v>
      </c>
    </row>
    <row r="56" spans="2:20" hidden="1">
      <c r="B56" s="37" t="s">
        <v>56</v>
      </c>
      <c r="C56" s="38">
        <f t="shared" ref="C56:T56" si="10">SUM(C61:C85)</f>
        <v>0</v>
      </c>
      <c r="D56" s="38">
        <f t="shared" si="10"/>
        <v>0</v>
      </c>
      <c r="E56" s="38">
        <f t="shared" si="10"/>
        <v>0</v>
      </c>
      <c r="F56" s="38">
        <f t="shared" si="10"/>
        <v>0</v>
      </c>
      <c r="G56" s="38">
        <f t="shared" si="10"/>
        <v>0</v>
      </c>
      <c r="H56" s="38">
        <f t="shared" si="10"/>
        <v>0</v>
      </c>
      <c r="I56" s="38">
        <f t="shared" si="10"/>
        <v>97420.25</v>
      </c>
      <c r="J56" s="38">
        <f t="shared" si="10"/>
        <v>392270.64615000004</v>
      </c>
      <c r="K56" s="38">
        <f t="shared" si="10"/>
        <v>817334.27919999999</v>
      </c>
      <c r="L56" s="38">
        <f t="shared" si="10"/>
        <v>1362123.5599750001</v>
      </c>
      <c r="M56" s="38">
        <f t="shared" si="10"/>
        <v>1085367.4860999999</v>
      </c>
      <c r="N56" s="38">
        <f t="shared" si="10"/>
        <v>1209807.1392999999</v>
      </c>
      <c r="O56" s="38">
        <f t="shared" si="10"/>
        <v>1867801.64</v>
      </c>
      <c r="P56" s="38">
        <f t="shared" si="10"/>
        <v>1819483.6175000002</v>
      </c>
      <c r="Q56" s="38">
        <f t="shared" si="10"/>
        <v>5764368.8166000005</v>
      </c>
      <c r="R56" s="38">
        <f t="shared" si="10"/>
        <v>5683161.6408000002</v>
      </c>
      <c r="S56" s="38">
        <f t="shared" si="10"/>
        <v>6864101.7487000003</v>
      </c>
      <c r="T56" s="38">
        <f t="shared" si="10"/>
        <v>7356875.0419999994</v>
      </c>
    </row>
    <row r="57" spans="2:20" ht="15.75" hidden="1" thickBot="1"/>
    <row r="58" spans="2:20" ht="15.75" hidden="1" thickBot="1">
      <c r="B58" s="41" t="s">
        <v>57</v>
      </c>
      <c r="C58" s="42"/>
      <c r="D58" s="43">
        <v>130.79473684210529</v>
      </c>
      <c r="E58" s="42"/>
      <c r="F58" s="42"/>
      <c r="G58" s="42">
        <f>[1]KK!C4</f>
        <v>133.65</v>
      </c>
      <c r="H58" s="42">
        <f>[1]KK!D4</f>
        <v>126.74</v>
      </c>
      <c r="I58" s="42">
        <f>[1]KK!E4</f>
        <v>122.54</v>
      </c>
      <c r="J58" s="42">
        <f>[1]KK!F4</f>
        <v>123.703</v>
      </c>
      <c r="K58" s="42">
        <f>[1]KK!G4</f>
        <v>120.91</v>
      </c>
      <c r="L58" s="42">
        <f>[1]KK!H4</f>
        <v>123.1825</v>
      </c>
      <c r="M58" s="42">
        <f>[1]KK!I4</f>
        <v>137.16999999999999</v>
      </c>
      <c r="N58" s="42">
        <f>[1]KK!J4</f>
        <v>138.81</v>
      </c>
      <c r="O58" s="42">
        <f>[1]KK!K4</f>
        <v>138.30000000000001</v>
      </c>
      <c r="P58" s="42">
        <f>[1]KK!L4</f>
        <v>139.72</v>
      </c>
      <c r="Q58" s="42">
        <f>[1]KK!M4</f>
        <v>140.21</v>
      </c>
      <c r="R58" s="42">
        <f>[1]KK!N4</f>
        <v>140.11000000000001</v>
      </c>
      <c r="S58" s="42">
        <f>[1]KK!O4</f>
        <v>137.65</v>
      </c>
      <c r="T58" s="44">
        <f>[1]KK!P4</f>
        <v>135.27000000000001</v>
      </c>
    </row>
    <row r="59" spans="2:20" ht="15.75" hidden="1" thickBot="1">
      <c r="B59" s="45" t="s">
        <v>58</v>
      </c>
      <c r="C59" s="46"/>
      <c r="D59" s="43">
        <v>146.07736842105263</v>
      </c>
      <c r="E59" s="46"/>
      <c r="F59" s="46"/>
      <c r="G59" s="46">
        <f>[1]KK!C5</f>
        <v>108.69</v>
      </c>
      <c r="H59" s="46">
        <f>[1]KK!D5</f>
        <v>94.58</v>
      </c>
      <c r="I59" s="46">
        <f>[1]KK!E5</f>
        <v>103.33</v>
      </c>
      <c r="J59" s="46">
        <f>[1]KK!F5</f>
        <v>93.671999999999997</v>
      </c>
      <c r="K59" s="46">
        <f>[1]KK!G5</f>
        <v>83.03</v>
      </c>
      <c r="L59" s="46">
        <f>[1]KK!H5</f>
        <v>90.96</v>
      </c>
      <c r="M59" s="46">
        <f>[1]KK!I5</f>
        <v>93.98</v>
      </c>
      <c r="N59" s="46">
        <f>[1]KK!J5</f>
        <v>104.95</v>
      </c>
      <c r="O59" s="46">
        <f>[1]KK!K5</f>
        <v>105.08</v>
      </c>
      <c r="P59" s="46">
        <f>[1]KK!L5</f>
        <v>106.57</v>
      </c>
      <c r="Q59" s="46">
        <f>[1]KK!M5</f>
        <v>102.38</v>
      </c>
      <c r="R59" s="46">
        <f>[1]KK!N5</f>
        <v>113.64</v>
      </c>
      <c r="S59" s="46">
        <f>[1]KK!O5</f>
        <v>126.64</v>
      </c>
      <c r="T59" s="47">
        <f>[1]KK!P5</f>
        <v>128.29</v>
      </c>
    </row>
    <row r="60" spans="2:20" ht="15.75" hidden="1" thickBot="1">
      <c r="B60" s="48"/>
    </row>
    <row r="61" spans="2:20" hidden="1">
      <c r="B61" s="49" t="s">
        <v>59</v>
      </c>
      <c r="C61" s="50"/>
      <c r="D61" s="51"/>
      <c r="E61" s="51"/>
      <c r="F61" s="51"/>
      <c r="G61" s="51"/>
      <c r="H61" s="52"/>
      <c r="I61" s="51">
        <v>97420.25</v>
      </c>
      <c r="J61" s="51">
        <v>377691.3</v>
      </c>
      <c r="K61" s="51">
        <v>284275.94</v>
      </c>
      <c r="L61" s="51">
        <v>260189.67</v>
      </c>
      <c r="M61" s="51">
        <v>16722.96</v>
      </c>
      <c r="N61" s="51">
        <v>2219.91</v>
      </c>
      <c r="O61" s="51">
        <v>6133.74</v>
      </c>
      <c r="P61" s="51">
        <v>1370.55</v>
      </c>
      <c r="Q61" s="51">
        <v>769.61</v>
      </c>
      <c r="R61" s="51">
        <v>18721.09</v>
      </c>
      <c r="S61" s="53">
        <v>0</v>
      </c>
      <c r="T61" s="54">
        <v>0</v>
      </c>
    </row>
    <row r="62" spans="2:20" hidden="1">
      <c r="B62" s="55" t="s">
        <v>60</v>
      </c>
      <c r="C62" s="10"/>
      <c r="D62" s="12"/>
      <c r="E62" s="12"/>
      <c r="F62" s="12"/>
      <c r="G62" s="12"/>
      <c r="H62" s="56"/>
      <c r="I62" s="12"/>
      <c r="J62" s="12"/>
      <c r="K62" s="12">
        <v>267472.02</v>
      </c>
      <c r="L62" s="12">
        <v>352336.88</v>
      </c>
      <c r="M62" s="12">
        <v>7553.71</v>
      </c>
      <c r="N62" s="12">
        <v>30313.52</v>
      </c>
      <c r="O62" s="12">
        <v>24393.48</v>
      </c>
      <c r="P62" s="12">
        <v>141533.45000000001</v>
      </c>
      <c r="Q62" s="12">
        <v>195.93</v>
      </c>
      <c r="R62" s="12">
        <v>0</v>
      </c>
      <c r="S62" s="57"/>
      <c r="T62" s="58"/>
    </row>
    <row r="63" spans="2:20" hidden="1">
      <c r="B63" s="55" t="s">
        <v>61</v>
      </c>
      <c r="C63" s="10"/>
      <c r="D63" s="12"/>
      <c r="E63" s="12"/>
      <c r="F63" s="12"/>
      <c r="G63" s="12"/>
      <c r="H63" s="56"/>
      <c r="I63" s="12"/>
      <c r="J63" s="12"/>
      <c r="K63" s="12"/>
      <c r="L63" s="12"/>
      <c r="M63" s="12"/>
      <c r="N63" s="12">
        <v>369030.43</v>
      </c>
      <c r="O63" s="12">
        <v>423312.79</v>
      </c>
      <c r="P63" s="12">
        <v>64.94</v>
      </c>
      <c r="Q63" s="12">
        <v>50516</v>
      </c>
      <c r="R63" s="12">
        <v>0</v>
      </c>
      <c r="S63" s="57"/>
      <c r="T63" s="58"/>
    </row>
    <row r="64" spans="2:20" hidden="1">
      <c r="B64" s="55" t="s">
        <v>62</v>
      </c>
      <c r="C64" s="10"/>
      <c r="D64" s="12"/>
      <c r="E64" s="12"/>
      <c r="F64" s="12"/>
      <c r="G64" s="12"/>
      <c r="H64" s="56"/>
      <c r="I64" s="12"/>
      <c r="J64" s="12"/>
      <c r="K64" s="11"/>
      <c r="L64" s="11"/>
      <c r="M64" s="12">
        <v>300000</v>
      </c>
      <c r="N64" s="12"/>
      <c r="O64" s="12"/>
      <c r="P64" s="12">
        <v>409600</v>
      </c>
      <c r="Q64" s="12">
        <v>421429.15</v>
      </c>
      <c r="R64" s="12">
        <v>0</v>
      </c>
      <c r="S64" s="57"/>
      <c r="T64" s="58"/>
    </row>
    <row r="65" spans="2:20" hidden="1">
      <c r="B65" s="55" t="s">
        <v>63</v>
      </c>
      <c r="C65" s="10"/>
      <c r="D65" s="12"/>
      <c r="E65" s="12"/>
      <c r="F65" s="12"/>
      <c r="G65" s="12"/>
      <c r="H65" s="56"/>
      <c r="I65" s="12"/>
      <c r="J65" s="12"/>
      <c r="K65" s="11"/>
      <c r="L65" s="11"/>
      <c r="M65" s="12"/>
      <c r="N65" s="12"/>
      <c r="O65" s="12"/>
      <c r="P65" s="12"/>
      <c r="Q65" s="12"/>
      <c r="R65" s="12">
        <v>313218.14</v>
      </c>
      <c r="S65" s="12">
        <v>356441.29</v>
      </c>
      <c r="T65" s="58">
        <v>269087.82</v>
      </c>
    </row>
    <row r="66" spans="2:20" hidden="1">
      <c r="B66" s="55" t="s">
        <v>64</v>
      </c>
      <c r="C66" s="10"/>
      <c r="D66" s="12"/>
      <c r="E66" s="12"/>
      <c r="F66" s="12"/>
      <c r="G66" s="12"/>
      <c r="H66" s="56"/>
      <c r="I66" s="12"/>
      <c r="J66" s="12"/>
      <c r="K66" s="11"/>
      <c r="L66" s="11"/>
      <c r="M66" s="12"/>
      <c r="N66" s="12"/>
      <c r="O66" s="12"/>
      <c r="P66" s="12"/>
      <c r="Q66" s="12"/>
      <c r="R66" s="12">
        <v>6000</v>
      </c>
      <c r="S66" s="12">
        <v>18056.740000000002</v>
      </c>
      <c r="T66" s="58">
        <v>30221.87</v>
      </c>
    </row>
    <row r="67" spans="2:20" hidden="1">
      <c r="B67" s="55" t="s">
        <v>65</v>
      </c>
      <c r="C67" s="10"/>
      <c r="D67" s="12"/>
      <c r="E67" s="12"/>
      <c r="F67" s="12"/>
      <c r="G67" s="12"/>
      <c r="H67" s="56"/>
      <c r="I67" s="12"/>
      <c r="J67" s="12">
        <f>77.05*J58</f>
        <v>9531.3161500000006</v>
      </c>
      <c r="K67" s="12">
        <f>509.12*K58</f>
        <v>61557.699199999995</v>
      </c>
      <c r="L67" s="12">
        <f>521.14*L58</f>
        <v>64195.328050000004</v>
      </c>
      <c r="M67" s="12">
        <f>531.23*M58</f>
        <v>72868.819099999993</v>
      </c>
      <c r="N67" s="12">
        <f>32.61*N58</f>
        <v>4526.5941000000003</v>
      </c>
      <c r="O67" s="12">
        <f>32.91*O58</f>
        <v>4551.4529999999995</v>
      </c>
      <c r="P67" s="12">
        <f>33.15*P58</f>
        <v>4631.7179999999998</v>
      </c>
      <c r="Q67" s="12">
        <f>33.28*Q58</f>
        <v>4666.1888000000008</v>
      </c>
      <c r="R67" s="12">
        <f>33.35*R58</f>
        <v>4672.6685000000007</v>
      </c>
      <c r="S67" s="12">
        <f>33.35*S58</f>
        <v>4590.6275000000005</v>
      </c>
      <c r="T67" s="58">
        <f>33.35*T58</f>
        <v>4511.2545000000009</v>
      </c>
    </row>
    <row r="68" spans="2:20" hidden="1">
      <c r="B68" s="55" t="s">
        <v>66</v>
      </c>
      <c r="C68" s="10"/>
      <c r="D68" s="12"/>
      <c r="E68" s="12"/>
      <c r="F68" s="12"/>
      <c r="G68" s="12"/>
      <c r="H68" s="56"/>
      <c r="I68" s="12"/>
      <c r="J68" s="12"/>
      <c r="K68" s="12">
        <v>199880.48</v>
      </c>
      <c r="L68" s="12">
        <v>205948.52</v>
      </c>
      <c r="M68" s="12">
        <v>0</v>
      </c>
      <c r="N68" s="12"/>
      <c r="O68" s="12">
        <v>762214.11</v>
      </c>
      <c r="P68" s="12">
        <v>792056.09</v>
      </c>
      <c r="Q68" s="12">
        <v>807500</v>
      </c>
      <c r="R68" s="12">
        <v>848924.75</v>
      </c>
      <c r="S68" s="12">
        <v>0</v>
      </c>
      <c r="T68" s="58"/>
    </row>
    <row r="69" spans="2:20" hidden="1">
      <c r="B69" s="55" t="s">
        <v>67</v>
      </c>
      <c r="C69" s="10"/>
      <c r="D69" s="12"/>
      <c r="E69" s="12"/>
      <c r="F69" s="12"/>
      <c r="G69" s="12"/>
      <c r="H69" s="56"/>
      <c r="I69" s="12"/>
      <c r="J69" s="12"/>
      <c r="K69" s="12">
        <v>0.11</v>
      </c>
      <c r="L69" s="12">
        <v>0.11</v>
      </c>
      <c r="M69" s="12">
        <v>3181.53</v>
      </c>
      <c r="N69" s="12">
        <v>36951.25</v>
      </c>
      <c r="O69" s="12">
        <v>1.37</v>
      </c>
      <c r="P69" s="12">
        <v>1.37</v>
      </c>
      <c r="Q69" s="12">
        <v>17.09</v>
      </c>
      <c r="R69" s="12">
        <v>17.09</v>
      </c>
      <c r="S69" s="12">
        <v>980.34</v>
      </c>
      <c r="T69" s="58">
        <v>0</v>
      </c>
    </row>
    <row r="70" spans="2:20" hidden="1">
      <c r="B70" s="55" t="s">
        <v>66</v>
      </c>
      <c r="C70" s="10"/>
      <c r="D70" s="12"/>
      <c r="E70" s="12"/>
      <c r="F70" s="12"/>
      <c r="G70" s="12"/>
      <c r="H70" s="56"/>
      <c r="I70" s="12"/>
      <c r="J70" s="12"/>
      <c r="K70" s="12"/>
      <c r="L70" s="12"/>
      <c r="M70" s="12">
        <v>145000</v>
      </c>
      <c r="N70" s="12">
        <v>145000</v>
      </c>
      <c r="O70" s="12">
        <v>0</v>
      </c>
      <c r="P70" s="12">
        <v>0</v>
      </c>
      <c r="Q70" s="12"/>
      <c r="R70" s="12"/>
      <c r="S70" s="12"/>
      <c r="T70" s="58"/>
    </row>
    <row r="71" spans="2:20" hidden="1">
      <c r="B71" s="55" t="s">
        <v>66</v>
      </c>
      <c r="C71" s="10"/>
      <c r="D71" s="12"/>
      <c r="E71" s="12"/>
      <c r="F71" s="12"/>
      <c r="G71" s="12"/>
      <c r="H71" s="56"/>
      <c r="I71" s="12"/>
      <c r="J71" s="12"/>
      <c r="K71" s="12"/>
      <c r="L71" s="12"/>
      <c r="M71" s="12">
        <v>62552</v>
      </c>
      <c r="N71" s="12">
        <v>62552</v>
      </c>
      <c r="O71" s="12">
        <v>0</v>
      </c>
      <c r="P71" s="12">
        <v>0</v>
      </c>
      <c r="Q71" s="12"/>
      <c r="R71" s="12"/>
      <c r="S71" s="12"/>
      <c r="T71" s="58"/>
    </row>
    <row r="72" spans="2:20" hidden="1">
      <c r="B72" s="55" t="s">
        <v>68</v>
      </c>
      <c r="C72" s="10"/>
      <c r="D72" s="12"/>
      <c r="E72" s="12"/>
      <c r="F72" s="12"/>
      <c r="G72" s="12"/>
      <c r="H72" s="56"/>
      <c r="I72" s="12"/>
      <c r="J72" s="12"/>
      <c r="K72" s="12"/>
      <c r="L72" s="12">
        <f>1429.49*L58</f>
        <v>176088.15192500001</v>
      </c>
      <c r="M72" s="12">
        <f>1997.1*M58</f>
        <v>273942.20699999994</v>
      </c>
      <c r="N72" s="12">
        <f>6.92*N58</f>
        <v>960.5652</v>
      </c>
      <c r="O72" s="12">
        <f>206.99*O58</f>
        <v>28626.717000000004</v>
      </c>
      <c r="P72" s="12">
        <f>208.31*P58</f>
        <v>29105.073199999999</v>
      </c>
      <c r="Q72" s="12">
        <f>210.1*Q58</f>
        <v>29458.120999999999</v>
      </c>
      <c r="R72" s="12">
        <f>211.16*R58</f>
        <v>29585.627600000003</v>
      </c>
      <c r="S72" s="12">
        <f>211.24*S58</f>
        <v>29077.186000000002</v>
      </c>
      <c r="T72" s="58">
        <f>2908.29*T58</f>
        <v>393404.38830000005</v>
      </c>
    </row>
    <row r="73" spans="2:20" hidden="1">
      <c r="B73" s="55" t="s">
        <v>69</v>
      </c>
      <c r="C73" s="10"/>
      <c r="D73" s="12"/>
      <c r="E73" s="12"/>
      <c r="F73" s="12"/>
      <c r="G73" s="12"/>
      <c r="H73" s="56"/>
      <c r="I73" s="12"/>
      <c r="J73" s="12"/>
      <c r="K73" s="12"/>
      <c r="L73" s="12"/>
      <c r="M73" s="12"/>
      <c r="N73" s="12">
        <f>2444*N58</f>
        <v>339251.64</v>
      </c>
      <c r="O73" s="12">
        <f>2444*O58</f>
        <v>338005.2</v>
      </c>
      <c r="P73" s="12">
        <f>2586.58*P58</f>
        <v>361396.95759999997</v>
      </c>
      <c r="Q73" s="12">
        <f>(2586.58+51.24)*Q58</f>
        <v>369848.74219999998</v>
      </c>
      <c r="R73" s="12">
        <f>(2637.82+52.23)*R58</f>
        <v>376902.90550000005</v>
      </c>
      <c r="S73" s="12">
        <f>(2690.05+4.57)*S58</f>
        <v>370914.44300000009</v>
      </c>
      <c r="T73" s="58"/>
    </row>
    <row r="74" spans="2:20" hidden="1">
      <c r="B74" s="55" t="s">
        <v>70</v>
      </c>
      <c r="C74" s="10"/>
      <c r="D74" s="12"/>
      <c r="E74" s="12"/>
      <c r="F74" s="12"/>
      <c r="G74" s="12"/>
      <c r="H74" s="56"/>
      <c r="I74" s="12"/>
      <c r="J74" s="12"/>
      <c r="K74" s="12"/>
      <c r="L74" s="12"/>
      <c r="M74" s="12"/>
      <c r="N74" s="12"/>
      <c r="O74" s="12">
        <f>350*O59</f>
        <v>36778</v>
      </c>
      <c r="P74" s="12">
        <f>350.91*P59</f>
        <v>37396.4787</v>
      </c>
      <c r="Q74" s="12">
        <f>352.17*Q59</f>
        <v>36055.164599999996</v>
      </c>
      <c r="R74" s="12">
        <f>353.03*R59</f>
        <v>40118.3292</v>
      </c>
      <c r="S74" s="12">
        <f>353.18*S59</f>
        <v>44726.715199999999</v>
      </c>
      <c r="T74" s="58">
        <f>353.48*T59</f>
        <v>45347.949200000003</v>
      </c>
    </row>
    <row r="75" spans="2:20" hidden="1">
      <c r="B75" s="55" t="s">
        <v>71</v>
      </c>
      <c r="C75" s="10"/>
      <c r="D75" s="12"/>
      <c r="E75" s="12"/>
      <c r="F75" s="12"/>
      <c r="G75" s="12"/>
      <c r="H75" s="56"/>
      <c r="I75" s="12"/>
      <c r="J75" s="12"/>
      <c r="K75" s="12"/>
      <c r="L75" s="12"/>
      <c r="M75" s="12"/>
      <c r="N75" s="12">
        <v>16171.85</v>
      </c>
      <c r="O75" s="12">
        <v>41168.550000000003</v>
      </c>
      <c r="P75" s="12">
        <v>42326.99</v>
      </c>
      <c r="Q75" s="12">
        <v>43912.82</v>
      </c>
      <c r="R75" s="12">
        <v>45001.04</v>
      </c>
      <c r="S75" s="12">
        <v>45193.87</v>
      </c>
      <c r="T75" s="58">
        <v>45539.28</v>
      </c>
    </row>
    <row r="76" spans="2:20" hidden="1">
      <c r="B76" s="55" t="s">
        <v>72</v>
      </c>
      <c r="C76" s="10"/>
      <c r="D76" s="12"/>
      <c r="E76" s="12"/>
      <c r="F76" s="12"/>
      <c r="G76" s="12"/>
      <c r="H76" s="56"/>
      <c r="I76" s="12"/>
      <c r="J76" s="12"/>
      <c r="K76" s="12"/>
      <c r="L76" s="12"/>
      <c r="M76" s="12"/>
      <c r="N76" s="12"/>
      <c r="O76" s="12"/>
      <c r="P76" s="12"/>
      <c r="Q76" s="12">
        <v>0</v>
      </c>
      <c r="R76" s="12">
        <v>0</v>
      </c>
      <c r="S76" s="12">
        <v>2152.48</v>
      </c>
      <c r="T76" s="58">
        <v>2152.48</v>
      </c>
    </row>
    <row r="77" spans="2:20" hidden="1">
      <c r="B77" s="55" t="s">
        <v>73</v>
      </c>
      <c r="C77" s="10"/>
      <c r="D77" s="10"/>
      <c r="E77" s="12"/>
      <c r="F77" s="12"/>
      <c r="G77" s="12"/>
      <c r="H77" s="56"/>
      <c r="I77" s="12"/>
      <c r="J77" s="12"/>
      <c r="K77" s="12"/>
      <c r="L77" s="12"/>
      <c r="M77" s="12"/>
      <c r="N77" s="12"/>
      <c r="O77" s="12"/>
      <c r="P77" s="12"/>
      <c r="Q77" s="12">
        <v>4000000</v>
      </c>
      <c r="R77" s="12">
        <v>4000000</v>
      </c>
      <c r="S77" s="12">
        <v>0</v>
      </c>
      <c r="T77" s="58">
        <v>0</v>
      </c>
    </row>
    <row r="78" spans="2:20" hidden="1">
      <c r="B78" s="55" t="s">
        <v>73</v>
      </c>
      <c r="C78" s="10"/>
      <c r="D78" s="10"/>
      <c r="E78" s="12"/>
      <c r="F78" s="12"/>
      <c r="G78" s="12"/>
      <c r="H78" s="56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>
        <v>100000</v>
      </c>
      <c r="T78" s="58">
        <v>0</v>
      </c>
    </row>
    <row r="79" spans="2:20" hidden="1">
      <c r="B79" s="55" t="s">
        <v>73</v>
      </c>
      <c r="C79" s="10"/>
      <c r="D79" s="10"/>
      <c r="E79" s="12"/>
      <c r="F79" s="12"/>
      <c r="G79" s="12"/>
      <c r="H79" s="56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>
        <v>750000</v>
      </c>
      <c r="T79" s="58">
        <v>750000</v>
      </c>
    </row>
    <row r="80" spans="2:20" hidden="1">
      <c r="B80" s="55" t="s">
        <v>74</v>
      </c>
      <c r="C80" s="10"/>
      <c r="D80" s="10"/>
      <c r="E80" s="12"/>
      <c r="F80" s="12"/>
      <c r="G80" s="12"/>
      <c r="H80" s="56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>
        <f>37355.38*S58</f>
        <v>5141968.057</v>
      </c>
      <c r="T80" s="58">
        <v>0</v>
      </c>
    </row>
    <row r="81" spans="2:20" hidden="1">
      <c r="B81" s="55" t="s">
        <v>75</v>
      </c>
      <c r="C81" s="10"/>
      <c r="D81" s="12"/>
      <c r="E81" s="12"/>
      <c r="F81" s="12"/>
      <c r="G81" s="12"/>
      <c r="H81" s="56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57"/>
      <c r="T81" s="59">
        <f>43000*T58</f>
        <v>5816610</v>
      </c>
    </row>
    <row r="82" spans="2:20" hidden="1">
      <c r="B82" s="55" t="s">
        <v>76</v>
      </c>
      <c r="C82" s="60"/>
      <c r="D82" s="61"/>
      <c r="E82" s="61"/>
      <c r="F82" s="61"/>
      <c r="G82" s="61"/>
      <c r="H82" s="62"/>
      <c r="I82" s="61"/>
      <c r="J82" s="61"/>
      <c r="K82" s="61"/>
      <c r="L82" s="61"/>
      <c r="M82" s="61"/>
      <c r="N82" s="61"/>
      <c r="O82" s="61">
        <v>505</v>
      </c>
      <c r="P82" s="61"/>
      <c r="Q82" s="61"/>
      <c r="R82" s="61"/>
      <c r="S82" s="61"/>
      <c r="T82" s="63"/>
    </row>
    <row r="83" spans="2:20" hidden="1">
      <c r="B83" s="55" t="s">
        <v>77</v>
      </c>
      <c r="C83" s="60"/>
      <c r="D83" s="61"/>
      <c r="E83" s="61"/>
      <c r="F83" s="61"/>
      <c r="G83" s="61"/>
      <c r="H83" s="62"/>
      <c r="I83" s="61"/>
      <c r="J83" s="61">
        <v>47</v>
      </c>
      <c r="K83" s="61">
        <v>47</v>
      </c>
      <c r="L83" s="61">
        <v>47</v>
      </c>
      <c r="M83" s="61">
        <v>0</v>
      </c>
      <c r="N83" s="61">
        <v>0</v>
      </c>
      <c r="O83" s="61">
        <v>0</v>
      </c>
      <c r="P83" s="61"/>
      <c r="Q83" s="61"/>
      <c r="R83" s="61"/>
      <c r="S83" s="61"/>
      <c r="T83" s="63"/>
    </row>
    <row r="84" spans="2:20" hidden="1">
      <c r="B84" s="55" t="s">
        <v>78</v>
      </c>
      <c r="C84" s="60"/>
      <c r="D84" s="61"/>
      <c r="E84" s="61"/>
      <c r="F84" s="61"/>
      <c r="G84" s="61"/>
      <c r="H84" s="62"/>
      <c r="I84" s="61"/>
      <c r="J84" s="61">
        <v>5001.03</v>
      </c>
      <c r="K84" s="61">
        <v>4101.03</v>
      </c>
      <c r="L84" s="61">
        <v>303317.90000000002</v>
      </c>
      <c r="M84" s="61">
        <v>203546.26</v>
      </c>
      <c r="N84" s="61">
        <v>202829.38</v>
      </c>
      <c r="O84" s="61">
        <v>202111.23</v>
      </c>
      <c r="P84" s="61"/>
      <c r="Q84" s="61"/>
      <c r="R84" s="61"/>
      <c r="S84" s="61"/>
      <c r="T84" s="63"/>
    </row>
    <row r="85" spans="2:20" ht="15.75" hidden="1" thickBot="1">
      <c r="B85" s="64"/>
      <c r="C85" s="65"/>
      <c r="D85" s="65"/>
      <c r="E85" s="66"/>
      <c r="F85" s="66"/>
      <c r="G85" s="66"/>
      <c r="H85" s="67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8"/>
    </row>
    <row r="86" spans="2:20" hidden="1"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</row>
    <row r="87" spans="2:20" hidden="1">
      <c r="B87" s="6" t="s">
        <v>14</v>
      </c>
      <c r="C87" s="26">
        <f t="shared" ref="C87:T87" si="11">+SUM(C55:C56)</f>
        <v>0</v>
      </c>
      <c r="D87" s="26">
        <f t="shared" si="11"/>
        <v>0</v>
      </c>
      <c r="E87" s="26">
        <f t="shared" si="11"/>
        <v>0</v>
      </c>
      <c r="F87" s="26">
        <f t="shared" si="11"/>
        <v>0</v>
      </c>
      <c r="G87" s="26">
        <f t="shared" si="11"/>
        <v>0</v>
      </c>
      <c r="H87" s="26">
        <f t="shared" si="11"/>
        <v>0</v>
      </c>
      <c r="I87" s="26">
        <f t="shared" si="11"/>
        <v>97420.25</v>
      </c>
      <c r="J87" s="26">
        <f t="shared" si="11"/>
        <v>392270.64615000004</v>
      </c>
      <c r="K87" s="26">
        <f t="shared" si="11"/>
        <v>817334.27919999999</v>
      </c>
      <c r="L87" s="26">
        <f t="shared" si="11"/>
        <v>1362123.5599750001</v>
      </c>
      <c r="M87" s="26">
        <f t="shared" si="11"/>
        <v>1585367.4860999999</v>
      </c>
      <c r="N87" s="26">
        <f t="shared" si="11"/>
        <v>1709807.1392999999</v>
      </c>
      <c r="O87" s="26">
        <f t="shared" si="11"/>
        <v>5433801.6399999997</v>
      </c>
      <c r="P87" s="26">
        <f t="shared" si="11"/>
        <v>5485483.6174999997</v>
      </c>
      <c r="Q87" s="26">
        <f t="shared" si="11"/>
        <v>9430368.8166000005</v>
      </c>
      <c r="R87" s="26">
        <f t="shared" si="11"/>
        <v>9349161.6407999992</v>
      </c>
      <c r="S87" s="26">
        <f t="shared" si="11"/>
        <v>10530101.7487</v>
      </c>
      <c r="T87" s="26">
        <f t="shared" si="11"/>
        <v>12375575.041999999</v>
      </c>
    </row>
    <row r="88" spans="2:20" hidden="1">
      <c r="B88" s="6" t="s">
        <v>79</v>
      </c>
      <c r="C88" s="26">
        <f>+C87</f>
        <v>0</v>
      </c>
      <c r="D88" s="26">
        <f t="shared" ref="D88:F88" si="12">+D87-C87</f>
        <v>0</v>
      </c>
      <c r="E88" s="26">
        <f t="shared" si="12"/>
        <v>0</v>
      </c>
      <c r="F88" s="26">
        <f t="shared" si="12"/>
        <v>0</v>
      </c>
      <c r="G88" s="26">
        <f>+G87-F87</f>
        <v>0</v>
      </c>
      <c r="H88" s="26">
        <f t="shared" ref="H88" si="13">+H87-G87</f>
        <v>0</v>
      </c>
      <c r="I88" s="26">
        <f>+I87-H87</f>
        <v>97420.25</v>
      </c>
      <c r="J88" s="26">
        <f t="shared" ref="J88" si="14">+J87-I87</f>
        <v>294850.39615000004</v>
      </c>
      <c r="K88" s="26">
        <f>+K87-J87</f>
        <v>425063.63304999995</v>
      </c>
      <c r="L88" s="26">
        <f>+L87-K87</f>
        <v>544789.28077500011</v>
      </c>
      <c r="M88" s="26">
        <f t="shared" ref="M88:N88" si="15">+M87-L87</f>
        <v>223243.92612499977</v>
      </c>
      <c r="N88" s="26">
        <f t="shared" si="15"/>
        <v>124439.65320000006</v>
      </c>
      <c r="O88" s="26">
        <f>+O87-N87</f>
        <v>3723994.5006999997</v>
      </c>
      <c r="P88" s="26">
        <f t="shared" ref="P88" si="16">+P87-O87</f>
        <v>51681.977500000037</v>
      </c>
      <c r="Q88" s="26">
        <f>+Q87-P87</f>
        <v>3944885.1991000008</v>
      </c>
      <c r="R88" s="26">
        <f>+R87-Q87</f>
        <v>-81207.175800001249</v>
      </c>
      <c r="S88" s="26">
        <f t="shared" ref="S88" si="17">+S87-R87</f>
        <v>1180940.1079000011</v>
      </c>
      <c r="T88" s="26">
        <f>+T87-S87</f>
        <v>1845473.2932999991</v>
      </c>
    </row>
    <row r="89" spans="2:20"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</row>
    <row r="90" spans="2:20" ht="13.5" customHeight="1"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</row>
    <row r="91" spans="2:20" ht="13.5" customHeight="1"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</row>
    <row r="92" spans="2:20" ht="13.5" customHeight="1"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</row>
    <row r="93" spans="2:20" ht="13.5" customHeight="1"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</row>
    <row r="94" spans="2:20" ht="13.5" customHeight="1"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</row>
    <row r="95" spans="2:20" ht="13.5" customHeight="1"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</row>
    <row r="96" spans="2:20" ht="13.5" customHeight="1"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</row>
    <row r="97" spans="3:20" ht="13.5" customHeight="1"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</row>
    <row r="98" spans="3:20" ht="13.5" customHeight="1"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</row>
    <row r="99" spans="3:20" ht="13.5" customHeight="1"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</row>
    <row r="100" spans="3:20" ht="13.5" customHeight="1"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</row>
    <row r="101" spans="3:20" ht="13.5" customHeight="1"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</row>
    <row r="102" spans="3:20" ht="13.5" customHeight="1"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</row>
    <row r="103" spans="3:20" ht="13.5" customHeight="1"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</row>
    <row r="104" spans="3:20" ht="13.5" customHeight="1"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</row>
    <row r="105" spans="3:20" ht="13.5" customHeight="1"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</row>
    <row r="106" spans="3:20" ht="13.5" customHeight="1"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</row>
    <row r="107" spans="3:20" ht="13.5" customHeight="1"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3:20" ht="13.5" customHeight="1"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 spans="3:20" ht="13.5" customHeight="1"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</row>
    <row r="110" spans="3:20" ht="13.5" customHeight="1"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</row>
    <row r="111" spans="3:20" ht="13.5" customHeight="1"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</row>
    <row r="112" spans="3:20" ht="13.5" customHeight="1"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</row>
    <row r="113" spans="3:20" ht="13.5" customHeight="1"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</row>
    <row r="114" spans="3:20" ht="13.5" customHeight="1"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</row>
    <row r="115" spans="3:20" ht="13.5" customHeight="1"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</row>
    <row r="116" spans="3:20" ht="13.5" customHeight="1"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</row>
    <row r="117" spans="3:20" ht="13.5" customHeight="1"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</row>
    <row r="118" spans="3:20" ht="13.5" customHeight="1"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</row>
    <row r="119" spans="3:20" ht="13.5" customHeight="1"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</row>
    <row r="120" spans="3:20" ht="13.5" customHeight="1"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</row>
    <row r="121" spans="3:20" ht="13.5" customHeight="1"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</row>
  </sheetData>
  <conditionalFormatting sqref="B59">
    <cfRule type="cellIs" dxfId="2" priority="3" operator="lessThan">
      <formula>0</formula>
    </cfRule>
  </conditionalFormatting>
  <conditionalFormatting sqref="C41:T41">
    <cfRule type="cellIs" dxfId="1" priority="2" operator="lessThan">
      <formula>0</formula>
    </cfRule>
  </conditionalFormatting>
  <conditionalFormatting sqref="T42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Analiza Financiare Perkthim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Ornela Ismalaja</dc:creator>
  <cp:lastModifiedBy>Admin</cp:lastModifiedBy>
  <dcterms:created xsi:type="dcterms:W3CDTF">2025-05-19T10:07:09Z</dcterms:created>
  <dcterms:modified xsi:type="dcterms:W3CDTF">2025-05-19T10:32:17Z</dcterms:modified>
</cp:coreProperties>
</file>