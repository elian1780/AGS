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KPA 2025\0. PAGA\2. SHKURT 2025\pagat me email\"/>
    </mc:Choice>
  </mc:AlternateContent>
  <bookViews>
    <workbookView xWindow="0" yWindow="0" windowWidth="26670" windowHeight="109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2" i="1" l="1"/>
  <c r="U12" i="1"/>
  <c r="P12" i="1"/>
  <c r="K12" i="1"/>
  <c r="J12" i="1" s="1"/>
  <c r="F12" i="1"/>
  <c r="R12" i="1" l="1"/>
  <c r="X12" i="1" l="1"/>
  <c r="V12" i="1"/>
  <c r="Y12" i="1" l="1"/>
  <c r="AA12" i="1" s="1"/>
  <c r="AE11" i="1" l="1"/>
</calcChain>
</file>

<file path=xl/sharedStrings.xml><?xml version="1.0" encoding="utf-8"?>
<sst xmlns="http://schemas.openxmlformats.org/spreadsheetml/2006/main" count="35" uniqueCount="34">
  <si>
    <t>Republika e Shqipërisë</t>
  </si>
  <si>
    <t>Gjykata Kushtetuese</t>
  </si>
  <si>
    <t>Kolegji i Posaçëm i Apelimit</t>
  </si>
  <si>
    <t>Borderoja e pagave për personelin e Kolegjit të Posaçem të Apelimit për muajin Shkurt 2025</t>
  </si>
  <si>
    <t>në lekë</t>
  </si>
  <si>
    <t>Nr</t>
  </si>
  <si>
    <t>Emer Mbiemer</t>
  </si>
  <si>
    <t>Funksioni</t>
  </si>
  <si>
    <t>Dite punë</t>
  </si>
  <si>
    <t>Paga referuese</t>
  </si>
  <si>
    <t>Paga e Grupit</t>
  </si>
  <si>
    <t>Shuma</t>
  </si>
  <si>
    <t>Paga bruto fillestare (G*)</t>
  </si>
  <si>
    <t>Vite vjetersi pune</t>
  </si>
  <si>
    <t xml:space="preserve">Shtesa për pozicion </t>
  </si>
  <si>
    <t>Paga bruto për ditët me raport</t>
  </si>
  <si>
    <t xml:space="preserve">Shtesa për vështirësi pune </t>
  </si>
  <si>
    <t>Shpërblim</t>
  </si>
  <si>
    <t>Shtesë page për natyre të veçantë</t>
  </si>
  <si>
    <t>Shtesë për orët jashtë kohës normale të punës</t>
  </si>
  <si>
    <t xml:space="preserve">Total paga bruto mujore </t>
  </si>
  <si>
    <t xml:space="preserve">Paga mbi të cilën llogariten sigurimet shoqërore  </t>
  </si>
  <si>
    <t>Sigurim vullnetar</t>
  </si>
  <si>
    <t>Sigurimet shoqërore nga punëmarrësi 9.5%</t>
  </si>
  <si>
    <t xml:space="preserve">Sigurimet shëndetësore nga punëmarrësi 1.7% </t>
  </si>
  <si>
    <t xml:space="preserve">Sigurimi suplementar </t>
  </si>
  <si>
    <t>TAP</t>
  </si>
  <si>
    <t>Totali ndalesat nga paga</t>
  </si>
  <si>
    <t>Diference nga periudha te kaluara</t>
  </si>
  <si>
    <t>Paga mujore neto</t>
  </si>
  <si>
    <t>në vite</t>
  </si>
  <si>
    <t xml:space="preserve"> </t>
  </si>
  <si>
    <t>Arben Kumaraku</t>
  </si>
  <si>
    <t>Perkthyes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</si>
</sst>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L_e_k_-;\-* #,##0.00_L_e_k_-;_-* &quot;-&quot;??_L_e_k_-;_-@_-"/>
    <numFmt numFmtId="165" formatCode="_-* #,##0_L_e_k_-;\-* #,##0_L_e_k_-;_-* &quot;-&quot;??_L_e_k_-;_-@_-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9" fillId="0" borderId="0"/>
  </cellStyleXfs>
  <cellXfs count="104">
    <xf numFmtId="0" fontId="0" fillId="0" borderId="0" xfId="0"/>
    <xf numFmtId="0" fontId="3" fillId="0" borderId="0" xfId="2" applyFont="1" applyFill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165" fontId="5" fillId="0" borderId="0" xfId="3" applyNumberFormat="1" applyFont="1" applyFill="1" applyBorder="1" applyAlignment="1">
      <alignment horizontal="center"/>
    </xf>
    <xf numFmtId="165" fontId="5" fillId="0" borderId="0" xfId="3" applyNumberFormat="1" applyFont="1" applyFill="1" applyBorder="1"/>
    <xf numFmtId="0" fontId="4" fillId="0" borderId="0" xfId="2" applyFont="1" applyFill="1"/>
    <xf numFmtId="0" fontId="1" fillId="0" borderId="0" xfId="0" applyFont="1" applyFill="1"/>
    <xf numFmtId="0" fontId="6" fillId="0" borderId="1" xfId="2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/>
    <xf numFmtId="0" fontId="6" fillId="0" borderId="0" xfId="0" applyFont="1" applyFill="1"/>
    <xf numFmtId="3" fontId="6" fillId="0" borderId="0" xfId="3" applyNumberFormat="1" applyFont="1" applyFill="1" applyBorder="1" applyAlignment="1">
      <alignment horizontal="right" vertical="center"/>
    </xf>
    <xf numFmtId="3" fontId="6" fillId="0" borderId="0" xfId="3" applyNumberFormat="1" applyFont="1" applyFill="1" applyBorder="1" applyAlignment="1">
      <alignment horizontal="center" vertical="center"/>
    </xf>
    <xf numFmtId="3" fontId="6" fillId="0" borderId="0" xfId="2" applyNumberFormat="1" applyFont="1" applyFill="1" applyAlignment="1" applyProtection="1">
      <alignment horizontal="right" vertical="center"/>
      <protection locked="0"/>
    </xf>
    <xf numFmtId="3" fontId="6" fillId="0" borderId="0" xfId="3" applyNumberFormat="1" applyFont="1" applyFill="1" applyBorder="1" applyAlignment="1" applyProtection="1">
      <alignment horizontal="right" vertical="center"/>
      <protection locked="0"/>
    </xf>
    <xf numFmtId="166" fontId="3" fillId="0" borderId="0" xfId="1" applyNumberFormat="1" applyFont="1" applyFill="1" applyBorder="1" applyAlignment="1">
      <alignment horizontal="right" vertical="center"/>
    </xf>
    <xf numFmtId="3" fontId="6" fillId="0" borderId="0" xfId="2" applyNumberFormat="1" applyFont="1" applyFill="1" applyAlignment="1">
      <alignment horizontal="right" vertical="center"/>
    </xf>
    <xf numFmtId="3" fontId="6" fillId="0" borderId="0" xfId="3" applyNumberFormat="1" applyFont="1" applyFill="1" applyBorder="1" applyAlignment="1">
      <alignment horizontal="right" vertical="center" wrapText="1"/>
    </xf>
    <xf numFmtId="0" fontId="6" fillId="0" borderId="0" xfId="2" applyFont="1" applyFill="1"/>
    <xf numFmtId="0" fontId="7" fillId="0" borderId="0" xfId="0" applyFont="1" applyFill="1" applyAlignment="1">
      <alignment horizontal="center"/>
    </xf>
    <xf numFmtId="0" fontId="3" fillId="0" borderId="0" xfId="2" applyFont="1" applyFill="1" applyAlignment="1">
      <alignment horizontal="center" wrapText="1"/>
    </xf>
    <xf numFmtId="0" fontId="7" fillId="0" borderId="0" xfId="0" applyFont="1" applyFill="1"/>
    <xf numFmtId="0" fontId="7" fillId="0" borderId="0" xfId="0" applyFont="1" applyFill="1" applyAlignment="1">
      <alignment horizontal="right"/>
    </xf>
    <xf numFmtId="0" fontId="8" fillId="0" borderId="0" xfId="0" applyFont="1" applyFill="1"/>
    <xf numFmtId="0" fontId="3" fillId="0" borderId="2" xfId="2" applyFont="1" applyFill="1" applyBorder="1" applyAlignment="1">
      <alignment horizontal="center" vertical="center"/>
    </xf>
    <xf numFmtId="166" fontId="5" fillId="0" borderId="3" xfId="3" applyNumberFormat="1" applyFont="1" applyFill="1" applyBorder="1" applyAlignment="1">
      <alignment horizontal="center" vertical="center" wrapText="1"/>
    </xf>
    <xf numFmtId="0" fontId="3" fillId="0" borderId="4" xfId="3" applyNumberFormat="1" applyFont="1" applyFill="1" applyBorder="1" applyAlignment="1">
      <alignment horizontal="center" vertical="center"/>
    </xf>
    <xf numFmtId="166" fontId="3" fillId="0" borderId="5" xfId="3" applyNumberFormat="1" applyFont="1" applyFill="1" applyBorder="1" applyAlignment="1">
      <alignment horizontal="center" vertical="center" wrapText="1"/>
    </xf>
    <xf numFmtId="3" fontId="3" fillId="0" borderId="6" xfId="3" applyNumberFormat="1" applyFont="1" applyFill="1" applyBorder="1" applyAlignment="1">
      <alignment horizontal="center" vertical="center"/>
    </xf>
    <xf numFmtId="3" fontId="3" fillId="0" borderId="3" xfId="3" applyNumberFormat="1" applyFont="1" applyFill="1" applyBorder="1" applyAlignment="1">
      <alignment horizontal="center" vertical="center"/>
    </xf>
    <xf numFmtId="3" fontId="3" fillId="0" borderId="4" xfId="3" applyNumberFormat="1" applyFont="1" applyFill="1" applyBorder="1" applyAlignment="1">
      <alignment horizontal="center" vertical="center"/>
    </xf>
    <xf numFmtId="166" fontId="3" fillId="0" borderId="2" xfId="3" applyNumberFormat="1" applyFont="1" applyFill="1" applyBorder="1" applyAlignment="1">
      <alignment horizontal="center" vertical="center" wrapText="1"/>
    </xf>
    <xf numFmtId="166" fontId="3" fillId="0" borderId="6" xfId="3" applyNumberFormat="1" applyFont="1" applyFill="1" applyBorder="1" applyAlignment="1">
      <alignment horizontal="center" vertical="center" wrapText="1"/>
    </xf>
    <xf numFmtId="166" fontId="3" fillId="0" borderId="3" xfId="3" applyNumberFormat="1" applyFont="1" applyFill="1" applyBorder="1" applyAlignment="1">
      <alignment horizontal="center" vertical="center" wrapText="1"/>
    </xf>
    <xf numFmtId="166" fontId="3" fillId="0" borderId="4" xfId="3" applyNumberFormat="1" applyFont="1" applyFill="1" applyBorder="1" applyAlignment="1">
      <alignment horizontal="center" vertical="center" wrapText="1"/>
    </xf>
    <xf numFmtId="166" fontId="3" fillId="0" borderId="7" xfId="3" applyNumberFormat="1" applyFont="1" applyFill="1" applyBorder="1" applyAlignment="1">
      <alignment horizontal="center" vertical="center" wrapText="1"/>
    </xf>
    <xf numFmtId="0" fontId="3" fillId="0" borderId="8" xfId="2" applyFont="1" applyFill="1" applyBorder="1" applyAlignment="1">
      <alignment horizontal="center" vertical="center"/>
    </xf>
    <xf numFmtId="166" fontId="3" fillId="0" borderId="1" xfId="3" applyNumberFormat="1" applyFont="1" applyFill="1" applyBorder="1" applyAlignment="1">
      <alignment horizontal="center" vertical="center" wrapText="1"/>
    </xf>
    <xf numFmtId="0" fontId="3" fillId="0" borderId="9" xfId="3" applyNumberFormat="1" applyFont="1" applyFill="1" applyBorder="1" applyAlignment="1">
      <alignment horizontal="center" vertical="center"/>
    </xf>
    <xf numFmtId="166" fontId="3" fillId="0" borderId="10" xfId="3" applyNumberFormat="1" applyFont="1" applyFill="1" applyBorder="1" applyAlignment="1">
      <alignment horizontal="center" vertical="center" wrapText="1"/>
    </xf>
    <xf numFmtId="166" fontId="3" fillId="0" borderId="11" xfId="3" applyNumberFormat="1" applyFont="1" applyFill="1" applyBorder="1" applyAlignment="1">
      <alignment horizontal="center" vertical="center" wrapText="1"/>
    </xf>
    <xf numFmtId="166" fontId="3" fillId="0" borderId="11" xfId="3" applyNumberFormat="1" applyFont="1" applyFill="1" applyBorder="1" applyAlignment="1">
      <alignment horizontal="center" vertical="center" wrapText="1"/>
    </xf>
    <xf numFmtId="3" fontId="3" fillId="0" borderId="1" xfId="3" applyNumberFormat="1" applyFont="1" applyFill="1" applyBorder="1" applyAlignment="1">
      <alignment horizontal="center" vertical="center" wrapText="1"/>
    </xf>
    <xf numFmtId="3" fontId="3" fillId="0" borderId="1" xfId="3" applyNumberFormat="1" applyFont="1" applyFill="1" applyBorder="1" applyAlignment="1">
      <alignment horizontal="right" vertical="center" wrapText="1"/>
    </xf>
    <xf numFmtId="165" fontId="3" fillId="0" borderId="1" xfId="3" applyNumberFormat="1" applyFont="1" applyFill="1" applyBorder="1" applyAlignment="1">
      <alignment horizontal="center" vertical="center" wrapText="1"/>
    </xf>
    <xf numFmtId="3" fontId="3" fillId="0" borderId="9" xfId="3" applyNumberFormat="1" applyFont="1" applyFill="1" applyBorder="1" applyAlignment="1">
      <alignment horizontal="center" vertical="center" wrapText="1"/>
    </xf>
    <xf numFmtId="166" fontId="3" fillId="0" borderId="8" xfId="3" applyNumberFormat="1" applyFont="1" applyFill="1" applyBorder="1" applyAlignment="1">
      <alignment horizontal="center" vertical="center" wrapText="1"/>
    </xf>
    <xf numFmtId="166" fontId="3" fillId="0" borderId="12" xfId="3" applyNumberFormat="1" applyFont="1" applyFill="1" applyBorder="1" applyAlignment="1">
      <alignment horizontal="center" vertical="center" wrapText="1"/>
    </xf>
    <xf numFmtId="166" fontId="3" fillId="0" borderId="13" xfId="3" applyNumberFormat="1" applyFont="1" applyFill="1" applyBorder="1" applyAlignment="1">
      <alignment horizontal="center" vertical="center" wrapText="1"/>
    </xf>
    <xf numFmtId="0" fontId="3" fillId="0" borderId="14" xfId="2" applyFont="1" applyFill="1" applyBorder="1" applyAlignment="1">
      <alignment horizontal="center" vertical="center"/>
    </xf>
    <xf numFmtId="166" fontId="3" fillId="0" borderId="15" xfId="3" applyNumberFormat="1" applyFont="1" applyFill="1" applyBorder="1" applyAlignment="1">
      <alignment horizontal="center" vertical="center" wrapText="1"/>
    </xf>
    <xf numFmtId="0" fontId="3" fillId="0" borderId="16" xfId="3" applyNumberFormat="1" applyFont="1" applyFill="1" applyBorder="1" applyAlignment="1">
      <alignment horizontal="center" vertical="center"/>
    </xf>
    <xf numFmtId="166" fontId="3" fillId="0" borderId="17" xfId="3" applyNumberFormat="1" applyFont="1" applyFill="1" applyBorder="1" applyAlignment="1">
      <alignment horizontal="center" vertical="center" wrapText="1"/>
    </xf>
    <xf numFmtId="166" fontId="3" fillId="0" borderId="18" xfId="3" applyNumberFormat="1" applyFont="1" applyFill="1" applyBorder="1" applyAlignment="1">
      <alignment horizontal="center" vertical="center" wrapText="1"/>
    </xf>
    <xf numFmtId="166" fontId="3" fillId="0" borderId="18" xfId="3" applyNumberFormat="1" applyFont="1" applyFill="1" applyBorder="1" applyAlignment="1">
      <alignment horizontal="center" vertical="center" wrapText="1"/>
    </xf>
    <xf numFmtId="3" fontId="3" fillId="0" borderId="15" xfId="3" applyNumberFormat="1" applyFont="1" applyFill="1" applyBorder="1" applyAlignment="1">
      <alignment horizontal="center" vertical="center" wrapText="1"/>
    </xf>
    <xf numFmtId="3" fontId="3" fillId="0" borderId="15" xfId="3" applyNumberFormat="1" applyFont="1" applyFill="1" applyBorder="1" applyAlignment="1">
      <alignment horizontal="right" vertical="center" wrapText="1"/>
    </xf>
    <xf numFmtId="3" fontId="6" fillId="0" borderId="15" xfId="3" applyNumberFormat="1" applyFont="1" applyFill="1" applyBorder="1" applyAlignment="1">
      <alignment horizontal="center" vertical="center" wrapText="1"/>
    </xf>
    <xf numFmtId="3" fontId="3" fillId="0" borderId="15" xfId="3" applyNumberFormat="1" applyFont="1" applyFill="1" applyBorder="1" applyAlignment="1">
      <alignment horizontal="center" vertical="center" wrapText="1"/>
    </xf>
    <xf numFmtId="165" fontId="3" fillId="0" borderId="15" xfId="3" applyNumberFormat="1" applyFont="1" applyFill="1" applyBorder="1" applyAlignment="1">
      <alignment horizontal="center" vertical="center" wrapText="1"/>
    </xf>
    <xf numFmtId="3" fontId="3" fillId="0" borderId="16" xfId="3" applyNumberFormat="1" applyFont="1" applyFill="1" applyBorder="1" applyAlignment="1">
      <alignment horizontal="center" vertical="center" wrapText="1"/>
    </xf>
    <xf numFmtId="166" fontId="3" fillId="0" borderId="14" xfId="3" applyNumberFormat="1" applyFont="1" applyFill="1" applyBorder="1" applyAlignment="1">
      <alignment horizontal="center" vertical="center" wrapText="1"/>
    </xf>
    <xf numFmtId="166" fontId="3" fillId="0" borderId="19" xfId="3" applyNumberFormat="1" applyFont="1" applyFill="1" applyBorder="1" applyAlignment="1">
      <alignment horizontal="center" vertical="center" wrapText="1"/>
    </xf>
    <xf numFmtId="166" fontId="3" fillId="0" borderId="20" xfId="3" applyNumberFormat="1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horizontal="center" vertical="center"/>
    </xf>
    <xf numFmtId="166" fontId="6" fillId="0" borderId="19" xfId="3" applyNumberFormat="1" applyFont="1" applyFill="1" applyBorder="1" applyAlignment="1">
      <alignment horizontal="center" vertical="center" wrapText="1"/>
    </xf>
    <xf numFmtId="0" fontId="6" fillId="0" borderId="22" xfId="3" applyNumberFormat="1" applyFont="1" applyFill="1" applyBorder="1" applyAlignment="1">
      <alignment horizontal="center" vertical="center"/>
    </xf>
    <xf numFmtId="166" fontId="6" fillId="0" borderId="23" xfId="3" applyNumberFormat="1" applyFont="1" applyFill="1" applyBorder="1" applyAlignment="1">
      <alignment horizontal="center" vertical="center" wrapText="1"/>
    </xf>
    <xf numFmtId="166" fontId="6" fillId="0" borderId="24" xfId="3" applyNumberFormat="1" applyFont="1" applyFill="1" applyBorder="1" applyAlignment="1">
      <alignment horizontal="center" vertical="center" wrapText="1"/>
    </xf>
    <xf numFmtId="3" fontId="6" fillId="0" borderId="19" xfId="3" applyNumberFormat="1" applyFont="1" applyFill="1" applyBorder="1" applyAlignment="1">
      <alignment horizontal="center" vertical="center" wrapText="1"/>
    </xf>
    <xf numFmtId="3" fontId="6" fillId="0" borderId="19" xfId="3" applyNumberFormat="1" applyFont="1" applyFill="1" applyBorder="1" applyAlignment="1">
      <alignment horizontal="right" vertical="center" wrapText="1"/>
    </xf>
    <xf numFmtId="0" fontId="6" fillId="0" borderId="19" xfId="3" applyNumberFormat="1" applyFont="1" applyFill="1" applyBorder="1" applyAlignment="1">
      <alignment horizontal="center" vertical="center"/>
    </xf>
    <xf numFmtId="165" fontId="6" fillId="0" borderId="19" xfId="3" applyNumberFormat="1" applyFont="1" applyFill="1" applyBorder="1" applyAlignment="1">
      <alignment horizontal="center" vertical="center"/>
    </xf>
    <xf numFmtId="0" fontId="3" fillId="0" borderId="22" xfId="3" applyNumberFormat="1" applyFont="1" applyFill="1" applyBorder="1" applyAlignment="1">
      <alignment horizontal="center" vertical="center"/>
    </xf>
    <xf numFmtId="0" fontId="6" fillId="0" borderId="21" xfId="3" applyNumberFormat="1" applyFont="1" applyFill="1" applyBorder="1" applyAlignment="1">
      <alignment horizontal="center" vertical="center"/>
    </xf>
    <xf numFmtId="0" fontId="6" fillId="0" borderId="24" xfId="3" applyNumberFormat="1" applyFont="1" applyFill="1" applyBorder="1" applyAlignment="1">
      <alignment horizontal="center" vertical="center"/>
    </xf>
    <xf numFmtId="165" fontId="6" fillId="0" borderId="19" xfId="3" applyNumberFormat="1" applyFont="1" applyFill="1" applyBorder="1" applyAlignment="1">
      <alignment horizontal="center" vertical="center" wrapText="1"/>
    </xf>
    <xf numFmtId="165" fontId="6" fillId="0" borderId="22" xfId="3" applyNumberFormat="1" applyFont="1" applyFill="1" applyBorder="1" applyAlignment="1">
      <alignment horizontal="center" vertical="center" wrapText="1"/>
    </xf>
    <xf numFmtId="165" fontId="6" fillId="0" borderId="25" xfId="3" applyNumberFormat="1" applyFont="1" applyFill="1" applyBorder="1" applyAlignment="1">
      <alignment horizontal="center" vertical="center"/>
    </xf>
    <xf numFmtId="166" fontId="1" fillId="0" borderId="0" xfId="0" applyNumberFormat="1" applyFont="1" applyFill="1"/>
    <xf numFmtId="0" fontId="6" fillId="0" borderId="26" xfId="2" applyFont="1" applyFill="1" applyBorder="1" applyAlignment="1">
      <alignment horizontal="center" vertical="center"/>
    </xf>
    <xf numFmtId="0" fontId="6" fillId="0" borderId="29" xfId="2" applyFont="1" applyFill="1" applyBorder="1" applyAlignment="1">
      <alignment horizontal="right" vertical="center"/>
    </xf>
    <xf numFmtId="3" fontId="6" fillId="0" borderId="27" xfId="2" applyNumberFormat="1" applyFont="1" applyFill="1" applyBorder="1" applyAlignment="1">
      <alignment horizontal="right" vertical="center"/>
    </xf>
    <xf numFmtId="3" fontId="6" fillId="0" borderId="27" xfId="3" applyNumberFormat="1" applyFont="1" applyFill="1" applyBorder="1" applyAlignment="1">
      <alignment horizontal="right" vertical="center" wrapText="1"/>
    </xf>
    <xf numFmtId="3" fontId="6" fillId="0" borderId="28" xfId="3" applyNumberFormat="1" applyFont="1" applyFill="1" applyBorder="1" applyAlignment="1">
      <alignment horizontal="right" vertical="center" wrapText="1"/>
    </xf>
    <xf numFmtId="3" fontId="6" fillId="0" borderId="30" xfId="3" applyNumberFormat="1" applyFont="1" applyFill="1" applyBorder="1" applyAlignment="1">
      <alignment horizontal="right" vertical="center"/>
    </xf>
    <xf numFmtId="0" fontId="6" fillId="0" borderId="9" xfId="2" applyFont="1" applyFill="1" applyBorder="1" applyAlignment="1" applyProtection="1">
      <alignment horizontal="left" vertical="center"/>
      <protection locked="0"/>
    </xf>
    <xf numFmtId="3" fontId="6" fillId="0" borderId="1" xfId="3" applyNumberFormat="1" applyFont="1" applyFill="1" applyBorder="1" applyAlignment="1">
      <alignment horizontal="right" vertical="center"/>
    </xf>
    <xf numFmtId="3" fontId="6" fillId="0" borderId="1" xfId="3" applyNumberFormat="1" applyFont="1" applyFill="1" applyBorder="1" applyAlignment="1" applyProtection="1">
      <alignment horizontal="right" vertical="center"/>
      <protection locked="0"/>
    </xf>
    <xf numFmtId="3" fontId="6" fillId="0" borderId="11" xfId="2" applyNumberFormat="1" applyFont="1" applyFill="1" applyBorder="1" applyAlignment="1">
      <alignment horizontal="right" vertical="center"/>
    </xf>
    <xf numFmtId="3" fontId="6" fillId="0" borderId="1" xfId="2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center" vertical="center"/>
    </xf>
    <xf numFmtId="3" fontId="6" fillId="0" borderId="1" xfId="2" applyNumberFormat="1" applyFont="1" applyFill="1" applyBorder="1" applyAlignment="1" applyProtection="1">
      <alignment horizontal="right" vertical="center"/>
      <protection locked="0"/>
    </xf>
    <xf numFmtId="3" fontId="6" fillId="0" borderId="9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center"/>
    </xf>
    <xf numFmtId="3" fontId="6" fillId="0" borderId="1" xfId="3" applyNumberFormat="1" applyFont="1" applyFill="1" applyBorder="1" applyAlignment="1">
      <alignment horizontal="right" vertical="center" wrapText="1"/>
    </xf>
    <xf numFmtId="3" fontId="1" fillId="0" borderId="0" xfId="0" applyNumberFormat="1" applyFont="1" applyFill="1"/>
    <xf numFmtId="165" fontId="4" fillId="0" borderId="0" xfId="3" applyNumberFormat="1" applyFont="1" applyFill="1" applyBorder="1"/>
    <xf numFmtId="0" fontId="4" fillId="0" borderId="0" xfId="2" applyFont="1" applyFill="1" applyAlignment="1">
      <alignment horizontal="center"/>
    </xf>
    <xf numFmtId="165" fontId="4" fillId="0" borderId="0" xfId="3" applyNumberFormat="1" applyFont="1" applyFill="1" applyBorder="1" applyAlignment="1">
      <alignment horizontal="right"/>
    </xf>
    <xf numFmtId="0" fontId="5" fillId="0" borderId="0" xfId="2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2" fillId="0" borderId="0" xfId="0" applyFont="1" applyFill="1"/>
  </cellXfs>
  <cellStyles count="5">
    <cellStyle name="Comma" xfId="1" builtinId="3"/>
    <cellStyle name="Comma 7" xfId="3"/>
    <cellStyle name="Normal" xfId="0" builtinId="0"/>
    <cellStyle name="Normal 2" xfId="4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040"/>
  <sheetViews>
    <sheetView tabSelected="1" workbookViewId="0">
      <selection activeCell="A13" sqref="A13:XFD141"/>
    </sheetView>
  </sheetViews>
  <sheetFormatPr defaultColWidth="9.140625" defaultRowHeight="15" outlineLevelCol="1" x14ac:dyDescent="0.25"/>
  <cols>
    <col min="1" max="1" width="5.140625" style="7" customWidth="1"/>
    <col min="2" max="2" width="19.7109375" style="7" customWidth="1"/>
    <col min="3" max="3" width="15.5703125" style="101" customWidth="1"/>
    <col min="4" max="4" width="5.7109375" style="99" customWidth="1"/>
    <col min="5" max="5" width="12.85546875" style="99" customWidth="1"/>
    <col min="6" max="6" width="11.140625" style="99" customWidth="1"/>
    <col min="7" max="7" width="13.28515625" style="98" customWidth="1"/>
    <col min="8" max="8" width="13" style="98" customWidth="1"/>
    <col min="9" max="9" width="13" style="100" customWidth="1"/>
    <col min="10" max="10" width="12.85546875" style="99" customWidth="1"/>
    <col min="11" max="11" width="13.5703125" style="7" customWidth="1"/>
    <col min="12" max="12" width="13.42578125" style="7" customWidth="1"/>
    <col min="13" max="13" width="11.28515625" style="7" customWidth="1"/>
    <col min="14" max="14" width="12.7109375" style="5" customWidth="1"/>
    <col min="15" max="15" width="12.28515625" style="5" customWidth="1"/>
    <col min="16" max="17" width="10.7109375" style="5" customWidth="1"/>
    <col min="18" max="18" width="16" style="6" customWidth="1"/>
    <col min="19" max="19" width="15.28515625" style="6" customWidth="1" outlineLevel="1"/>
    <col min="20" max="20" width="9.7109375" style="6" customWidth="1" outlineLevel="1"/>
    <col min="21" max="21" width="12.42578125" style="6" customWidth="1"/>
    <col min="22" max="22" width="11.5703125" style="6" customWidth="1"/>
    <col min="23" max="23" width="15.85546875" style="6" customWidth="1"/>
    <col min="24" max="24" width="12.7109375" style="6" customWidth="1"/>
    <col min="25" max="26" width="13" style="6" customWidth="1"/>
    <col min="27" max="27" width="14.140625" style="7" customWidth="1"/>
    <col min="28" max="28" width="10.85546875" style="8" customWidth="1"/>
    <col min="29" max="29" width="10.5703125" style="8" bestFit="1" customWidth="1"/>
    <col min="30" max="16384" width="9.140625" style="8"/>
  </cols>
  <sheetData>
    <row r="1" spans="1:31" x14ac:dyDescent="0.25">
      <c r="A1" s="1" t="s">
        <v>0</v>
      </c>
      <c r="B1" s="2"/>
      <c r="C1" s="3"/>
      <c r="D1" s="2"/>
      <c r="E1" s="2"/>
      <c r="F1" s="2"/>
      <c r="G1" s="2"/>
      <c r="H1" s="2"/>
      <c r="I1" s="4"/>
      <c r="J1" s="2"/>
      <c r="K1" s="2"/>
      <c r="L1" s="2"/>
      <c r="M1" s="2"/>
    </row>
    <row r="2" spans="1:31" x14ac:dyDescent="0.25">
      <c r="A2" s="1" t="s">
        <v>1</v>
      </c>
      <c r="B2" s="2"/>
      <c r="C2" s="3"/>
      <c r="D2" s="2"/>
      <c r="E2" s="2"/>
      <c r="F2" s="9"/>
      <c r="G2" s="2"/>
      <c r="H2" s="2"/>
      <c r="I2" s="4"/>
      <c r="J2" s="2"/>
      <c r="K2" s="2"/>
      <c r="L2" s="2"/>
      <c r="M2" s="2"/>
    </row>
    <row r="3" spans="1:31" x14ac:dyDescent="0.25">
      <c r="A3" s="1" t="s">
        <v>2</v>
      </c>
      <c r="B3" s="10"/>
      <c r="C3" s="10"/>
      <c r="D3" s="11"/>
      <c r="E3" s="12"/>
      <c r="F3" s="13"/>
      <c r="G3" s="12"/>
      <c r="H3" s="12"/>
      <c r="I3" s="14"/>
      <c r="J3" s="12"/>
      <c r="K3" s="12"/>
      <c r="L3" s="12"/>
      <c r="M3" s="15"/>
      <c r="N3" s="15"/>
      <c r="O3" s="15"/>
      <c r="P3" s="15"/>
      <c r="Q3" s="16"/>
      <c r="R3" s="17"/>
      <c r="S3" s="17"/>
      <c r="T3" s="18"/>
      <c r="U3" s="18"/>
      <c r="V3" s="18"/>
      <c r="W3" s="17"/>
      <c r="X3" s="18"/>
      <c r="Y3" s="12"/>
      <c r="Z3" s="12"/>
      <c r="AA3" s="19"/>
    </row>
    <row r="4" spans="1:31" ht="15.75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31" ht="15.75" x14ac:dyDescent="0.25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2"/>
      <c r="Y5" s="22"/>
      <c r="Z5" s="22"/>
      <c r="AA5" s="22" t="s">
        <v>4</v>
      </c>
    </row>
    <row r="6" spans="1:31" ht="15.75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2"/>
      <c r="Y6" s="22"/>
      <c r="Z6" s="22"/>
      <c r="AA6" s="22"/>
    </row>
    <row r="7" spans="1:31" ht="16.5" thickBot="1" x14ac:dyDescent="0.3">
      <c r="A7" s="19"/>
      <c r="B7" s="11"/>
      <c r="C7" s="11"/>
      <c r="D7" s="11"/>
      <c r="E7" s="22"/>
      <c r="F7" s="22"/>
      <c r="G7" s="22"/>
      <c r="H7" s="22"/>
      <c r="I7" s="23"/>
      <c r="J7" s="24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1" x14ac:dyDescent="0.25">
      <c r="A8" s="25" t="s">
        <v>5</v>
      </c>
      <c r="B8" s="26" t="s">
        <v>6</v>
      </c>
      <c r="C8" s="27" t="s">
        <v>7</v>
      </c>
      <c r="D8" s="28" t="s">
        <v>8</v>
      </c>
      <c r="E8" s="29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1"/>
      <c r="S8" s="32"/>
      <c r="T8" s="33"/>
      <c r="U8" s="34"/>
      <c r="V8" s="34"/>
      <c r="W8" s="34"/>
      <c r="X8" s="34"/>
      <c r="Y8" s="34"/>
      <c r="Z8" s="35"/>
      <c r="AA8" s="36"/>
    </row>
    <row r="9" spans="1:31" x14ac:dyDescent="0.25">
      <c r="A9" s="37"/>
      <c r="B9" s="38"/>
      <c r="C9" s="39"/>
      <c r="D9" s="40"/>
      <c r="E9" s="41" t="s">
        <v>9</v>
      </c>
      <c r="F9" s="42"/>
      <c r="G9" s="38" t="s">
        <v>10</v>
      </c>
      <c r="H9" s="43" t="s">
        <v>11</v>
      </c>
      <c r="I9" s="44" t="s">
        <v>12</v>
      </c>
      <c r="J9" s="43" t="s">
        <v>13</v>
      </c>
      <c r="K9" s="43"/>
      <c r="L9" s="43" t="s">
        <v>14</v>
      </c>
      <c r="M9" s="43" t="s">
        <v>15</v>
      </c>
      <c r="N9" s="45" t="s">
        <v>16</v>
      </c>
      <c r="O9" s="45" t="s">
        <v>17</v>
      </c>
      <c r="P9" s="45" t="s">
        <v>18</v>
      </c>
      <c r="Q9" s="45" t="s">
        <v>19</v>
      </c>
      <c r="R9" s="46" t="s">
        <v>20</v>
      </c>
      <c r="S9" s="47" t="s">
        <v>21</v>
      </c>
      <c r="T9" s="48" t="s">
        <v>22</v>
      </c>
      <c r="U9" s="38" t="s">
        <v>23</v>
      </c>
      <c r="V9" s="38" t="s">
        <v>24</v>
      </c>
      <c r="W9" s="38" t="s">
        <v>25</v>
      </c>
      <c r="X9" s="38" t="s">
        <v>26</v>
      </c>
      <c r="Y9" s="43" t="s">
        <v>27</v>
      </c>
      <c r="Z9" s="49" t="s">
        <v>28</v>
      </c>
      <c r="AA9" s="49" t="s">
        <v>29</v>
      </c>
    </row>
    <row r="10" spans="1:31" ht="46.5" customHeight="1" thickBot="1" x14ac:dyDescent="0.3">
      <c r="A10" s="50"/>
      <c r="B10" s="51"/>
      <c r="C10" s="52"/>
      <c r="D10" s="53"/>
      <c r="E10" s="54"/>
      <c r="F10" s="55"/>
      <c r="G10" s="51"/>
      <c r="H10" s="56"/>
      <c r="I10" s="57"/>
      <c r="J10" s="58" t="s">
        <v>30</v>
      </c>
      <c r="K10" s="59" t="s">
        <v>4</v>
      </c>
      <c r="L10" s="56"/>
      <c r="M10" s="56"/>
      <c r="N10" s="60"/>
      <c r="O10" s="60"/>
      <c r="P10" s="60"/>
      <c r="Q10" s="60"/>
      <c r="R10" s="61"/>
      <c r="S10" s="62"/>
      <c r="T10" s="63"/>
      <c r="U10" s="51"/>
      <c r="V10" s="51"/>
      <c r="W10" s="51"/>
      <c r="X10" s="51"/>
      <c r="Y10" s="56"/>
      <c r="Z10" s="64"/>
      <c r="AA10" s="64"/>
    </row>
    <row r="11" spans="1:31" ht="15.75" thickBot="1" x14ac:dyDescent="0.3">
      <c r="A11" s="65" t="s">
        <v>31</v>
      </c>
      <c r="B11" s="66">
        <v>2</v>
      </c>
      <c r="C11" s="67">
        <v>3</v>
      </c>
      <c r="D11" s="68">
        <v>4</v>
      </c>
      <c r="E11" s="69">
        <v>5</v>
      </c>
      <c r="F11" s="69"/>
      <c r="G11" s="66">
        <v>6</v>
      </c>
      <c r="H11" s="70">
        <v>7</v>
      </c>
      <c r="I11" s="71">
        <v>8</v>
      </c>
      <c r="J11" s="72">
        <v>9</v>
      </c>
      <c r="K11" s="72">
        <v>10</v>
      </c>
      <c r="L11" s="72">
        <v>11</v>
      </c>
      <c r="M11" s="72">
        <v>12</v>
      </c>
      <c r="N11" s="73">
        <v>13</v>
      </c>
      <c r="O11" s="73">
        <v>14</v>
      </c>
      <c r="P11" s="73">
        <v>15</v>
      </c>
      <c r="Q11" s="73">
        <v>16</v>
      </c>
      <c r="R11" s="74">
        <v>17</v>
      </c>
      <c r="S11" s="75">
        <v>18</v>
      </c>
      <c r="T11" s="76"/>
      <c r="U11" s="72">
        <v>19</v>
      </c>
      <c r="V11" s="73">
        <v>20</v>
      </c>
      <c r="W11" s="73">
        <v>21</v>
      </c>
      <c r="X11" s="73">
        <v>23</v>
      </c>
      <c r="Y11" s="77">
        <v>24</v>
      </c>
      <c r="Z11" s="78">
        <v>25</v>
      </c>
      <c r="AA11" s="79">
        <v>26</v>
      </c>
      <c r="AC11" s="8">
        <v>656707</v>
      </c>
      <c r="AE11" s="80" t="e">
        <f>#REF!-AC11</f>
        <v>#REF!</v>
      </c>
    </row>
    <row r="12" spans="1:31" ht="28.5" customHeight="1" x14ac:dyDescent="0.25">
      <c r="A12" s="81">
        <v>39</v>
      </c>
      <c r="B12" s="9" t="s">
        <v>32</v>
      </c>
      <c r="C12" s="87" t="s">
        <v>33</v>
      </c>
      <c r="D12" s="82">
        <v>22</v>
      </c>
      <c r="E12" s="90"/>
      <c r="F12" s="92">
        <f t="shared" ref="F12" si="0">14000*D12/22</f>
        <v>14000</v>
      </c>
      <c r="G12" s="88"/>
      <c r="H12" s="88"/>
      <c r="I12" s="93">
        <v>18</v>
      </c>
      <c r="J12" s="88">
        <f>K12*12.4%</f>
        <v>19220</v>
      </c>
      <c r="K12" s="88">
        <f>155000*D12/22</f>
        <v>155000</v>
      </c>
      <c r="L12" s="88"/>
      <c r="M12" s="89"/>
      <c r="N12" s="89"/>
      <c r="O12" s="89"/>
      <c r="P12" s="89">
        <f>155000/10*D12/22</f>
        <v>15500</v>
      </c>
      <c r="Q12" s="94"/>
      <c r="R12" s="95">
        <f t="shared" ref="R12" si="1">F12+J12+K12+L12+M12+N12+O12+P12+Q12</f>
        <v>203720</v>
      </c>
      <c r="S12" s="91">
        <v>176416</v>
      </c>
      <c r="T12" s="96"/>
      <c r="U12" s="84">
        <f t="shared" ref="U12" si="2">S12*9.5/100</f>
        <v>16759.52</v>
      </c>
      <c r="V12" s="84">
        <f t="shared" ref="V12" si="3">R12*1.7%</f>
        <v>3463.2400000000002</v>
      </c>
      <c r="W12" s="91"/>
      <c r="X12" s="83">
        <f t="shared" ref="X12" si="4">(R12-200000)*23%+22100</f>
        <v>22955.599999999999</v>
      </c>
      <c r="Y12" s="84">
        <f t="shared" ref="Y12" si="5">T12+U12+V12+W12+X12</f>
        <v>43178.36</v>
      </c>
      <c r="Z12" s="85"/>
      <c r="AA12" s="86">
        <f t="shared" ref="AA12" si="6">ROUND(R12-Y12+Z12,0)</f>
        <v>160542</v>
      </c>
      <c r="AB12" s="97"/>
      <c r="AC12" s="8">
        <v>117362</v>
      </c>
      <c r="AE12" s="80" t="e">
        <f>#REF!-AC12</f>
        <v>#REF!</v>
      </c>
    </row>
    <row r="13" spans="1:31" x14ac:dyDescent="0.25">
      <c r="AE13" s="80"/>
    </row>
    <row r="14" spans="1:31" x14ac:dyDescent="0.25">
      <c r="AE14" s="80"/>
    </row>
    <row r="15" spans="1:31" x14ac:dyDescent="0.25">
      <c r="AE15" s="80"/>
    </row>
    <row r="16" spans="1:31" x14ac:dyDescent="0.25">
      <c r="AE16" s="80"/>
    </row>
    <row r="58393" spans="19:27" x14ac:dyDescent="0.25">
      <c r="S58393" s="8"/>
      <c r="T58393" s="8"/>
      <c r="U58393" s="8"/>
      <c r="V58393" s="8"/>
      <c r="W58393" s="8"/>
      <c r="X58393" s="8"/>
      <c r="Y58393" s="8"/>
      <c r="Z58393" s="8"/>
      <c r="AA58393" s="8"/>
    </row>
    <row r="58394" spans="19:27" x14ac:dyDescent="0.25">
      <c r="S58394" s="8"/>
      <c r="T58394" s="8"/>
      <c r="U58394" s="8"/>
      <c r="V58394" s="8"/>
      <c r="W58394" s="8"/>
      <c r="X58394" s="8"/>
      <c r="Y58394" s="8"/>
      <c r="Z58394" s="8"/>
      <c r="AA58394" s="8"/>
    </row>
    <row r="58395" spans="19:27" x14ac:dyDescent="0.25">
      <c r="S58395" s="8"/>
      <c r="T58395" s="8"/>
      <c r="U58395" s="8"/>
      <c r="V58395" s="8"/>
      <c r="W58395" s="8"/>
      <c r="X58395" s="8"/>
      <c r="Y58395" s="8"/>
      <c r="Z58395" s="8"/>
      <c r="AA58395" s="8"/>
    </row>
    <row r="58396" spans="19:27" x14ac:dyDescent="0.25">
      <c r="S58396" s="8"/>
      <c r="T58396" s="8"/>
      <c r="U58396" s="8"/>
      <c r="V58396" s="8"/>
      <c r="W58396" s="8"/>
      <c r="X58396" s="8"/>
      <c r="Y58396" s="8"/>
      <c r="Z58396" s="8"/>
      <c r="AA58396" s="8"/>
    </row>
    <row r="58397" spans="19:27" x14ac:dyDescent="0.25">
      <c r="S58397" s="8"/>
      <c r="T58397" s="8"/>
      <c r="U58397" s="8"/>
      <c r="V58397" s="8"/>
      <c r="W58397" s="8"/>
      <c r="X58397" s="8"/>
      <c r="Y58397" s="8"/>
      <c r="Z58397" s="8"/>
      <c r="AA58397" s="8"/>
    </row>
    <row r="58398" spans="19:27" x14ac:dyDescent="0.25">
      <c r="S58398" s="8"/>
      <c r="T58398" s="8"/>
      <c r="U58398" s="8"/>
      <c r="V58398" s="8"/>
      <c r="W58398" s="8"/>
      <c r="X58398" s="8"/>
      <c r="Y58398" s="8"/>
      <c r="Z58398" s="8"/>
      <c r="AA58398" s="8"/>
    </row>
    <row r="58399" spans="19:27" x14ac:dyDescent="0.25">
      <c r="S58399" s="8"/>
      <c r="T58399" s="8"/>
      <c r="U58399" s="8"/>
      <c r="V58399" s="8"/>
      <c r="W58399" s="8"/>
      <c r="X58399" s="8"/>
      <c r="Y58399" s="8"/>
      <c r="Z58399" s="8"/>
      <c r="AA58399" s="8"/>
    </row>
    <row r="58400" spans="19:27" x14ac:dyDescent="0.25">
      <c r="S58400" s="8"/>
      <c r="T58400" s="8"/>
      <c r="U58400" s="8"/>
      <c r="V58400" s="8"/>
      <c r="W58400" s="8"/>
      <c r="X58400" s="8"/>
      <c r="Y58400" s="8"/>
      <c r="Z58400" s="8"/>
      <c r="AA58400" s="8"/>
    </row>
    <row r="58401" spans="19:27" x14ac:dyDescent="0.25">
      <c r="S58401" s="8"/>
      <c r="T58401" s="8"/>
      <c r="U58401" s="8"/>
      <c r="V58401" s="8"/>
      <c r="W58401" s="8"/>
      <c r="X58401" s="8"/>
      <c r="Y58401" s="8"/>
      <c r="Z58401" s="8"/>
      <c r="AA58401" s="8"/>
    </row>
    <row r="58402" spans="19:27" x14ac:dyDescent="0.25">
      <c r="S58402" s="8"/>
      <c r="T58402" s="8"/>
      <c r="U58402" s="8"/>
      <c r="V58402" s="8"/>
      <c r="W58402" s="8"/>
      <c r="X58402" s="8"/>
      <c r="Y58402" s="8"/>
      <c r="Z58402" s="8"/>
      <c r="AA58402" s="8"/>
    </row>
    <row r="58403" spans="19:27" x14ac:dyDescent="0.25">
      <c r="S58403" s="8"/>
      <c r="T58403" s="8"/>
      <c r="U58403" s="8"/>
      <c r="V58403" s="8"/>
      <c r="W58403" s="8"/>
      <c r="X58403" s="8"/>
      <c r="Y58403" s="8"/>
      <c r="Z58403" s="8"/>
      <c r="AA58403" s="8"/>
    </row>
    <row r="58404" spans="19:27" x14ac:dyDescent="0.25">
      <c r="S58404" s="8"/>
      <c r="T58404" s="8"/>
      <c r="U58404" s="8"/>
      <c r="V58404" s="8"/>
      <c r="W58404" s="8"/>
      <c r="X58404" s="8"/>
      <c r="Y58404" s="8"/>
      <c r="Z58404" s="8"/>
      <c r="AA58404" s="8"/>
    </row>
    <row r="58405" spans="19:27" x14ac:dyDescent="0.25">
      <c r="S58405" s="8"/>
      <c r="T58405" s="8"/>
      <c r="U58405" s="8"/>
      <c r="V58405" s="8"/>
      <c r="W58405" s="8"/>
      <c r="X58405" s="8"/>
      <c r="Y58405" s="8"/>
      <c r="Z58405" s="8"/>
      <c r="AA58405" s="8"/>
    </row>
    <row r="58406" spans="19:27" x14ac:dyDescent="0.25">
      <c r="S58406" s="8"/>
      <c r="T58406" s="8"/>
      <c r="U58406" s="8"/>
      <c r="V58406" s="8"/>
      <c r="W58406" s="8"/>
      <c r="X58406" s="8"/>
      <c r="Y58406" s="8"/>
      <c r="Z58406" s="8"/>
      <c r="AA58406" s="8"/>
    </row>
    <row r="58407" spans="19:27" x14ac:dyDescent="0.25">
      <c r="S58407" s="8"/>
      <c r="T58407" s="8"/>
      <c r="U58407" s="8"/>
      <c r="V58407" s="8"/>
      <c r="W58407" s="8"/>
      <c r="X58407" s="8"/>
      <c r="Y58407" s="8"/>
      <c r="Z58407" s="8"/>
      <c r="AA58407" s="8"/>
    </row>
    <row r="58408" spans="19:27" x14ac:dyDescent="0.25">
      <c r="S58408" s="8"/>
      <c r="T58408" s="8"/>
      <c r="U58408" s="8"/>
      <c r="V58408" s="8"/>
      <c r="W58408" s="8"/>
      <c r="X58408" s="8"/>
      <c r="Y58408" s="8"/>
      <c r="Z58408" s="8"/>
      <c r="AA58408" s="8"/>
    </row>
    <row r="58409" spans="19:27" x14ac:dyDescent="0.25">
      <c r="S58409" s="8"/>
      <c r="T58409" s="8"/>
      <c r="U58409" s="8"/>
      <c r="V58409" s="8"/>
      <c r="W58409" s="8"/>
      <c r="X58409" s="8"/>
      <c r="Y58409" s="8"/>
      <c r="Z58409" s="8"/>
      <c r="AA58409" s="8"/>
    </row>
    <row r="58410" spans="19:27" x14ac:dyDescent="0.25">
      <c r="S58410" s="8"/>
      <c r="T58410" s="8"/>
      <c r="U58410" s="8"/>
      <c r="V58410" s="8"/>
      <c r="W58410" s="8"/>
      <c r="X58410" s="8"/>
      <c r="Y58410" s="8"/>
      <c r="Z58410" s="8"/>
      <c r="AA58410" s="8"/>
    </row>
    <row r="58411" spans="19:27" x14ac:dyDescent="0.25">
      <c r="S58411" s="8"/>
      <c r="T58411" s="8"/>
      <c r="U58411" s="8"/>
      <c r="V58411" s="8"/>
      <c r="W58411" s="8"/>
      <c r="X58411" s="8"/>
      <c r="Y58411" s="8"/>
      <c r="Z58411" s="8"/>
      <c r="AA58411" s="8"/>
    </row>
    <row r="58412" spans="19:27" x14ac:dyDescent="0.25">
      <c r="S58412" s="8"/>
      <c r="T58412" s="8"/>
      <c r="U58412" s="8"/>
      <c r="V58412" s="8"/>
      <c r="W58412" s="8"/>
      <c r="X58412" s="8"/>
      <c r="Y58412" s="8"/>
      <c r="Z58412" s="8"/>
      <c r="AA58412" s="8"/>
    </row>
    <row r="58413" spans="19:27" x14ac:dyDescent="0.25">
      <c r="S58413" s="8"/>
      <c r="T58413" s="8"/>
      <c r="U58413" s="8"/>
      <c r="V58413" s="8"/>
      <c r="W58413" s="8"/>
      <c r="X58413" s="8"/>
      <c r="Y58413" s="8"/>
      <c r="Z58413" s="8"/>
      <c r="AA58413" s="8"/>
    </row>
    <row r="58414" spans="19:27" x14ac:dyDescent="0.25">
      <c r="S58414" s="8"/>
      <c r="T58414" s="8"/>
      <c r="U58414" s="8"/>
      <c r="V58414" s="8"/>
      <c r="W58414" s="8"/>
      <c r="X58414" s="8"/>
      <c r="Y58414" s="8"/>
      <c r="Z58414" s="8"/>
      <c r="AA58414" s="8"/>
    </row>
    <row r="58415" spans="19:27" x14ac:dyDescent="0.25">
      <c r="S58415" s="8"/>
      <c r="T58415" s="8"/>
      <c r="U58415" s="8"/>
      <c r="V58415" s="8"/>
      <c r="W58415" s="8"/>
      <c r="X58415" s="8"/>
      <c r="Y58415" s="8"/>
      <c r="Z58415" s="8"/>
      <c r="AA58415" s="8"/>
    </row>
    <row r="58416" spans="19:27" x14ac:dyDescent="0.25">
      <c r="S58416" s="8"/>
      <c r="T58416" s="8"/>
      <c r="U58416" s="8"/>
      <c r="V58416" s="8"/>
      <c r="W58416" s="8"/>
      <c r="X58416" s="8"/>
      <c r="Y58416" s="8"/>
      <c r="Z58416" s="8"/>
      <c r="AA58416" s="8"/>
    </row>
    <row r="58417" spans="19:27" x14ac:dyDescent="0.25">
      <c r="S58417" s="8"/>
      <c r="T58417" s="8"/>
      <c r="U58417" s="8"/>
      <c r="V58417" s="8"/>
      <c r="W58417" s="8"/>
      <c r="X58417" s="8"/>
      <c r="Y58417" s="8"/>
      <c r="Z58417" s="8"/>
      <c r="AA58417" s="8"/>
    </row>
    <row r="58418" spans="19:27" x14ac:dyDescent="0.25">
      <c r="S58418" s="8"/>
      <c r="T58418" s="8"/>
      <c r="U58418" s="8"/>
      <c r="V58418" s="8"/>
      <c r="W58418" s="8"/>
      <c r="X58418" s="8"/>
      <c r="Y58418" s="8"/>
      <c r="Z58418" s="8"/>
      <c r="AA58418" s="8"/>
    </row>
    <row r="58419" spans="19:27" x14ac:dyDescent="0.25">
      <c r="S58419" s="8"/>
      <c r="T58419" s="8"/>
      <c r="U58419" s="8"/>
      <c r="V58419" s="8"/>
      <c r="W58419" s="8"/>
      <c r="X58419" s="8"/>
      <c r="Y58419" s="8"/>
      <c r="Z58419" s="8"/>
      <c r="AA58419" s="8"/>
    </row>
    <row r="58420" spans="19:27" x14ac:dyDescent="0.25">
      <c r="S58420" s="8"/>
      <c r="T58420" s="8"/>
      <c r="U58420" s="8"/>
      <c r="V58420" s="8"/>
      <c r="W58420" s="8"/>
      <c r="X58420" s="8"/>
      <c r="Y58420" s="8"/>
      <c r="Z58420" s="8"/>
      <c r="AA58420" s="8"/>
    </row>
    <row r="58421" spans="19:27" x14ac:dyDescent="0.25">
      <c r="S58421" s="8"/>
      <c r="T58421" s="8"/>
      <c r="U58421" s="8"/>
      <c r="V58421" s="8"/>
      <c r="W58421" s="8"/>
      <c r="X58421" s="8"/>
      <c r="Y58421" s="8"/>
      <c r="Z58421" s="8"/>
      <c r="AA58421" s="8"/>
    </row>
    <row r="58422" spans="19:27" x14ac:dyDescent="0.25">
      <c r="S58422" s="8"/>
      <c r="T58422" s="8"/>
      <c r="U58422" s="8"/>
      <c r="V58422" s="8"/>
      <c r="W58422" s="8"/>
      <c r="X58422" s="8"/>
      <c r="Y58422" s="8"/>
      <c r="Z58422" s="8"/>
      <c r="AA58422" s="8"/>
    </row>
    <row r="58423" spans="19:27" x14ac:dyDescent="0.25">
      <c r="S58423" s="8"/>
      <c r="T58423" s="8"/>
      <c r="U58423" s="8"/>
      <c r="V58423" s="8"/>
      <c r="W58423" s="8"/>
      <c r="X58423" s="8"/>
      <c r="Y58423" s="8"/>
      <c r="Z58423" s="8"/>
      <c r="AA58423" s="8"/>
    </row>
    <row r="58424" spans="19:27" x14ac:dyDescent="0.25">
      <c r="S58424" s="8"/>
      <c r="T58424" s="8"/>
      <c r="U58424" s="8"/>
      <c r="V58424" s="8"/>
      <c r="W58424" s="8"/>
      <c r="X58424" s="8"/>
      <c r="Y58424" s="8"/>
      <c r="Z58424" s="8"/>
      <c r="AA58424" s="8"/>
    </row>
    <row r="58425" spans="19:27" x14ac:dyDescent="0.25">
      <c r="S58425" s="8"/>
      <c r="T58425" s="8"/>
      <c r="U58425" s="8"/>
      <c r="V58425" s="8"/>
      <c r="W58425" s="8"/>
      <c r="X58425" s="8"/>
      <c r="Y58425" s="8"/>
      <c r="Z58425" s="8"/>
      <c r="AA58425" s="8"/>
    </row>
    <row r="58426" spans="19:27" x14ac:dyDescent="0.25">
      <c r="S58426" s="8"/>
      <c r="T58426" s="8"/>
      <c r="U58426" s="8"/>
      <c r="V58426" s="8"/>
      <c r="W58426" s="8"/>
      <c r="X58426" s="8"/>
      <c r="Y58426" s="8"/>
      <c r="Z58426" s="8"/>
      <c r="AA58426" s="8"/>
    </row>
    <row r="58427" spans="19:27" x14ac:dyDescent="0.25">
      <c r="S58427" s="8"/>
      <c r="T58427" s="8"/>
      <c r="U58427" s="8"/>
      <c r="V58427" s="8"/>
      <c r="W58427" s="8"/>
      <c r="X58427" s="8"/>
      <c r="Y58427" s="8"/>
      <c r="Z58427" s="8"/>
      <c r="AA58427" s="8"/>
    </row>
    <row r="58428" spans="19:27" x14ac:dyDescent="0.25">
      <c r="S58428" s="8"/>
      <c r="T58428" s="8"/>
      <c r="U58428" s="8"/>
      <c r="V58428" s="8"/>
      <c r="W58428" s="8"/>
      <c r="X58428" s="8"/>
      <c r="Y58428" s="8"/>
      <c r="Z58428" s="8"/>
      <c r="AA58428" s="8"/>
    </row>
    <row r="58429" spans="19:27" x14ac:dyDescent="0.25">
      <c r="S58429" s="8"/>
      <c r="T58429" s="8"/>
      <c r="U58429" s="8"/>
      <c r="V58429" s="8"/>
      <c r="W58429" s="8"/>
      <c r="X58429" s="8"/>
      <c r="Y58429" s="8"/>
      <c r="Z58429" s="8"/>
      <c r="AA58429" s="8"/>
    </row>
    <row r="58430" spans="19:27" x14ac:dyDescent="0.25">
      <c r="S58430" s="8"/>
      <c r="T58430" s="8"/>
      <c r="U58430" s="8"/>
      <c r="V58430" s="8"/>
      <c r="W58430" s="8"/>
      <c r="X58430" s="8"/>
      <c r="Y58430" s="8"/>
      <c r="Z58430" s="8"/>
      <c r="AA58430" s="8"/>
    </row>
    <row r="58431" spans="19:27" x14ac:dyDescent="0.25">
      <c r="S58431" s="8"/>
      <c r="T58431" s="8"/>
      <c r="U58431" s="8"/>
      <c r="V58431" s="8"/>
      <c r="W58431" s="8"/>
      <c r="X58431" s="8"/>
      <c r="Y58431" s="8"/>
      <c r="Z58431" s="8"/>
      <c r="AA58431" s="8"/>
    </row>
    <row r="58432" spans="19:27" x14ac:dyDescent="0.25">
      <c r="S58432" s="8"/>
      <c r="T58432" s="8"/>
      <c r="U58432" s="8"/>
      <c r="V58432" s="8"/>
      <c r="W58432" s="8"/>
      <c r="X58432" s="8"/>
      <c r="Y58432" s="8"/>
      <c r="Z58432" s="8"/>
      <c r="AA58432" s="8"/>
    </row>
    <row r="58433" spans="19:27" x14ac:dyDescent="0.25">
      <c r="S58433" s="8"/>
      <c r="T58433" s="8"/>
      <c r="U58433" s="8"/>
      <c r="V58433" s="8"/>
      <c r="W58433" s="8"/>
      <c r="X58433" s="8"/>
      <c r="Y58433" s="8"/>
      <c r="Z58433" s="8"/>
      <c r="AA58433" s="8"/>
    </row>
    <row r="58434" spans="19:27" x14ac:dyDescent="0.25">
      <c r="S58434" s="8"/>
      <c r="T58434" s="8"/>
      <c r="U58434" s="8"/>
      <c r="V58434" s="8"/>
      <c r="W58434" s="8"/>
      <c r="X58434" s="8"/>
      <c r="Y58434" s="8"/>
      <c r="Z58434" s="8"/>
      <c r="AA58434" s="8"/>
    </row>
    <row r="58435" spans="19:27" x14ac:dyDescent="0.25">
      <c r="S58435" s="8"/>
      <c r="T58435" s="8"/>
      <c r="U58435" s="8"/>
      <c r="V58435" s="8"/>
      <c r="W58435" s="8"/>
      <c r="X58435" s="8"/>
      <c r="Y58435" s="8"/>
      <c r="Z58435" s="8"/>
      <c r="AA58435" s="8"/>
    </row>
    <row r="58436" spans="19:27" x14ac:dyDescent="0.25">
      <c r="S58436" s="8"/>
      <c r="T58436" s="8"/>
      <c r="U58436" s="8"/>
      <c r="V58436" s="8"/>
      <c r="W58436" s="8"/>
      <c r="X58436" s="8"/>
      <c r="Y58436" s="8"/>
      <c r="Z58436" s="8"/>
      <c r="AA58436" s="8"/>
    </row>
    <row r="58437" spans="19:27" x14ac:dyDescent="0.25">
      <c r="S58437" s="8"/>
      <c r="T58437" s="8"/>
      <c r="U58437" s="8"/>
      <c r="V58437" s="8"/>
      <c r="W58437" s="8"/>
      <c r="X58437" s="8"/>
      <c r="Y58437" s="8"/>
      <c r="Z58437" s="8"/>
      <c r="AA58437" s="8"/>
    </row>
    <row r="58438" spans="19:27" x14ac:dyDescent="0.25">
      <c r="S58438" s="8"/>
      <c r="T58438" s="8"/>
      <c r="U58438" s="8"/>
      <c r="V58438" s="8"/>
      <c r="W58438" s="8"/>
      <c r="X58438" s="8"/>
      <c r="Y58438" s="8"/>
      <c r="Z58438" s="8"/>
      <c r="AA58438" s="8"/>
    </row>
    <row r="58439" spans="19:27" x14ac:dyDescent="0.25">
      <c r="S58439" s="8"/>
      <c r="T58439" s="8"/>
      <c r="U58439" s="8"/>
      <c r="V58439" s="8"/>
      <c r="W58439" s="8"/>
      <c r="X58439" s="8"/>
      <c r="Y58439" s="8"/>
      <c r="Z58439" s="8"/>
      <c r="AA58439" s="8"/>
    </row>
    <row r="58440" spans="19:27" x14ac:dyDescent="0.25">
      <c r="S58440" s="8"/>
      <c r="T58440" s="8"/>
      <c r="U58440" s="8"/>
      <c r="V58440" s="8"/>
      <c r="W58440" s="8"/>
      <c r="X58440" s="8"/>
      <c r="Y58440" s="8"/>
      <c r="Z58440" s="8"/>
      <c r="AA58440" s="8"/>
    </row>
    <row r="58441" spans="19:27" x14ac:dyDescent="0.25">
      <c r="S58441" s="8"/>
      <c r="T58441" s="8"/>
      <c r="U58441" s="8"/>
      <c r="V58441" s="8"/>
      <c r="W58441" s="8"/>
      <c r="X58441" s="8"/>
      <c r="Y58441" s="8"/>
      <c r="Z58441" s="8"/>
      <c r="AA58441" s="8"/>
    </row>
    <row r="58442" spans="19:27" x14ac:dyDescent="0.25">
      <c r="S58442" s="8"/>
      <c r="T58442" s="8"/>
      <c r="U58442" s="8"/>
      <c r="V58442" s="8"/>
      <c r="W58442" s="8"/>
      <c r="X58442" s="8"/>
      <c r="Y58442" s="8"/>
      <c r="Z58442" s="8"/>
      <c r="AA58442" s="8"/>
    </row>
    <row r="58443" spans="19:27" x14ac:dyDescent="0.25">
      <c r="S58443" s="8"/>
      <c r="T58443" s="8"/>
      <c r="U58443" s="8"/>
      <c r="V58443" s="8"/>
      <c r="W58443" s="8"/>
      <c r="X58443" s="8"/>
      <c r="Y58443" s="8"/>
      <c r="Z58443" s="8"/>
      <c r="AA58443" s="8"/>
    </row>
    <row r="58444" spans="19:27" x14ac:dyDescent="0.25">
      <c r="S58444" s="8"/>
      <c r="T58444" s="8"/>
      <c r="U58444" s="8"/>
      <c r="V58444" s="8"/>
      <c r="W58444" s="8"/>
      <c r="X58444" s="8"/>
      <c r="Y58444" s="8"/>
      <c r="Z58444" s="8"/>
      <c r="AA58444" s="8"/>
    </row>
    <row r="58445" spans="19:27" x14ac:dyDescent="0.25">
      <c r="S58445" s="8"/>
      <c r="T58445" s="8"/>
      <c r="U58445" s="8"/>
      <c r="V58445" s="8"/>
      <c r="W58445" s="8"/>
      <c r="X58445" s="8"/>
      <c r="Y58445" s="8"/>
      <c r="Z58445" s="8"/>
      <c r="AA58445" s="8"/>
    </row>
    <row r="58446" spans="19:27" x14ac:dyDescent="0.25">
      <c r="S58446" s="8"/>
      <c r="T58446" s="8"/>
      <c r="U58446" s="8"/>
      <c r="V58446" s="8"/>
      <c r="W58446" s="8"/>
      <c r="X58446" s="8"/>
      <c r="Y58446" s="8"/>
      <c r="Z58446" s="8"/>
      <c r="AA58446" s="8"/>
    </row>
    <row r="58447" spans="19:27" x14ac:dyDescent="0.25">
      <c r="S58447" s="8"/>
      <c r="T58447" s="8"/>
      <c r="U58447" s="8"/>
      <c r="V58447" s="8"/>
      <c r="W58447" s="8"/>
      <c r="X58447" s="8"/>
      <c r="Y58447" s="8"/>
      <c r="Z58447" s="8"/>
      <c r="AA58447" s="8"/>
    </row>
    <row r="58448" spans="19:27" x14ac:dyDescent="0.25">
      <c r="S58448" s="8"/>
      <c r="T58448" s="8"/>
      <c r="U58448" s="8"/>
      <c r="V58448" s="8"/>
      <c r="W58448" s="8"/>
      <c r="X58448" s="8"/>
      <c r="Y58448" s="8"/>
      <c r="Z58448" s="8"/>
      <c r="AA58448" s="8"/>
    </row>
    <row r="58449" spans="19:27" x14ac:dyDescent="0.25">
      <c r="S58449" s="8"/>
      <c r="T58449" s="8"/>
      <c r="U58449" s="8"/>
      <c r="V58449" s="8"/>
      <c r="W58449" s="8"/>
      <c r="X58449" s="8"/>
      <c r="Y58449" s="8"/>
      <c r="Z58449" s="8"/>
      <c r="AA58449" s="8"/>
    </row>
    <row r="58450" spans="19:27" x14ac:dyDescent="0.25">
      <c r="S58450" s="8"/>
      <c r="T58450" s="8"/>
      <c r="U58450" s="8"/>
      <c r="V58450" s="8"/>
      <c r="W58450" s="8"/>
      <c r="X58450" s="8"/>
      <c r="Y58450" s="8"/>
      <c r="Z58450" s="8"/>
      <c r="AA58450" s="8"/>
    </row>
    <row r="58451" spans="19:27" x14ac:dyDescent="0.25">
      <c r="S58451" s="8"/>
      <c r="T58451" s="8"/>
      <c r="U58451" s="8"/>
      <c r="V58451" s="8"/>
      <c r="W58451" s="8"/>
      <c r="X58451" s="8"/>
      <c r="Y58451" s="8"/>
      <c r="Z58451" s="8"/>
      <c r="AA58451" s="8"/>
    </row>
    <row r="58452" spans="19:27" x14ac:dyDescent="0.25">
      <c r="S58452" s="8"/>
      <c r="T58452" s="8"/>
      <c r="U58452" s="8"/>
      <c r="V58452" s="8"/>
      <c r="W58452" s="8"/>
      <c r="X58452" s="8"/>
      <c r="Y58452" s="8"/>
      <c r="Z58452" s="8"/>
      <c r="AA58452" s="8"/>
    </row>
    <row r="58453" spans="19:27" x14ac:dyDescent="0.25">
      <c r="S58453" s="8"/>
      <c r="T58453" s="8"/>
      <c r="U58453" s="8"/>
      <c r="V58453" s="8"/>
      <c r="W58453" s="8"/>
      <c r="X58453" s="8"/>
      <c r="Y58453" s="8"/>
      <c r="Z58453" s="8"/>
      <c r="AA58453" s="8"/>
    </row>
    <row r="58454" spans="19:27" x14ac:dyDescent="0.25">
      <c r="S58454" s="8"/>
      <c r="T58454" s="8"/>
      <c r="U58454" s="8"/>
      <c r="V58454" s="8"/>
      <c r="W58454" s="8"/>
      <c r="X58454" s="8"/>
      <c r="Y58454" s="8"/>
      <c r="Z58454" s="8"/>
      <c r="AA58454" s="8"/>
    </row>
    <row r="58455" spans="19:27" x14ac:dyDescent="0.25">
      <c r="S58455" s="8"/>
      <c r="T58455" s="8"/>
      <c r="U58455" s="8"/>
      <c r="V58455" s="8"/>
      <c r="W58455" s="8"/>
      <c r="X58455" s="8"/>
      <c r="Y58455" s="8"/>
      <c r="Z58455" s="8"/>
      <c r="AA58455" s="8"/>
    </row>
    <row r="58456" spans="19:27" x14ac:dyDescent="0.25">
      <c r="S58456" s="8"/>
      <c r="T58456" s="8"/>
      <c r="U58456" s="8"/>
      <c r="V58456" s="8"/>
      <c r="W58456" s="8"/>
      <c r="X58456" s="8"/>
      <c r="Y58456" s="8"/>
      <c r="Z58456" s="8"/>
      <c r="AA58456" s="8"/>
    </row>
    <row r="58457" spans="19:27" x14ac:dyDescent="0.25">
      <c r="S58457" s="8"/>
      <c r="T58457" s="8"/>
      <c r="U58457" s="8"/>
      <c r="V58457" s="8"/>
      <c r="W58457" s="8"/>
      <c r="X58457" s="8"/>
      <c r="Y58457" s="8"/>
      <c r="Z58457" s="8"/>
      <c r="AA58457" s="8"/>
    </row>
    <row r="58458" spans="19:27" x14ac:dyDescent="0.25">
      <c r="S58458" s="8"/>
      <c r="T58458" s="8"/>
      <c r="U58458" s="8"/>
      <c r="V58458" s="8"/>
      <c r="W58458" s="8"/>
      <c r="X58458" s="8"/>
      <c r="Y58458" s="8"/>
      <c r="Z58458" s="8"/>
      <c r="AA58458" s="8"/>
    </row>
    <row r="58459" spans="19:27" x14ac:dyDescent="0.25">
      <c r="S58459" s="8"/>
      <c r="T58459" s="8"/>
      <c r="U58459" s="8"/>
      <c r="V58459" s="8"/>
      <c r="W58459" s="8"/>
      <c r="X58459" s="8"/>
      <c r="Y58459" s="8"/>
      <c r="Z58459" s="8"/>
      <c r="AA58459" s="8"/>
    </row>
    <row r="58460" spans="19:27" x14ac:dyDescent="0.25">
      <c r="S58460" s="8"/>
      <c r="T58460" s="8"/>
      <c r="U58460" s="8"/>
      <c r="V58460" s="8"/>
      <c r="W58460" s="8"/>
      <c r="X58460" s="8"/>
      <c r="Y58460" s="8"/>
      <c r="Z58460" s="8"/>
      <c r="AA58460" s="8"/>
    </row>
    <row r="58461" spans="19:27" x14ac:dyDescent="0.25">
      <c r="S58461" s="8"/>
      <c r="T58461" s="8"/>
      <c r="U58461" s="8"/>
      <c r="V58461" s="8"/>
      <c r="W58461" s="8"/>
      <c r="X58461" s="8"/>
      <c r="Y58461" s="8"/>
      <c r="Z58461" s="8"/>
      <c r="AA58461" s="8"/>
    </row>
    <row r="58462" spans="19:27" x14ac:dyDescent="0.25">
      <c r="S58462" s="8"/>
      <c r="T58462" s="8"/>
      <c r="U58462" s="8"/>
      <c r="V58462" s="8"/>
      <c r="W58462" s="8"/>
      <c r="X58462" s="8"/>
      <c r="Y58462" s="8"/>
      <c r="Z58462" s="8"/>
      <c r="AA58462" s="8"/>
    </row>
    <row r="58463" spans="19:27" x14ac:dyDescent="0.25">
      <c r="S58463" s="8"/>
      <c r="T58463" s="8"/>
      <c r="U58463" s="8"/>
      <c r="V58463" s="8"/>
      <c r="W58463" s="8"/>
      <c r="X58463" s="8"/>
      <c r="Y58463" s="8"/>
      <c r="Z58463" s="8"/>
      <c r="AA58463" s="8"/>
    </row>
    <row r="58464" spans="19:27" x14ac:dyDescent="0.25">
      <c r="S58464" s="8"/>
      <c r="T58464" s="8"/>
      <c r="U58464" s="8"/>
      <c r="V58464" s="8"/>
      <c r="W58464" s="8"/>
      <c r="X58464" s="8"/>
      <c r="Y58464" s="8"/>
      <c r="Z58464" s="8"/>
      <c r="AA58464" s="8"/>
    </row>
    <row r="58465" spans="19:27" x14ac:dyDescent="0.25">
      <c r="S58465" s="8"/>
      <c r="T58465" s="8"/>
      <c r="U58465" s="8"/>
      <c r="V58465" s="8"/>
      <c r="W58465" s="8"/>
      <c r="X58465" s="8"/>
      <c r="Y58465" s="8"/>
      <c r="Z58465" s="8"/>
      <c r="AA58465" s="8"/>
    </row>
    <row r="58466" spans="19:27" x14ac:dyDescent="0.25">
      <c r="S58466" s="8"/>
      <c r="T58466" s="8"/>
      <c r="U58466" s="8"/>
      <c r="V58466" s="8"/>
      <c r="W58466" s="8"/>
      <c r="X58466" s="8"/>
      <c r="Y58466" s="8"/>
      <c r="Z58466" s="8"/>
      <c r="AA58466" s="8"/>
    </row>
    <row r="58467" spans="19:27" x14ac:dyDescent="0.25">
      <c r="S58467" s="8"/>
      <c r="T58467" s="8"/>
      <c r="U58467" s="8"/>
      <c r="V58467" s="8"/>
      <c r="W58467" s="8"/>
      <c r="X58467" s="8"/>
      <c r="Y58467" s="8"/>
      <c r="Z58467" s="8"/>
      <c r="AA58467" s="8"/>
    </row>
    <row r="58468" spans="19:27" x14ac:dyDescent="0.25">
      <c r="S58468" s="8"/>
      <c r="T58468" s="8"/>
      <c r="U58468" s="8"/>
      <c r="V58468" s="8"/>
      <c r="W58468" s="8"/>
      <c r="X58468" s="8"/>
      <c r="Y58468" s="8"/>
      <c r="Z58468" s="8"/>
      <c r="AA58468" s="8"/>
    </row>
    <row r="58469" spans="19:27" x14ac:dyDescent="0.25">
      <c r="S58469" s="8"/>
      <c r="T58469" s="8"/>
      <c r="U58469" s="8"/>
      <c r="V58469" s="8"/>
      <c r="W58469" s="8"/>
      <c r="X58469" s="8"/>
      <c r="Y58469" s="8"/>
      <c r="Z58469" s="8"/>
      <c r="AA58469" s="8"/>
    </row>
    <row r="58470" spans="19:27" x14ac:dyDescent="0.25">
      <c r="S58470" s="8"/>
      <c r="T58470" s="8"/>
      <c r="U58470" s="8"/>
      <c r="V58470" s="8"/>
      <c r="W58470" s="8"/>
      <c r="X58470" s="8"/>
      <c r="Y58470" s="8"/>
      <c r="Z58470" s="8"/>
      <c r="AA58470" s="8"/>
    </row>
    <row r="58471" spans="19:27" x14ac:dyDescent="0.25">
      <c r="S58471" s="8"/>
      <c r="T58471" s="8"/>
      <c r="U58471" s="8"/>
      <c r="V58471" s="8"/>
      <c r="W58471" s="8"/>
      <c r="X58471" s="8"/>
      <c r="Y58471" s="8"/>
      <c r="Z58471" s="8"/>
      <c r="AA58471" s="8"/>
    </row>
    <row r="58472" spans="19:27" x14ac:dyDescent="0.25">
      <c r="S58472" s="8"/>
      <c r="T58472" s="8"/>
      <c r="U58472" s="8"/>
      <c r="V58472" s="8"/>
      <c r="W58472" s="8"/>
      <c r="X58472" s="8"/>
      <c r="Y58472" s="8"/>
      <c r="Z58472" s="8"/>
      <c r="AA58472" s="8"/>
    </row>
    <row r="58473" spans="19:27" x14ac:dyDescent="0.25">
      <c r="S58473" s="8"/>
      <c r="T58473" s="8"/>
      <c r="U58473" s="8"/>
      <c r="V58473" s="8"/>
      <c r="W58473" s="8"/>
      <c r="X58473" s="8"/>
      <c r="Y58473" s="8"/>
      <c r="Z58473" s="8"/>
      <c r="AA58473" s="8"/>
    </row>
    <row r="58474" spans="19:27" x14ac:dyDescent="0.25">
      <c r="S58474" s="8"/>
      <c r="T58474" s="8"/>
      <c r="U58474" s="8"/>
      <c r="V58474" s="8"/>
      <c r="W58474" s="8"/>
      <c r="X58474" s="8"/>
      <c r="Y58474" s="8"/>
      <c r="Z58474" s="8"/>
      <c r="AA58474" s="8"/>
    </row>
    <row r="58475" spans="19:27" x14ac:dyDescent="0.25">
      <c r="S58475" s="8"/>
      <c r="T58475" s="8"/>
      <c r="U58475" s="8"/>
      <c r="V58475" s="8"/>
      <c r="W58475" s="8"/>
      <c r="X58475" s="8"/>
      <c r="Y58475" s="8"/>
      <c r="Z58475" s="8"/>
      <c r="AA58475" s="8"/>
    </row>
    <row r="58476" spans="19:27" x14ac:dyDescent="0.25">
      <c r="S58476" s="8"/>
      <c r="T58476" s="8"/>
      <c r="U58476" s="8"/>
      <c r="V58476" s="8"/>
      <c r="W58476" s="8"/>
      <c r="X58476" s="8"/>
      <c r="Y58476" s="8"/>
      <c r="Z58476" s="8"/>
      <c r="AA58476" s="8"/>
    </row>
    <row r="58477" spans="19:27" x14ac:dyDescent="0.25">
      <c r="S58477" s="8"/>
      <c r="T58477" s="8"/>
      <c r="U58477" s="8"/>
      <c r="V58477" s="8"/>
      <c r="W58477" s="8"/>
      <c r="X58477" s="8"/>
      <c r="Y58477" s="8"/>
      <c r="Z58477" s="8"/>
      <c r="AA58477" s="8"/>
    </row>
    <row r="58478" spans="19:27" x14ac:dyDescent="0.25">
      <c r="S58478" s="8"/>
      <c r="T58478" s="8"/>
      <c r="U58478" s="8"/>
      <c r="V58478" s="8"/>
      <c r="W58478" s="8"/>
      <c r="X58478" s="8"/>
      <c r="Y58478" s="8"/>
      <c r="Z58478" s="8"/>
      <c r="AA58478" s="8"/>
    </row>
    <row r="58479" spans="19:27" x14ac:dyDescent="0.25">
      <c r="S58479" s="8"/>
      <c r="T58479" s="8"/>
      <c r="U58479" s="8"/>
      <c r="V58479" s="8"/>
      <c r="W58479" s="8"/>
      <c r="X58479" s="8"/>
      <c r="Y58479" s="8"/>
      <c r="Z58479" s="8"/>
      <c r="AA58479" s="8"/>
    </row>
    <row r="58480" spans="19:27" x14ac:dyDescent="0.25">
      <c r="S58480" s="8"/>
      <c r="T58480" s="8"/>
      <c r="U58480" s="8"/>
      <c r="V58480" s="8"/>
      <c r="W58480" s="8"/>
      <c r="X58480" s="8"/>
      <c r="Y58480" s="8"/>
      <c r="Z58480" s="8"/>
      <c r="AA58480" s="8"/>
    </row>
    <row r="58481" spans="19:27" x14ac:dyDescent="0.25">
      <c r="S58481" s="8"/>
      <c r="T58481" s="8"/>
      <c r="U58481" s="8"/>
      <c r="V58481" s="8"/>
      <c r="W58481" s="8"/>
      <c r="X58481" s="8"/>
      <c r="Y58481" s="8"/>
      <c r="Z58481" s="8"/>
      <c r="AA58481" s="8"/>
    </row>
    <row r="58482" spans="19:27" x14ac:dyDescent="0.25">
      <c r="S58482" s="8"/>
      <c r="T58482" s="8"/>
      <c r="U58482" s="8"/>
      <c r="V58482" s="8"/>
      <c r="W58482" s="8"/>
      <c r="X58482" s="8"/>
      <c r="Y58482" s="8"/>
      <c r="Z58482" s="8"/>
      <c r="AA58482" s="8"/>
    </row>
    <row r="58483" spans="19:27" x14ac:dyDescent="0.25">
      <c r="S58483" s="8"/>
      <c r="T58483" s="8"/>
      <c r="U58483" s="8"/>
      <c r="V58483" s="8"/>
      <c r="W58483" s="8"/>
      <c r="X58483" s="8"/>
      <c r="Y58483" s="8"/>
      <c r="Z58483" s="8"/>
      <c r="AA58483" s="8"/>
    </row>
    <row r="58484" spans="19:27" x14ac:dyDescent="0.25">
      <c r="S58484" s="8"/>
      <c r="T58484" s="8"/>
      <c r="U58484" s="8"/>
      <c r="V58484" s="8"/>
      <c r="W58484" s="8"/>
      <c r="X58484" s="8"/>
      <c r="Y58484" s="8"/>
      <c r="Z58484" s="8"/>
      <c r="AA58484" s="8"/>
    </row>
    <row r="58485" spans="19:27" x14ac:dyDescent="0.25">
      <c r="S58485" s="8"/>
      <c r="T58485" s="8"/>
      <c r="U58485" s="8"/>
      <c r="V58485" s="8"/>
      <c r="W58485" s="8"/>
      <c r="X58485" s="8"/>
      <c r="Y58485" s="8"/>
      <c r="Z58485" s="8"/>
      <c r="AA58485" s="8"/>
    </row>
    <row r="58486" spans="19:27" x14ac:dyDescent="0.25">
      <c r="S58486" s="8"/>
      <c r="T58486" s="8"/>
      <c r="U58486" s="8"/>
      <c r="V58486" s="8"/>
      <c r="W58486" s="8"/>
      <c r="X58486" s="8"/>
      <c r="Y58486" s="8"/>
      <c r="Z58486" s="8"/>
      <c r="AA58486" s="8"/>
    </row>
    <row r="58487" spans="19:27" x14ac:dyDescent="0.25">
      <c r="S58487" s="8"/>
      <c r="T58487" s="8"/>
      <c r="U58487" s="8"/>
      <c r="V58487" s="8"/>
      <c r="W58487" s="8"/>
      <c r="X58487" s="8"/>
      <c r="Y58487" s="8"/>
      <c r="Z58487" s="8"/>
      <c r="AA58487" s="8"/>
    </row>
    <row r="58488" spans="19:27" x14ac:dyDescent="0.25">
      <c r="S58488" s="8"/>
      <c r="T58488" s="8"/>
      <c r="U58488" s="8"/>
      <c r="V58488" s="8"/>
      <c r="W58488" s="8"/>
      <c r="X58488" s="8"/>
      <c r="Y58488" s="8"/>
      <c r="Z58488" s="8"/>
      <c r="AA58488" s="8"/>
    </row>
    <row r="58489" spans="19:27" x14ac:dyDescent="0.25">
      <c r="S58489" s="8"/>
      <c r="T58489" s="8"/>
      <c r="U58489" s="8"/>
      <c r="V58489" s="8"/>
      <c r="W58489" s="8"/>
      <c r="X58489" s="8"/>
      <c r="Y58489" s="8"/>
      <c r="Z58489" s="8"/>
      <c r="AA58489" s="8"/>
    </row>
    <row r="58490" spans="19:27" x14ac:dyDescent="0.25">
      <c r="S58490" s="8"/>
      <c r="T58490" s="8"/>
      <c r="U58490" s="8"/>
      <c r="V58490" s="8"/>
      <c r="W58490" s="8"/>
      <c r="X58490" s="8"/>
      <c r="Y58490" s="8"/>
      <c r="Z58490" s="8"/>
      <c r="AA58490" s="8"/>
    </row>
    <row r="58491" spans="19:27" x14ac:dyDescent="0.25">
      <c r="S58491" s="8"/>
      <c r="T58491" s="8"/>
      <c r="U58491" s="8"/>
      <c r="V58491" s="8"/>
      <c r="W58491" s="8"/>
      <c r="X58491" s="8"/>
      <c r="Y58491" s="8"/>
      <c r="Z58491" s="8"/>
      <c r="AA58491" s="8"/>
    </row>
    <row r="58492" spans="19:27" x14ac:dyDescent="0.25">
      <c r="S58492" s="8"/>
      <c r="T58492" s="8"/>
      <c r="U58492" s="8"/>
      <c r="V58492" s="8"/>
      <c r="W58492" s="8"/>
      <c r="X58492" s="8"/>
      <c r="Y58492" s="8"/>
      <c r="Z58492" s="8"/>
      <c r="AA58492" s="8"/>
    </row>
    <row r="58493" spans="19:27" x14ac:dyDescent="0.25">
      <c r="S58493" s="8"/>
      <c r="T58493" s="8"/>
      <c r="U58493" s="8"/>
      <c r="V58493" s="8"/>
      <c r="W58493" s="8"/>
      <c r="X58493" s="8"/>
      <c r="Y58493" s="8"/>
      <c r="Z58493" s="8"/>
      <c r="AA58493" s="8"/>
    </row>
    <row r="58494" spans="19:27" x14ac:dyDescent="0.25">
      <c r="S58494" s="8"/>
      <c r="T58494" s="8"/>
      <c r="U58494" s="8"/>
      <c r="V58494" s="8"/>
      <c r="W58494" s="8"/>
      <c r="X58494" s="8"/>
      <c r="Y58494" s="8"/>
      <c r="Z58494" s="8"/>
      <c r="AA58494" s="8"/>
    </row>
    <row r="58495" spans="19:27" x14ac:dyDescent="0.25">
      <c r="S58495" s="8"/>
      <c r="T58495" s="8"/>
      <c r="U58495" s="8"/>
      <c r="V58495" s="8"/>
      <c r="W58495" s="8"/>
      <c r="X58495" s="8"/>
      <c r="Y58495" s="8"/>
      <c r="Z58495" s="8"/>
      <c r="AA58495" s="8"/>
    </row>
    <row r="58496" spans="19:27" x14ac:dyDescent="0.25">
      <c r="S58496" s="8"/>
      <c r="T58496" s="8"/>
      <c r="U58496" s="8"/>
      <c r="V58496" s="8"/>
      <c r="W58496" s="8"/>
      <c r="X58496" s="8"/>
      <c r="Y58496" s="8"/>
      <c r="Z58496" s="8"/>
      <c r="AA58496" s="8"/>
    </row>
    <row r="58497" spans="19:27" x14ac:dyDescent="0.25">
      <c r="S58497" s="8"/>
      <c r="T58497" s="8"/>
      <c r="U58497" s="8"/>
      <c r="V58497" s="8"/>
      <c r="W58497" s="8"/>
      <c r="X58497" s="8"/>
      <c r="Y58497" s="8"/>
      <c r="Z58497" s="8"/>
      <c r="AA58497" s="8"/>
    </row>
    <row r="58498" spans="19:27" x14ac:dyDescent="0.25">
      <c r="S58498" s="8"/>
      <c r="T58498" s="8"/>
      <c r="U58498" s="8"/>
      <c r="V58498" s="8"/>
      <c r="W58498" s="8"/>
      <c r="X58498" s="8"/>
      <c r="Y58498" s="8"/>
      <c r="Z58498" s="8"/>
      <c r="AA58498" s="8"/>
    </row>
    <row r="58499" spans="19:27" x14ac:dyDescent="0.25">
      <c r="S58499" s="8"/>
      <c r="T58499" s="8"/>
      <c r="U58499" s="8"/>
      <c r="V58499" s="8"/>
      <c r="W58499" s="8"/>
      <c r="X58499" s="8"/>
      <c r="Y58499" s="8"/>
      <c r="Z58499" s="8"/>
      <c r="AA58499" s="8"/>
    </row>
    <row r="58500" spans="19:27" x14ac:dyDescent="0.25">
      <c r="S58500" s="8"/>
      <c r="T58500" s="8"/>
      <c r="U58500" s="8"/>
      <c r="V58500" s="8"/>
      <c r="W58500" s="8"/>
      <c r="X58500" s="8"/>
      <c r="Y58500" s="8"/>
      <c r="Z58500" s="8"/>
      <c r="AA58500" s="8"/>
    </row>
    <row r="58501" spans="19:27" x14ac:dyDescent="0.25">
      <c r="S58501" s="8"/>
      <c r="T58501" s="8"/>
      <c r="U58501" s="8"/>
      <c r="V58501" s="8"/>
      <c r="W58501" s="8"/>
      <c r="X58501" s="8"/>
      <c r="Y58501" s="8"/>
      <c r="Z58501" s="8"/>
      <c r="AA58501" s="8"/>
    </row>
    <row r="58502" spans="19:27" x14ac:dyDescent="0.25">
      <c r="S58502" s="8"/>
      <c r="T58502" s="8"/>
      <c r="U58502" s="8"/>
      <c r="V58502" s="8"/>
      <c r="W58502" s="8"/>
      <c r="X58502" s="8"/>
      <c r="Y58502" s="8"/>
      <c r="Z58502" s="8"/>
      <c r="AA58502" s="8"/>
    </row>
    <row r="58503" spans="19:27" x14ac:dyDescent="0.25">
      <c r="S58503" s="8"/>
      <c r="T58503" s="8"/>
      <c r="U58503" s="8"/>
      <c r="V58503" s="8"/>
      <c r="W58503" s="8"/>
      <c r="X58503" s="8"/>
      <c r="Y58503" s="8"/>
      <c r="Z58503" s="8"/>
      <c r="AA58503" s="8"/>
    </row>
    <row r="58504" spans="19:27" x14ac:dyDescent="0.25">
      <c r="S58504" s="8"/>
      <c r="T58504" s="8"/>
      <c r="U58504" s="8"/>
      <c r="V58504" s="8"/>
      <c r="W58504" s="8"/>
      <c r="X58504" s="8"/>
      <c r="Y58504" s="8"/>
      <c r="Z58504" s="8"/>
      <c r="AA58504" s="8"/>
    </row>
    <row r="58505" spans="19:27" x14ac:dyDescent="0.25">
      <c r="S58505" s="8"/>
      <c r="T58505" s="8"/>
      <c r="U58505" s="8"/>
      <c r="V58505" s="8"/>
      <c r="W58505" s="8"/>
      <c r="X58505" s="8"/>
      <c r="Y58505" s="8"/>
      <c r="Z58505" s="8"/>
      <c r="AA58505" s="8"/>
    </row>
    <row r="58506" spans="19:27" x14ac:dyDescent="0.25">
      <c r="S58506" s="8"/>
      <c r="T58506" s="8"/>
      <c r="U58506" s="8"/>
      <c r="V58506" s="8"/>
      <c r="W58506" s="8"/>
      <c r="X58506" s="8"/>
      <c r="Y58506" s="8"/>
      <c r="Z58506" s="8"/>
      <c r="AA58506" s="8"/>
    </row>
    <row r="58507" spans="19:27" x14ac:dyDescent="0.25">
      <c r="S58507" s="8"/>
      <c r="T58507" s="8"/>
      <c r="U58507" s="8"/>
      <c r="V58507" s="8"/>
      <c r="W58507" s="8"/>
      <c r="X58507" s="8"/>
      <c r="Y58507" s="8"/>
      <c r="Z58507" s="8"/>
      <c r="AA58507" s="8"/>
    </row>
    <row r="58508" spans="19:27" x14ac:dyDescent="0.25">
      <c r="S58508" s="8"/>
      <c r="T58508" s="8"/>
      <c r="U58508" s="8"/>
      <c r="V58508" s="8"/>
      <c r="W58508" s="8"/>
      <c r="X58508" s="8"/>
      <c r="Y58508" s="8"/>
      <c r="Z58508" s="8"/>
      <c r="AA58508" s="8"/>
    </row>
    <row r="58509" spans="19:27" x14ac:dyDescent="0.25">
      <c r="S58509" s="8"/>
      <c r="T58509" s="8"/>
      <c r="U58509" s="8"/>
      <c r="V58509" s="8"/>
      <c r="W58509" s="8"/>
      <c r="X58509" s="8"/>
      <c r="Y58509" s="8"/>
      <c r="Z58509" s="8"/>
      <c r="AA58509" s="8"/>
    </row>
    <row r="58510" spans="19:27" x14ac:dyDescent="0.25">
      <c r="S58510" s="8"/>
      <c r="T58510" s="8"/>
      <c r="U58510" s="8"/>
      <c r="V58510" s="8"/>
      <c r="W58510" s="8"/>
      <c r="X58510" s="8"/>
      <c r="Y58510" s="8"/>
      <c r="Z58510" s="8"/>
      <c r="AA58510" s="8"/>
    </row>
    <row r="58511" spans="19:27" x14ac:dyDescent="0.25">
      <c r="S58511" s="8"/>
      <c r="T58511" s="8"/>
      <c r="U58511" s="8"/>
      <c r="V58511" s="8"/>
      <c r="W58511" s="8"/>
      <c r="X58511" s="8"/>
      <c r="Y58511" s="8"/>
      <c r="Z58511" s="8"/>
      <c r="AA58511" s="8"/>
    </row>
    <row r="58512" spans="19:27" x14ac:dyDescent="0.25">
      <c r="S58512" s="8"/>
      <c r="T58512" s="8"/>
      <c r="U58512" s="8"/>
      <c r="V58512" s="8"/>
      <c r="W58512" s="8"/>
      <c r="X58512" s="8"/>
      <c r="Y58512" s="8"/>
      <c r="Z58512" s="8"/>
      <c r="AA58512" s="8"/>
    </row>
    <row r="58513" spans="19:27" x14ac:dyDescent="0.25">
      <c r="S58513" s="8"/>
      <c r="T58513" s="8"/>
      <c r="U58513" s="8"/>
      <c r="V58513" s="8"/>
      <c r="W58513" s="8"/>
      <c r="X58513" s="8"/>
      <c r="Y58513" s="8"/>
      <c r="Z58513" s="8"/>
      <c r="AA58513" s="8"/>
    </row>
    <row r="58514" spans="19:27" x14ac:dyDescent="0.25">
      <c r="S58514" s="8"/>
      <c r="T58514" s="8"/>
      <c r="U58514" s="8"/>
      <c r="V58514" s="8"/>
      <c r="W58514" s="8"/>
      <c r="X58514" s="8"/>
      <c r="Y58514" s="8"/>
      <c r="Z58514" s="8"/>
      <c r="AA58514" s="8"/>
    </row>
    <row r="58515" spans="19:27" x14ac:dyDescent="0.25">
      <c r="S58515" s="8"/>
      <c r="T58515" s="8"/>
      <c r="U58515" s="8"/>
      <c r="V58515" s="8"/>
      <c r="W58515" s="8"/>
      <c r="X58515" s="8"/>
      <c r="Y58515" s="8"/>
      <c r="Z58515" s="8"/>
      <c r="AA58515" s="8"/>
    </row>
    <row r="58516" spans="19:27" x14ac:dyDescent="0.25">
      <c r="S58516" s="8"/>
      <c r="T58516" s="8"/>
      <c r="U58516" s="8"/>
      <c r="V58516" s="8"/>
      <c r="W58516" s="8"/>
      <c r="X58516" s="8"/>
      <c r="Y58516" s="8"/>
      <c r="Z58516" s="8"/>
      <c r="AA58516" s="8"/>
    </row>
    <row r="58517" spans="19:27" x14ac:dyDescent="0.25">
      <c r="S58517" s="8"/>
      <c r="T58517" s="8"/>
      <c r="U58517" s="8"/>
      <c r="V58517" s="8"/>
      <c r="W58517" s="8"/>
      <c r="X58517" s="8"/>
      <c r="Y58517" s="8"/>
      <c r="Z58517" s="8"/>
      <c r="AA58517" s="8"/>
    </row>
    <row r="58518" spans="19:27" x14ac:dyDescent="0.25">
      <c r="S58518" s="8"/>
      <c r="T58518" s="8"/>
      <c r="U58518" s="8"/>
      <c r="V58518" s="8"/>
      <c r="W58518" s="8"/>
      <c r="X58518" s="8"/>
      <c r="Y58518" s="8"/>
      <c r="Z58518" s="8"/>
      <c r="AA58518" s="8"/>
    </row>
    <row r="58519" spans="19:27" x14ac:dyDescent="0.25">
      <c r="S58519" s="8"/>
      <c r="T58519" s="8"/>
      <c r="U58519" s="8"/>
      <c r="V58519" s="8"/>
      <c r="W58519" s="8"/>
      <c r="X58519" s="8"/>
      <c r="Y58519" s="8"/>
      <c r="Z58519" s="8"/>
      <c r="AA58519" s="8"/>
    </row>
    <row r="58520" spans="19:27" x14ac:dyDescent="0.25">
      <c r="S58520" s="8"/>
      <c r="T58520" s="8"/>
      <c r="U58520" s="8"/>
      <c r="V58520" s="8"/>
      <c r="W58520" s="8"/>
      <c r="X58520" s="8"/>
      <c r="Y58520" s="8"/>
      <c r="Z58520" s="8"/>
      <c r="AA58520" s="8"/>
    </row>
    <row r="58521" spans="19:27" x14ac:dyDescent="0.25">
      <c r="S58521" s="8"/>
      <c r="T58521" s="8"/>
      <c r="U58521" s="8"/>
      <c r="V58521" s="8"/>
      <c r="W58521" s="8"/>
      <c r="X58521" s="8"/>
      <c r="Y58521" s="8"/>
      <c r="Z58521" s="8"/>
      <c r="AA58521" s="8"/>
    </row>
    <row r="58522" spans="19:27" x14ac:dyDescent="0.25">
      <c r="S58522" s="8"/>
      <c r="T58522" s="8"/>
      <c r="U58522" s="8"/>
      <c r="V58522" s="8"/>
      <c r="W58522" s="8"/>
      <c r="X58522" s="8"/>
      <c r="Y58522" s="8"/>
      <c r="Z58522" s="8"/>
      <c r="AA58522" s="8"/>
    </row>
    <row r="58523" spans="19:27" x14ac:dyDescent="0.25">
      <c r="S58523" s="8"/>
      <c r="T58523" s="8"/>
      <c r="U58523" s="8"/>
      <c r="V58523" s="8"/>
      <c r="W58523" s="8"/>
      <c r="X58523" s="8"/>
      <c r="Y58523" s="8"/>
      <c r="Z58523" s="8"/>
      <c r="AA58523" s="8"/>
    </row>
    <row r="58524" spans="19:27" x14ac:dyDescent="0.25">
      <c r="S58524" s="8"/>
      <c r="T58524" s="8"/>
      <c r="U58524" s="8"/>
      <c r="V58524" s="8"/>
      <c r="W58524" s="8"/>
      <c r="X58524" s="8"/>
      <c r="Y58524" s="8"/>
      <c r="Z58524" s="8"/>
      <c r="AA58524" s="8"/>
    </row>
    <row r="58525" spans="19:27" x14ac:dyDescent="0.25">
      <c r="S58525" s="8"/>
      <c r="T58525" s="8"/>
      <c r="U58525" s="8"/>
      <c r="V58525" s="8"/>
      <c r="W58525" s="8"/>
      <c r="X58525" s="8"/>
      <c r="Y58525" s="8"/>
      <c r="Z58525" s="8"/>
      <c r="AA58525" s="8"/>
    </row>
    <row r="58526" spans="19:27" x14ac:dyDescent="0.25">
      <c r="S58526" s="8"/>
      <c r="T58526" s="8"/>
      <c r="U58526" s="8"/>
      <c r="V58526" s="8"/>
      <c r="W58526" s="8"/>
      <c r="X58526" s="8"/>
      <c r="Y58526" s="8"/>
      <c r="Z58526" s="8"/>
      <c r="AA58526" s="8"/>
    </row>
    <row r="58527" spans="19:27" x14ac:dyDescent="0.25">
      <c r="S58527" s="8"/>
      <c r="T58527" s="8"/>
      <c r="U58527" s="8"/>
      <c r="V58527" s="8"/>
      <c r="W58527" s="8"/>
      <c r="X58527" s="8"/>
      <c r="Y58527" s="8"/>
      <c r="Z58527" s="8"/>
      <c r="AA58527" s="8"/>
    </row>
    <row r="58528" spans="19:27" x14ac:dyDescent="0.25">
      <c r="S58528" s="8"/>
      <c r="T58528" s="8"/>
      <c r="U58528" s="8"/>
      <c r="V58528" s="8"/>
      <c r="W58528" s="8"/>
      <c r="X58528" s="8"/>
      <c r="Y58528" s="8"/>
      <c r="Z58528" s="8"/>
      <c r="AA58528" s="8"/>
    </row>
    <row r="58529" spans="19:27" x14ac:dyDescent="0.25">
      <c r="S58529" s="8"/>
      <c r="T58529" s="8"/>
      <c r="U58529" s="8"/>
      <c r="V58529" s="8"/>
      <c r="W58529" s="8"/>
      <c r="X58529" s="8"/>
      <c r="Y58529" s="8"/>
      <c r="Z58529" s="8"/>
      <c r="AA58529" s="8"/>
    </row>
    <row r="58530" spans="19:27" x14ac:dyDescent="0.25">
      <c r="S58530" s="8"/>
      <c r="T58530" s="8"/>
      <c r="U58530" s="8"/>
      <c r="V58530" s="8"/>
      <c r="W58530" s="8"/>
      <c r="X58530" s="8"/>
      <c r="Y58530" s="8"/>
      <c r="Z58530" s="8"/>
      <c r="AA58530" s="8"/>
    </row>
    <row r="58531" spans="19:27" x14ac:dyDescent="0.25">
      <c r="S58531" s="8"/>
      <c r="T58531" s="8"/>
      <c r="U58531" s="8"/>
      <c r="V58531" s="8"/>
      <c r="W58531" s="8"/>
      <c r="X58531" s="8"/>
      <c r="Y58531" s="8"/>
      <c r="Z58531" s="8"/>
      <c r="AA58531" s="8"/>
    </row>
    <row r="58532" spans="19:27" x14ac:dyDescent="0.25">
      <c r="S58532" s="8"/>
      <c r="T58532" s="8"/>
      <c r="U58532" s="8"/>
      <c r="V58532" s="8"/>
      <c r="W58532" s="8"/>
      <c r="X58532" s="8"/>
      <c r="Y58532" s="8"/>
      <c r="Z58532" s="8"/>
      <c r="AA58532" s="8"/>
    </row>
    <row r="58533" spans="19:27" x14ac:dyDescent="0.25">
      <c r="S58533" s="8"/>
      <c r="T58533" s="8"/>
      <c r="U58533" s="8"/>
      <c r="V58533" s="8"/>
      <c r="W58533" s="8"/>
      <c r="X58533" s="8"/>
      <c r="Y58533" s="8"/>
      <c r="Z58533" s="8"/>
      <c r="AA58533" s="8"/>
    </row>
    <row r="58534" spans="19:27" x14ac:dyDescent="0.25">
      <c r="S58534" s="8"/>
      <c r="T58534" s="8"/>
      <c r="U58534" s="8"/>
      <c r="V58534" s="8"/>
      <c r="W58534" s="8"/>
      <c r="X58534" s="8"/>
      <c r="Y58534" s="8"/>
      <c r="Z58534" s="8"/>
      <c r="AA58534" s="8"/>
    </row>
    <row r="58535" spans="19:27" x14ac:dyDescent="0.25">
      <c r="S58535" s="8"/>
      <c r="T58535" s="8"/>
      <c r="U58535" s="8"/>
      <c r="V58535" s="8"/>
      <c r="W58535" s="8"/>
      <c r="X58535" s="8"/>
      <c r="Y58535" s="8"/>
      <c r="Z58535" s="8"/>
      <c r="AA58535" s="8"/>
    </row>
    <row r="58536" spans="19:27" x14ac:dyDescent="0.25">
      <c r="S58536" s="8"/>
      <c r="T58536" s="8"/>
      <c r="U58536" s="8"/>
      <c r="V58536" s="8"/>
      <c r="W58536" s="8"/>
      <c r="X58536" s="8"/>
      <c r="Y58536" s="8"/>
      <c r="Z58536" s="8"/>
      <c r="AA58536" s="8"/>
    </row>
    <row r="58537" spans="19:27" x14ac:dyDescent="0.25">
      <c r="S58537" s="8"/>
      <c r="T58537" s="8"/>
      <c r="U58537" s="8"/>
      <c r="V58537" s="8"/>
      <c r="W58537" s="8"/>
      <c r="X58537" s="8"/>
      <c r="Y58537" s="8"/>
      <c r="Z58537" s="8"/>
      <c r="AA58537" s="8"/>
    </row>
    <row r="58538" spans="19:27" x14ac:dyDescent="0.25">
      <c r="S58538" s="8"/>
      <c r="T58538" s="8"/>
      <c r="U58538" s="8"/>
      <c r="V58538" s="8"/>
      <c r="W58538" s="8"/>
      <c r="X58538" s="8"/>
      <c r="Y58538" s="8"/>
      <c r="Z58538" s="8"/>
      <c r="AA58538" s="8"/>
    </row>
    <row r="58539" spans="19:27" x14ac:dyDescent="0.25">
      <c r="S58539" s="8"/>
      <c r="T58539" s="8"/>
      <c r="U58539" s="8"/>
      <c r="V58539" s="8"/>
      <c r="W58539" s="8"/>
      <c r="X58539" s="8"/>
      <c r="Y58539" s="8"/>
      <c r="Z58539" s="8"/>
      <c r="AA58539" s="8"/>
    </row>
    <row r="58540" spans="19:27" x14ac:dyDescent="0.25">
      <c r="S58540" s="8"/>
      <c r="T58540" s="8"/>
      <c r="U58540" s="8"/>
      <c r="V58540" s="8"/>
      <c r="W58540" s="8"/>
      <c r="X58540" s="8"/>
      <c r="Y58540" s="8"/>
      <c r="Z58540" s="8"/>
      <c r="AA58540" s="8"/>
    </row>
    <row r="58541" spans="19:27" x14ac:dyDescent="0.25">
      <c r="S58541" s="8"/>
      <c r="T58541" s="8"/>
      <c r="U58541" s="8"/>
      <c r="V58541" s="8"/>
      <c r="W58541" s="8"/>
      <c r="X58541" s="8"/>
      <c r="Y58541" s="8"/>
      <c r="Z58541" s="8"/>
      <c r="AA58541" s="8"/>
    </row>
    <row r="58542" spans="19:27" x14ac:dyDescent="0.25">
      <c r="S58542" s="8"/>
      <c r="T58542" s="8"/>
      <c r="U58542" s="8"/>
      <c r="V58542" s="8"/>
      <c r="W58542" s="8"/>
      <c r="X58542" s="8"/>
      <c r="Y58542" s="8"/>
      <c r="Z58542" s="8"/>
      <c r="AA58542" s="8"/>
    </row>
    <row r="58543" spans="19:27" x14ac:dyDescent="0.25">
      <c r="S58543" s="8"/>
      <c r="T58543" s="8"/>
      <c r="U58543" s="8"/>
      <c r="V58543" s="8"/>
      <c r="W58543" s="8"/>
      <c r="X58543" s="8"/>
      <c r="Y58543" s="8"/>
      <c r="Z58543" s="8"/>
      <c r="AA58543" s="8"/>
    </row>
    <row r="58544" spans="19:27" x14ac:dyDescent="0.25">
      <c r="S58544" s="8"/>
      <c r="T58544" s="8"/>
      <c r="U58544" s="8"/>
      <c r="V58544" s="8"/>
      <c r="W58544" s="8"/>
      <c r="X58544" s="8"/>
      <c r="Y58544" s="8"/>
      <c r="Z58544" s="8"/>
      <c r="AA58544" s="8"/>
    </row>
    <row r="58545" spans="19:27" x14ac:dyDescent="0.25">
      <c r="S58545" s="8"/>
      <c r="T58545" s="8"/>
      <c r="U58545" s="8"/>
      <c r="V58545" s="8"/>
      <c r="W58545" s="8"/>
      <c r="X58545" s="8"/>
      <c r="Y58545" s="8"/>
      <c r="Z58545" s="8"/>
      <c r="AA58545" s="8"/>
    </row>
    <row r="58546" spans="19:27" x14ac:dyDescent="0.25">
      <c r="S58546" s="8"/>
      <c r="T58546" s="8"/>
      <c r="U58546" s="8"/>
      <c r="V58546" s="8"/>
      <c r="W58546" s="8"/>
      <c r="X58546" s="8"/>
      <c r="Y58546" s="8"/>
      <c r="Z58546" s="8"/>
      <c r="AA58546" s="8"/>
    </row>
    <row r="58547" spans="19:27" x14ac:dyDescent="0.25">
      <c r="S58547" s="8"/>
      <c r="T58547" s="8"/>
      <c r="U58547" s="8"/>
      <c r="V58547" s="8"/>
      <c r="W58547" s="8"/>
      <c r="X58547" s="8"/>
      <c r="Y58547" s="8"/>
      <c r="Z58547" s="8"/>
      <c r="AA58547" s="8"/>
    </row>
    <row r="58548" spans="19:27" x14ac:dyDescent="0.25">
      <c r="S58548" s="8"/>
      <c r="T58548" s="8"/>
      <c r="U58548" s="8"/>
      <c r="V58548" s="8"/>
      <c r="W58548" s="8"/>
      <c r="X58548" s="8"/>
      <c r="Y58548" s="8"/>
      <c r="Z58548" s="8"/>
      <c r="AA58548" s="8"/>
    </row>
    <row r="58549" spans="19:27" x14ac:dyDescent="0.25">
      <c r="S58549" s="8"/>
      <c r="T58549" s="8"/>
      <c r="U58549" s="8"/>
      <c r="V58549" s="8"/>
      <c r="W58549" s="8"/>
      <c r="X58549" s="8"/>
      <c r="Y58549" s="8"/>
      <c r="Z58549" s="8"/>
      <c r="AA58549" s="8"/>
    </row>
    <row r="58550" spans="19:27" x14ac:dyDescent="0.25">
      <c r="S58550" s="8"/>
      <c r="T58550" s="8"/>
      <c r="U58550" s="8"/>
      <c r="V58550" s="8"/>
      <c r="W58550" s="8"/>
      <c r="X58550" s="8"/>
      <c r="Y58550" s="8"/>
      <c r="Z58550" s="8"/>
      <c r="AA58550" s="8"/>
    </row>
    <row r="58551" spans="19:27" x14ac:dyDescent="0.25">
      <c r="S58551" s="8"/>
      <c r="T58551" s="8"/>
      <c r="U58551" s="8"/>
      <c r="V58551" s="8"/>
      <c r="W58551" s="8"/>
      <c r="X58551" s="8"/>
      <c r="Y58551" s="8"/>
      <c r="Z58551" s="8"/>
      <c r="AA58551" s="8"/>
    </row>
    <row r="58552" spans="19:27" x14ac:dyDescent="0.25">
      <c r="S58552" s="8"/>
      <c r="T58552" s="8"/>
      <c r="U58552" s="8"/>
      <c r="V58552" s="8"/>
      <c r="W58552" s="8"/>
      <c r="X58552" s="8"/>
      <c r="Y58552" s="8"/>
      <c r="Z58552" s="8"/>
      <c r="AA58552" s="8"/>
    </row>
    <row r="58553" spans="19:27" x14ac:dyDescent="0.25">
      <c r="S58553" s="8"/>
      <c r="T58553" s="8"/>
      <c r="U58553" s="8"/>
      <c r="V58553" s="8"/>
      <c r="W58553" s="8"/>
      <c r="X58553" s="8"/>
      <c r="Y58553" s="8"/>
      <c r="Z58553" s="8"/>
      <c r="AA58553" s="8"/>
    </row>
    <row r="58554" spans="19:27" x14ac:dyDescent="0.25">
      <c r="S58554" s="8"/>
      <c r="T58554" s="8"/>
      <c r="U58554" s="8"/>
      <c r="V58554" s="8"/>
      <c r="W58554" s="8"/>
      <c r="X58554" s="8"/>
      <c r="Y58554" s="8"/>
      <c r="Z58554" s="8"/>
      <c r="AA58554" s="8"/>
    </row>
    <row r="58555" spans="19:27" x14ac:dyDescent="0.25">
      <c r="S58555" s="8"/>
      <c r="T58555" s="8"/>
      <c r="U58555" s="8"/>
      <c r="V58555" s="8"/>
      <c r="W58555" s="8"/>
      <c r="X58555" s="8"/>
      <c r="Y58555" s="8"/>
      <c r="Z58555" s="8"/>
      <c r="AA58555" s="8"/>
    </row>
    <row r="58556" spans="19:27" x14ac:dyDescent="0.25">
      <c r="S58556" s="8"/>
      <c r="T58556" s="8"/>
      <c r="U58556" s="8"/>
      <c r="V58556" s="8"/>
      <c r="W58556" s="8"/>
      <c r="X58556" s="8"/>
      <c r="Y58556" s="8"/>
      <c r="Z58556" s="8"/>
      <c r="AA58556" s="8"/>
    </row>
    <row r="58557" spans="19:27" x14ac:dyDescent="0.25">
      <c r="S58557" s="8"/>
      <c r="T58557" s="8"/>
      <c r="U58557" s="8"/>
      <c r="V58557" s="8"/>
      <c r="W58557" s="8"/>
      <c r="X58557" s="8"/>
      <c r="Y58557" s="8"/>
      <c r="Z58557" s="8"/>
      <c r="AA58557" s="8"/>
    </row>
    <row r="58558" spans="19:27" x14ac:dyDescent="0.25">
      <c r="S58558" s="8"/>
      <c r="T58558" s="8"/>
      <c r="U58558" s="8"/>
      <c r="V58558" s="8"/>
      <c r="W58558" s="8"/>
      <c r="X58558" s="8"/>
      <c r="Y58558" s="8"/>
      <c r="Z58558" s="8"/>
      <c r="AA58558" s="8"/>
    </row>
    <row r="58559" spans="19:27" x14ac:dyDescent="0.25">
      <c r="S58559" s="8"/>
      <c r="T58559" s="8"/>
      <c r="U58559" s="8"/>
      <c r="V58559" s="8"/>
      <c r="W58559" s="8"/>
      <c r="X58559" s="8"/>
      <c r="Y58559" s="8"/>
      <c r="Z58559" s="8"/>
      <c r="AA58559" s="8"/>
    </row>
    <row r="58560" spans="19:27" x14ac:dyDescent="0.25">
      <c r="S58560" s="8"/>
      <c r="T58560" s="8"/>
      <c r="U58560" s="8"/>
      <c r="V58560" s="8"/>
      <c r="W58560" s="8"/>
      <c r="X58560" s="8"/>
      <c r="Y58560" s="8"/>
      <c r="Z58560" s="8"/>
      <c r="AA58560" s="8"/>
    </row>
    <row r="58561" spans="19:27" x14ac:dyDescent="0.25">
      <c r="S58561" s="8"/>
      <c r="T58561" s="8"/>
      <c r="U58561" s="8"/>
      <c r="V58561" s="8"/>
      <c r="W58561" s="8"/>
      <c r="X58561" s="8"/>
      <c r="Y58561" s="8"/>
      <c r="Z58561" s="8"/>
      <c r="AA58561" s="8"/>
    </row>
    <row r="58562" spans="19:27" x14ac:dyDescent="0.25">
      <c r="S58562" s="8"/>
      <c r="T58562" s="8"/>
      <c r="U58562" s="8"/>
      <c r="V58562" s="8"/>
      <c r="W58562" s="8"/>
      <c r="X58562" s="8"/>
      <c r="Y58562" s="8"/>
      <c r="Z58562" s="8"/>
      <c r="AA58562" s="8"/>
    </row>
    <row r="58563" spans="19:27" x14ac:dyDescent="0.25">
      <c r="S58563" s="8"/>
      <c r="T58563" s="8"/>
      <c r="U58563" s="8"/>
      <c r="V58563" s="8"/>
      <c r="W58563" s="8"/>
      <c r="X58563" s="8"/>
      <c r="Y58563" s="8"/>
      <c r="Z58563" s="8"/>
      <c r="AA58563" s="8"/>
    </row>
    <row r="58564" spans="19:27" x14ac:dyDescent="0.25">
      <c r="S58564" s="8"/>
      <c r="T58564" s="8"/>
      <c r="U58564" s="8"/>
      <c r="V58564" s="8"/>
      <c r="W58564" s="8"/>
      <c r="X58564" s="8"/>
      <c r="Y58564" s="8"/>
      <c r="Z58564" s="8"/>
      <c r="AA58564" s="8"/>
    </row>
    <row r="58565" spans="19:27" x14ac:dyDescent="0.25">
      <c r="S58565" s="8"/>
      <c r="T58565" s="8"/>
      <c r="U58565" s="8"/>
      <c r="V58565" s="8"/>
      <c r="W58565" s="8"/>
      <c r="X58565" s="8"/>
      <c r="Y58565" s="8"/>
      <c r="Z58565" s="8"/>
      <c r="AA58565" s="8"/>
    </row>
    <row r="58566" spans="19:27" x14ac:dyDescent="0.25">
      <c r="S58566" s="8"/>
      <c r="T58566" s="8"/>
      <c r="U58566" s="8"/>
      <c r="V58566" s="8"/>
      <c r="W58566" s="8"/>
      <c r="X58566" s="8"/>
      <c r="Y58566" s="8"/>
      <c r="Z58566" s="8"/>
      <c r="AA58566" s="8"/>
    </row>
    <row r="58567" spans="19:27" x14ac:dyDescent="0.25">
      <c r="S58567" s="8"/>
      <c r="T58567" s="8"/>
      <c r="U58567" s="8"/>
      <c r="V58567" s="8"/>
      <c r="W58567" s="8"/>
      <c r="X58567" s="8"/>
      <c r="Y58567" s="8"/>
      <c r="Z58567" s="8"/>
      <c r="AA58567" s="8"/>
    </row>
    <row r="58568" spans="19:27" x14ac:dyDescent="0.25">
      <c r="S58568" s="8"/>
      <c r="T58568" s="8"/>
      <c r="U58568" s="8"/>
      <c r="V58568" s="8"/>
      <c r="W58568" s="8"/>
      <c r="X58568" s="8"/>
      <c r="Y58568" s="8"/>
      <c r="Z58568" s="8"/>
      <c r="AA58568" s="8"/>
    </row>
    <row r="58569" spans="19:27" x14ac:dyDescent="0.25">
      <c r="S58569" s="8"/>
      <c r="T58569" s="8"/>
      <c r="U58569" s="8"/>
      <c r="V58569" s="8"/>
      <c r="W58569" s="8"/>
      <c r="X58569" s="8"/>
      <c r="Y58569" s="8"/>
      <c r="Z58569" s="8"/>
      <c r="AA58569" s="8"/>
    </row>
    <row r="58570" spans="19:27" x14ac:dyDescent="0.25">
      <c r="S58570" s="8"/>
      <c r="T58570" s="8"/>
      <c r="U58570" s="8"/>
      <c r="V58570" s="8"/>
      <c r="W58570" s="8"/>
      <c r="X58570" s="8"/>
      <c r="Y58570" s="8"/>
      <c r="Z58570" s="8"/>
      <c r="AA58570" s="8"/>
    </row>
    <row r="58571" spans="19:27" x14ac:dyDescent="0.25">
      <c r="S58571" s="8"/>
      <c r="T58571" s="8"/>
      <c r="U58571" s="8"/>
      <c r="V58571" s="8"/>
      <c r="W58571" s="8"/>
      <c r="X58571" s="8"/>
      <c r="Y58571" s="8"/>
      <c r="Z58571" s="8"/>
      <c r="AA58571" s="8"/>
    </row>
    <row r="58572" spans="19:27" x14ac:dyDescent="0.25">
      <c r="S58572" s="8"/>
      <c r="T58572" s="8"/>
      <c r="U58572" s="8"/>
      <c r="V58572" s="8"/>
      <c r="W58572" s="8"/>
      <c r="X58572" s="8"/>
      <c r="Y58572" s="8"/>
      <c r="Z58572" s="8"/>
      <c r="AA58572" s="8"/>
    </row>
    <row r="58573" spans="19:27" x14ac:dyDescent="0.25">
      <c r="S58573" s="8"/>
      <c r="T58573" s="8"/>
      <c r="U58573" s="8"/>
      <c r="V58573" s="8"/>
      <c r="W58573" s="8"/>
      <c r="X58573" s="8"/>
      <c r="Y58573" s="8"/>
      <c r="Z58573" s="8"/>
      <c r="AA58573" s="8"/>
    </row>
    <row r="58574" spans="19:27" x14ac:dyDescent="0.25">
      <c r="S58574" s="8"/>
      <c r="T58574" s="8"/>
      <c r="U58574" s="8"/>
      <c r="V58574" s="8"/>
      <c r="W58574" s="8"/>
      <c r="X58574" s="8"/>
      <c r="Y58574" s="8"/>
      <c r="Z58574" s="8"/>
      <c r="AA58574" s="8"/>
    </row>
    <row r="58575" spans="19:27" x14ac:dyDescent="0.25">
      <c r="S58575" s="8"/>
      <c r="T58575" s="8"/>
      <c r="U58575" s="8"/>
      <c r="V58575" s="8"/>
      <c r="W58575" s="8"/>
      <c r="X58575" s="8"/>
      <c r="Y58575" s="8"/>
      <c r="Z58575" s="8"/>
      <c r="AA58575" s="8"/>
    </row>
    <row r="58576" spans="19:27" x14ac:dyDescent="0.25">
      <c r="S58576" s="8"/>
      <c r="T58576" s="8"/>
      <c r="U58576" s="8"/>
      <c r="V58576" s="8"/>
      <c r="W58576" s="8"/>
      <c r="X58576" s="8"/>
      <c r="Y58576" s="8"/>
      <c r="Z58576" s="8"/>
      <c r="AA58576" s="8"/>
    </row>
    <row r="58577" spans="19:27" x14ac:dyDescent="0.25">
      <c r="S58577" s="8"/>
      <c r="T58577" s="8"/>
      <c r="U58577" s="8"/>
      <c r="V58577" s="8"/>
      <c r="W58577" s="8"/>
      <c r="X58577" s="8"/>
      <c r="Y58577" s="8"/>
      <c r="Z58577" s="8"/>
      <c r="AA58577" s="8"/>
    </row>
    <row r="58578" spans="19:27" x14ac:dyDescent="0.25">
      <c r="S58578" s="8"/>
      <c r="T58578" s="8"/>
      <c r="U58578" s="8"/>
      <c r="V58578" s="8"/>
      <c r="W58578" s="8"/>
      <c r="X58578" s="8"/>
      <c r="Y58578" s="8"/>
      <c r="Z58578" s="8"/>
      <c r="AA58578" s="8"/>
    </row>
    <row r="58579" spans="19:27" x14ac:dyDescent="0.25">
      <c r="S58579" s="8"/>
      <c r="T58579" s="8"/>
      <c r="U58579" s="8"/>
      <c r="V58579" s="8"/>
      <c r="W58579" s="8"/>
      <c r="X58579" s="8"/>
      <c r="Y58579" s="8"/>
      <c r="Z58579" s="8"/>
      <c r="AA58579" s="8"/>
    </row>
    <row r="58580" spans="19:27" x14ac:dyDescent="0.25">
      <c r="S58580" s="8"/>
      <c r="T58580" s="8"/>
      <c r="U58580" s="8"/>
      <c r="V58580" s="8"/>
      <c r="W58580" s="8"/>
      <c r="X58580" s="8"/>
      <c r="Y58580" s="8"/>
      <c r="Z58580" s="8"/>
      <c r="AA58580" s="8"/>
    </row>
    <row r="58581" spans="19:27" x14ac:dyDescent="0.25">
      <c r="S58581" s="8"/>
      <c r="T58581" s="8"/>
      <c r="U58581" s="8"/>
      <c r="V58581" s="8"/>
      <c r="W58581" s="8"/>
      <c r="X58581" s="8"/>
      <c r="Y58581" s="8"/>
      <c r="Z58581" s="8"/>
      <c r="AA58581" s="8"/>
    </row>
    <row r="58582" spans="19:27" x14ac:dyDescent="0.25">
      <c r="S58582" s="8"/>
      <c r="T58582" s="8"/>
      <c r="U58582" s="8"/>
      <c r="V58582" s="8"/>
      <c r="W58582" s="8"/>
      <c r="X58582" s="8"/>
      <c r="Y58582" s="8"/>
      <c r="Z58582" s="8"/>
      <c r="AA58582" s="8"/>
    </row>
    <row r="58583" spans="19:27" x14ac:dyDescent="0.25">
      <c r="S58583" s="8"/>
      <c r="T58583" s="8"/>
      <c r="U58583" s="8"/>
      <c r="V58583" s="8"/>
      <c r="W58583" s="8"/>
      <c r="X58583" s="8"/>
      <c r="Y58583" s="8"/>
      <c r="Z58583" s="8"/>
      <c r="AA58583" s="8"/>
    </row>
    <row r="58584" spans="19:27" x14ac:dyDescent="0.25">
      <c r="S58584" s="8"/>
      <c r="T58584" s="8"/>
      <c r="U58584" s="8"/>
      <c r="V58584" s="8"/>
      <c r="W58584" s="8"/>
      <c r="X58584" s="8"/>
      <c r="Y58584" s="8"/>
      <c r="Z58584" s="8"/>
      <c r="AA58584" s="8"/>
    </row>
    <row r="58585" spans="19:27" x14ac:dyDescent="0.25">
      <c r="S58585" s="8"/>
      <c r="T58585" s="8"/>
      <c r="U58585" s="8"/>
      <c r="V58585" s="8"/>
      <c r="W58585" s="8"/>
      <c r="X58585" s="8"/>
      <c r="Y58585" s="8"/>
      <c r="Z58585" s="8"/>
      <c r="AA58585" s="8"/>
    </row>
    <row r="58586" spans="19:27" x14ac:dyDescent="0.25">
      <c r="S58586" s="8"/>
      <c r="T58586" s="8"/>
      <c r="U58586" s="8"/>
      <c r="V58586" s="8"/>
      <c r="W58586" s="8"/>
      <c r="X58586" s="8"/>
      <c r="Y58586" s="8"/>
      <c r="Z58586" s="8"/>
      <c r="AA58586" s="8"/>
    </row>
    <row r="58587" spans="19:27" x14ac:dyDescent="0.25">
      <c r="S58587" s="8"/>
      <c r="T58587" s="8"/>
      <c r="U58587" s="8"/>
      <c r="V58587" s="8"/>
      <c r="W58587" s="8"/>
      <c r="X58587" s="8"/>
      <c r="Y58587" s="8"/>
      <c r="Z58587" s="8"/>
      <c r="AA58587" s="8"/>
    </row>
    <row r="58588" spans="19:27" x14ac:dyDescent="0.25">
      <c r="S58588" s="8"/>
      <c r="T58588" s="8"/>
      <c r="U58588" s="8"/>
      <c r="V58588" s="8"/>
      <c r="W58588" s="8"/>
      <c r="X58588" s="8"/>
      <c r="Y58588" s="8"/>
      <c r="Z58588" s="8"/>
      <c r="AA58588" s="8"/>
    </row>
    <row r="58589" spans="19:27" x14ac:dyDescent="0.25">
      <c r="S58589" s="8"/>
      <c r="T58589" s="8"/>
      <c r="U58589" s="8"/>
      <c r="V58589" s="8"/>
      <c r="W58589" s="8"/>
      <c r="X58589" s="8"/>
      <c r="Y58589" s="8"/>
      <c r="Z58589" s="8"/>
      <c r="AA58589" s="8"/>
    </row>
    <row r="58590" spans="19:27" x14ac:dyDescent="0.25">
      <c r="S58590" s="8"/>
      <c r="T58590" s="8"/>
      <c r="U58590" s="8"/>
      <c r="V58590" s="8"/>
      <c r="W58590" s="8"/>
      <c r="X58590" s="8"/>
      <c r="Y58590" s="8"/>
      <c r="Z58590" s="8"/>
      <c r="AA58590" s="8"/>
    </row>
    <row r="58591" spans="19:27" x14ac:dyDescent="0.25">
      <c r="S58591" s="8"/>
      <c r="T58591" s="8"/>
      <c r="U58591" s="8"/>
      <c r="V58591" s="8"/>
      <c r="W58591" s="8"/>
      <c r="X58591" s="8"/>
      <c r="Y58591" s="8"/>
      <c r="Z58591" s="8"/>
      <c r="AA58591" s="8"/>
    </row>
    <row r="58592" spans="19:27" x14ac:dyDescent="0.25">
      <c r="S58592" s="8"/>
      <c r="T58592" s="8"/>
      <c r="U58592" s="8"/>
      <c r="V58592" s="8"/>
      <c r="W58592" s="8"/>
      <c r="X58592" s="8"/>
      <c r="Y58592" s="8"/>
      <c r="Z58592" s="8"/>
      <c r="AA58592" s="8"/>
    </row>
    <row r="58593" spans="1:27" x14ac:dyDescent="0.25">
      <c r="S58593" s="8"/>
      <c r="T58593" s="8"/>
      <c r="U58593" s="8"/>
      <c r="V58593" s="8"/>
      <c r="W58593" s="8"/>
      <c r="X58593" s="8"/>
      <c r="Y58593" s="8"/>
      <c r="Z58593" s="8"/>
      <c r="AA58593" s="8"/>
    </row>
    <row r="58594" spans="1:27" x14ac:dyDescent="0.25">
      <c r="A58594" s="8"/>
      <c r="B58594" s="8"/>
      <c r="C58594" s="99"/>
      <c r="D58594" s="8"/>
      <c r="E58594" s="8"/>
      <c r="F58594" s="8"/>
      <c r="G58594" s="8"/>
      <c r="H58594" s="8"/>
      <c r="I58594" s="102"/>
      <c r="J58594" s="8"/>
      <c r="K58594" s="8"/>
      <c r="L58594" s="8"/>
      <c r="M58594" s="8"/>
      <c r="N58594" s="8"/>
      <c r="O58594" s="8"/>
      <c r="P58594" s="8"/>
      <c r="Q58594" s="8"/>
      <c r="R58594" s="103"/>
      <c r="S58594" s="8"/>
      <c r="T58594" s="8"/>
      <c r="U58594" s="8"/>
      <c r="V58594" s="8"/>
      <c r="W58594" s="8"/>
      <c r="X58594" s="8"/>
      <c r="Y58594" s="8"/>
      <c r="Z58594" s="8"/>
      <c r="AA58594" s="8"/>
    </row>
    <row r="58595" spans="1:27" x14ac:dyDescent="0.25">
      <c r="A58595" s="8"/>
      <c r="B58595" s="8"/>
      <c r="C58595" s="99"/>
      <c r="D58595" s="8"/>
      <c r="E58595" s="8"/>
      <c r="F58595" s="8"/>
      <c r="G58595" s="8"/>
      <c r="H58595" s="8"/>
      <c r="I58595" s="102"/>
      <c r="J58595" s="8"/>
      <c r="K58595" s="8"/>
      <c r="L58595" s="8"/>
      <c r="M58595" s="8"/>
      <c r="N58595" s="8"/>
      <c r="O58595" s="8"/>
      <c r="P58595" s="8"/>
      <c r="Q58595" s="8"/>
      <c r="R58595" s="103"/>
      <c r="S58595" s="8"/>
      <c r="T58595" s="8"/>
      <c r="U58595" s="8"/>
      <c r="V58595" s="8"/>
      <c r="W58595" s="8"/>
      <c r="X58595" s="8"/>
      <c r="Y58595" s="8"/>
      <c r="Z58595" s="8"/>
      <c r="AA58595" s="8"/>
    </row>
    <row r="58596" spans="1:27" x14ac:dyDescent="0.25">
      <c r="A58596" s="8"/>
      <c r="B58596" s="8"/>
      <c r="C58596" s="99"/>
      <c r="D58596" s="8"/>
      <c r="E58596" s="8"/>
      <c r="F58596" s="8"/>
      <c r="G58596" s="8"/>
      <c r="H58596" s="8"/>
      <c r="I58596" s="102"/>
      <c r="J58596" s="8"/>
      <c r="K58596" s="8"/>
      <c r="L58596" s="8"/>
      <c r="M58596" s="8"/>
      <c r="N58596" s="8"/>
      <c r="O58596" s="8"/>
      <c r="P58596" s="8"/>
      <c r="Q58596" s="8"/>
      <c r="R58596" s="103"/>
      <c r="S58596" s="8"/>
      <c r="T58596" s="8"/>
      <c r="U58596" s="8"/>
      <c r="V58596" s="8"/>
      <c r="W58596" s="8"/>
      <c r="X58596" s="8"/>
      <c r="Y58596" s="8"/>
      <c r="Z58596" s="8"/>
      <c r="AA58596" s="8"/>
    </row>
    <row r="58597" spans="1:27" x14ac:dyDescent="0.25">
      <c r="A58597" s="8"/>
      <c r="B58597" s="8"/>
      <c r="C58597" s="99"/>
      <c r="D58597" s="8"/>
      <c r="E58597" s="8"/>
      <c r="F58597" s="8"/>
      <c r="G58597" s="8"/>
      <c r="H58597" s="8"/>
      <c r="I58597" s="102"/>
      <c r="J58597" s="8"/>
      <c r="K58597" s="8"/>
      <c r="L58597" s="8"/>
      <c r="M58597" s="8"/>
      <c r="N58597" s="8"/>
      <c r="O58597" s="8"/>
      <c r="P58597" s="8"/>
      <c r="Q58597" s="8"/>
      <c r="R58597" s="103"/>
      <c r="S58597" s="8"/>
      <c r="T58597" s="8"/>
      <c r="U58597" s="8"/>
      <c r="V58597" s="8"/>
      <c r="W58597" s="8"/>
      <c r="X58597" s="8"/>
      <c r="Y58597" s="8"/>
      <c r="Z58597" s="8"/>
      <c r="AA58597" s="8"/>
    </row>
    <row r="58598" spans="1:27" x14ac:dyDescent="0.25">
      <c r="A58598" s="8"/>
      <c r="B58598" s="8"/>
      <c r="C58598" s="99"/>
      <c r="D58598" s="8"/>
      <c r="E58598" s="8"/>
      <c r="F58598" s="8"/>
      <c r="G58598" s="8"/>
      <c r="H58598" s="8"/>
      <c r="I58598" s="102"/>
      <c r="J58598" s="8"/>
      <c r="K58598" s="8"/>
      <c r="L58598" s="8"/>
      <c r="M58598" s="8"/>
      <c r="N58598" s="8"/>
      <c r="O58598" s="8"/>
      <c r="P58598" s="8"/>
      <c r="Q58598" s="8"/>
      <c r="R58598" s="103"/>
      <c r="S58598" s="8"/>
      <c r="T58598" s="8"/>
      <c r="U58598" s="8"/>
      <c r="V58598" s="8"/>
      <c r="W58598" s="8"/>
      <c r="X58598" s="8"/>
      <c r="Y58598" s="8"/>
      <c r="Z58598" s="8"/>
      <c r="AA58598" s="8"/>
    </row>
    <row r="58599" spans="1:27" x14ac:dyDescent="0.25">
      <c r="A58599" s="8"/>
      <c r="B58599" s="8"/>
      <c r="C58599" s="99"/>
      <c r="D58599" s="8"/>
      <c r="E58599" s="8"/>
      <c r="F58599" s="8"/>
      <c r="G58599" s="8"/>
      <c r="H58599" s="8"/>
      <c r="I58599" s="102"/>
      <c r="J58599" s="8"/>
      <c r="K58599" s="8"/>
      <c r="L58599" s="8"/>
      <c r="M58599" s="8"/>
      <c r="N58599" s="8"/>
      <c r="O58599" s="8"/>
      <c r="P58599" s="8"/>
      <c r="Q58599" s="8"/>
      <c r="R58599" s="103"/>
      <c r="S58599" s="8"/>
      <c r="T58599" s="8"/>
      <c r="U58599" s="8"/>
      <c r="V58599" s="8"/>
      <c r="W58599" s="8"/>
      <c r="X58599" s="8"/>
      <c r="Y58599" s="8"/>
      <c r="Z58599" s="8"/>
      <c r="AA58599" s="8"/>
    </row>
    <row r="58600" spans="1:27" x14ac:dyDescent="0.25">
      <c r="A58600" s="8"/>
      <c r="B58600" s="8"/>
      <c r="C58600" s="99"/>
      <c r="D58600" s="8"/>
      <c r="E58600" s="8"/>
      <c r="F58600" s="8"/>
      <c r="G58600" s="8"/>
      <c r="H58600" s="8"/>
      <c r="I58600" s="102"/>
      <c r="J58600" s="8"/>
      <c r="K58600" s="8"/>
      <c r="L58600" s="8"/>
      <c r="M58600" s="8"/>
      <c r="N58600" s="8"/>
      <c r="O58600" s="8"/>
      <c r="P58600" s="8"/>
      <c r="Q58600" s="8"/>
      <c r="R58600" s="103"/>
      <c r="S58600" s="8"/>
      <c r="T58600" s="8"/>
      <c r="U58600" s="8"/>
      <c r="V58600" s="8"/>
      <c r="W58600" s="8"/>
      <c r="X58600" s="8"/>
      <c r="Y58600" s="8"/>
      <c r="Z58600" s="8"/>
      <c r="AA58600" s="8"/>
    </row>
    <row r="58601" spans="1:27" x14ac:dyDescent="0.25">
      <c r="A58601" s="8"/>
      <c r="B58601" s="8"/>
      <c r="C58601" s="99"/>
      <c r="D58601" s="8"/>
      <c r="E58601" s="8"/>
      <c r="F58601" s="8"/>
      <c r="G58601" s="8"/>
      <c r="H58601" s="8"/>
      <c r="I58601" s="102"/>
      <c r="J58601" s="8"/>
      <c r="K58601" s="8"/>
      <c r="L58601" s="8"/>
      <c r="M58601" s="8"/>
      <c r="N58601" s="8"/>
      <c r="O58601" s="8"/>
      <c r="P58601" s="8"/>
      <c r="Q58601" s="8"/>
      <c r="R58601" s="103"/>
      <c r="S58601" s="8"/>
      <c r="T58601" s="8"/>
      <c r="U58601" s="8"/>
      <c r="V58601" s="8"/>
      <c r="W58601" s="8"/>
      <c r="X58601" s="8"/>
      <c r="Y58601" s="8"/>
      <c r="Z58601" s="8"/>
      <c r="AA58601" s="8"/>
    </row>
    <row r="58602" spans="1:27" x14ac:dyDescent="0.25">
      <c r="A58602" s="8"/>
      <c r="B58602" s="8"/>
      <c r="C58602" s="99"/>
      <c r="D58602" s="8"/>
      <c r="E58602" s="8"/>
      <c r="F58602" s="8"/>
      <c r="G58602" s="8"/>
      <c r="H58602" s="8"/>
      <c r="I58602" s="102"/>
      <c r="J58602" s="8"/>
      <c r="K58602" s="8"/>
      <c r="L58602" s="8"/>
      <c r="M58602" s="8"/>
      <c r="N58602" s="8"/>
      <c r="O58602" s="8"/>
      <c r="P58602" s="8"/>
      <c r="Q58602" s="8"/>
      <c r="R58602" s="103"/>
      <c r="S58602" s="8"/>
      <c r="T58602" s="8"/>
      <c r="U58602" s="8"/>
      <c r="V58602" s="8"/>
      <c r="W58602" s="8"/>
      <c r="X58602" s="8"/>
      <c r="Y58602" s="8"/>
      <c r="Z58602" s="8"/>
      <c r="AA58602" s="8"/>
    </row>
    <row r="58603" spans="1:27" x14ac:dyDescent="0.25">
      <c r="A58603" s="8"/>
      <c r="B58603" s="8"/>
      <c r="C58603" s="99"/>
      <c r="D58603" s="8"/>
      <c r="E58603" s="8"/>
      <c r="F58603" s="8"/>
      <c r="G58603" s="8"/>
      <c r="H58603" s="8"/>
      <c r="I58603" s="102"/>
      <c r="J58603" s="8"/>
      <c r="K58603" s="8"/>
      <c r="L58603" s="8"/>
      <c r="M58603" s="8"/>
      <c r="N58603" s="8"/>
      <c r="O58603" s="8"/>
      <c r="P58603" s="8"/>
      <c r="Q58603" s="8"/>
      <c r="R58603" s="103"/>
      <c r="S58603" s="8"/>
      <c r="T58603" s="8"/>
      <c r="U58603" s="8"/>
      <c r="V58603" s="8"/>
      <c r="W58603" s="8"/>
      <c r="X58603" s="8"/>
      <c r="Y58603" s="8"/>
      <c r="Z58603" s="8"/>
      <c r="AA58603" s="8"/>
    </row>
    <row r="58604" spans="1:27" x14ac:dyDescent="0.25">
      <c r="A58604" s="8"/>
      <c r="B58604" s="8"/>
      <c r="C58604" s="99"/>
      <c r="D58604" s="8"/>
      <c r="E58604" s="8"/>
      <c r="F58604" s="8"/>
      <c r="G58604" s="8"/>
      <c r="H58604" s="8"/>
      <c r="I58604" s="102"/>
      <c r="J58604" s="8"/>
      <c r="K58604" s="8"/>
      <c r="L58604" s="8"/>
      <c r="M58604" s="8"/>
      <c r="N58604" s="8"/>
      <c r="O58604" s="8"/>
      <c r="P58604" s="8"/>
      <c r="Q58604" s="8"/>
      <c r="R58604" s="103"/>
      <c r="S58604" s="8"/>
      <c r="T58604" s="8"/>
      <c r="U58604" s="8"/>
      <c r="V58604" s="8"/>
      <c r="W58604" s="8"/>
      <c r="X58604" s="8"/>
      <c r="Y58604" s="8"/>
      <c r="Z58604" s="8"/>
      <c r="AA58604" s="8"/>
    </row>
    <row r="58605" spans="1:27" x14ac:dyDescent="0.25">
      <c r="A58605" s="8"/>
      <c r="B58605" s="8"/>
      <c r="C58605" s="99"/>
      <c r="D58605" s="8"/>
      <c r="E58605" s="8"/>
      <c r="F58605" s="8"/>
      <c r="G58605" s="8"/>
      <c r="H58605" s="8"/>
      <c r="I58605" s="102"/>
      <c r="J58605" s="8"/>
      <c r="K58605" s="8"/>
      <c r="L58605" s="8"/>
      <c r="M58605" s="8"/>
      <c r="N58605" s="8"/>
      <c r="O58605" s="8"/>
      <c r="P58605" s="8"/>
      <c r="Q58605" s="8"/>
      <c r="R58605" s="103"/>
      <c r="S58605" s="8"/>
      <c r="T58605" s="8"/>
      <c r="U58605" s="8"/>
      <c r="V58605" s="8"/>
      <c r="W58605" s="8"/>
      <c r="X58605" s="8"/>
      <c r="Y58605" s="8"/>
      <c r="Z58605" s="8"/>
      <c r="AA58605" s="8"/>
    </row>
    <row r="58606" spans="1:27" x14ac:dyDescent="0.25">
      <c r="A58606" s="8"/>
      <c r="B58606" s="8"/>
      <c r="C58606" s="99"/>
      <c r="D58606" s="8"/>
      <c r="E58606" s="8"/>
      <c r="F58606" s="8"/>
      <c r="G58606" s="8"/>
      <c r="H58606" s="8"/>
      <c r="I58606" s="102"/>
      <c r="J58606" s="8"/>
      <c r="K58606" s="8"/>
      <c r="L58606" s="8"/>
      <c r="M58606" s="8"/>
      <c r="N58606" s="8"/>
      <c r="O58606" s="8"/>
      <c r="P58606" s="8"/>
      <c r="Q58606" s="8"/>
      <c r="R58606" s="103"/>
      <c r="S58606" s="8"/>
      <c r="T58606" s="8"/>
      <c r="U58606" s="8"/>
      <c r="V58606" s="8"/>
      <c r="W58606" s="8"/>
      <c r="X58606" s="8"/>
      <c r="Y58606" s="8"/>
      <c r="Z58606" s="8"/>
      <c r="AA58606" s="8"/>
    </row>
    <row r="58607" spans="1:27" x14ac:dyDescent="0.25">
      <c r="A58607" s="8"/>
      <c r="B58607" s="8"/>
      <c r="C58607" s="99"/>
      <c r="D58607" s="8"/>
      <c r="E58607" s="8"/>
      <c r="F58607" s="8"/>
      <c r="G58607" s="8"/>
      <c r="H58607" s="8"/>
      <c r="I58607" s="102"/>
      <c r="J58607" s="8"/>
      <c r="K58607" s="8"/>
      <c r="L58607" s="8"/>
      <c r="M58607" s="8"/>
      <c r="N58607" s="8"/>
      <c r="O58607" s="8"/>
      <c r="P58607" s="8"/>
      <c r="Q58607" s="8"/>
      <c r="R58607" s="103"/>
      <c r="S58607" s="8"/>
      <c r="T58607" s="8"/>
      <c r="U58607" s="8"/>
      <c r="V58607" s="8"/>
      <c r="W58607" s="8"/>
      <c r="X58607" s="8"/>
      <c r="Y58607" s="8"/>
      <c r="Z58607" s="8"/>
      <c r="AA58607" s="8"/>
    </row>
    <row r="58608" spans="1:27" x14ac:dyDescent="0.25">
      <c r="A58608" s="8"/>
      <c r="B58608" s="8"/>
      <c r="C58608" s="99"/>
      <c r="D58608" s="8"/>
      <c r="E58608" s="8"/>
      <c r="F58608" s="8"/>
      <c r="G58608" s="8"/>
      <c r="H58608" s="8"/>
      <c r="I58608" s="102"/>
      <c r="J58608" s="8"/>
      <c r="K58608" s="8"/>
      <c r="L58608" s="8"/>
      <c r="M58608" s="8"/>
      <c r="N58608" s="8"/>
      <c r="O58608" s="8"/>
      <c r="P58608" s="8"/>
      <c r="Q58608" s="8"/>
      <c r="R58608" s="103"/>
      <c r="S58608" s="8"/>
      <c r="T58608" s="8"/>
      <c r="U58608" s="8"/>
      <c r="V58608" s="8"/>
      <c r="W58608" s="8"/>
      <c r="X58608" s="8"/>
      <c r="Y58608" s="8"/>
      <c r="Z58608" s="8"/>
      <c r="AA58608" s="8"/>
    </row>
    <row r="58609" spans="1:27" x14ac:dyDescent="0.25">
      <c r="A58609" s="8"/>
      <c r="B58609" s="8"/>
      <c r="C58609" s="99"/>
      <c r="D58609" s="8"/>
      <c r="E58609" s="8"/>
      <c r="F58609" s="8"/>
      <c r="G58609" s="8"/>
      <c r="H58609" s="8"/>
      <c r="I58609" s="102"/>
      <c r="J58609" s="8"/>
      <c r="K58609" s="8"/>
      <c r="L58609" s="8"/>
      <c r="M58609" s="8"/>
      <c r="N58609" s="8"/>
      <c r="O58609" s="8"/>
      <c r="P58609" s="8"/>
      <c r="Q58609" s="8"/>
      <c r="R58609" s="103"/>
      <c r="S58609" s="8"/>
      <c r="T58609" s="8"/>
      <c r="U58609" s="8"/>
      <c r="V58609" s="8"/>
      <c r="W58609" s="8"/>
      <c r="X58609" s="8"/>
      <c r="Y58609" s="8"/>
      <c r="Z58609" s="8"/>
      <c r="AA58609" s="8"/>
    </row>
    <row r="58610" spans="1:27" x14ac:dyDescent="0.25">
      <c r="A58610" s="8"/>
      <c r="B58610" s="8"/>
      <c r="C58610" s="99"/>
      <c r="D58610" s="8"/>
      <c r="E58610" s="8"/>
      <c r="F58610" s="8"/>
      <c r="G58610" s="8"/>
      <c r="H58610" s="8"/>
      <c r="I58610" s="102"/>
      <c r="J58610" s="8"/>
      <c r="K58610" s="8"/>
      <c r="L58610" s="8"/>
      <c r="M58610" s="8"/>
      <c r="N58610" s="8"/>
      <c r="O58610" s="8"/>
      <c r="P58610" s="8"/>
      <c r="Q58610" s="8"/>
      <c r="R58610" s="103"/>
      <c r="S58610" s="8"/>
      <c r="T58610" s="8"/>
      <c r="U58610" s="8"/>
      <c r="V58610" s="8"/>
      <c r="W58610" s="8"/>
      <c r="X58610" s="8"/>
      <c r="Y58610" s="8"/>
      <c r="Z58610" s="8"/>
      <c r="AA58610" s="8"/>
    </row>
    <row r="58611" spans="1:27" x14ac:dyDescent="0.25">
      <c r="A58611" s="8"/>
      <c r="B58611" s="8"/>
      <c r="C58611" s="99"/>
      <c r="D58611" s="8"/>
      <c r="E58611" s="8"/>
      <c r="F58611" s="8"/>
      <c r="G58611" s="8"/>
      <c r="H58611" s="8"/>
      <c r="I58611" s="102"/>
      <c r="J58611" s="8"/>
      <c r="K58611" s="8"/>
      <c r="L58611" s="8"/>
      <c r="M58611" s="8"/>
      <c r="N58611" s="8"/>
      <c r="O58611" s="8"/>
      <c r="P58611" s="8"/>
      <c r="Q58611" s="8"/>
      <c r="R58611" s="103"/>
      <c r="S58611" s="8"/>
      <c r="T58611" s="8"/>
      <c r="U58611" s="8"/>
      <c r="V58611" s="8"/>
      <c r="W58611" s="8"/>
      <c r="X58611" s="8"/>
      <c r="Y58611" s="8"/>
      <c r="Z58611" s="8"/>
      <c r="AA58611" s="8"/>
    </row>
    <row r="58612" spans="1:27" x14ac:dyDescent="0.25">
      <c r="A58612" s="8"/>
      <c r="B58612" s="8"/>
      <c r="C58612" s="99"/>
      <c r="D58612" s="8"/>
      <c r="E58612" s="8"/>
      <c r="F58612" s="8"/>
      <c r="G58612" s="8"/>
      <c r="H58612" s="8"/>
      <c r="I58612" s="102"/>
      <c r="J58612" s="8"/>
      <c r="K58612" s="8"/>
      <c r="L58612" s="8"/>
      <c r="M58612" s="8"/>
      <c r="N58612" s="8"/>
      <c r="O58612" s="8"/>
      <c r="P58612" s="8"/>
      <c r="Q58612" s="8"/>
      <c r="R58612" s="103"/>
      <c r="S58612" s="8"/>
      <c r="T58612" s="8"/>
      <c r="U58612" s="8"/>
      <c r="V58612" s="8"/>
      <c r="W58612" s="8"/>
      <c r="X58612" s="8"/>
      <c r="Y58612" s="8"/>
      <c r="Z58612" s="8"/>
      <c r="AA58612" s="8"/>
    </row>
    <row r="58613" spans="1:27" x14ac:dyDescent="0.25">
      <c r="A58613" s="8"/>
      <c r="B58613" s="8"/>
      <c r="C58613" s="99"/>
      <c r="D58613" s="8"/>
      <c r="E58613" s="8"/>
      <c r="F58613" s="8"/>
      <c r="G58613" s="8"/>
      <c r="H58613" s="8"/>
      <c r="I58613" s="102"/>
      <c r="J58613" s="8"/>
      <c r="K58613" s="8"/>
      <c r="L58613" s="8"/>
      <c r="M58613" s="8"/>
      <c r="N58613" s="8"/>
      <c r="O58613" s="8"/>
      <c r="P58613" s="8"/>
      <c r="Q58613" s="8"/>
      <c r="R58613" s="103"/>
      <c r="S58613" s="8"/>
      <c r="T58613" s="8"/>
      <c r="U58613" s="8"/>
      <c r="V58613" s="8"/>
      <c r="W58613" s="8"/>
      <c r="X58613" s="8"/>
      <c r="Y58613" s="8"/>
      <c r="Z58613" s="8"/>
      <c r="AA58613" s="8"/>
    </row>
    <row r="58614" spans="1:27" x14ac:dyDescent="0.25">
      <c r="A58614" s="8"/>
      <c r="B58614" s="8"/>
      <c r="C58614" s="99"/>
      <c r="D58614" s="8"/>
      <c r="E58614" s="8"/>
      <c r="F58614" s="8"/>
      <c r="G58614" s="8"/>
      <c r="H58614" s="8"/>
      <c r="I58614" s="102"/>
      <c r="J58614" s="8"/>
      <c r="K58614" s="8"/>
      <c r="L58614" s="8"/>
      <c r="M58614" s="8"/>
      <c r="N58614" s="8"/>
      <c r="O58614" s="8"/>
      <c r="P58614" s="8"/>
      <c r="Q58614" s="8"/>
      <c r="R58614" s="103"/>
      <c r="S58614" s="8"/>
      <c r="T58614" s="8"/>
      <c r="U58614" s="8"/>
      <c r="V58614" s="8"/>
      <c r="W58614" s="8"/>
      <c r="X58614" s="8"/>
      <c r="Y58614" s="8"/>
      <c r="Z58614" s="8"/>
      <c r="AA58614" s="8"/>
    </row>
    <row r="58615" spans="1:27" x14ac:dyDescent="0.25">
      <c r="A58615" s="8"/>
      <c r="B58615" s="8"/>
      <c r="C58615" s="99"/>
      <c r="D58615" s="8"/>
      <c r="E58615" s="8"/>
      <c r="F58615" s="8"/>
      <c r="G58615" s="8"/>
      <c r="H58615" s="8"/>
      <c r="I58615" s="102"/>
      <c r="J58615" s="8"/>
      <c r="K58615" s="8"/>
      <c r="L58615" s="8"/>
      <c r="M58615" s="8"/>
      <c r="N58615" s="8"/>
      <c r="O58615" s="8"/>
      <c r="P58615" s="8"/>
      <c r="Q58615" s="8"/>
      <c r="R58615" s="103"/>
      <c r="S58615" s="8"/>
      <c r="T58615" s="8"/>
      <c r="U58615" s="8"/>
      <c r="V58615" s="8"/>
      <c r="W58615" s="8"/>
      <c r="X58615" s="8"/>
      <c r="Y58615" s="8"/>
      <c r="Z58615" s="8"/>
      <c r="AA58615" s="8"/>
    </row>
    <row r="58616" spans="1:27" x14ac:dyDescent="0.25">
      <c r="A58616" s="8"/>
      <c r="B58616" s="8"/>
      <c r="C58616" s="99"/>
      <c r="D58616" s="8"/>
      <c r="E58616" s="8"/>
      <c r="F58616" s="8"/>
      <c r="G58616" s="8"/>
      <c r="H58616" s="8"/>
      <c r="I58616" s="102"/>
      <c r="J58616" s="8"/>
      <c r="K58616" s="8"/>
      <c r="L58616" s="8"/>
      <c r="M58616" s="8"/>
      <c r="N58616" s="8"/>
      <c r="O58616" s="8"/>
      <c r="P58616" s="8"/>
      <c r="Q58616" s="8"/>
      <c r="R58616" s="103"/>
      <c r="S58616" s="8"/>
      <c r="T58616" s="8"/>
      <c r="U58616" s="8"/>
      <c r="V58616" s="8"/>
      <c r="W58616" s="8"/>
      <c r="X58616" s="8"/>
      <c r="Y58616" s="8"/>
      <c r="Z58616" s="8"/>
      <c r="AA58616" s="8"/>
    </row>
    <row r="58617" spans="1:27" x14ac:dyDescent="0.25">
      <c r="A58617" s="8"/>
      <c r="B58617" s="8"/>
      <c r="C58617" s="99"/>
      <c r="D58617" s="8"/>
      <c r="E58617" s="8"/>
      <c r="F58617" s="8"/>
      <c r="G58617" s="8"/>
      <c r="H58617" s="8"/>
      <c r="I58617" s="102"/>
      <c r="J58617" s="8"/>
      <c r="K58617" s="8"/>
      <c r="L58617" s="8"/>
      <c r="M58617" s="8"/>
      <c r="N58617" s="8"/>
      <c r="O58617" s="8"/>
      <c r="P58617" s="8"/>
      <c r="Q58617" s="8"/>
      <c r="R58617" s="103"/>
      <c r="S58617" s="8"/>
      <c r="T58617" s="8"/>
      <c r="U58617" s="8"/>
      <c r="V58617" s="8"/>
      <c r="W58617" s="8"/>
      <c r="X58617" s="8"/>
      <c r="Y58617" s="8"/>
      <c r="Z58617" s="8"/>
      <c r="AA58617" s="8"/>
    </row>
    <row r="58618" spans="1:27" x14ac:dyDescent="0.25">
      <c r="A58618" s="8"/>
      <c r="B58618" s="8"/>
      <c r="C58618" s="99"/>
      <c r="D58618" s="8"/>
      <c r="E58618" s="8"/>
      <c r="F58618" s="8"/>
      <c r="G58618" s="8"/>
      <c r="H58618" s="8"/>
      <c r="I58618" s="102"/>
      <c r="J58618" s="8"/>
      <c r="K58618" s="8"/>
      <c r="L58618" s="8"/>
      <c r="M58618" s="8"/>
      <c r="N58618" s="8"/>
      <c r="O58618" s="8"/>
      <c r="P58618" s="8"/>
      <c r="Q58618" s="8"/>
      <c r="R58618" s="103"/>
      <c r="S58618" s="8"/>
      <c r="T58618" s="8"/>
      <c r="U58618" s="8"/>
      <c r="V58618" s="8"/>
      <c r="W58618" s="8"/>
      <c r="X58618" s="8"/>
      <c r="Y58618" s="8"/>
      <c r="Z58618" s="8"/>
      <c r="AA58618" s="8"/>
    </row>
    <row r="58619" spans="1:27" x14ac:dyDescent="0.25">
      <c r="A58619" s="8"/>
      <c r="B58619" s="8"/>
      <c r="C58619" s="99"/>
      <c r="D58619" s="8"/>
      <c r="E58619" s="8"/>
      <c r="F58619" s="8"/>
      <c r="G58619" s="8"/>
      <c r="H58619" s="8"/>
      <c r="I58619" s="102"/>
      <c r="J58619" s="8"/>
      <c r="K58619" s="8"/>
      <c r="L58619" s="8"/>
      <c r="M58619" s="8"/>
      <c r="N58619" s="8"/>
      <c r="O58619" s="8"/>
      <c r="P58619" s="8"/>
      <c r="Q58619" s="8"/>
      <c r="R58619" s="103"/>
      <c r="S58619" s="8"/>
      <c r="T58619" s="8"/>
      <c r="U58619" s="8"/>
      <c r="V58619" s="8"/>
      <c r="W58619" s="8"/>
      <c r="X58619" s="8"/>
      <c r="Y58619" s="8"/>
      <c r="Z58619" s="8"/>
      <c r="AA58619" s="8"/>
    </row>
    <row r="58620" spans="1:27" x14ac:dyDescent="0.25">
      <c r="A58620" s="8"/>
      <c r="B58620" s="8"/>
      <c r="C58620" s="99"/>
      <c r="D58620" s="8"/>
      <c r="E58620" s="8"/>
      <c r="F58620" s="8"/>
      <c r="G58620" s="8"/>
      <c r="H58620" s="8"/>
      <c r="I58620" s="102"/>
      <c r="J58620" s="8"/>
      <c r="K58620" s="8"/>
      <c r="L58620" s="8"/>
      <c r="M58620" s="8"/>
      <c r="N58620" s="8"/>
      <c r="O58620" s="8"/>
      <c r="P58620" s="8"/>
      <c r="Q58620" s="8"/>
      <c r="R58620" s="103"/>
      <c r="S58620" s="8"/>
      <c r="T58620" s="8"/>
      <c r="U58620" s="8"/>
      <c r="V58620" s="8"/>
      <c r="W58620" s="8"/>
      <c r="X58620" s="8"/>
      <c r="Y58620" s="8"/>
      <c r="Z58620" s="8"/>
      <c r="AA58620" s="8"/>
    </row>
    <row r="58621" spans="1:27" x14ac:dyDescent="0.25">
      <c r="A58621" s="8"/>
      <c r="B58621" s="8"/>
      <c r="C58621" s="99"/>
      <c r="D58621" s="8"/>
      <c r="E58621" s="8"/>
      <c r="F58621" s="8"/>
      <c r="G58621" s="8"/>
      <c r="H58621" s="8"/>
      <c r="I58621" s="102"/>
      <c r="J58621" s="8"/>
      <c r="K58621" s="8"/>
      <c r="L58621" s="8"/>
      <c r="M58621" s="8"/>
      <c r="N58621" s="8"/>
      <c r="O58621" s="8"/>
      <c r="P58621" s="8"/>
      <c r="Q58621" s="8"/>
      <c r="R58621" s="103"/>
      <c r="S58621" s="8"/>
      <c r="T58621" s="8"/>
      <c r="U58621" s="8"/>
      <c r="V58621" s="8"/>
      <c r="W58621" s="8"/>
      <c r="X58621" s="8"/>
      <c r="Y58621" s="8"/>
      <c r="Z58621" s="8"/>
      <c r="AA58621" s="8"/>
    </row>
    <row r="58622" spans="1:27" x14ac:dyDescent="0.25">
      <c r="A58622" s="8"/>
      <c r="B58622" s="8"/>
      <c r="C58622" s="99"/>
      <c r="D58622" s="8"/>
      <c r="E58622" s="8"/>
      <c r="F58622" s="8"/>
      <c r="G58622" s="8"/>
      <c r="H58622" s="8"/>
      <c r="I58622" s="102"/>
      <c r="J58622" s="8"/>
      <c r="K58622" s="8"/>
      <c r="L58622" s="8"/>
      <c r="M58622" s="8"/>
      <c r="N58622" s="8"/>
      <c r="O58622" s="8"/>
      <c r="P58622" s="8"/>
      <c r="Q58622" s="8"/>
      <c r="R58622" s="103"/>
      <c r="S58622" s="8"/>
      <c r="T58622" s="8"/>
      <c r="U58622" s="8"/>
      <c r="V58622" s="8"/>
      <c r="W58622" s="8"/>
      <c r="X58622" s="8"/>
      <c r="Y58622" s="8"/>
      <c r="Z58622" s="8"/>
      <c r="AA58622" s="8"/>
    </row>
    <row r="58623" spans="1:27" x14ac:dyDescent="0.25">
      <c r="A58623" s="8"/>
      <c r="B58623" s="8"/>
      <c r="C58623" s="99"/>
      <c r="D58623" s="8"/>
      <c r="E58623" s="8"/>
      <c r="F58623" s="8"/>
      <c r="G58623" s="8"/>
      <c r="H58623" s="8"/>
      <c r="I58623" s="102"/>
      <c r="J58623" s="8"/>
      <c r="K58623" s="8"/>
      <c r="L58623" s="8"/>
      <c r="M58623" s="8"/>
      <c r="N58623" s="8"/>
      <c r="O58623" s="8"/>
      <c r="P58623" s="8"/>
      <c r="Q58623" s="8"/>
      <c r="R58623" s="103"/>
      <c r="S58623" s="8"/>
      <c r="T58623" s="8"/>
      <c r="U58623" s="8"/>
      <c r="V58623" s="8"/>
      <c r="W58623" s="8"/>
      <c r="X58623" s="8"/>
      <c r="Y58623" s="8"/>
      <c r="Z58623" s="8"/>
      <c r="AA58623" s="8"/>
    </row>
    <row r="58624" spans="1:27" x14ac:dyDescent="0.25">
      <c r="A58624" s="8"/>
      <c r="B58624" s="8"/>
      <c r="C58624" s="99"/>
      <c r="D58624" s="8"/>
      <c r="E58624" s="8"/>
      <c r="F58624" s="8"/>
      <c r="G58624" s="8"/>
      <c r="H58624" s="8"/>
      <c r="I58624" s="102"/>
      <c r="J58624" s="8"/>
      <c r="K58624" s="8"/>
      <c r="L58624" s="8"/>
      <c r="M58624" s="8"/>
      <c r="N58624" s="8"/>
      <c r="O58624" s="8"/>
      <c r="P58624" s="8"/>
      <c r="Q58624" s="8"/>
      <c r="R58624" s="103"/>
      <c r="S58624" s="8"/>
      <c r="T58624" s="8"/>
      <c r="U58624" s="8"/>
      <c r="V58624" s="8"/>
      <c r="W58624" s="8"/>
      <c r="X58624" s="8"/>
      <c r="Y58624" s="8"/>
      <c r="Z58624" s="8"/>
      <c r="AA58624" s="8"/>
    </row>
    <row r="58625" spans="1:27" x14ac:dyDescent="0.25">
      <c r="A58625" s="8"/>
      <c r="B58625" s="8"/>
      <c r="C58625" s="99"/>
      <c r="D58625" s="8"/>
      <c r="E58625" s="8"/>
      <c r="F58625" s="8"/>
      <c r="G58625" s="8"/>
      <c r="H58625" s="8"/>
      <c r="I58625" s="102"/>
      <c r="J58625" s="8"/>
      <c r="K58625" s="8"/>
      <c r="L58625" s="8"/>
      <c r="M58625" s="8"/>
      <c r="N58625" s="8"/>
      <c r="O58625" s="8"/>
      <c r="P58625" s="8"/>
      <c r="Q58625" s="8"/>
      <c r="R58625" s="103"/>
      <c r="S58625" s="8"/>
      <c r="T58625" s="8"/>
      <c r="U58625" s="8"/>
      <c r="V58625" s="8"/>
      <c r="W58625" s="8"/>
      <c r="X58625" s="8"/>
      <c r="Y58625" s="8"/>
      <c r="Z58625" s="8"/>
      <c r="AA58625" s="8"/>
    </row>
    <row r="58626" spans="1:27" x14ac:dyDescent="0.25">
      <c r="A58626" s="8"/>
      <c r="B58626" s="8"/>
      <c r="C58626" s="99"/>
      <c r="D58626" s="8"/>
      <c r="E58626" s="8"/>
      <c r="F58626" s="8"/>
      <c r="G58626" s="8"/>
      <c r="H58626" s="8"/>
      <c r="I58626" s="102"/>
      <c r="J58626" s="8"/>
      <c r="K58626" s="8"/>
      <c r="L58626" s="8"/>
      <c r="M58626" s="8"/>
      <c r="N58626" s="8"/>
      <c r="O58626" s="8"/>
      <c r="P58626" s="8"/>
      <c r="Q58626" s="8"/>
      <c r="R58626" s="103"/>
      <c r="S58626" s="8"/>
      <c r="T58626" s="8"/>
      <c r="U58626" s="8"/>
      <c r="V58626" s="8"/>
      <c r="W58626" s="8"/>
      <c r="X58626" s="8"/>
      <c r="Y58626" s="8"/>
      <c r="Z58626" s="8"/>
      <c r="AA58626" s="8"/>
    </row>
    <row r="58627" spans="1:27" x14ac:dyDescent="0.25">
      <c r="A58627" s="8"/>
      <c r="B58627" s="8"/>
      <c r="C58627" s="99"/>
      <c r="D58627" s="8"/>
      <c r="E58627" s="8"/>
      <c r="F58627" s="8"/>
      <c r="G58627" s="8"/>
      <c r="H58627" s="8"/>
      <c r="I58627" s="102"/>
      <c r="J58627" s="8"/>
      <c r="K58627" s="8"/>
      <c r="L58627" s="8"/>
      <c r="M58627" s="8"/>
      <c r="N58627" s="8"/>
      <c r="O58627" s="8"/>
      <c r="P58627" s="8"/>
      <c r="Q58627" s="8"/>
      <c r="R58627" s="103"/>
      <c r="S58627" s="8"/>
      <c r="T58627" s="8"/>
      <c r="U58627" s="8"/>
      <c r="V58627" s="8"/>
      <c r="W58627" s="8"/>
      <c r="X58627" s="8"/>
      <c r="Y58627" s="8"/>
      <c r="Z58627" s="8"/>
      <c r="AA58627" s="8"/>
    </row>
    <row r="58628" spans="1:27" x14ac:dyDescent="0.25">
      <c r="A58628" s="8"/>
      <c r="B58628" s="8"/>
      <c r="C58628" s="99"/>
      <c r="D58628" s="8"/>
      <c r="E58628" s="8"/>
      <c r="F58628" s="8"/>
      <c r="G58628" s="8"/>
      <c r="H58628" s="8"/>
      <c r="I58628" s="102"/>
      <c r="J58628" s="8"/>
      <c r="K58628" s="8"/>
      <c r="L58628" s="8"/>
      <c r="M58628" s="8"/>
      <c r="N58628" s="8"/>
      <c r="O58628" s="8"/>
      <c r="P58628" s="8"/>
      <c r="Q58628" s="8"/>
      <c r="R58628" s="103"/>
      <c r="S58628" s="8"/>
      <c r="T58628" s="8"/>
      <c r="U58628" s="8"/>
      <c r="V58628" s="8"/>
      <c r="W58628" s="8"/>
      <c r="X58628" s="8"/>
      <c r="Y58628" s="8"/>
      <c r="Z58628" s="8"/>
      <c r="AA58628" s="8"/>
    </row>
    <row r="58629" spans="1:27" x14ac:dyDescent="0.25">
      <c r="A58629" s="8"/>
      <c r="B58629" s="8"/>
      <c r="C58629" s="99"/>
      <c r="D58629" s="8"/>
      <c r="E58629" s="8"/>
      <c r="F58629" s="8"/>
      <c r="G58629" s="8"/>
      <c r="H58629" s="8"/>
      <c r="I58629" s="102"/>
      <c r="J58629" s="8"/>
      <c r="K58629" s="8"/>
      <c r="L58629" s="8"/>
      <c r="M58629" s="8"/>
      <c r="N58629" s="8"/>
      <c r="O58629" s="8"/>
      <c r="P58629" s="8"/>
      <c r="Q58629" s="8"/>
      <c r="R58629" s="103"/>
      <c r="S58629" s="8"/>
      <c r="T58629" s="8"/>
      <c r="U58629" s="8"/>
      <c r="V58629" s="8"/>
      <c r="W58629" s="8"/>
      <c r="X58629" s="8"/>
      <c r="Y58629" s="8"/>
      <c r="Z58629" s="8"/>
      <c r="AA58629" s="8"/>
    </row>
    <row r="58630" spans="1:27" x14ac:dyDescent="0.25">
      <c r="A58630" s="8"/>
      <c r="B58630" s="8"/>
      <c r="C58630" s="99"/>
      <c r="D58630" s="8"/>
      <c r="E58630" s="8"/>
      <c r="F58630" s="8"/>
      <c r="G58630" s="8"/>
      <c r="H58630" s="8"/>
      <c r="I58630" s="102"/>
      <c r="J58630" s="8"/>
      <c r="K58630" s="8"/>
      <c r="L58630" s="8"/>
      <c r="M58630" s="8"/>
      <c r="N58630" s="8"/>
      <c r="O58630" s="8"/>
      <c r="P58630" s="8"/>
      <c r="Q58630" s="8"/>
      <c r="R58630" s="103"/>
      <c r="S58630" s="8"/>
      <c r="T58630" s="8"/>
      <c r="U58630" s="8"/>
      <c r="V58630" s="8"/>
      <c r="W58630" s="8"/>
      <c r="X58630" s="8"/>
      <c r="Y58630" s="8"/>
      <c r="Z58630" s="8"/>
      <c r="AA58630" s="8"/>
    </row>
    <row r="58631" spans="1:27" x14ac:dyDescent="0.25">
      <c r="A58631" s="8"/>
      <c r="B58631" s="8"/>
      <c r="C58631" s="99"/>
      <c r="D58631" s="8"/>
      <c r="E58631" s="8"/>
      <c r="F58631" s="8"/>
      <c r="G58631" s="8"/>
      <c r="H58631" s="8"/>
      <c r="I58631" s="102"/>
      <c r="J58631" s="8"/>
      <c r="K58631" s="8"/>
      <c r="L58631" s="8"/>
      <c r="M58631" s="8"/>
      <c r="N58631" s="8"/>
      <c r="O58631" s="8"/>
      <c r="P58631" s="8"/>
      <c r="Q58631" s="8"/>
      <c r="R58631" s="103"/>
      <c r="S58631" s="8"/>
      <c r="T58631" s="8"/>
      <c r="U58631" s="8"/>
      <c r="V58631" s="8"/>
      <c r="W58631" s="8"/>
      <c r="X58631" s="8"/>
      <c r="Y58631" s="8"/>
      <c r="Z58631" s="8"/>
      <c r="AA58631" s="8"/>
    </row>
    <row r="58632" spans="1:27" x14ac:dyDescent="0.25">
      <c r="A58632" s="8"/>
      <c r="B58632" s="8"/>
      <c r="C58632" s="99"/>
      <c r="D58632" s="8"/>
      <c r="E58632" s="8"/>
      <c r="F58632" s="8"/>
      <c r="G58632" s="8"/>
      <c r="H58632" s="8"/>
      <c r="I58632" s="102"/>
      <c r="J58632" s="8"/>
      <c r="K58632" s="8"/>
      <c r="L58632" s="8"/>
      <c r="M58632" s="8"/>
      <c r="N58632" s="8"/>
      <c r="O58632" s="8"/>
      <c r="P58632" s="8"/>
      <c r="Q58632" s="8"/>
      <c r="R58632" s="103"/>
      <c r="S58632" s="8"/>
      <c r="T58632" s="8"/>
      <c r="U58632" s="8"/>
      <c r="V58632" s="8"/>
      <c r="W58632" s="8"/>
      <c r="X58632" s="8"/>
      <c r="Y58632" s="8"/>
      <c r="Z58632" s="8"/>
      <c r="AA58632" s="8"/>
    </row>
    <row r="58633" spans="1:27" x14ac:dyDescent="0.25">
      <c r="A58633" s="8"/>
      <c r="B58633" s="8"/>
      <c r="C58633" s="99"/>
      <c r="D58633" s="8"/>
      <c r="E58633" s="8"/>
      <c r="F58633" s="8"/>
      <c r="G58633" s="8"/>
      <c r="H58633" s="8"/>
      <c r="I58633" s="102"/>
      <c r="J58633" s="8"/>
      <c r="K58633" s="8"/>
      <c r="L58633" s="8"/>
      <c r="M58633" s="8"/>
      <c r="N58633" s="8"/>
      <c r="O58633" s="8"/>
      <c r="P58633" s="8"/>
      <c r="Q58633" s="8"/>
      <c r="R58633" s="103"/>
      <c r="S58633" s="8"/>
      <c r="T58633" s="8"/>
      <c r="U58633" s="8"/>
      <c r="V58633" s="8"/>
      <c r="W58633" s="8"/>
      <c r="X58633" s="8"/>
      <c r="Y58633" s="8"/>
      <c r="Z58633" s="8"/>
      <c r="AA58633" s="8"/>
    </row>
    <row r="58634" spans="1:27" x14ac:dyDescent="0.25">
      <c r="A58634" s="8"/>
      <c r="B58634" s="8"/>
      <c r="C58634" s="99"/>
      <c r="D58634" s="8"/>
      <c r="E58634" s="8"/>
      <c r="F58634" s="8"/>
      <c r="G58634" s="8"/>
      <c r="H58634" s="8"/>
      <c r="I58634" s="102"/>
      <c r="J58634" s="8"/>
      <c r="K58634" s="8"/>
      <c r="L58634" s="8"/>
      <c r="M58634" s="8"/>
      <c r="N58634" s="8"/>
      <c r="O58634" s="8"/>
      <c r="P58634" s="8"/>
      <c r="Q58634" s="8"/>
      <c r="R58634" s="103"/>
      <c r="S58634" s="8"/>
      <c r="T58634" s="8"/>
      <c r="U58634" s="8"/>
      <c r="V58634" s="8"/>
      <c r="W58634" s="8"/>
      <c r="X58634" s="8"/>
      <c r="Y58634" s="8"/>
      <c r="Z58634" s="8"/>
      <c r="AA58634" s="8"/>
    </row>
    <row r="58635" spans="1:27" x14ac:dyDescent="0.25">
      <c r="A58635" s="8"/>
      <c r="B58635" s="8"/>
      <c r="C58635" s="99"/>
      <c r="D58635" s="8"/>
      <c r="E58635" s="8"/>
      <c r="F58635" s="8"/>
      <c r="G58635" s="8"/>
      <c r="H58635" s="8"/>
      <c r="I58635" s="102"/>
      <c r="J58635" s="8"/>
      <c r="K58635" s="8"/>
      <c r="L58635" s="8"/>
      <c r="M58635" s="8"/>
      <c r="N58635" s="8"/>
      <c r="O58635" s="8"/>
      <c r="P58635" s="8"/>
      <c r="Q58635" s="8"/>
      <c r="R58635" s="103"/>
      <c r="S58635" s="8"/>
      <c r="T58635" s="8"/>
      <c r="U58635" s="8"/>
      <c r="V58635" s="8"/>
      <c r="W58635" s="8"/>
      <c r="X58635" s="8"/>
      <c r="Y58635" s="8"/>
      <c r="Z58635" s="8"/>
      <c r="AA58635" s="8"/>
    </row>
    <row r="58636" spans="1:27" x14ac:dyDescent="0.25">
      <c r="A58636" s="8"/>
      <c r="B58636" s="8"/>
      <c r="C58636" s="99"/>
      <c r="D58636" s="8"/>
      <c r="E58636" s="8"/>
      <c r="F58636" s="8"/>
      <c r="G58636" s="8"/>
      <c r="H58636" s="8"/>
      <c r="I58636" s="102"/>
      <c r="J58636" s="8"/>
      <c r="K58636" s="8"/>
      <c r="L58636" s="8"/>
      <c r="M58636" s="8"/>
      <c r="N58636" s="8"/>
      <c r="O58636" s="8"/>
      <c r="P58636" s="8"/>
      <c r="Q58636" s="8"/>
      <c r="R58636" s="103"/>
      <c r="S58636" s="8"/>
      <c r="T58636" s="8"/>
      <c r="U58636" s="8"/>
      <c r="V58636" s="8"/>
      <c r="W58636" s="8"/>
      <c r="X58636" s="8"/>
      <c r="Y58636" s="8"/>
      <c r="Z58636" s="8"/>
      <c r="AA58636" s="8"/>
    </row>
    <row r="58637" spans="1:27" x14ac:dyDescent="0.25">
      <c r="A58637" s="8"/>
      <c r="B58637" s="8"/>
      <c r="C58637" s="99"/>
      <c r="D58637" s="8"/>
      <c r="E58637" s="8"/>
      <c r="F58637" s="8"/>
      <c r="G58637" s="8"/>
      <c r="H58637" s="8"/>
      <c r="I58637" s="102"/>
      <c r="J58637" s="8"/>
      <c r="K58637" s="8"/>
      <c r="L58637" s="8"/>
      <c r="M58637" s="8"/>
      <c r="N58637" s="8"/>
      <c r="O58637" s="8"/>
      <c r="P58637" s="8"/>
      <c r="Q58637" s="8"/>
      <c r="R58637" s="103"/>
      <c r="S58637" s="8"/>
      <c r="T58637" s="8"/>
      <c r="U58637" s="8"/>
      <c r="V58637" s="8"/>
      <c r="W58637" s="8"/>
      <c r="X58637" s="8"/>
      <c r="Y58637" s="8"/>
      <c r="Z58637" s="8"/>
      <c r="AA58637" s="8"/>
    </row>
    <row r="58638" spans="1:27" x14ac:dyDescent="0.25">
      <c r="A58638" s="8"/>
      <c r="B58638" s="8"/>
      <c r="C58638" s="99"/>
      <c r="D58638" s="8"/>
      <c r="E58638" s="8"/>
      <c r="F58638" s="8"/>
      <c r="G58638" s="8"/>
      <c r="H58638" s="8"/>
      <c r="I58638" s="102"/>
      <c r="J58638" s="8"/>
      <c r="K58638" s="8"/>
      <c r="L58638" s="8"/>
      <c r="M58638" s="8"/>
      <c r="N58638" s="8"/>
      <c r="O58638" s="8"/>
      <c r="P58638" s="8"/>
      <c r="Q58638" s="8"/>
      <c r="R58638" s="103"/>
      <c r="S58638" s="8"/>
      <c r="T58638" s="8"/>
      <c r="U58638" s="8"/>
      <c r="V58638" s="8"/>
      <c r="W58638" s="8"/>
      <c r="X58638" s="8"/>
      <c r="Y58638" s="8"/>
      <c r="Z58638" s="8"/>
      <c r="AA58638" s="8"/>
    </row>
    <row r="58639" spans="1:27" x14ac:dyDescent="0.25">
      <c r="A58639" s="8"/>
      <c r="B58639" s="8"/>
      <c r="C58639" s="99"/>
      <c r="D58639" s="8"/>
      <c r="E58639" s="8"/>
      <c r="F58639" s="8"/>
      <c r="G58639" s="8"/>
      <c r="H58639" s="8"/>
      <c r="I58639" s="102"/>
      <c r="J58639" s="8"/>
      <c r="K58639" s="8"/>
      <c r="L58639" s="8"/>
      <c r="M58639" s="8"/>
      <c r="N58639" s="8"/>
      <c r="O58639" s="8"/>
      <c r="P58639" s="8"/>
      <c r="Q58639" s="8"/>
      <c r="R58639" s="103"/>
      <c r="S58639" s="8"/>
      <c r="T58639" s="8"/>
      <c r="U58639" s="8"/>
      <c r="V58639" s="8"/>
      <c r="W58639" s="8"/>
      <c r="X58639" s="8"/>
      <c r="Y58639" s="8"/>
      <c r="Z58639" s="8"/>
      <c r="AA58639" s="8"/>
    </row>
    <row r="58640" spans="1:27" x14ac:dyDescent="0.25">
      <c r="A58640" s="8"/>
      <c r="B58640" s="8"/>
      <c r="C58640" s="99"/>
      <c r="D58640" s="8"/>
      <c r="E58640" s="8"/>
      <c r="F58640" s="8"/>
      <c r="G58640" s="8"/>
      <c r="H58640" s="8"/>
      <c r="I58640" s="102"/>
      <c r="J58640" s="8"/>
      <c r="K58640" s="8"/>
      <c r="L58640" s="8"/>
      <c r="M58640" s="8"/>
      <c r="N58640" s="8"/>
      <c r="O58640" s="8"/>
      <c r="P58640" s="8"/>
      <c r="Q58640" s="8"/>
      <c r="R58640" s="103"/>
      <c r="S58640" s="8"/>
      <c r="T58640" s="8"/>
      <c r="U58640" s="8"/>
      <c r="V58640" s="8"/>
      <c r="W58640" s="8"/>
      <c r="X58640" s="8"/>
      <c r="Y58640" s="8"/>
      <c r="Z58640" s="8"/>
      <c r="AA58640" s="8"/>
    </row>
    <row r="58641" spans="1:27" x14ac:dyDescent="0.25">
      <c r="A58641" s="8"/>
      <c r="B58641" s="8"/>
      <c r="C58641" s="99"/>
      <c r="D58641" s="8"/>
      <c r="E58641" s="8"/>
      <c r="F58641" s="8"/>
      <c r="G58641" s="8"/>
      <c r="H58641" s="8"/>
      <c r="I58641" s="102"/>
      <c r="J58641" s="8"/>
      <c r="K58641" s="8"/>
      <c r="L58641" s="8"/>
      <c r="M58641" s="8"/>
      <c r="N58641" s="8"/>
      <c r="O58641" s="8"/>
      <c r="P58641" s="8"/>
      <c r="Q58641" s="8"/>
      <c r="R58641" s="103"/>
      <c r="S58641" s="8"/>
      <c r="T58641" s="8"/>
      <c r="U58641" s="8"/>
      <c r="V58641" s="8"/>
      <c r="W58641" s="8"/>
      <c r="X58641" s="8"/>
      <c r="Y58641" s="8"/>
      <c r="Z58641" s="8"/>
      <c r="AA58641" s="8"/>
    </row>
    <row r="58642" spans="1:27" x14ac:dyDescent="0.25">
      <c r="A58642" s="8"/>
      <c r="B58642" s="8"/>
      <c r="C58642" s="99"/>
      <c r="D58642" s="8"/>
      <c r="E58642" s="8"/>
      <c r="F58642" s="8"/>
      <c r="G58642" s="8"/>
      <c r="H58642" s="8"/>
      <c r="I58642" s="102"/>
      <c r="J58642" s="8"/>
      <c r="K58642" s="8"/>
      <c r="L58642" s="8"/>
      <c r="M58642" s="8"/>
      <c r="N58642" s="8"/>
      <c r="O58642" s="8"/>
      <c r="P58642" s="8"/>
      <c r="Q58642" s="8"/>
      <c r="R58642" s="103"/>
      <c r="S58642" s="8"/>
      <c r="T58642" s="8"/>
      <c r="U58642" s="8"/>
      <c r="V58642" s="8"/>
      <c r="W58642" s="8"/>
      <c r="X58642" s="8"/>
      <c r="Y58642" s="8"/>
      <c r="Z58642" s="8"/>
      <c r="AA58642" s="8"/>
    </row>
    <row r="58643" spans="1:27" x14ac:dyDescent="0.25">
      <c r="A58643" s="8"/>
      <c r="B58643" s="8"/>
      <c r="C58643" s="99"/>
      <c r="D58643" s="8"/>
      <c r="E58643" s="8"/>
      <c r="F58643" s="8"/>
      <c r="G58643" s="8"/>
      <c r="H58643" s="8"/>
      <c r="I58643" s="102"/>
      <c r="J58643" s="8"/>
      <c r="K58643" s="8"/>
      <c r="L58643" s="8"/>
      <c r="M58643" s="8"/>
      <c r="N58643" s="8"/>
      <c r="O58643" s="8"/>
      <c r="P58643" s="8"/>
      <c r="Q58643" s="8"/>
      <c r="R58643" s="103"/>
      <c r="S58643" s="8"/>
      <c r="T58643" s="8"/>
      <c r="U58643" s="8"/>
      <c r="V58643" s="8"/>
      <c r="W58643" s="8"/>
      <c r="X58643" s="8"/>
      <c r="Y58643" s="8"/>
      <c r="Z58643" s="8"/>
      <c r="AA58643" s="8"/>
    </row>
    <row r="58644" spans="1:27" x14ac:dyDescent="0.25">
      <c r="A58644" s="8"/>
      <c r="B58644" s="8"/>
      <c r="C58644" s="99"/>
      <c r="D58644" s="8"/>
      <c r="E58644" s="8"/>
      <c r="F58644" s="8"/>
      <c r="G58644" s="8"/>
      <c r="H58644" s="8"/>
      <c r="I58644" s="102"/>
      <c r="J58644" s="8"/>
      <c r="K58644" s="8"/>
      <c r="L58644" s="8"/>
      <c r="M58644" s="8"/>
      <c r="N58644" s="8"/>
      <c r="O58644" s="8"/>
      <c r="P58644" s="8"/>
      <c r="Q58644" s="8"/>
      <c r="R58644" s="103"/>
      <c r="S58644" s="8"/>
      <c r="T58644" s="8"/>
      <c r="U58644" s="8"/>
      <c r="V58644" s="8"/>
      <c r="W58644" s="8"/>
      <c r="X58644" s="8"/>
      <c r="Y58644" s="8"/>
      <c r="Z58644" s="8"/>
      <c r="AA58644" s="8"/>
    </row>
    <row r="58645" spans="1:27" x14ac:dyDescent="0.25">
      <c r="A58645" s="8"/>
      <c r="B58645" s="8"/>
      <c r="C58645" s="99"/>
      <c r="D58645" s="8"/>
      <c r="E58645" s="8"/>
      <c r="F58645" s="8"/>
      <c r="G58645" s="8"/>
      <c r="H58645" s="8"/>
      <c r="I58645" s="102"/>
      <c r="J58645" s="8"/>
      <c r="K58645" s="8"/>
      <c r="L58645" s="8"/>
      <c r="M58645" s="8"/>
      <c r="N58645" s="8"/>
      <c r="O58645" s="8"/>
      <c r="P58645" s="8"/>
      <c r="Q58645" s="8"/>
      <c r="R58645" s="103"/>
      <c r="S58645" s="8"/>
      <c r="T58645" s="8"/>
      <c r="U58645" s="8"/>
      <c r="V58645" s="8"/>
      <c r="W58645" s="8"/>
      <c r="X58645" s="8"/>
      <c r="Y58645" s="8"/>
      <c r="Z58645" s="8"/>
      <c r="AA58645" s="8"/>
    </row>
    <row r="58646" spans="1:27" x14ac:dyDescent="0.25">
      <c r="A58646" s="8"/>
      <c r="B58646" s="8"/>
      <c r="C58646" s="99"/>
      <c r="D58646" s="8"/>
      <c r="E58646" s="8"/>
      <c r="F58646" s="8"/>
      <c r="G58646" s="8"/>
      <c r="H58646" s="8"/>
      <c r="I58646" s="102"/>
      <c r="J58646" s="8"/>
      <c r="K58646" s="8"/>
      <c r="L58646" s="8"/>
      <c r="M58646" s="8"/>
      <c r="N58646" s="8"/>
      <c r="O58646" s="8"/>
      <c r="P58646" s="8"/>
      <c r="Q58646" s="8"/>
      <c r="R58646" s="103"/>
      <c r="S58646" s="8"/>
      <c r="T58646" s="8"/>
      <c r="U58646" s="8"/>
      <c r="V58646" s="8"/>
      <c r="W58646" s="8"/>
      <c r="X58646" s="8"/>
      <c r="Y58646" s="8"/>
      <c r="Z58646" s="8"/>
      <c r="AA58646" s="8"/>
    </row>
    <row r="58647" spans="1:27" x14ac:dyDescent="0.25">
      <c r="A58647" s="8"/>
      <c r="B58647" s="8"/>
      <c r="C58647" s="99"/>
      <c r="D58647" s="8"/>
      <c r="E58647" s="8"/>
      <c r="F58647" s="8"/>
      <c r="G58647" s="8"/>
      <c r="H58647" s="8"/>
      <c r="I58647" s="102"/>
      <c r="J58647" s="8"/>
      <c r="K58647" s="8"/>
      <c r="L58647" s="8"/>
      <c r="M58647" s="8"/>
      <c r="N58647" s="8"/>
      <c r="O58647" s="8"/>
      <c r="P58647" s="8"/>
      <c r="Q58647" s="8"/>
      <c r="R58647" s="103"/>
      <c r="S58647" s="8"/>
      <c r="T58647" s="8"/>
      <c r="U58647" s="8"/>
      <c r="V58647" s="8"/>
      <c r="W58647" s="8"/>
      <c r="X58647" s="8"/>
      <c r="Y58647" s="8"/>
      <c r="Z58647" s="8"/>
      <c r="AA58647" s="8"/>
    </row>
    <row r="58648" spans="1:27" x14ac:dyDescent="0.25">
      <c r="A58648" s="8"/>
      <c r="B58648" s="8"/>
      <c r="C58648" s="99"/>
      <c r="D58648" s="8"/>
      <c r="E58648" s="8"/>
      <c r="F58648" s="8"/>
      <c r="G58648" s="8"/>
      <c r="H58648" s="8"/>
      <c r="I58648" s="102"/>
      <c r="J58648" s="8"/>
      <c r="K58648" s="8"/>
      <c r="L58648" s="8"/>
      <c r="M58648" s="8"/>
      <c r="N58648" s="8"/>
      <c r="O58648" s="8"/>
      <c r="P58648" s="8"/>
      <c r="Q58648" s="8"/>
      <c r="R58648" s="103"/>
      <c r="S58648" s="8"/>
      <c r="T58648" s="8"/>
      <c r="U58648" s="8"/>
      <c r="V58648" s="8"/>
      <c r="W58648" s="8"/>
      <c r="X58648" s="8"/>
      <c r="Y58648" s="8"/>
      <c r="Z58648" s="8"/>
      <c r="AA58648" s="8"/>
    </row>
    <row r="58649" spans="1:27" x14ac:dyDescent="0.25">
      <c r="A58649" s="8"/>
      <c r="B58649" s="8"/>
      <c r="C58649" s="99"/>
      <c r="D58649" s="8"/>
      <c r="E58649" s="8"/>
      <c r="F58649" s="8"/>
      <c r="G58649" s="8"/>
      <c r="H58649" s="8"/>
      <c r="I58649" s="102"/>
      <c r="J58649" s="8"/>
      <c r="K58649" s="8"/>
      <c r="L58649" s="8"/>
      <c r="M58649" s="8"/>
      <c r="N58649" s="8"/>
      <c r="O58649" s="8"/>
      <c r="P58649" s="8"/>
      <c r="Q58649" s="8"/>
      <c r="R58649" s="103"/>
      <c r="S58649" s="8"/>
      <c r="T58649" s="8"/>
      <c r="U58649" s="8"/>
      <c r="V58649" s="8"/>
      <c r="W58649" s="8"/>
      <c r="X58649" s="8"/>
      <c r="Y58649" s="8"/>
      <c r="Z58649" s="8"/>
      <c r="AA58649" s="8"/>
    </row>
    <row r="58650" spans="1:27" x14ac:dyDescent="0.25">
      <c r="A58650" s="8"/>
      <c r="B58650" s="8"/>
      <c r="C58650" s="99"/>
      <c r="D58650" s="8"/>
      <c r="E58650" s="8"/>
      <c r="F58650" s="8"/>
      <c r="G58650" s="8"/>
      <c r="H58650" s="8"/>
      <c r="I58650" s="102"/>
      <c r="J58650" s="8"/>
      <c r="K58650" s="8"/>
      <c r="L58650" s="8"/>
      <c r="M58650" s="8"/>
      <c r="N58650" s="8"/>
      <c r="O58650" s="8"/>
      <c r="P58650" s="8"/>
      <c r="Q58650" s="8"/>
      <c r="R58650" s="103"/>
      <c r="S58650" s="8"/>
      <c r="T58650" s="8"/>
      <c r="U58650" s="8"/>
      <c r="V58650" s="8"/>
      <c r="W58650" s="8"/>
      <c r="X58650" s="8"/>
      <c r="Y58650" s="8"/>
      <c r="Z58650" s="8"/>
      <c r="AA58650" s="8"/>
    </row>
    <row r="58651" spans="1:27" x14ac:dyDescent="0.25">
      <c r="A58651" s="8"/>
      <c r="B58651" s="8"/>
      <c r="C58651" s="99"/>
      <c r="D58651" s="8"/>
      <c r="E58651" s="8"/>
      <c r="F58651" s="8"/>
      <c r="G58651" s="8"/>
      <c r="H58651" s="8"/>
      <c r="I58651" s="102"/>
      <c r="J58651" s="8"/>
      <c r="K58651" s="8"/>
      <c r="L58651" s="8"/>
      <c r="M58651" s="8"/>
      <c r="N58651" s="8"/>
      <c r="O58651" s="8"/>
      <c r="P58651" s="8"/>
      <c r="Q58651" s="8"/>
      <c r="R58651" s="103"/>
      <c r="S58651" s="8"/>
      <c r="T58651" s="8"/>
      <c r="U58651" s="8"/>
      <c r="V58651" s="8"/>
      <c r="W58651" s="8"/>
      <c r="X58651" s="8"/>
      <c r="Y58651" s="8"/>
      <c r="Z58651" s="8"/>
      <c r="AA58651" s="8"/>
    </row>
    <row r="58652" spans="1:27" x14ac:dyDescent="0.25">
      <c r="A58652" s="8"/>
      <c r="B58652" s="8"/>
      <c r="C58652" s="99"/>
      <c r="D58652" s="8"/>
      <c r="E58652" s="8"/>
      <c r="F58652" s="8"/>
      <c r="G58652" s="8"/>
      <c r="H58652" s="8"/>
      <c r="I58652" s="102"/>
      <c r="J58652" s="8"/>
      <c r="K58652" s="8"/>
      <c r="L58652" s="8"/>
      <c r="M58652" s="8"/>
      <c r="N58652" s="8"/>
      <c r="O58652" s="8"/>
      <c r="P58652" s="8"/>
      <c r="Q58652" s="8"/>
      <c r="R58652" s="103"/>
      <c r="S58652" s="8"/>
      <c r="T58652" s="8"/>
      <c r="U58652" s="8"/>
      <c r="V58652" s="8"/>
      <c r="W58652" s="8"/>
      <c r="X58652" s="8"/>
      <c r="Y58652" s="8"/>
      <c r="Z58652" s="8"/>
      <c r="AA58652" s="8"/>
    </row>
    <row r="58653" spans="1:27" x14ac:dyDescent="0.25">
      <c r="A58653" s="8"/>
      <c r="B58653" s="8"/>
      <c r="C58653" s="99"/>
      <c r="D58653" s="8"/>
      <c r="E58653" s="8"/>
      <c r="F58653" s="8"/>
      <c r="G58653" s="8"/>
      <c r="H58653" s="8"/>
      <c r="I58653" s="102"/>
      <c r="J58653" s="8"/>
      <c r="K58653" s="8"/>
      <c r="L58653" s="8"/>
      <c r="M58653" s="8"/>
      <c r="N58653" s="8"/>
      <c r="O58653" s="8"/>
      <c r="P58653" s="8"/>
      <c r="Q58653" s="8"/>
      <c r="R58653" s="103"/>
      <c r="S58653" s="8"/>
      <c r="T58653" s="8"/>
      <c r="U58653" s="8"/>
      <c r="V58653" s="8"/>
      <c r="W58653" s="8"/>
      <c r="X58653" s="8"/>
      <c r="Y58653" s="8"/>
      <c r="Z58653" s="8"/>
      <c r="AA58653" s="8"/>
    </row>
    <row r="58654" spans="1:27" x14ac:dyDescent="0.25">
      <c r="A58654" s="8"/>
      <c r="B58654" s="8"/>
      <c r="C58654" s="99"/>
      <c r="D58654" s="8"/>
      <c r="E58654" s="8"/>
      <c r="F58654" s="8"/>
      <c r="G58654" s="8"/>
      <c r="H58654" s="8"/>
      <c r="I58654" s="102"/>
      <c r="J58654" s="8"/>
      <c r="K58654" s="8"/>
      <c r="L58654" s="8"/>
      <c r="M58654" s="8"/>
      <c r="N58654" s="8"/>
      <c r="O58654" s="8"/>
      <c r="P58654" s="8"/>
      <c r="Q58654" s="8"/>
      <c r="R58654" s="103"/>
      <c r="S58654" s="8"/>
      <c r="T58654" s="8"/>
      <c r="U58654" s="8"/>
      <c r="V58654" s="8"/>
      <c r="W58654" s="8"/>
      <c r="X58654" s="8"/>
      <c r="Y58654" s="8"/>
      <c r="Z58654" s="8"/>
      <c r="AA58654" s="8"/>
    </row>
    <row r="58655" spans="1:27" x14ac:dyDescent="0.25">
      <c r="A58655" s="8"/>
      <c r="B58655" s="8"/>
      <c r="C58655" s="99"/>
      <c r="D58655" s="8"/>
      <c r="E58655" s="8"/>
      <c r="F58655" s="8"/>
      <c r="G58655" s="8"/>
      <c r="H58655" s="8"/>
      <c r="I58655" s="102"/>
      <c r="J58655" s="8"/>
      <c r="K58655" s="8"/>
      <c r="L58655" s="8"/>
      <c r="M58655" s="8"/>
      <c r="N58655" s="8"/>
      <c r="O58655" s="8"/>
      <c r="P58655" s="8"/>
      <c r="Q58655" s="8"/>
      <c r="R58655" s="103"/>
      <c r="S58655" s="8"/>
      <c r="T58655" s="8"/>
      <c r="U58655" s="8"/>
      <c r="V58655" s="8"/>
      <c r="W58655" s="8"/>
      <c r="X58655" s="8"/>
      <c r="Y58655" s="8"/>
      <c r="Z58655" s="8"/>
      <c r="AA58655" s="8"/>
    </row>
    <row r="58656" spans="1:27" x14ac:dyDescent="0.25">
      <c r="A58656" s="8"/>
      <c r="B58656" s="8"/>
      <c r="C58656" s="99"/>
      <c r="D58656" s="8"/>
      <c r="E58656" s="8"/>
      <c r="F58656" s="8"/>
      <c r="G58656" s="8"/>
      <c r="H58656" s="8"/>
      <c r="I58656" s="102"/>
      <c r="J58656" s="8"/>
      <c r="K58656" s="8"/>
      <c r="L58656" s="8"/>
      <c r="M58656" s="8"/>
      <c r="N58656" s="8"/>
      <c r="O58656" s="8"/>
      <c r="P58656" s="8"/>
      <c r="Q58656" s="8"/>
      <c r="R58656" s="103"/>
      <c r="S58656" s="8"/>
      <c r="T58656" s="8"/>
      <c r="U58656" s="8"/>
      <c r="V58656" s="8"/>
      <c r="W58656" s="8"/>
      <c r="X58656" s="8"/>
      <c r="Y58656" s="8"/>
      <c r="Z58656" s="8"/>
      <c r="AA58656" s="8"/>
    </row>
    <row r="58657" spans="1:27" x14ac:dyDescent="0.25">
      <c r="A58657" s="8"/>
      <c r="B58657" s="8"/>
      <c r="C58657" s="99"/>
      <c r="D58657" s="8"/>
      <c r="E58657" s="8"/>
      <c r="F58657" s="8"/>
      <c r="G58657" s="8"/>
      <c r="H58657" s="8"/>
      <c r="I58657" s="102"/>
      <c r="J58657" s="8"/>
      <c r="K58657" s="8"/>
      <c r="L58657" s="8"/>
      <c r="M58657" s="8"/>
      <c r="N58657" s="8"/>
      <c r="O58657" s="8"/>
      <c r="P58657" s="8"/>
      <c r="Q58657" s="8"/>
      <c r="R58657" s="103"/>
      <c r="S58657" s="8"/>
      <c r="T58657" s="8"/>
      <c r="U58657" s="8"/>
      <c r="V58657" s="8"/>
      <c r="W58657" s="8"/>
      <c r="X58657" s="8"/>
      <c r="Y58657" s="8"/>
      <c r="Z58657" s="8"/>
      <c r="AA58657" s="8"/>
    </row>
    <row r="58658" spans="1:27" x14ac:dyDescent="0.25">
      <c r="A58658" s="8"/>
      <c r="B58658" s="8"/>
      <c r="C58658" s="99"/>
      <c r="D58658" s="8"/>
      <c r="E58658" s="8"/>
      <c r="F58658" s="8"/>
      <c r="G58658" s="8"/>
      <c r="H58658" s="8"/>
      <c r="I58658" s="102"/>
      <c r="J58658" s="8"/>
      <c r="K58658" s="8"/>
      <c r="L58658" s="8"/>
      <c r="M58658" s="8"/>
      <c r="N58658" s="8"/>
      <c r="O58658" s="8"/>
      <c r="P58658" s="8"/>
      <c r="Q58658" s="8"/>
      <c r="R58658" s="103"/>
      <c r="S58658" s="8"/>
      <c r="T58658" s="8"/>
      <c r="U58658" s="8"/>
      <c r="V58658" s="8"/>
      <c r="W58658" s="8"/>
      <c r="X58658" s="8"/>
      <c r="Y58658" s="8"/>
      <c r="Z58658" s="8"/>
      <c r="AA58658" s="8"/>
    </row>
    <row r="58659" spans="1:27" x14ac:dyDescent="0.25">
      <c r="A58659" s="8"/>
      <c r="B58659" s="8"/>
      <c r="C58659" s="99"/>
      <c r="D58659" s="8"/>
      <c r="E58659" s="8"/>
      <c r="F58659" s="8"/>
      <c r="G58659" s="8"/>
      <c r="H58659" s="8"/>
      <c r="I58659" s="102"/>
      <c r="J58659" s="8"/>
      <c r="K58659" s="8"/>
      <c r="L58659" s="8"/>
      <c r="M58659" s="8"/>
      <c r="N58659" s="8"/>
      <c r="O58659" s="8"/>
      <c r="P58659" s="8"/>
      <c r="Q58659" s="8"/>
      <c r="R58659" s="103"/>
      <c r="S58659" s="8"/>
      <c r="T58659" s="8"/>
      <c r="U58659" s="8"/>
      <c r="V58659" s="8"/>
      <c r="W58659" s="8"/>
      <c r="X58659" s="8"/>
      <c r="Y58659" s="8"/>
      <c r="Z58659" s="8"/>
      <c r="AA58659" s="8"/>
    </row>
    <row r="58660" spans="1:27" x14ac:dyDescent="0.25">
      <c r="A58660" s="8"/>
      <c r="B58660" s="8"/>
      <c r="C58660" s="99"/>
      <c r="D58660" s="8"/>
      <c r="E58660" s="8"/>
      <c r="F58660" s="8"/>
      <c r="G58660" s="8"/>
      <c r="H58660" s="8"/>
      <c r="I58660" s="102"/>
      <c r="J58660" s="8"/>
      <c r="K58660" s="8"/>
      <c r="L58660" s="8"/>
      <c r="M58660" s="8"/>
      <c r="N58660" s="8"/>
      <c r="O58660" s="8"/>
      <c r="P58660" s="8"/>
      <c r="Q58660" s="8"/>
      <c r="R58660" s="103"/>
      <c r="S58660" s="8"/>
      <c r="T58660" s="8"/>
      <c r="U58660" s="8"/>
      <c r="V58660" s="8"/>
      <c r="W58660" s="8"/>
      <c r="X58660" s="8"/>
      <c r="Y58660" s="8"/>
      <c r="Z58660" s="8"/>
      <c r="AA58660" s="8"/>
    </row>
    <row r="58661" spans="1:27" x14ac:dyDescent="0.25">
      <c r="A58661" s="8"/>
      <c r="B58661" s="8"/>
      <c r="C58661" s="99"/>
      <c r="D58661" s="8"/>
      <c r="E58661" s="8"/>
      <c r="F58661" s="8"/>
      <c r="G58661" s="8"/>
      <c r="H58661" s="8"/>
      <c r="I58661" s="102"/>
      <c r="J58661" s="8"/>
      <c r="K58661" s="8"/>
      <c r="L58661" s="8"/>
      <c r="M58661" s="8"/>
      <c r="N58661" s="8"/>
      <c r="O58661" s="8"/>
      <c r="P58661" s="8"/>
      <c r="Q58661" s="8"/>
      <c r="R58661" s="103"/>
      <c r="S58661" s="8"/>
      <c r="T58661" s="8"/>
      <c r="U58661" s="8"/>
      <c r="V58661" s="8"/>
      <c r="W58661" s="8"/>
      <c r="X58661" s="8"/>
      <c r="Y58661" s="8"/>
      <c r="Z58661" s="8"/>
      <c r="AA58661" s="8"/>
    </row>
    <row r="58662" spans="1:27" x14ac:dyDescent="0.25">
      <c r="A58662" s="8"/>
      <c r="B58662" s="8"/>
      <c r="C58662" s="99"/>
      <c r="D58662" s="8"/>
      <c r="E58662" s="8"/>
      <c r="F58662" s="8"/>
      <c r="G58662" s="8"/>
      <c r="H58662" s="8"/>
      <c r="I58662" s="102"/>
      <c r="J58662" s="8"/>
      <c r="K58662" s="8"/>
      <c r="L58662" s="8"/>
      <c r="M58662" s="8"/>
      <c r="N58662" s="8"/>
      <c r="O58662" s="8"/>
      <c r="P58662" s="8"/>
      <c r="Q58662" s="8"/>
      <c r="R58662" s="103"/>
      <c r="S58662" s="8"/>
      <c r="T58662" s="8"/>
      <c r="U58662" s="8"/>
      <c r="V58662" s="8"/>
      <c r="W58662" s="8"/>
      <c r="X58662" s="8"/>
      <c r="Y58662" s="8"/>
      <c r="Z58662" s="8"/>
      <c r="AA58662" s="8"/>
    </row>
    <row r="58663" spans="1:27" x14ac:dyDescent="0.25">
      <c r="A58663" s="8"/>
      <c r="B58663" s="8"/>
      <c r="C58663" s="99"/>
      <c r="D58663" s="8"/>
      <c r="E58663" s="8"/>
      <c r="F58663" s="8"/>
      <c r="G58663" s="8"/>
      <c r="H58663" s="8"/>
      <c r="I58663" s="102"/>
      <c r="J58663" s="8"/>
      <c r="K58663" s="8"/>
      <c r="L58663" s="8"/>
      <c r="M58663" s="8"/>
      <c r="N58663" s="8"/>
      <c r="O58663" s="8"/>
      <c r="P58663" s="8"/>
      <c r="Q58663" s="8"/>
      <c r="R58663" s="103"/>
      <c r="S58663" s="8"/>
      <c r="T58663" s="8"/>
      <c r="U58663" s="8"/>
      <c r="V58663" s="8"/>
      <c r="W58663" s="8"/>
      <c r="X58663" s="8"/>
      <c r="Y58663" s="8"/>
      <c r="Z58663" s="8"/>
      <c r="AA58663" s="8"/>
    </row>
    <row r="58664" spans="1:27" x14ac:dyDescent="0.25">
      <c r="A58664" s="8"/>
      <c r="B58664" s="8"/>
      <c r="C58664" s="99"/>
      <c r="D58664" s="8"/>
      <c r="E58664" s="8"/>
      <c r="F58664" s="8"/>
      <c r="G58664" s="8"/>
      <c r="H58664" s="8"/>
      <c r="I58664" s="102"/>
      <c r="J58664" s="8"/>
      <c r="K58664" s="8"/>
      <c r="L58664" s="8"/>
      <c r="M58664" s="8"/>
      <c r="N58664" s="8"/>
      <c r="O58664" s="8"/>
      <c r="P58664" s="8"/>
      <c r="Q58664" s="8"/>
      <c r="R58664" s="103"/>
      <c r="S58664" s="8"/>
      <c r="T58664" s="8"/>
      <c r="U58664" s="8"/>
      <c r="V58664" s="8"/>
      <c r="W58664" s="8"/>
      <c r="X58664" s="8"/>
      <c r="Y58664" s="8"/>
      <c r="Z58664" s="8"/>
      <c r="AA58664" s="8"/>
    </row>
    <row r="58665" spans="1:27" x14ac:dyDescent="0.25">
      <c r="A58665" s="8"/>
      <c r="B58665" s="8"/>
      <c r="C58665" s="99"/>
      <c r="D58665" s="8"/>
      <c r="E58665" s="8"/>
      <c r="F58665" s="8"/>
      <c r="G58665" s="8"/>
      <c r="H58665" s="8"/>
      <c r="I58665" s="102"/>
      <c r="J58665" s="8"/>
      <c r="K58665" s="8"/>
      <c r="L58665" s="8"/>
      <c r="M58665" s="8"/>
      <c r="N58665" s="8"/>
      <c r="O58665" s="8"/>
      <c r="P58665" s="8"/>
      <c r="Q58665" s="8"/>
      <c r="R58665" s="103"/>
      <c r="S58665" s="8"/>
      <c r="T58665" s="8"/>
      <c r="U58665" s="8"/>
      <c r="V58665" s="8"/>
      <c r="W58665" s="8"/>
      <c r="X58665" s="8"/>
      <c r="Y58665" s="8"/>
      <c r="Z58665" s="8"/>
      <c r="AA58665" s="8"/>
    </row>
    <row r="58666" spans="1:27" x14ac:dyDescent="0.25">
      <c r="A58666" s="8"/>
      <c r="B58666" s="8"/>
      <c r="C58666" s="99"/>
      <c r="D58666" s="8"/>
      <c r="E58666" s="8"/>
      <c r="F58666" s="8"/>
      <c r="G58666" s="8"/>
      <c r="H58666" s="8"/>
      <c r="I58666" s="102"/>
      <c r="J58666" s="8"/>
      <c r="K58666" s="8"/>
      <c r="L58666" s="8"/>
      <c r="M58666" s="8"/>
      <c r="N58666" s="8"/>
      <c r="O58666" s="8"/>
      <c r="P58666" s="8"/>
      <c r="Q58666" s="8"/>
      <c r="R58666" s="103"/>
      <c r="S58666" s="8"/>
      <c r="T58666" s="8"/>
      <c r="U58666" s="8"/>
      <c r="V58666" s="8"/>
      <c r="W58666" s="8"/>
      <c r="X58666" s="8"/>
      <c r="Y58666" s="8"/>
      <c r="Z58666" s="8"/>
      <c r="AA58666" s="8"/>
    </row>
    <row r="58667" spans="1:27" x14ac:dyDescent="0.25">
      <c r="A58667" s="8"/>
      <c r="B58667" s="8"/>
      <c r="C58667" s="99"/>
      <c r="D58667" s="8"/>
      <c r="E58667" s="8"/>
      <c r="F58667" s="8"/>
      <c r="G58667" s="8"/>
      <c r="H58667" s="8"/>
      <c r="I58667" s="102"/>
      <c r="J58667" s="8"/>
      <c r="K58667" s="8"/>
      <c r="L58667" s="8"/>
      <c r="M58667" s="8"/>
      <c r="N58667" s="8"/>
      <c r="O58667" s="8"/>
      <c r="P58667" s="8"/>
      <c r="Q58667" s="8"/>
      <c r="R58667" s="103"/>
      <c r="S58667" s="8"/>
      <c r="T58667" s="8"/>
      <c r="U58667" s="8"/>
      <c r="V58667" s="8"/>
      <c r="W58667" s="8"/>
      <c r="X58667" s="8"/>
      <c r="Y58667" s="8"/>
      <c r="Z58667" s="8"/>
      <c r="AA58667" s="8"/>
    </row>
    <row r="58668" spans="1:27" x14ac:dyDescent="0.25">
      <c r="A58668" s="8"/>
      <c r="B58668" s="8"/>
      <c r="C58668" s="99"/>
      <c r="D58668" s="8"/>
      <c r="E58668" s="8"/>
      <c r="F58668" s="8"/>
      <c r="G58668" s="8"/>
      <c r="H58668" s="8"/>
      <c r="I58668" s="102"/>
      <c r="J58668" s="8"/>
      <c r="K58668" s="8"/>
      <c r="L58668" s="8"/>
      <c r="M58668" s="8"/>
      <c r="N58668" s="8"/>
      <c r="O58668" s="8"/>
      <c r="P58668" s="8"/>
      <c r="Q58668" s="8"/>
      <c r="R58668" s="103"/>
      <c r="S58668" s="8"/>
      <c r="T58668" s="8"/>
      <c r="U58668" s="8"/>
      <c r="V58668" s="8"/>
      <c r="W58668" s="8"/>
      <c r="X58668" s="8"/>
      <c r="Y58668" s="8"/>
      <c r="Z58668" s="8"/>
      <c r="AA58668" s="8"/>
    </row>
    <row r="58669" spans="1:27" x14ac:dyDescent="0.25">
      <c r="A58669" s="8"/>
      <c r="B58669" s="8"/>
      <c r="C58669" s="99"/>
      <c r="D58669" s="8"/>
      <c r="E58669" s="8"/>
      <c r="F58669" s="8"/>
      <c r="G58669" s="8"/>
      <c r="H58669" s="8"/>
      <c r="I58669" s="102"/>
      <c r="J58669" s="8"/>
      <c r="K58669" s="8"/>
      <c r="L58669" s="8"/>
      <c r="M58669" s="8"/>
      <c r="N58669" s="8"/>
      <c r="O58669" s="8"/>
      <c r="P58669" s="8"/>
      <c r="Q58669" s="8"/>
      <c r="R58669" s="103"/>
      <c r="S58669" s="8"/>
      <c r="T58669" s="8"/>
      <c r="U58669" s="8"/>
      <c r="V58669" s="8"/>
      <c r="W58669" s="8"/>
      <c r="X58669" s="8"/>
      <c r="Y58669" s="8"/>
      <c r="Z58669" s="8"/>
      <c r="AA58669" s="8"/>
    </row>
    <row r="58670" spans="1:27" x14ac:dyDescent="0.25">
      <c r="A58670" s="8"/>
      <c r="B58670" s="8"/>
      <c r="C58670" s="99"/>
      <c r="D58670" s="8"/>
      <c r="E58670" s="8"/>
      <c r="F58670" s="8"/>
      <c r="G58670" s="8"/>
      <c r="H58670" s="8"/>
      <c r="I58670" s="102"/>
      <c r="J58670" s="8"/>
      <c r="K58670" s="8"/>
      <c r="L58670" s="8"/>
      <c r="M58670" s="8"/>
      <c r="N58670" s="8"/>
      <c r="O58670" s="8"/>
      <c r="P58670" s="8"/>
      <c r="Q58670" s="8"/>
      <c r="R58670" s="103"/>
      <c r="S58670" s="8"/>
      <c r="T58670" s="8"/>
      <c r="U58670" s="8"/>
      <c r="V58670" s="8"/>
      <c r="W58670" s="8"/>
      <c r="X58670" s="8"/>
      <c r="Y58670" s="8"/>
      <c r="Z58670" s="8"/>
      <c r="AA58670" s="8"/>
    </row>
    <row r="58671" spans="1:27" x14ac:dyDescent="0.25">
      <c r="A58671" s="8"/>
      <c r="B58671" s="8"/>
      <c r="C58671" s="99"/>
      <c r="D58671" s="8"/>
      <c r="E58671" s="8"/>
      <c r="F58671" s="8"/>
      <c r="G58671" s="8"/>
      <c r="H58671" s="8"/>
      <c r="I58671" s="102"/>
      <c r="J58671" s="8"/>
      <c r="K58671" s="8"/>
      <c r="L58671" s="8"/>
      <c r="M58671" s="8"/>
      <c r="N58671" s="8"/>
      <c r="O58671" s="8"/>
      <c r="P58671" s="8"/>
      <c r="Q58671" s="8"/>
      <c r="R58671" s="103"/>
      <c r="S58671" s="8"/>
      <c r="T58671" s="8"/>
      <c r="U58671" s="8"/>
      <c r="V58671" s="8"/>
      <c r="W58671" s="8"/>
      <c r="X58671" s="8"/>
      <c r="Y58671" s="8"/>
      <c r="Z58671" s="8"/>
      <c r="AA58671" s="8"/>
    </row>
    <row r="58672" spans="1:27" x14ac:dyDescent="0.25">
      <c r="A58672" s="8"/>
      <c r="B58672" s="8"/>
      <c r="C58672" s="99"/>
      <c r="D58672" s="8"/>
      <c r="E58672" s="8"/>
      <c r="F58672" s="8"/>
      <c r="G58672" s="8"/>
      <c r="H58672" s="8"/>
      <c r="I58672" s="102"/>
      <c r="J58672" s="8"/>
      <c r="K58672" s="8"/>
      <c r="L58672" s="8"/>
      <c r="M58672" s="8"/>
      <c r="N58672" s="8"/>
      <c r="O58672" s="8"/>
      <c r="P58672" s="8"/>
      <c r="Q58672" s="8"/>
      <c r="R58672" s="103"/>
      <c r="S58672" s="8"/>
      <c r="T58672" s="8"/>
      <c r="U58672" s="8"/>
      <c r="V58672" s="8"/>
      <c r="W58672" s="8"/>
      <c r="X58672" s="8"/>
      <c r="Y58672" s="8"/>
      <c r="Z58672" s="8"/>
      <c r="AA58672" s="8"/>
    </row>
    <row r="58673" spans="1:27" x14ac:dyDescent="0.25">
      <c r="A58673" s="8"/>
      <c r="B58673" s="8"/>
      <c r="C58673" s="99"/>
      <c r="D58673" s="8"/>
      <c r="E58673" s="8"/>
      <c r="F58673" s="8"/>
      <c r="G58673" s="8"/>
      <c r="H58673" s="8"/>
      <c r="I58673" s="102"/>
      <c r="J58673" s="8"/>
      <c r="K58673" s="8"/>
      <c r="L58673" s="8"/>
      <c r="M58673" s="8"/>
      <c r="N58673" s="8"/>
      <c r="O58673" s="8"/>
      <c r="P58673" s="8"/>
      <c r="Q58673" s="8"/>
      <c r="R58673" s="103"/>
      <c r="S58673" s="8"/>
      <c r="T58673" s="8"/>
      <c r="U58673" s="8"/>
      <c r="V58673" s="8"/>
      <c r="W58673" s="8"/>
      <c r="X58673" s="8"/>
      <c r="Y58673" s="8"/>
      <c r="Z58673" s="8"/>
      <c r="AA58673" s="8"/>
    </row>
    <row r="58674" spans="1:27" x14ac:dyDescent="0.25">
      <c r="A58674" s="8"/>
      <c r="B58674" s="8"/>
      <c r="C58674" s="99"/>
      <c r="D58674" s="8"/>
      <c r="E58674" s="8"/>
      <c r="F58674" s="8"/>
      <c r="G58674" s="8"/>
      <c r="H58674" s="8"/>
      <c r="I58674" s="102"/>
      <c r="J58674" s="8"/>
      <c r="K58674" s="8"/>
      <c r="L58674" s="8"/>
      <c r="M58674" s="8"/>
      <c r="N58674" s="8"/>
      <c r="O58674" s="8"/>
      <c r="P58674" s="8"/>
      <c r="Q58674" s="8"/>
      <c r="R58674" s="103"/>
      <c r="S58674" s="8"/>
      <c r="T58674" s="8"/>
      <c r="U58674" s="8"/>
      <c r="V58674" s="8"/>
      <c r="W58674" s="8"/>
      <c r="X58674" s="8"/>
      <c r="Y58674" s="8"/>
      <c r="Z58674" s="8"/>
      <c r="AA58674" s="8"/>
    </row>
    <row r="58675" spans="1:27" x14ac:dyDescent="0.25">
      <c r="A58675" s="8"/>
      <c r="B58675" s="8"/>
      <c r="C58675" s="99"/>
      <c r="D58675" s="8"/>
      <c r="E58675" s="8"/>
      <c r="F58675" s="8"/>
      <c r="G58675" s="8"/>
      <c r="H58675" s="8"/>
      <c r="I58675" s="102"/>
      <c r="J58675" s="8"/>
      <c r="K58675" s="8"/>
      <c r="L58675" s="8"/>
      <c r="M58675" s="8"/>
      <c r="N58675" s="8"/>
      <c r="O58675" s="8"/>
      <c r="P58675" s="8"/>
      <c r="Q58675" s="8"/>
      <c r="R58675" s="103"/>
      <c r="S58675" s="8"/>
      <c r="T58675" s="8"/>
      <c r="U58675" s="8"/>
      <c r="V58675" s="8"/>
      <c r="W58675" s="8"/>
      <c r="X58675" s="8"/>
      <c r="Y58675" s="8"/>
      <c r="Z58675" s="8"/>
      <c r="AA58675" s="8"/>
    </row>
    <row r="58676" spans="1:27" x14ac:dyDescent="0.25">
      <c r="A58676" s="8"/>
      <c r="B58676" s="8"/>
      <c r="C58676" s="99"/>
      <c r="D58676" s="8"/>
      <c r="E58676" s="8"/>
      <c r="F58676" s="8"/>
      <c r="G58676" s="8"/>
      <c r="H58676" s="8"/>
      <c r="I58676" s="102"/>
      <c r="J58676" s="8"/>
      <c r="K58676" s="8"/>
      <c r="L58676" s="8"/>
      <c r="M58676" s="8"/>
      <c r="N58676" s="8"/>
      <c r="O58676" s="8"/>
      <c r="P58676" s="8"/>
      <c r="Q58676" s="8"/>
      <c r="R58676" s="103"/>
      <c r="S58676" s="8"/>
      <c r="T58676" s="8"/>
      <c r="U58676" s="8"/>
      <c r="V58676" s="8"/>
      <c r="W58676" s="8"/>
      <c r="X58676" s="8"/>
      <c r="Y58676" s="8"/>
      <c r="Z58676" s="8"/>
      <c r="AA58676" s="8"/>
    </row>
    <row r="58677" spans="1:27" x14ac:dyDescent="0.25">
      <c r="A58677" s="8"/>
      <c r="B58677" s="8"/>
      <c r="C58677" s="99"/>
      <c r="D58677" s="8"/>
      <c r="E58677" s="8"/>
      <c r="F58677" s="8"/>
      <c r="G58677" s="8"/>
      <c r="H58677" s="8"/>
      <c r="I58677" s="102"/>
      <c r="J58677" s="8"/>
      <c r="K58677" s="8"/>
      <c r="L58677" s="8"/>
      <c r="M58677" s="8"/>
      <c r="N58677" s="8"/>
      <c r="O58677" s="8"/>
      <c r="P58677" s="8"/>
      <c r="Q58677" s="8"/>
      <c r="R58677" s="103"/>
      <c r="S58677" s="8"/>
      <c r="T58677" s="8"/>
      <c r="U58677" s="8"/>
      <c r="V58677" s="8"/>
      <c r="W58677" s="8"/>
      <c r="X58677" s="8"/>
      <c r="Y58677" s="8"/>
      <c r="Z58677" s="8"/>
      <c r="AA58677" s="8"/>
    </row>
    <row r="58678" spans="1:27" x14ac:dyDescent="0.25">
      <c r="A58678" s="8"/>
      <c r="B58678" s="8"/>
      <c r="C58678" s="99"/>
      <c r="D58678" s="8"/>
      <c r="E58678" s="8"/>
      <c r="F58678" s="8"/>
      <c r="G58678" s="8"/>
      <c r="H58678" s="8"/>
      <c r="I58678" s="102"/>
      <c r="J58678" s="8"/>
      <c r="K58678" s="8"/>
      <c r="L58678" s="8"/>
      <c r="M58678" s="8"/>
      <c r="N58678" s="8"/>
      <c r="O58678" s="8"/>
      <c r="P58678" s="8"/>
      <c r="Q58678" s="8"/>
      <c r="R58678" s="103"/>
      <c r="S58678" s="8"/>
      <c r="T58678" s="8"/>
      <c r="U58678" s="8"/>
      <c r="V58678" s="8"/>
      <c r="W58678" s="8"/>
      <c r="X58678" s="8"/>
      <c r="Y58678" s="8"/>
      <c r="Z58678" s="8"/>
      <c r="AA58678" s="8"/>
    </row>
    <row r="58679" spans="1:27" x14ac:dyDescent="0.25">
      <c r="A58679" s="8"/>
      <c r="B58679" s="8"/>
      <c r="C58679" s="99"/>
      <c r="D58679" s="8"/>
      <c r="E58679" s="8"/>
      <c r="F58679" s="8"/>
      <c r="G58679" s="8"/>
      <c r="H58679" s="8"/>
      <c r="I58679" s="102"/>
      <c r="J58679" s="8"/>
      <c r="K58679" s="8"/>
      <c r="L58679" s="8"/>
      <c r="M58679" s="8"/>
      <c r="N58679" s="8"/>
      <c r="O58679" s="8"/>
      <c r="P58679" s="8"/>
      <c r="Q58679" s="8"/>
      <c r="R58679" s="103"/>
      <c r="S58679" s="8"/>
      <c r="T58679" s="8"/>
      <c r="U58679" s="8"/>
      <c r="V58679" s="8"/>
      <c r="W58679" s="8"/>
      <c r="X58679" s="8"/>
      <c r="Y58679" s="8"/>
      <c r="Z58679" s="8"/>
      <c r="AA58679" s="8"/>
    </row>
    <row r="58680" spans="1:27" x14ac:dyDescent="0.25">
      <c r="A58680" s="8"/>
      <c r="B58680" s="8"/>
      <c r="C58680" s="99"/>
      <c r="D58680" s="8"/>
      <c r="E58680" s="8"/>
      <c r="F58680" s="8"/>
      <c r="G58680" s="8"/>
      <c r="H58680" s="8"/>
      <c r="I58680" s="102"/>
      <c r="J58680" s="8"/>
      <c r="K58680" s="8"/>
      <c r="L58680" s="8"/>
      <c r="M58680" s="8"/>
      <c r="N58680" s="8"/>
      <c r="O58680" s="8"/>
      <c r="P58680" s="8"/>
      <c r="Q58680" s="8"/>
      <c r="R58680" s="103"/>
      <c r="S58680" s="8"/>
      <c r="T58680" s="8"/>
      <c r="U58680" s="8"/>
      <c r="V58680" s="8"/>
      <c r="W58680" s="8"/>
      <c r="X58680" s="8"/>
      <c r="Y58680" s="8"/>
      <c r="Z58680" s="8"/>
      <c r="AA58680" s="8"/>
    </row>
    <row r="58681" spans="1:27" x14ac:dyDescent="0.25">
      <c r="A58681" s="8"/>
      <c r="B58681" s="8"/>
      <c r="C58681" s="99"/>
      <c r="D58681" s="8"/>
      <c r="E58681" s="8"/>
      <c r="F58681" s="8"/>
      <c r="G58681" s="8"/>
      <c r="H58681" s="8"/>
      <c r="I58681" s="102"/>
      <c r="J58681" s="8"/>
      <c r="K58681" s="8"/>
      <c r="L58681" s="8"/>
      <c r="M58681" s="8"/>
      <c r="N58681" s="8"/>
      <c r="O58681" s="8"/>
      <c r="P58681" s="8"/>
      <c r="Q58681" s="8"/>
      <c r="R58681" s="103"/>
      <c r="S58681" s="8"/>
      <c r="T58681" s="8"/>
      <c r="U58681" s="8"/>
      <c r="V58681" s="8"/>
      <c r="W58681" s="8"/>
      <c r="X58681" s="8"/>
      <c r="Y58681" s="8"/>
      <c r="Z58681" s="8"/>
      <c r="AA58681" s="8"/>
    </row>
    <row r="58682" spans="1:27" x14ac:dyDescent="0.25">
      <c r="A58682" s="8"/>
      <c r="B58682" s="8"/>
      <c r="C58682" s="99"/>
      <c r="D58682" s="8"/>
      <c r="E58682" s="8"/>
      <c r="F58682" s="8"/>
      <c r="G58682" s="8"/>
      <c r="H58682" s="8"/>
      <c r="I58682" s="102"/>
      <c r="J58682" s="8"/>
      <c r="K58682" s="8"/>
      <c r="L58682" s="8"/>
      <c r="M58682" s="8"/>
      <c r="N58682" s="8"/>
      <c r="O58682" s="8"/>
      <c r="P58682" s="8"/>
      <c r="Q58682" s="8"/>
      <c r="R58682" s="103"/>
      <c r="S58682" s="8"/>
      <c r="T58682" s="8"/>
      <c r="U58682" s="8"/>
      <c r="V58682" s="8"/>
      <c r="W58682" s="8"/>
      <c r="X58682" s="8"/>
      <c r="Y58682" s="8"/>
      <c r="Z58682" s="8"/>
      <c r="AA58682" s="8"/>
    </row>
    <row r="58683" spans="1:27" x14ac:dyDescent="0.25">
      <c r="A58683" s="8"/>
      <c r="B58683" s="8"/>
      <c r="C58683" s="99"/>
      <c r="D58683" s="8"/>
      <c r="E58683" s="8"/>
      <c r="F58683" s="8"/>
      <c r="G58683" s="8"/>
      <c r="H58683" s="8"/>
      <c r="I58683" s="102"/>
      <c r="J58683" s="8"/>
      <c r="K58683" s="8"/>
      <c r="L58683" s="8"/>
      <c r="M58683" s="8"/>
      <c r="N58683" s="8"/>
      <c r="O58683" s="8"/>
      <c r="P58683" s="8"/>
      <c r="Q58683" s="8"/>
      <c r="R58683" s="103"/>
      <c r="S58683" s="8"/>
      <c r="T58683" s="8"/>
      <c r="U58683" s="8"/>
      <c r="V58683" s="8"/>
      <c r="W58683" s="8"/>
      <c r="X58683" s="8"/>
      <c r="Y58683" s="8"/>
      <c r="Z58683" s="8"/>
      <c r="AA58683" s="8"/>
    </row>
    <row r="58684" spans="1:27" x14ac:dyDescent="0.25">
      <c r="A58684" s="8"/>
      <c r="B58684" s="8"/>
      <c r="C58684" s="99"/>
      <c r="D58684" s="8"/>
      <c r="E58684" s="8"/>
      <c r="F58684" s="8"/>
      <c r="G58684" s="8"/>
      <c r="H58684" s="8"/>
      <c r="I58684" s="102"/>
      <c r="J58684" s="8"/>
      <c r="K58684" s="8"/>
      <c r="L58684" s="8"/>
      <c r="M58684" s="8"/>
      <c r="N58684" s="8"/>
      <c r="O58684" s="8"/>
      <c r="P58684" s="8"/>
      <c r="Q58684" s="8"/>
      <c r="R58684" s="103"/>
      <c r="S58684" s="8"/>
      <c r="T58684" s="8"/>
      <c r="U58684" s="8"/>
      <c r="V58684" s="8"/>
      <c r="W58684" s="8"/>
      <c r="X58684" s="8"/>
      <c r="Y58684" s="8"/>
      <c r="Z58684" s="8"/>
      <c r="AA58684" s="8"/>
    </row>
    <row r="58685" spans="1:27" x14ac:dyDescent="0.25">
      <c r="A58685" s="8"/>
      <c r="B58685" s="8"/>
      <c r="C58685" s="99"/>
      <c r="D58685" s="8"/>
      <c r="E58685" s="8"/>
      <c r="F58685" s="8"/>
      <c r="G58685" s="8"/>
      <c r="H58685" s="8"/>
      <c r="I58685" s="102"/>
      <c r="J58685" s="8"/>
      <c r="K58685" s="8"/>
      <c r="L58685" s="8"/>
      <c r="M58685" s="8"/>
      <c r="N58685" s="8"/>
      <c r="O58685" s="8"/>
      <c r="P58685" s="8"/>
      <c r="Q58685" s="8"/>
      <c r="R58685" s="103"/>
      <c r="S58685" s="8"/>
      <c r="T58685" s="8"/>
      <c r="U58685" s="8"/>
      <c r="V58685" s="8"/>
      <c r="W58685" s="8"/>
      <c r="X58685" s="8"/>
      <c r="Y58685" s="8"/>
      <c r="Z58685" s="8"/>
      <c r="AA58685" s="8"/>
    </row>
    <row r="58686" spans="1:27" x14ac:dyDescent="0.25">
      <c r="A58686" s="8"/>
      <c r="B58686" s="8"/>
      <c r="C58686" s="99"/>
      <c r="D58686" s="8"/>
      <c r="E58686" s="8"/>
      <c r="F58686" s="8"/>
      <c r="G58686" s="8"/>
      <c r="H58686" s="8"/>
      <c r="I58686" s="102"/>
      <c r="J58686" s="8"/>
      <c r="K58686" s="8"/>
      <c r="L58686" s="8"/>
      <c r="M58686" s="8"/>
      <c r="N58686" s="8"/>
      <c r="O58686" s="8"/>
      <c r="P58686" s="8"/>
      <c r="Q58686" s="8"/>
      <c r="R58686" s="103"/>
      <c r="S58686" s="8"/>
      <c r="T58686" s="8"/>
      <c r="U58686" s="8"/>
      <c r="V58686" s="8"/>
      <c r="W58686" s="8"/>
      <c r="X58686" s="8"/>
      <c r="Y58686" s="8"/>
      <c r="Z58686" s="8"/>
      <c r="AA58686" s="8"/>
    </row>
    <row r="58687" spans="1:27" x14ac:dyDescent="0.25">
      <c r="A58687" s="8"/>
      <c r="B58687" s="8"/>
      <c r="C58687" s="99"/>
      <c r="D58687" s="8"/>
      <c r="E58687" s="8"/>
      <c r="F58687" s="8"/>
      <c r="G58687" s="8"/>
      <c r="H58687" s="8"/>
      <c r="I58687" s="102"/>
      <c r="J58687" s="8"/>
      <c r="K58687" s="8"/>
      <c r="L58687" s="8"/>
      <c r="M58687" s="8"/>
      <c r="N58687" s="8"/>
      <c r="O58687" s="8"/>
      <c r="P58687" s="8"/>
      <c r="Q58687" s="8"/>
      <c r="R58687" s="103"/>
      <c r="S58687" s="8"/>
      <c r="T58687" s="8"/>
      <c r="U58687" s="8"/>
      <c r="V58687" s="8"/>
      <c r="W58687" s="8"/>
      <c r="X58687" s="8"/>
      <c r="Y58687" s="8"/>
      <c r="Z58687" s="8"/>
      <c r="AA58687" s="8"/>
    </row>
    <row r="58688" spans="1:27" x14ac:dyDescent="0.25">
      <c r="A58688" s="8"/>
      <c r="B58688" s="8"/>
      <c r="C58688" s="99"/>
      <c r="D58688" s="8"/>
      <c r="E58688" s="8"/>
      <c r="F58688" s="8"/>
      <c r="G58688" s="8"/>
      <c r="H58688" s="8"/>
      <c r="I58688" s="102"/>
      <c r="J58688" s="8"/>
      <c r="K58688" s="8"/>
      <c r="L58688" s="8"/>
      <c r="M58688" s="8"/>
      <c r="N58688" s="8"/>
      <c r="O58688" s="8"/>
      <c r="P58688" s="8"/>
      <c r="Q58688" s="8"/>
      <c r="R58688" s="103"/>
      <c r="S58688" s="8"/>
      <c r="T58688" s="8"/>
      <c r="U58688" s="8"/>
      <c r="V58688" s="8"/>
      <c r="W58688" s="8"/>
      <c r="X58688" s="8"/>
      <c r="Y58688" s="8"/>
      <c r="Z58688" s="8"/>
      <c r="AA58688" s="8"/>
    </row>
    <row r="58689" spans="1:27" x14ac:dyDescent="0.25">
      <c r="A58689" s="8"/>
      <c r="B58689" s="8"/>
      <c r="C58689" s="99"/>
      <c r="D58689" s="8"/>
      <c r="E58689" s="8"/>
      <c r="F58689" s="8"/>
      <c r="G58689" s="8"/>
      <c r="H58689" s="8"/>
      <c r="I58689" s="102"/>
      <c r="J58689" s="8"/>
      <c r="K58689" s="8"/>
      <c r="L58689" s="8"/>
      <c r="M58689" s="8"/>
      <c r="N58689" s="8"/>
      <c r="O58689" s="8"/>
      <c r="P58689" s="8"/>
      <c r="Q58689" s="8"/>
      <c r="R58689" s="103"/>
      <c r="S58689" s="8"/>
      <c r="T58689" s="8"/>
      <c r="U58689" s="8"/>
      <c r="V58689" s="8"/>
      <c r="W58689" s="8"/>
      <c r="X58689" s="8"/>
      <c r="Y58689" s="8"/>
      <c r="Z58689" s="8"/>
      <c r="AA58689" s="8"/>
    </row>
    <row r="58690" spans="1:27" x14ac:dyDescent="0.25">
      <c r="A58690" s="8"/>
      <c r="B58690" s="8"/>
      <c r="C58690" s="99"/>
      <c r="D58690" s="8"/>
      <c r="E58690" s="8"/>
      <c r="F58690" s="8"/>
      <c r="G58690" s="8"/>
      <c r="H58690" s="8"/>
      <c r="I58690" s="102"/>
      <c r="J58690" s="8"/>
      <c r="K58690" s="8"/>
      <c r="L58690" s="8"/>
      <c r="M58690" s="8"/>
      <c r="N58690" s="8"/>
      <c r="O58690" s="8"/>
      <c r="P58690" s="8"/>
      <c r="Q58690" s="8"/>
      <c r="R58690" s="103"/>
      <c r="S58690" s="8"/>
      <c r="T58690" s="8"/>
      <c r="U58690" s="8"/>
      <c r="V58690" s="8"/>
      <c r="W58690" s="8"/>
      <c r="X58690" s="8"/>
      <c r="Y58690" s="8"/>
      <c r="Z58690" s="8"/>
      <c r="AA58690" s="8"/>
    </row>
    <row r="58691" spans="1:27" x14ac:dyDescent="0.25">
      <c r="A58691" s="8"/>
      <c r="B58691" s="8"/>
      <c r="C58691" s="99"/>
      <c r="D58691" s="8"/>
      <c r="E58691" s="8"/>
      <c r="F58691" s="8"/>
      <c r="G58691" s="8"/>
      <c r="H58691" s="8"/>
      <c r="I58691" s="102"/>
      <c r="J58691" s="8"/>
      <c r="K58691" s="8"/>
      <c r="L58691" s="8"/>
      <c r="M58691" s="8"/>
      <c r="N58691" s="8"/>
      <c r="O58691" s="8"/>
      <c r="P58691" s="8"/>
      <c r="Q58691" s="8"/>
      <c r="R58691" s="103"/>
      <c r="S58691" s="8"/>
      <c r="T58691" s="8"/>
      <c r="U58691" s="8"/>
      <c r="V58691" s="8"/>
      <c r="W58691" s="8"/>
      <c r="X58691" s="8"/>
      <c r="Y58691" s="8"/>
      <c r="Z58691" s="8"/>
      <c r="AA58691" s="8"/>
    </row>
    <row r="58692" spans="1:27" x14ac:dyDescent="0.25">
      <c r="A58692" s="8"/>
      <c r="B58692" s="8"/>
      <c r="C58692" s="99"/>
      <c r="D58692" s="8"/>
      <c r="E58692" s="8"/>
      <c r="F58692" s="8"/>
      <c r="G58692" s="8"/>
      <c r="H58692" s="8"/>
      <c r="I58692" s="102"/>
      <c r="J58692" s="8"/>
      <c r="K58692" s="8"/>
      <c r="L58692" s="8"/>
      <c r="M58692" s="8"/>
      <c r="N58692" s="8"/>
      <c r="O58692" s="8"/>
      <c r="P58692" s="8"/>
      <c r="Q58692" s="8"/>
      <c r="R58692" s="103"/>
      <c r="S58692" s="8"/>
      <c r="T58692" s="8"/>
      <c r="U58692" s="8"/>
      <c r="V58692" s="8"/>
      <c r="W58692" s="8"/>
      <c r="X58692" s="8"/>
      <c r="Y58692" s="8"/>
      <c r="Z58692" s="8"/>
      <c r="AA58692" s="8"/>
    </row>
    <row r="58693" spans="1:27" x14ac:dyDescent="0.25">
      <c r="A58693" s="8"/>
      <c r="B58693" s="8"/>
      <c r="C58693" s="99"/>
      <c r="D58693" s="8"/>
      <c r="E58693" s="8"/>
      <c r="F58693" s="8"/>
      <c r="G58693" s="8"/>
      <c r="H58693" s="8"/>
      <c r="I58693" s="102"/>
      <c r="J58693" s="8"/>
      <c r="K58693" s="8"/>
      <c r="L58693" s="8"/>
      <c r="M58693" s="8"/>
      <c r="N58693" s="8"/>
      <c r="O58693" s="8"/>
      <c r="P58693" s="8"/>
      <c r="Q58693" s="8"/>
      <c r="R58693" s="103"/>
      <c r="S58693" s="8"/>
      <c r="T58693" s="8"/>
      <c r="U58693" s="8"/>
      <c r="V58693" s="8"/>
      <c r="W58693" s="8"/>
      <c r="X58693" s="8"/>
      <c r="Y58693" s="8"/>
      <c r="Z58693" s="8"/>
      <c r="AA58693" s="8"/>
    </row>
    <row r="58694" spans="1:27" x14ac:dyDescent="0.25">
      <c r="A58694" s="8"/>
      <c r="B58694" s="8"/>
      <c r="C58694" s="99"/>
      <c r="D58694" s="8"/>
      <c r="E58694" s="8"/>
      <c r="F58694" s="8"/>
      <c r="G58694" s="8"/>
      <c r="H58694" s="8"/>
      <c r="I58694" s="102"/>
      <c r="J58694" s="8"/>
      <c r="K58694" s="8"/>
      <c r="L58694" s="8"/>
      <c r="M58694" s="8"/>
      <c r="N58694" s="8"/>
      <c r="O58694" s="8"/>
      <c r="P58694" s="8"/>
      <c r="Q58694" s="8"/>
      <c r="R58694" s="103"/>
      <c r="S58694" s="8"/>
      <c r="T58694" s="8"/>
      <c r="U58694" s="8"/>
      <c r="V58694" s="8"/>
      <c r="W58694" s="8"/>
      <c r="X58694" s="8"/>
      <c r="Y58694" s="8"/>
      <c r="Z58694" s="8"/>
      <c r="AA58694" s="8"/>
    </row>
    <row r="58695" spans="1:27" x14ac:dyDescent="0.25">
      <c r="A58695" s="8"/>
      <c r="B58695" s="8"/>
      <c r="C58695" s="99"/>
      <c r="D58695" s="8"/>
      <c r="E58695" s="8"/>
      <c r="F58695" s="8"/>
      <c r="G58695" s="8"/>
      <c r="H58695" s="8"/>
      <c r="I58695" s="102"/>
      <c r="J58695" s="8"/>
      <c r="K58695" s="8"/>
      <c r="L58695" s="8"/>
      <c r="M58695" s="8"/>
      <c r="N58695" s="8"/>
      <c r="O58695" s="8"/>
      <c r="P58695" s="8"/>
      <c r="Q58695" s="8"/>
      <c r="R58695" s="103"/>
      <c r="S58695" s="8"/>
      <c r="T58695" s="8"/>
      <c r="U58695" s="8"/>
      <c r="V58695" s="8"/>
      <c r="W58695" s="8"/>
      <c r="X58695" s="8"/>
      <c r="Y58695" s="8"/>
      <c r="Z58695" s="8"/>
      <c r="AA58695" s="8"/>
    </row>
    <row r="58696" spans="1:27" x14ac:dyDescent="0.25">
      <c r="A58696" s="8"/>
      <c r="B58696" s="8"/>
      <c r="C58696" s="99"/>
      <c r="D58696" s="8"/>
      <c r="E58696" s="8"/>
      <c r="F58696" s="8"/>
      <c r="G58696" s="8"/>
      <c r="H58696" s="8"/>
      <c r="I58696" s="102"/>
      <c r="J58696" s="8"/>
      <c r="K58696" s="8"/>
      <c r="L58696" s="8"/>
      <c r="M58696" s="8"/>
      <c r="N58696" s="8"/>
      <c r="O58696" s="8"/>
      <c r="P58696" s="8"/>
      <c r="Q58696" s="8"/>
      <c r="R58696" s="103"/>
      <c r="S58696" s="8"/>
      <c r="T58696" s="8"/>
      <c r="U58696" s="8"/>
      <c r="V58696" s="8"/>
      <c r="W58696" s="8"/>
      <c r="X58696" s="8"/>
      <c r="Y58696" s="8"/>
      <c r="Z58696" s="8"/>
      <c r="AA58696" s="8"/>
    </row>
    <row r="58697" spans="1:27" x14ac:dyDescent="0.25">
      <c r="A58697" s="8"/>
      <c r="B58697" s="8"/>
      <c r="C58697" s="99"/>
      <c r="D58697" s="8"/>
      <c r="E58697" s="8"/>
      <c r="F58697" s="8"/>
      <c r="G58697" s="8"/>
      <c r="H58697" s="8"/>
      <c r="I58697" s="102"/>
      <c r="J58697" s="8"/>
      <c r="K58697" s="8"/>
      <c r="L58697" s="8"/>
      <c r="M58697" s="8"/>
      <c r="N58697" s="8"/>
      <c r="O58697" s="8"/>
      <c r="P58697" s="8"/>
      <c r="Q58697" s="8"/>
      <c r="R58697" s="103"/>
      <c r="S58697" s="8"/>
      <c r="T58697" s="8"/>
      <c r="U58697" s="8"/>
      <c r="V58697" s="8"/>
      <c r="W58697" s="8"/>
      <c r="X58697" s="8"/>
      <c r="Y58697" s="8"/>
      <c r="Z58697" s="8"/>
      <c r="AA58697" s="8"/>
    </row>
    <row r="58698" spans="1:27" x14ac:dyDescent="0.25">
      <c r="A58698" s="8"/>
      <c r="B58698" s="8"/>
      <c r="C58698" s="99"/>
      <c r="D58698" s="8"/>
      <c r="E58698" s="8"/>
      <c r="F58698" s="8"/>
      <c r="G58698" s="8"/>
      <c r="H58698" s="8"/>
      <c r="I58698" s="102"/>
      <c r="J58698" s="8"/>
      <c r="K58698" s="8"/>
      <c r="L58698" s="8"/>
      <c r="M58698" s="8"/>
      <c r="N58698" s="8"/>
      <c r="O58698" s="8"/>
      <c r="P58698" s="8"/>
      <c r="Q58698" s="8"/>
      <c r="R58698" s="103"/>
      <c r="S58698" s="8"/>
      <c r="T58698" s="8"/>
      <c r="U58698" s="8"/>
      <c r="V58698" s="8"/>
      <c r="W58698" s="8"/>
      <c r="X58698" s="8"/>
      <c r="Y58698" s="8"/>
      <c r="Z58698" s="8"/>
      <c r="AA58698" s="8"/>
    </row>
    <row r="58699" spans="1:27" x14ac:dyDescent="0.25">
      <c r="A58699" s="8"/>
      <c r="B58699" s="8"/>
      <c r="C58699" s="99"/>
      <c r="D58699" s="8"/>
      <c r="E58699" s="8"/>
      <c r="F58699" s="8"/>
      <c r="G58699" s="8"/>
      <c r="H58699" s="8"/>
      <c r="I58699" s="102"/>
      <c r="J58699" s="8"/>
      <c r="K58699" s="8"/>
      <c r="L58699" s="8"/>
      <c r="M58699" s="8"/>
      <c r="N58699" s="8"/>
      <c r="O58699" s="8"/>
      <c r="P58699" s="8"/>
      <c r="Q58699" s="8"/>
      <c r="R58699" s="103"/>
      <c r="S58699" s="8"/>
      <c r="T58699" s="8"/>
      <c r="U58699" s="8"/>
      <c r="V58699" s="8"/>
      <c r="W58699" s="8"/>
      <c r="X58699" s="8"/>
      <c r="Y58699" s="8"/>
      <c r="Z58699" s="8"/>
      <c r="AA58699" s="8"/>
    </row>
    <row r="58700" spans="1:27" x14ac:dyDescent="0.25">
      <c r="A58700" s="8"/>
      <c r="B58700" s="8"/>
      <c r="C58700" s="99"/>
      <c r="D58700" s="8"/>
      <c r="E58700" s="8"/>
      <c r="F58700" s="8"/>
      <c r="G58700" s="8"/>
      <c r="H58700" s="8"/>
      <c r="I58700" s="102"/>
      <c r="J58700" s="8"/>
      <c r="K58700" s="8"/>
      <c r="L58700" s="8"/>
      <c r="M58700" s="8"/>
      <c r="N58700" s="8"/>
      <c r="O58700" s="8"/>
      <c r="P58700" s="8"/>
      <c r="Q58700" s="8"/>
      <c r="R58700" s="103"/>
      <c r="S58700" s="8"/>
      <c r="T58700" s="8"/>
      <c r="U58700" s="8"/>
      <c r="V58700" s="8"/>
      <c r="W58700" s="8"/>
      <c r="X58700" s="8"/>
      <c r="Y58700" s="8"/>
      <c r="Z58700" s="8"/>
      <c r="AA58700" s="8"/>
    </row>
    <row r="58701" spans="1:27" x14ac:dyDescent="0.25">
      <c r="A58701" s="8"/>
      <c r="B58701" s="8"/>
      <c r="C58701" s="99"/>
      <c r="D58701" s="8"/>
      <c r="E58701" s="8"/>
      <c r="F58701" s="8"/>
      <c r="G58701" s="8"/>
      <c r="H58701" s="8"/>
      <c r="I58701" s="102"/>
      <c r="J58701" s="8"/>
      <c r="K58701" s="8"/>
      <c r="L58701" s="8"/>
      <c r="M58701" s="8"/>
      <c r="N58701" s="8"/>
      <c r="O58701" s="8"/>
      <c r="P58701" s="8"/>
      <c r="Q58701" s="8"/>
      <c r="R58701" s="103"/>
      <c r="S58701" s="8"/>
      <c r="T58701" s="8"/>
      <c r="U58701" s="8"/>
      <c r="V58701" s="8"/>
      <c r="W58701" s="8"/>
      <c r="X58701" s="8"/>
      <c r="Y58701" s="8"/>
      <c r="Z58701" s="8"/>
      <c r="AA58701" s="8"/>
    </row>
    <row r="58702" spans="1:27" x14ac:dyDescent="0.25">
      <c r="A58702" s="8"/>
      <c r="B58702" s="8"/>
      <c r="C58702" s="99"/>
      <c r="D58702" s="8"/>
      <c r="E58702" s="8"/>
      <c r="F58702" s="8"/>
      <c r="G58702" s="8"/>
      <c r="H58702" s="8"/>
      <c r="I58702" s="102"/>
      <c r="J58702" s="8"/>
      <c r="K58702" s="8"/>
      <c r="L58702" s="8"/>
      <c r="M58702" s="8"/>
      <c r="N58702" s="8"/>
      <c r="O58702" s="8"/>
      <c r="P58702" s="8"/>
      <c r="Q58702" s="8"/>
      <c r="R58702" s="103"/>
      <c r="S58702" s="8"/>
      <c r="T58702" s="8"/>
      <c r="U58702" s="8"/>
      <c r="V58702" s="8"/>
      <c r="W58702" s="8"/>
      <c r="X58702" s="8"/>
      <c r="Y58702" s="8"/>
      <c r="Z58702" s="8"/>
      <c r="AA58702" s="8"/>
    </row>
    <row r="58703" spans="1:27" x14ac:dyDescent="0.25">
      <c r="A58703" s="8"/>
      <c r="B58703" s="8"/>
      <c r="C58703" s="99"/>
      <c r="D58703" s="8"/>
      <c r="E58703" s="8"/>
      <c r="F58703" s="8"/>
      <c r="G58703" s="8"/>
      <c r="H58703" s="8"/>
      <c r="I58703" s="102"/>
      <c r="J58703" s="8"/>
      <c r="K58703" s="8"/>
      <c r="L58703" s="8"/>
      <c r="M58703" s="8"/>
      <c r="N58703" s="8"/>
      <c r="O58703" s="8"/>
      <c r="P58703" s="8"/>
      <c r="Q58703" s="8"/>
      <c r="R58703" s="103"/>
      <c r="S58703" s="8"/>
      <c r="T58703" s="8"/>
      <c r="U58703" s="8"/>
      <c r="V58703" s="8"/>
      <c r="W58703" s="8"/>
      <c r="X58703" s="8"/>
      <c r="Y58703" s="8"/>
      <c r="Z58703" s="8"/>
      <c r="AA58703" s="8"/>
    </row>
    <row r="58704" spans="1:27" x14ac:dyDescent="0.25">
      <c r="A58704" s="8"/>
      <c r="B58704" s="8"/>
      <c r="C58704" s="99"/>
      <c r="D58704" s="8"/>
      <c r="E58704" s="8"/>
      <c r="F58704" s="8"/>
      <c r="G58704" s="8"/>
      <c r="H58704" s="8"/>
      <c r="I58704" s="102"/>
      <c r="J58704" s="8"/>
      <c r="K58704" s="8"/>
      <c r="L58704" s="8"/>
      <c r="M58704" s="8"/>
      <c r="N58704" s="8"/>
      <c r="O58704" s="8"/>
      <c r="P58704" s="8"/>
      <c r="Q58704" s="8"/>
      <c r="R58704" s="103"/>
      <c r="S58704" s="8"/>
      <c r="T58704" s="8"/>
      <c r="U58704" s="8"/>
      <c r="V58704" s="8"/>
      <c r="W58704" s="8"/>
      <c r="X58704" s="8"/>
      <c r="Y58704" s="8"/>
      <c r="Z58704" s="8"/>
      <c r="AA58704" s="8"/>
    </row>
    <row r="58705" spans="1:27" x14ac:dyDescent="0.25">
      <c r="A58705" s="8"/>
      <c r="B58705" s="8"/>
      <c r="C58705" s="99"/>
      <c r="D58705" s="8"/>
      <c r="E58705" s="8"/>
      <c r="F58705" s="8"/>
      <c r="G58705" s="8"/>
      <c r="H58705" s="8"/>
      <c r="I58705" s="102"/>
      <c r="J58705" s="8"/>
      <c r="K58705" s="8"/>
      <c r="L58705" s="8"/>
      <c r="M58705" s="8"/>
      <c r="N58705" s="8"/>
      <c r="O58705" s="8"/>
      <c r="P58705" s="8"/>
      <c r="Q58705" s="8"/>
      <c r="R58705" s="103"/>
      <c r="S58705" s="8"/>
      <c r="T58705" s="8"/>
      <c r="U58705" s="8"/>
      <c r="V58705" s="8"/>
      <c r="W58705" s="8"/>
      <c r="X58705" s="8"/>
      <c r="Y58705" s="8"/>
      <c r="Z58705" s="8"/>
      <c r="AA58705" s="8"/>
    </row>
    <row r="58706" spans="1:27" x14ac:dyDescent="0.25">
      <c r="A58706" s="8"/>
      <c r="B58706" s="8"/>
      <c r="C58706" s="99"/>
      <c r="D58706" s="8"/>
      <c r="E58706" s="8"/>
      <c r="F58706" s="8"/>
      <c r="G58706" s="8"/>
      <c r="H58706" s="8"/>
      <c r="I58706" s="102"/>
      <c r="J58706" s="8"/>
      <c r="K58706" s="8"/>
      <c r="L58706" s="8"/>
      <c r="M58706" s="8"/>
      <c r="N58706" s="8"/>
      <c r="O58706" s="8"/>
      <c r="P58706" s="8"/>
      <c r="Q58706" s="8"/>
      <c r="R58706" s="103"/>
      <c r="S58706" s="8"/>
      <c r="T58706" s="8"/>
      <c r="U58706" s="8"/>
      <c r="V58706" s="8"/>
      <c r="W58706" s="8"/>
      <c r="X58706" s="8"/>
      <c r="Y58706" s="8"/>
      <c r="Z58706" s="8"/>
      <c r="AA58706" s="8"/>
    </row>
    <row r="58707" spans="1:27" x14ac:dyDescent="0.25">
      <c r="A58707" s="8"/>
      <c r="B58707" s="8"/>
      <c r="C58707" s="99"/>
      <c r="D58707" s="8"/>
      <c r="E58707" s="8"/>
      <c r="F58707" s="8"/>
      <c r="G58707" s="8"/>
      <c r="H58707" s="8"/>
      <c r="I58707" s="102"/>
      <c r="J58707" s="8"/>
      <c r="K58707" s="8"/>
      <c r="L58707" s="8"/>
      <c r="M58707" s="8"/>
      <c r="N58707" s="8"/>
      <c r="O58707" s="8"/>
      <c r="P58707" s="8"/>
      <c r="Q58707" s="8"/>
      <c r="R58707" s="103"/>
      <c r="S58707" s="8"/>
      <c r="T58707" s="8"/>
      <c r="U58707" s="8"/>
      <c r="V58707" s="8"/>
      <c r="W58707" s="8"/>
      <c r="X58707" s="8"/>
      <c r="Y58707" s="8"/>
      <c r="Z58707" s="8"/>
      <c r="AA58707" s="8"/>
    </row>
    <row r="58708" spans="1:27" x14ac:dyDescent="0.25">
      <c r="A58708" s="8"/>
      <c r="B58708" s="8"/>
      <c r="C58708" s="99"/>
      <c r="D58708" s="8"/>
      <c r="E58708" s="8"/>
      <c r="F58708" s="8"/>
      <c r="G58708" s="8"/>
      <c r="H58708" s="8"/>
      <c r="I58708" s="102"/>
      <c r="J58708" s="8"/>
      <c r="K58708" s="8"/>
      <c r="L58708" s="8"/>
      <c r="M58708" s="8"/>
      <c r="N58708" s="8"/>
      <c r="O58708" s="8"/>
      <c r="P58708" s="8"/>
      <c r="Q58708" s="8"/>
      <c r="R58708" s="103"/>
      <c r="S58708" s="8"/>
      <c r="T58708" s="8"/>
      <c r="U58708" s="8"/>
      <c r="V58708" s="8"/>
      <c r="W58708" s="8"/>
      <c r="X58708" s="8"/>
      <c r="Y58708" s="8"/>
      <c r="Z58708" s="8"/>
      <c r="AA58708" s="8"/>
    </row>
    <row r="58709" spans="1:27" x14ac:dyDescent="0.25">
      <c r="A58709" s="8"/>
      <c r="B58709" s="8"/>
      <c r="C58709" s="99"/>
      <c r="D58709" s="8"/>
      <c r="E58709" s="8"/>
      <c r="F58709" s="8"/>
      <c r="G58709" s="8"/>
      <c r="H58709" s="8"/>
      <c r="I58709" s="102"/>
      <c r="J58709" s="8"/>
      <c r="K58709" s="8"/>
      <c r="L58709" s="8"/>
      <c r="M58709" s="8"/>
      <c r="N58709" s="8"/>
      <c r="O58709" s="8"/>
      <c r="P58709" s="8"/>
      <c r="Q58709" s="8"/>
      <c r="R58709" s="103"/>
      <c r="S58709" s="8"/>
      <c r="T58709" s="8"/>
      <c r="U58709" s="8"/>
      <c r="V58709" s="8"/>
      <c r="W58709" s="8"/>
      <c r="X58709" s="8"/>
      <c r="Y58709" s="8"/>
      <c r="Z58709" s="8"/>
      <c r="AA58709" s="8"/>
    </row>
    <row r="58710" spans="1:27" x14ac:dyDescent="0.25">
      <c r="A58710" s="8"/>
      <c r="B58710" s="8"/>
      <c r="C58710" s="99"/>
      <c r="D58710" s="8"/>
      <c r="E58710" s="8"/>
      <c r="F58710" s="8"/>
      <c r="G58710" s="8"/>
      <c r="H58710" s="8"/>
      <c r="I58710" s="102"/>
      <c r="J58710" s="8"/>
      <c r="K58710" s="8"/>
      <c r="L58710" s="8"/>
      <c r="M58710" s="8"/>
      <c r="N58710" s="8"/>
      <c r="O58710" s="8"/>
      <c r="P58710" s="8"/>
      <c r="Q58710" s="8"/>
      <c r="R58710" s="103"/>
      <c r="S58710" s="8"/>
      <c r="T58710" s="8"/>
      <c r="U58710" s="8"/>
      <c r="V58710" s="8"/>
      <c r="W58710" s="8"/>
      <c r="X58710" s="8"/>
      <c r="Y58710" s="8"/>
      <c r="Z58710" s="8"/>
      <c r="AA58710" s="8"/>
    </row>
    <row r="58711" spans="1:27" x14ac:dyDescent="0.25">
      <c r="A58711" s="8"/>
      <c r="B58711" s="8"/>
      <c r="C58711" s="99"/>
      <c r="D58711" s="8"/>
      <c r="E58711" s="8"/>
      <c r="F58711" s="8"/>
      <c r="G58711" s="8"/>
      <c r="H58711" s="8"/>
      <c r="I58711" s="102"/>
      <c r="J58711" s="8"/>
      <c r="K58711" s="8"/>
      <c r="L58711" s="8"/>
      <c r="M58711" s="8"/>
      <c r="N58711" s="8"/>
      <c r="O58711" s="8"/>
      <c r="P58711" s="8"/>
      <c r="Q58711" s="8"/>
      <c r="R58711" s="103"/>
      <c r="S58711" s="8"/>
      <c r="T58711" s="8"/>
      <c r="U58711" s="8"/>
      <c r="V58711" s="8"/>
      <c r="W58711" s="8"/>
      <c r="X58711" s="8"/>
      <c r="Y58711" s="8"/>
      <c r="Z58711" s="8"/>
      <c r="AA58711" s="8"/>
    </row>
    <row r="58712" spans="1:27" x14ac:dyDescent="0.25">
      <c r="A58712" s="8"/>
      <c r="B58712" s="8"/>
      <c r="C58712" s="99"/>
      <c r="D58712" s="8"/>
      <c r="E58712" s="8"/>
      <c r="F58712" s="8"/>
      <c r="G58712" s="8"/>
      <c r="H58712" s="8"/>
      <c r="I58712" s="102"/>
      <c r="J58712" s="8"/>
      <c r="K58712" s="8"/>
      <c r="L58712" s="8"/>
      <c r="M58712" s="8"/>
      <c r="N58712" s="8"/>
      <c r="O58712" s="8"/>
      <c r="P58712" s="8"/>
      <c r="Q58712" s="8"/>
      <c r="R58712" s="103"/>
      <c r="S58712" s="8"/>
      <c r="T58712" s="8"/>
      <c r="U58712" s="8"/>
      <c r="V58712" s="8"/>
      <c r="W58712" s="8"/>
      <c r="X58712" s="8"/>
      <c r="Y58712" s="8"/>
      <c r="Z58712" s="8"/>
      <c r="AA58712" s="8"/>
    </row>
    <row r="58713" spans="1:27" x14ac:dyDescent="0.25">
      <c r="A58713" s="8"/>
      <c r="B58713" s="8"/>
      <c r="C58713" s="99"/>
      <c r="D58713" s="8"/>
      <c r="E58713" s="8"/>
      <c r="F58713" s="8"/>
      <c r="G58713" s="8"/>
      <c r="H58713" s="8"/>
      <c r="I58713" s="102"/>
      <c r="J58713" s="8"/>
      <c r="K58713" s="8"/>
      <c r="L58713" s="8"/>
      <c r="M58713" s="8"/>
      <c r="N58713" s="8"/>
      <c r="O58713" s="8"/>
      <c r="P58713" s="8"/>
      <c r="Q58713" s="8"/>
      <c r="R58713" s="103"/>
      <c r="S58713" s="8"/>
      <c r="T58713" s="8"/>
      <c r="U58713" s="8"/>
      <c r="V58713" s="8"/>
      <c r="W58713" s="8"/>
      <c r="X58713" s="8"/>
      <c r="Y58713" s="8"/>
      <c r="Z58713" s="8"/>
      <c r="AA58713" s="8"/>
    </row>
    <row r="58714" spans="1:27" x14ac:dyDescent="0.25">
      <c r="A58714" s="8"/>
      <c r="B58714" s="8"/>
      <c r="C58714" s="99"/>
      <c r="D58714" s="8"/>
      <c r="E58714" s="8"/>
      <c r="F58714" s="8"/>
      <c r="G58714" s="8"/>
      <c r="H58714" s="8"/>
      <c r="I58714" s="102"/>
      <c r="J58714" s="8"/>
      <c r="K58714" s="8"/>
      <c r="L58714" s="8"/>
      <c r="M58714" s="8"/>
      <c r="N58714" s="8"/>
      <c r="O58714" s="8"/>
      <c r="P58714" s="8"/>
      <c r="Q58714" s="8"/>
      <c r="R58714" s="103"/>
      <c r="S58714" s="8"/>
      <c r="T58714" s="8"/>
      <c r="U58714" s="8"/>
      <c r="V58714" s="8"/>
      <c r="W58714" s="8"/>
      <c r="X58714" s="8"/>
      <c r="Y58714" s="8"/>
      <c r="Z58714" s="8"/>
      <c r="AA58714" s="8"/>
    </row>
    <row r="58715" spans="1:27" x14ac:dyDescent="0.25">
      <c r="A58715" s="8"/>
      <c r="B58715" s="8"/>
      <c r="C58715" s="99"/>
      <c r="D58715" s="8"/>
      <c r="E58715" s="8"/>
      <c r="F58715" s="8"/>
      <c r="G58715" s="8"/>
      <c r="H58715" s="8"/>
      <c r="I58715" s="102"/>
      <c r="J58715" s="8"/>
      <c r="K58715" s="8"/>
      <c r="L58715" s="8"/>
      <c r="M58715" s="8"/>
      <c r="N58715" s="8"/>
      <c r="O58715" s="8"/>
      <c r="P58715" s="8"/>
      <c r="Q58715" s="8"/>
      <c r="R58715" s="103"/>
      <c r="S58715" s="8"/>
      <c r="T58715" s="8"/>
      <c r="U58715" s="8"/>
      <c r="V58715" s="8"/>
      <c r="W58715" s="8"/>
      <c r="X58715" s="8"/>
      <c r="Y58715" s="8"/>
      <c r="Z58715" s="8"/>
      <c r="AA58715" s="8"/>
    </row>
    <row r="58716" spans="1:27" x14ac:dyDescent="0.25">
      <c r="A58716" s="8"/>
      <c r="B58716" s="8"/>
      <c r="C58716" s="99"/>
      <c r="D58716" s="8"/>
      <c r="E58716" s="8"/>
      <c r="F58716" s="8"/>
      <c r="G58716" s="8"/>
      <c r="H58716" s="8"/>
      <c r="I58716" s="102"/>
      <c r="J58716" s="8"/>
      <c r="K58716" s="8"/>
      <c r="L58716" s="8"/>
      <c r="M58716" s="8"/>
      <c r="N58716" s="8"/>
      <c r="O58716" s="8"/>
      <c r="P58716" s="8"/>
      <c r="Q58716" s="8"/>
      <c r="R58716" s="103"/>
      <c r="S58716" s="8"/>
      <c r="T58716" s="8"/>
      <c r="U58716" s="8"/>
      <c r="V58716" s="8"/>
      <c r="W58716" s="8"/>
      <c r="X58716" s="8"/>
      <c r="Y58716" s="8"/>
      <c r="Z58716" s="8"/>
      <c r="AA58716" s="8"/>
    </row>
    <row r="58717" spans="1:27" x14ac:dyDescent="0.25">
      <c r="A58717" s="8"/>
      <c r="B58717" s="8"/>
      <c r="C58717" s="99"/>
      <c r="D58717" s="8"/>
      <c r="E58717" s="8"/>
      <c r="F58717" s="8"/>
      <c r="G58717" s="8"/>
      <c r="H58717" s="8"/>
      <c r="I58717" s="102"/>
      <c r="J58717" s="8"/>
      <c r="K58717" s="8"/>
      <c r="L58717" s="8"/>
      <c r="M58717" s="8"/>
      <c r="N58717" s="8"/>
      <c r="O58717" s="8"/>
      <c r="P58717" s="8"/>
      <c r="Q58717" s="8"/>
      <c r="R58717" s="103"/>
      <c r="S58717" s="8"/>
      <c r="T58717" s="8"/>
      <c r="U58717" s="8"/>
      <c r="V58717" s="8"/>
      <c r="W58717" s="8"/>
      <c r="X58717" s="8"/>
      <c r="Y58717" s="8"/>
      <c r="Z58717" s="8"/>
      <c r="AA58717" s="8"/>
    </row>
    <row r="58718" spans="1:27" x14ac:dyDescent="0.25">
      <c r="A58718" s="8"/>
      <c r="B58718" s="8"/>
      <c r="C58718" s="99"/>
      <c r="D58718" s="8"/>
      <c r="E58718" s="8"/>
      <c r="F58718" s="8"/>
      <c r="G58718" s="8"/>
      <c r="H58718" s="8"/>
      <c r="I58718" s="102"/>
      <c r="J58718" s="8"/>
      <c r="K58718" s="8"/>
      <c r="L58718" s="8"/>
      <c r="M58718" s="8"/>
      <c r="N58718" s="8"/>
      <c r="O58718" s="8"/>
      <c r="P58718" s="8"/>
      <c r="Q58718" s="8"/>
      <c r="R58718" s="103"/>
      <c r="S58718" s="8"/>
      <c r="T58718" s="8"/>
      <c r="U58718" s="8"/>
      <c r="V58718" s="8"/>
      <c r="W58718" s="8"/>
      <c r="X58718" s="8"/>
      <c r="Y58718" s="8"/>
      <c r="Z58718" s="8"/>
      <c r="AA58718" s="8"/>
    </row>
    <row r="58719" spans="1:27" x14ac:dyDescent="0.25">
      <c r="A58719" s="8"/>
      <c r="B58719" s="8"/>
      <c r="C58719" s="99"/>
      <c r="D58719" s="8"/>
      <c r="E58719" s="8"/>
      <c r="F58719" s="8"/>
      <c r="G58719" s="8"/>
      <c r="H58719" s="8"/>
      <c r="I58719" s="102"/>
      <c r="J58719" s="8"/>
      <c r="K58719" s="8"/>
      <c r="L58719" s="8"/>
      <c r="M58719" s="8"/>
      <c r="N58719" s="8"/>
      <c r="O58719" s="8"/>
      <c r="P58719" s="8"/>
      <c r="Q58719" s="8"/>
      <c r="R58719" s="103"/>
      <c r="S58719" s="8"/>
      <c r="T58719" s="8"/>
      <c r="U58719" s="8"/>
      <c r="V58719" s="8"/>
      <c r="W58719" s="8"/>
      <c r="X58719" s="8"/>
      <c r="Y58719" s="8"/>
      <c r="Z58719" s="8"/>
      <c r="AA58719" s="8"/>
    </row>
    <row r="58720" spans="1:27" x14ac:dyDescent="0.25">
      <c r="A58720" s="8"/>
      <c r="B58720" s="8"/>
      <c r="C58720" s="99"/>
      <c r="D58720" s="8"/>
      <c r="E58720" s="8"/>
      <c r="F58720" s="8"/>
      <c r="G58720" s="8"/>
      <c r="H58720" s="8"/>
      <c r="I58720" s="102"/>
      <c r="J58720" s="8"/>
      <c r="K58720" s="8"/>
      <c r="L58720" s="8"/>
      <c r="M58720" s="8"/>
      <c r="N58720" s="8"/>
      <c r="O58720" s="8"/>
      <c r="P58720" s="8"/>
      <c r="Q58720" s="8"/>
      <c r="R58720" s="103"/>
      <c r="S58720" s="8"/>
      <c r="T58720" s="8"/>
      <c r="U58720" s="8"/>
      <c r="V58720" s="8"/>
      <c r="W58720" s="8"/>
      <c r="X58720" s="8"/>
      <c r="Y58720" s="8"/>
      <c r="Z58720" s="8"/>
      <c r="AA58720" s="8"/>
    </row>
    <row r="58721" spans="1:27" x14ac:dyDescent="0.25">
      <c r="A58721" s="8"/>
      <c r="B58721" s="8"/>
      <c r="C58721" s="99"/>
      <c r="D58721" s="8"/>
      <c r="E58721" s="8"/>
      <c r="F58721" s="8"/>
      <c r="G58721" s="8"/>
      <c r="H58721" s="8"/>
      <c r="I58721" s="102"/>
      <c r="J58721" s="8"/>
      <c r="K58721" s="8"/>
      <c r="L58721" s="8"/>
      <c r="M58721" s="8"/>
      <c r="N58721" s="8"/>
      <c r="O58721" s="8"/>
      <c r="P58721" s="8"/>
      <c r="Q58721" s="8"/>
      <c r="R58721" s="103"/>
      <c r="S58721" s="8"/>
      <c r="T58721" s="8"/>
      <c r="U58721" s="8"/>
      <c r="V58721" s="8"/>
      <c r="W58721" s="8"/>
      <c r="X58721" s="8"/>
      <c r="Y58721" s="8"/>
      <c r="Z58721" s="8"/>
      <c r="AA58721" s="8"/>
    </row>
    <row r="58722" spans="1:27" x14ac:dyDescent="0.25">
      <c r="A58722" s="8"/>
      <c r="B58722" s="8"/>
      <c r="C58722" s="99"/>
      <c r="D58722" s="8"/>
      <c r="E58722" s="8"/>
      <c r="F58722" s="8"/>
      <c r="G58722" s="8"/>
      <c r="H58722" s="8"/>
      <c r="I58722" s="102"/>
      <c r="J58722" s="8"/>
      <c r="K58722" s="8"/>
      <c r="L58722" s="8"/>
      <c r="M58722" s="8"/>
      <c r="N58722" s="8"/>
      <c r="O58722" s="8"/>
      <c r="P58722" s="8"/>
      <c r="Q58722" s="8"/>
      <c r="R58722" s="103"/>
      <c r="S58722" s="8"/>
      <c r="T58722" s="8"/>
      <c r="U58722" s="8"/>
      <c r="V58722" s="8"/>
      <c r="W58722" s="8"/>
      <c r="X58722" s="8"/>
      <c r="Y58722" s="8"/>
      <c r="Z58722" s="8"/>
      <c r="AA58722" s="8"/>
    </row>
    <row r="58723" spans="1:27" x14ac:dyDescent="0.25">
      <c r="A58723" s="8"/>
      <c r="B58723" s="8"/>
      <c r="C58723" s="99"/>
      <c r="D58723" s="8"/>
      <c r="E58723" s="8"/>
      <c r="F58723" s="8"/>
      <c r="G58723" s="8"/>
      <c r="H58723" s="8"/>
      <c r="I58723" s="102"/>
      <c r="J58723" s="8"/>
      <c r="K58723" s="8"/>
      <c r="L58723" s="8"/>
      <c r="M58723" s="8"/>
      <c r="N58723" s="8"/>
      <c r="O58723" s="8"/>
      <c r="P58723" s="8"/>
      <c r="Q58723" s="8"/>
      <c r="R58723" s="103"/>
      <c r="S58723" s="8"/>
      <c r="T58723" s="8"/>
      <c r="U58723" s="8"/>
      <c r="V58723" s="8"/>
      <c r="W58723" s="8"/>
      <c r="X58723" s="8"/>
      <c r="Y58723" s="8"/>
      <c r="Z58723" s="8"/>
      <c r="AA58723" s="8"/>
    </row>
    <row r="58724" spans="1:27" x14ac:dyDescent="0.25">
      <c r="A58724" s="8"/>
      <c r="B58724" s="8"/>
      <c r="C58724" s="99"/>
      <c r="D58724" s="8"/>
      <c r="E58724" s="8"/>
      <c r="F58724" s="8"/>
      <c r="G58724" s="8"/>
      <c r="H58724" s="8"/>
      <c r="I58724" s="102"/>
      <c r="J58724" s="8"/>
      <c r="K58724" s="8"/>
      <c r="L58724" s="8"/>
      <c r="M58724" s="8"/>
      <c r="N58724" s="8"/>
      <c r="O58724" s="8"/>
      <c r="P58724" s="8"/>
      <c r="Q58724" s="8"/>
      <c r="R58724" s="103"/>
      <c r="S58724" s="8"/>
      <c r="T58724" s="8"/>
      <c r="U58724" s="8"/>
      <c r="V58724" s="8"/>
      <c r="W58724" s="8"/>
      <c r="X58724" s="8"/>
      <c r="Y58724" s="8"/>
      <c r="Z58724" s="8"/>
      <c r="AA58724" s="8"/>
    </row>
    <row r="58725" spans="1:27" x14ac:dyDescent="0.25">
      <c r="A58725" s="8"/>
      <c r="B58725" s="8"/>
      <c r="C58725" s="99"/>
      <c r="D58725" s="8"/>
      <c r="E58725" s="8"/>
      <c r="F58725" s="8"/>
      <c r="G58725" s="8"/>
      <c r="H58725" s="8"/>
      <c r="I58725" s="102"/>
      <c r="J58725" s="8"/>
      <c r="K58725" s="8"/>
      <c r="L58725" s="8"/>
      <c r="M58725" s="8"/>
      <c r="N58725" s="8"/>
      <c r="O58725" s="8"/>
      <c r="P58725" s="8"/>
      <c r="Q58725" s="8"/>
      <c r="R58725" s="103"/>
      <c r="S58725" s="8"/>
      <c r="T58725" s="8"/>
      <c r="U58725" s="8"/>
      <c r="V58725" s="8"/>
      <c r="W58725" s="8"/>
      <c r="X58725" s="8"/>
      <c r="Y58725" s="8"/>
      <c r="Z58725" s="8"/>
      <c r="AA58725" s="8"/>
    </row>
    <row r="58726" spans="1:27" x14ac:dyDescent="0.25">
      <c r="A58726" s="8"/>
      <c r="B58726" s="8"/>
      <c r="C58726" s="99"/>
      <c r="D58726" s="8"/>
      <c r="E58726" s="8"/>
      <c r="F58726" s="8"/>
      <c r="G58726" s="8"/>
      <c r="H58726" s="8"/>
      <c r="I58726" s="102"/>
      <c r="J58726" s="8"/>
      <c r="K58726" s="8"/>
      <c r="L58726" s="8"/>
      <c r="M58726" s="8"/>
      <c r="N58726" s="8"/>
      <c r="O58726" s="8"/>
      <c r="P58726" s="8"/>
      <c r="Q58726" s="8"/>
      <c r="R58726" s="103"/>
      <c r="S58726" s="8"/>
      <c r="T58726" s="8"/>
      <c r="U58726" s="8"/>
      <c r="V58726" s="8"/>
      <c r="W58726" s="8"/>
      <c r="X58726" s="8"/>
      <c r="Y58726" s="8"/>
      <c r="Z58726" s="8"/>
      <c r="AA58726" s="8"/>
    </row>
    <row r="58727" spans="1:27" x14ac:dyDescent="0.25">
      <c r="A58727" s="8"/>
      <c r="B58727" s="8"/>
      <c r="C58727" s="99"/>
      <c r="D58727" s="8"/>
      <c r="E58727" s="8"/>
      <c r="F58727" s="8"/>
      <c r="G58727" s="8"/>
      <c r="H58727" s="8"/>
      <c r="I58727" s="102"/>
      <c r="J58727" s="8"/>
      <c r="K58727" s="8"/>
      <c r="L58727" s="8"/>
      <c r="M58727" s="8"/>
      <c r="N58727" s="8"/>
      <c r="O58727" s="8"/>
      <c r="P58727" s="8"/>
      <c r="Q58727" s="8"/>
      <c r="R58727" s="103"/>
      <c r="S58727" s="8"/>
      <c r="T58727" s="8"/>
      <c r="U58727" s="8"/>
      <c r="V58727" s="8"/>
      <c r="W58727" s="8"/>
      <c r="X58727" s="8"/>
      <c r="Y58727" s="8"/>
      <c r="Z58727" s="8"/>
      <c r="AA58727" s="8"/>
    </row>
    <row r="58728" spans="1:27" x14ac:dyDescent="0.25">
      <c r="A58728" s="8"/>
      <c r="B58728" s="8"/>
      <c r="C58728" s="99"/>
      <c r="D58728" s="8"/>
      <c r="E58728" s="8"/>
      <c r="F58728" s="8"/>
      <c r="G58728" s="8"/>
      <c r="H58728" s="8"/>
      <c r="I58728" s="102"/>
      <c r="J58728" s="8"/>
      <c r="K58728" s="8"/>
      <c r="L58728" s="8"/>
      <c r="M58728" s="8"/>
      <c r="N58728" s="8"/>
      <c r="O58728" s="8"/>
      <c r="P58728" s="8"/>
      <c r="Q58728" s="8"/>
      <c r="R58728" s="103"/>
      <c r="S58728" s="8"/>
      <c r="T58728" s="8"/>
      <c r="U58728" s="8"/>
      <c r="V58728" s="8"/>
      <c r="W58728" s="8"/>
      <c r="X58728" s="8"/>
      <c r="Y58728" s="8"/>
      <c r="Z58728" s="8"/>
      <c r="AA58728" s="8"/>
    </row>
    <row r="58729" spans="1:27" x14ac:dyDescent="0.25">
      <c r="A58729" s="8"/>
      <c r="B58729" s="8"/>
      <c r="C58729" s="99"/>
      <c r="D58729" s="8"/>
      <c r="E58729" s="8"/>
      <c r="F58729" s="8"/>
      <c r="G58729" s="8"/>
      <c r="H58729" s="8"/>
      <c r="I58729" s="102"/>
      <c r="J58729" s="8"/>
      <c r="K58729" s="8"/>
      <c r="L58729" s="8"/>
      <c r="M58729" s="8"/>
      <c r="N58729" s="8"/>
      <c r="O58729" s="8"/>
      <c r="P58729" s="8"/>
      <c r="Q58729" s="8"/>
      <c r="R58729" s="103"/>
      <c r="S58729" s="8"/>
      <c r="T58729" s="8"/>
      <c r="U58729" s="8"/>
      <c r="V58729" s="8"/>
      <c r="W58729" s="8"/>
      <c r="X58729" s="8"/>
      <c r="Y58729" s="8"/>
      <c r="Z58729" s="8"/>
      <c r="AA58729" s="8"/>
    </row>
    <row r="58730" spans="1:27" x14ac:dyDescent="0.25">
      <c r="A58730" s="8"/>
      <c r="B58730" s="8"/>
      <c r="C58730" s="99"/>
      <c r="D58730" s="8"/>
      <c r="E58730" s="8"/>
      <c r="F58730" s="8"/>
      <c r="G58730" s="8"/>
      <c r="H58730" s="8"/>
      <c r="I58730" s="102"/>
      <c r="J58730" s="8"/>
      <c r="K58730" s="8"/>
      <c r="L58730" s="8"/>
      <c r="M58730" s="8"/>
      <c r="N58730" s="8"/>
      <c r="O58730" s="8"/>
      <c r="P58730" s="8"/>
      <c r="Q58730" s="8"/>
      <c r="R58730" s="103"/>
      <c r="S58730" s="8"/>
      <c r="T58730" s="8"/>
      <c r="U58730" s="8"/>
      <c r="V58730" s="8"/>
      <c r="W58730" s="8"/>
      <c r="X58730" s="8"/>
      <c r="Y58730" s="8"/>
      <c r="Z58730" s="8"/>
      <c r="AA58730" s="8"/>
    </row>
    <row r="58731" spans="1:27" x14ac:dyDescent="0.25">
      <c r="A58731" s="8"/>
      <c r="B58731" s="8"/>
      <c r="C58731" s="99"/>
      <c r="D58731" s="8"/>
      <c r="E58731" s="8"/>
      <c r="F58731" s="8"/>
      <c r="G58731" s="8"/>
      <c r="H58731" s="8"/>
      <c r="I58731" s="102"/>
      <c r="J58731" s="8"/>
      <c r="K58731" s="8"/>
      <c r="L58731" s="8"/>
      <c r="M58731" s="8"/>
      <c r="N58731" s="8"/>
      <c r="O58731" s="8"/>
      <c r="P58731" s="8"/>
      <c r="Q58731" s="8"/>
      <c r="R58731" s="103"/>
      <c r="S58731" s="8"/>
      <c r="T58731" s="8"/>
      <c r="U58731" s="8"/>
      <c r="V58731" s="8"/>
      <c r="W58731" s="8"/>
      <c r="X58731" s="8"/>
      <c r="Y58731" s="8"/>
      <c r="Z58731" s="8"/>
      <c r="AA58731" s="8"/>
    </row>
    <row r="58732" spans="1:27" x14ac:dyDescent="0.25">
      <c r="A58732" s="8"/>
      <c r="B58732" s="8"/>
      <c r="C58732" s="99"/>
      <c r="D58732" s="8"/>
      <c r="E58732" s="8"/>
      <c r="F58732" s="8"/>
      <c r="G58732" s="8"/>
      <c r="H58732" s="8"/>
      <c r="I58732" s="102"/>
      <c r="J58732" s="8"/>
      <c r="K58732" s="8"/>
      <c r="L58732" s="8"/>
      <c r="M58732" s="8"/>
      <c r="N58732" s="8"/>
      <c r="O58732" s="8"/>
      <c r="P58732" s="8"/>
      <c r="Q58732" s="8"/>
      <c r="R58732" s="103"/>
      <c r="S58732" s="8"/>
      <c r="T58732" s="8"/>
      <c r="U58732" s="8"/>
      <c r="V58732" s="8"/>
      <c r="W58732" s="8"/>
      <c r="X58732" s="8"/>
      <c r="Y58732" s="8"/>
      <c r="Z58732" s="8"/>
      <c r="AA58732" s="8"/>
    </row>
    <row r="58733" spans="1:27" x14ac:dyDescent="0.25">
      <c r="A58733" s="8"/>
      <c r="B58733" s="8"/>
      <c r="C58733" s="99"/>
      <c r="D58733" s="8"/>
      <c r="E58733" s="8"/>
      <c r="F58733" s="8"/>
      <c r="G58733" s="8"/>
      <c r="H58733" s="8"/>
      <c r="I58733" s="102"/>
      <c r="J58733" s="8"/>
      <c r="K58733" s="8"/>
      <c r="L58733" s="8"/>
      <c r="M58733" s="8"/>
      <c r="N58733" s="8"/>
      <c r="O58733" s="8"/>
      <c r="P58733" s="8"/>
      <c r="Q58733" s="8"/>
      <c r="R58733" s="103"/>
      <c r="S58733" s="8"/>
      <c r="T58733" s="8"/>
      <c r="U58733" s="8"/>
      <c r="V58733" s="8"/>
      <c r="W58733" s="8"/>
      <c r="X58733" s="8"/>
      <c r="Y58733" s="8"/>
      <c r="Z58733" s="8"/>
      <c r="AA58733" s="8"/>
    </row>
    <row r="58734" spans="1:27" x14ac:dyDescent="0.25">
      <c r="A58734" s="8"/>
      <c r="B58734" s="8"/>
      <c r="C58734" s="99"/>
      <c r="D58734" s="8"/>
      <c r="E58734" s="8"/>
      <c r="F58734" s="8"/>
      <c r="G58734" s="8"/>
      <c r="H58734" s="8"/>
      <c r="I58734" s="102"/>
      <c r="J58734" s="8"/>
      <c r="K58734" s="8"/>
      <c r="L58734" s="8"/>
      <c r="M58734" s="8"/>
      <c r="N58734" s="8"/>
      <c r="O58734" s="8"/>
      <c r="P58734" s="8"/>
      <c r="Q58734" s="8"/>
      <c r="R58734" s="103"/>
      <c r="S58734" s="8"/>
      <c r="T58734" s="8"/>
      <c r="U58734" s="8"/>
      <c r="V58734" s="8"/>
      <c r="W58734" s="8"/>
      <c r="X58734" s="8"/>
      <c r="Y58734" s="8"/>
      <c r="Z58734" s="8"/>
      <c r="AA58734" s="8"/>
    </row>
    <row r="58735" spans="1:27" x14ac:dyDescent="0.25">
      <c r="A58735" s="8"/>
      <c r="B58735" s="8"/>
      <c r="C58735" s="99"/>
      <c r="D58735" s="8"/>
      <c r="E58735" s="8"/>
      <c r="F58735" s="8"/>
      <c r="G58735" s="8"/>
      <c r="H58735" s="8"/>
      <c r="I58735" s="102"/>
      <c r="J58735" s="8"/>
      <c r="K58735" s="8"/>
      <c r="L58735" s="8"/>
      <c r="M58735" s="8"/>
      <c r="N58735" s="8"/>
      <c r="O58735" s="8"/>
      <c r="P58735" s="8"/>
      <c r="Q58735" s="8"/>
      <c r="R58735" s="103"/>
      <c r="S58735" s="8"/>
      <c r="T58735" s="8"/>
      <c r="U58735" s="8"/>
      <c r="V58735" s="8"/>
      <c r="W58735" s="8"/>
      <c r="X58735" s="8"/>
      <c r="Y58735" s="8"/>
      <c r="Z58735" s="8"/>
      <c r="AA58735" s="8"/>
    </row>
    <row r="58736" spans="1:27" x14ac:dyDescent="0.25">
      <c r="A58736" s="8"/>
      <c r="B58736" s="8"/>
      <c r="C58736" s="99"/>
      <c r="D58736" s="8"/>
      <c r="E58736" s="8"/>
      <c r="F58736" s="8"/>
      <c r="G58736" s="8"/>
      <c r="H58736" s="8"/>
      <c r="I58736" s="102"/>
      <c r="J58736" s="8"/>
      <c r="K58736" s="8"/>
      <c r="L58736" s="8"/>
      <c r="M58736" s="8"/>
      <c r="N58736" s="8"/>
      <c r="O58736" s="8"/>
      <c r="P58736" s="8"/>
      <c r="Q58736" s="8"/>
      <c r="R58736" s="103"/>
      <c r="S58736" s="8"/>
      <c r="T58736" s="8"/>
      <c r="U58736" s="8"/>
      <c r="V58736" s="8"/>
      <c r="W58736" s="8"/>
      <c r="X58736" s="8"/>
      <c r="Y58736" s="8"/>
      <c r="Z58736" s="8"/>
      <c r="AA58736" s="8"/>
    </row>
    <row r="58737" spans="1:27" x14ac:dyDescent="0.25">
      <c r="A58737" s="8"/>
      <c r="B58737" s="8"/>
      <c r="C58737" s="99"/>
      <c r="D58737" s="8"/>
      <c r="E58737" s="8"/>
      <c r="F58737" s="8"/>
      <c r="G58737" s="8"/>
      <c r="H58737" s="8"/>
      <c r="I58737" s="102"/>
      <c r="J58737" s="8"/>
      <c r="K58737" s="8"/>
      <c r="L58737" s="8"/>
      <c r="M58737" s="8"/>
      <c r="N58737" s="8"/>
      <c r="O58737" s="8"/>
      <c r="P58737" s="8"/>
      <c r="Q58737" s="8"/>
      <c r="R58737" s="103"/>
      <c r="S58737" s="8"/>
      <c r="T58737" s="8"/>
      <c r="U58737" s="8"/>
      <c r="V58737" s="8"/>
      <c r="W58737" s="8"/>
      <c r="X58737" s="8"/>
      <c r="Y58737" s="8"/>
      <c r="Z58737" s="8"/>
      <c r="AA58737" s="8"/>
    </row>
    <row r="58738" spans="1:27" x14ac:dyDescent="0.25">
      <c r="A58738" s="8"/>
      <c r="B58738" s="8"/>
      <c r="C58738" s="99"/>
      <c r="D58738" s="8"/>
      <c r="E58738" s="8"/>
      <c r="F58738" s="8"/>
      <c r="G58738" s="8"/>
      <c r="H58738" s="8"/>
      <c r="I58738" s="102"/>
      <c r="J58738" s="8"/>
      <c r="K58738" s="8"/>
      <c r="L58738" s="8"/>
      <c r="M58738" s="8"/>
      <c r="N58738" s="8"/>
      <c r="O58738" s="8"/>
      <c r="P58738" s="8"/>
      <c r="Q58738" s="8"/>
      <c r="R58738" s="103"/>
      <c r="S58738" s="8"/>
      <c r="T58738" s="8"/>
      <c r="U58738" s="8"/>
      <c r="V58738" s="8"/>
      <c r="W58738" s="8"/>
      <c r="X58738" s="8"/>
      <c r="Y58738" s="8"/>
      <c r="Z58738" s="8"/>
      <c r="AA58738" s="8"/>
    </row>
    <row r="58739" spans="1:27" x14ac:dyDescent="0.25">
      <c r="A58739" s="8"/>
      <c r="B58739" s="8"/>
      <c r="C58739" s="99"/>
      <c r="D58739" s="8"/>
      <c r="E58739" s="8"/>
      <c r="F58739" s="8"/>
      <c r="G58739" s="8"/>
      <c r="H58739" s="8"/>
      <c r="I58739" s="102"/>
      <c r="J58739" s="8"/>
      <c r="K58739" s="8"/>
      <c r="L58739" s="8"/>
      <c r="M58739" s="8"/>
      <c r="N58739" s="8"/>
      <c r="O58739" s="8"/>
      <c r="P58739" s="8"/>
      <c r="Q58739" s="8"/>
      <c r="R58739" s="103"/>
      <c r="S58739" s="8"/>
      <c r="T58739" s="8"/>
      <c r="U58739" s="8"/>
      <c r="V58739" s="8"/>
      <c r="W58739" s="8"/>
      <c r="X58739" s="8"/>
      <c r="Y58739" s="8"/>
      <c r="Z58739" s="8"/>
      <c r="AA58739" s="8"/>
    </row>
    <row r="58740" spans="1:27" x14ac:dyDescent="0.25">
      <c r="A58740" s="8"/>
      <c r="B58740" s="8"/>
      <c r="C58740" s="99"/>
      <c r="D58740" s="8"/>
      <c r="E58740" s="8"/>
      <c r="F58740" s="8"/>
      <c r="G58740" s="8"/>
      <c r="H58740" s="8"/>
      <c r="I58740" s="102"/>
      <c r="J58740" s="8"/>
      <c r="K58740" s="8"/>
      <c r="L58740" s="8"/>
      <c r="M58740" s="8"/>
      <c r="N58740" s="8"/>
      <c r="O58740" s="8"/>
      <c r="P58740" s="8"/>
      <c r="Q58740" s="8"/>
      <c r="R58740" s="103"/>
      <c r="S58740" s="8"/>
      <c r="T58740" s="8"/>
      <c r="U58740" s="8"/>
      <c r="V58740" s="8"/>
      <c r="W58740" s="8"/>
      <c r="X58740" s="8"/>
      <c r="Y58740" s="8"/>
      <c r="Z58740" s="8"/>
      <c r="AA58740" s="8"/>
    </row>
    <row r="58741" spans="1:27" x14ac:dyDescent="0.25">
      <c r="A58741" s="8"/>
      <c r="B58741" s="8"/>
      <c r="C58741" s="99"/>
      <c r="D58741" s="8"/>
      <c r="E58741" s="8"/>
      <c r="F58741" s="8"/>
      <c r="G58741" s="8"/>
      <c r="H58741" s="8"/>
      <c r="I58741" s="102"/>
      <c r="J58741" s="8"/>
      <c r="K58741" s="8"/>
      <c r="L58741" s="8"/>
      <c r="M58741" s="8"/>
      <c r="N58741" s="8"/>
      <c r="O58741" s="8"/>
      <c r="P58741" s="8"/>
      <c r="Q58741" s="8"/>
      <c r="R58741" s="103"/>
      <c r="S58741" s="8"/>
      <c r="T58741" s="8"/>
      <c r="U58741" s="8"/>
      <c r="V58741" s="8"/>
      <c r="W58741" s="8"/>
      <c r="X58741" s="8"/>
      <c r="Y58741" s="8"/>
      <c r="Z58741" s="8"/>
      <c r="AA58741" s="8"/>
    </row>
    <row r="58742" spans="1:27" x14ac:dyDescent="0.25">
      <c r="A58742" s="8"/>
      <c r="B58742" s="8"/>
      <c r="C58742" s="99"/>
      <c r="D58742" s="8"/>
      <c r="E58742" s="8"/>
      <c r="F58742" s="8"/>
      <c r="G58742" s="8"/>
      <c r="H58742" s="8"/>
      <c r="I58742" s="102"/>
      <c r="J58742" s="8"/>
      <c r="K58742" s="8"/>
      <c r="L58742" s="8"/>
      <c r="M58742" s="8"/>
      <c r="N58742" s="8"/>
      <c r="O58742" s="8"/>
      <c r="P58742" s="8"/>
      <c r="Q58742" s="8"/>
      <c r="R58742" s="103"/>
      <c r="S58742" s="8"/>
      <c r="T58742" s="8"/>
      <c r="U58742" s="8"/>
      <c r="V58742" s="8"/>
      <c r="W58742" s="8"/>
      <c r="X58742" s="8"/>
      <c r="Y58742" s="8"/>
      <c r="Z58742" s="8"/>
      <c r="AA58742" s="8"/>
    </row>
    <row r="58743" spans="1:27" x14ac:dyDescent="0.25">
      <c r="A58743" s="8"/>
      <c r="B58743" s="8"/>
      <c r="C58743" s="99"/>
      <c r="D58743" s="8"/>
      <c r="E58743" s="8"/>
      <c r="F58743" s="8"/>
      <c r="G58743" s="8"/>
      <c r="H58743" s="8"/>
      <c r="I58743" s="102"/>
      <c r="J58743" s="8"/>
      <c r="K58743" s="8"/>
      <c r="L58743" s="8"/>
      <c r="M58743" s="8"/>
      <c r="N58743" s="8"/>
      <c r="O58743" s="8"/>
      <c r="P58743" s="8"/>
      <c r="Q58743" s="8"/>
      <c r="R58743" s="103"/>
      <c r="S58743" s="8"/>
      <c r="T58743" s="8"/>
      <c r="U58743" s="8"/>
      <c r="V58743" s="8"/>
      <c r="W58743" s="8"/>
      <c r="X58743" s="8"/>
      <c r="Y58743" s="8"/>
      <c r="Z58743" s="8"/>
      <c r="AA58743" s="8"/>
    </row>
    <row r="58744" spans="1:27" x14ac:dyDescent="0.25">
      <c r="A58744" s="8"/>
      <c r="B58744" s="8"/>
      <c r="C58744" s="99"/>
      <c r="D58744" s="8"/>
      <c r="E58744" s="8"/>
      <c r="F58744" s="8"/>
      <c r="G58744" s="8"/>
      <c r="H58744" s="8"/>
      <c r="I58744" s="102"/>
      <c r="J58744" s="8"/>
      <c r="K58744" s="8"/>
      <c r="L58744" s="8"/>
      <c r="M58744" s="8"/>
      <c r="N58744" s="8"/>
      <c r="O58744" s="8"/>
      <c r="P58744" s="8"/>
      <c r="Q58744" s="8"/>
      <c r="R58744" s="103"/>
      <c r="S58744" s="8"/>
      <c r="T58744" s="8"/>
      <c r="U58744" s="8"/>
      <c r="V58744" s="8"/>
      <c r="W58744" s="8"/>
      <c r="X58744" s="8"/>
      <c r="Y58744" s="8"/>
      <c r="Z58744" s="8"/>
      <c r="AA58744" s="8"/>
    </row>
    <row r="58745" spans="1:27" x14ac:dyDescent="0.25">
      <c r="A58745" s="8"/>
      <c r="B58745" s="8"/>
      <c r="C58745" s="99"/>
      <c r="D58745" s="8"/>
      <c r="E58745" s="8"/>
      <c r="F58745" s="8"/>
      <c r="G58745" s="8"/>
      <c r="H58745" s="8"/>
      <c r="I58745" s="102"/>
      <c r="J58745" s="8"/>
      <c r="K58745" s="8"/>
      <c r="L58745" s="8"/>
      <c r="M58745" s="8"/>
      <c r="N58745" s="8"/>
      <c r="O58745" s="8"/>
      <c r="P58745" s="8"/>
      <c r="Q58745" s="8"/>
      <c r="R58745" s="103"/>
      <c r="S58745" s="8"/>
      <c r="T58745" s="8"/>
      <c r="U58745" s="8"/>
      <c r="V58745" s="8"/>
      <c r="W58745" s="8"/>
      <c r="X58745" s="8"/>
      <c r="Y58745" s="8"/>
      <c r="Z58745" s="8"/>
      <c r="AA58745" s="8"/>
    </row>
    <row r="58746" spans="1:27" x14ac:dyDescent="0.25">
      <c r="A58746" s="8"/>
      <c r="B58746" s="8"/>
      <c r="C58746" s="99"/>
      <c r="D58746" s="8"/>
      <c r="E58746" s="8"/>
      <c r="F58746" s="8"/>
      <c r="G58746" s="8"/>
      <c r="H58746" s="8"/>
      <c r="I58746" s="102"/>
      <c r="J58746" s="8"/>
      <c r="K58746" s="8"/>
      <c r="L58746" s="8"/>
      <c r="M58746" s="8"/>
      <c r="N58746" s="8"/>
      <c r="O58746" s="8"/>
      <c r="P58746" s="8"/>
      <c r="Q58746" s="8"/>
      <c r="R58746" s="103"/>
      <c r="S58746" s="8"/>
      <c r="T58746" s="8"/>
      <c r="U58746" s="8"/>
      <c r="V58746" s="8"/>
      <c r="W58746" s="8"/>
      <c r="X58746" s="8"/>
      <c r="Y58746" s="8"/>
      <c r="Z58746" s="8"/>
      <c r="AA58746" s="8"/>
    </row>
    <row r="58747" spans="1:27" x14ac:dyDescent="0.25">
      <c r="A58747" s="8"/>
      <c r="B58747" s="8"/>
      <c r="C58747" s="99"/>
      <c r="D58747" s="8"/>
      <c r="E58747" s="8"/>
      <c r="F58747" s="8"/>
      <c r="G58747" s="8"/>
      <c r="H58747" s="8"/>
      <c r="I58747" s="102"/>
      <c r="J58747" s="8"/>
      <c r="K58747" s="8"/>
      <c r="L58747" s="8"/>
      <c r="M58747" s="8"/>
      <c r="N58747" s="8"/>
      <c r="O58747" s="8"/>
      <c r="P58747" s="8"/>
      <c r="Q58747" s="8"/>
      <c r="R58747" s="103"/>
      <c r="S58747" s="8"/>
      <c r="T58747" s="8"/>
      <c r="U58747" s="8"/>
      <c r="V58747" s="8"/>
      <c r="W58747" s="8"/>
      <c r="X58747" s="8"/>
      <c r="Y58747" s="8"/>
      <c r="Z58747" s="8"/>
      <c r="AA58747" s="8"/>
    </row>
    <row r="58748" spans="1:27" x14ac:dyDescent="0.25">
      <c r="A58748" s="8"/>
      <c r="B58748" s="8"/>
      <c r="C58748" s="99"/>
      <c r="D58748" s="8"/>
      <c r="E58748" s="8"/>
      <c r="F58748" s="8"/>
      <c r="G58748" s="8"/>
      <c r="H58748" s="8"/>
      <c r="I58748" s="102"/>
      <c r="J58748" s="8"/>
      <c r="K58748" s="8"/>
      <c r="L58748" s="8"/>
      <c r="M58748" s="8"/>
      <c r="N58748" s="8"/>
      <c r="O58748" s="8"/>
      <c r="P58748" s="8"/>
      <c r="Q58748" s="8"/>
      <c r="R58748" s="103"/>
      <c r="S58748" s="8"/>
      <c r="T58748" s="8"/>
      <c r="U58748" s="8"/>
      <c r="V58748" s="8"/>
      <c r="W58748" s="8"/>
      <c r="X58748" s="8"/>
      <c r="Y58748" s="8"/>
      <c r="Z58748" s="8"/>
      <c r="AA58748" s="8"/>
    </row>
    <row r="58749" spans="1:27" x14ac:dyDescent="0.25">
      <c r="A58749" s="8"/>
      <c r="B58749" s="8"/>
      <c r="C58749" s="99"/>
      <c r="D58749" s="8"/>
      <c r="E58749" s="8"/>
      <c r="F58749" s="8"/>
      <c r="G58749" s="8"/>
      <c r="H58749" s="8"/>
      <c r="I58749" s="102"/>
      <c r="J58749" s="8"/>
      <c r="K58749" s="8"/>
      <c r="L58749" s="8"/>
      <c r="M58749" s="8"/>
      <c r="N58749" s="8"/>
      <c r="O58749" s="8"/>
      <c r="P58749" s="8"/>
      <c r="Q58749" s="8"/>
      <c r="R58749" s="103"/>
      <c r="S58749" s="8"/>
      <c r="T58749" s="8"/>
      <c r="U58749" s="8"/>
      <c r="V58749" s="8"/>
      <c r="W58749" s="8"/>
      <c r="X58749" s="8"/>
      <c r="Y58749" s="8"/>
      <c r="Z58749" s="8"/>
      <c r="AA58749" s="8"/>
    </row>
    <row r="58750" spans="1:27" x14ac:dyDescent="0.25">
      <c r="A58750" s="8"/>
      <c r="B58750" s="8"/>
      <c r="C58750" s="99"/>
      <c r="D58750" s="8"/>
      <c r="E58750" s="8"/>
      <c r="F58750" s="8"/>
      <c r="G58750" s="8"/>
      <c r="H58750" s="8"/>
      <c r="I58750" s="102"/>
      <c r="J58750" s="8"/>
      <c r="K58750" s="8"/>
      <c r="L58750" s="8"/>
      <c r="M58750" s="8"/>
      <c r="N58750" s="8"/>
      <c r="O58750" s="8"/>
      <c r="P58750" s="8"/>
      <c r="Q58750" s="8"/>
      <c r="R58750" s="103"/>
      <c r="S58750" s="8"/>
      <c r="T58750" s="8"/>
      <c r="U58750" s="8"/>
      <c r="V58750" s="8"/>
      <c r="W58750" s="8"/>
      <c r="X58750" s="8"/>
      <c r="Y58750" s="8"/>
      <c r="Z58750" s="8"/>
      <c r="AA58750" s="8"/>
    </row>
    <row r="58751" spans="1:27" x14ac:dyDescent="0.25">
      <c r="A58751" s="8"/>
      <c r="B58751" s="8"/>
      <c r="C58751" s="99"/>
      <c r="D58751" s="8"/>
      <c r="E58751" s="8"/>
      <c r="F58751" s="8"/>
      <c r="G58751" s="8"/>
      <c r="H58751" s="8"/>
      <c r="I58751" s="102"/>
      <c r="J58751" s="8"/>
      <c r="K58751" s="8"/>
      <c r="L58751" s="8"/>
      <c r="M58751" s="8"/>
      <c r="N58751" s="8"/>
      <c r="O58751" s="8"/>
      <c r="P58751" s="8"/>
      <c r="Q58751" s="8"/>
      <c r="R58751" s="103"/>
      <c r="S58751" s="8"/>
      <c r="T58751" s="8"/>
      <c r="U58751" s="8"/>
      <c r="V58751" s="8"/>
      <c r="W58751" s="8"/>
      <c r="X58751" s="8"/>
      <c r="Y58751" s="8"/>
      <c r="Z58751" s="8"/>
      <c r="AA58751" s="8"/>
    </row>
    <row r="58752" spans="1:27" x14ac:dyDescent="0.25">
      <c r="A58752" s="8"/>
      <c r="B58752" s="8"/>
      <c r="C58752" s="99"/>
      <c r="D58752" s="8"/>
      <c r="E58752" s="8"/>
      <c r="F58752" s="8"/>
      <c r="G58752" s="8"/>
      <c r="H58752" s="8"/>
      <c r="I58752" s="102"/>
      <c r="J58752" s="8"/>
      <c r="K58752" s="8"/>
      <c r="L58752" s="8"/>
      <c r="M58752" s="8"/>
      <c r="N58752" s="8"/>
      <c r="O58752" s="8"/>
      <c r="P58752" s="8"/>
      <c r="Q58752" s="8"/>
      <c r="R58752" s="103"/>
      <c r="S58752" s="8"/>
      <c r="T58752" s="8"/>
      <c r="U58752" s="8"/>
      <c r="V58752" s="8"/>
      <c r="W58752" s="8"/>
      <c r="X58752" s="8"/>
      <c r="Y58752" s="8"/>
      <c r="Z58752" s="8"/>
      <c r="AA58752" s="8"/>
    </row>
    <row r="58753" spans="1:27" x14ac:dyDescent="0.25">
      <c r="A58753" s="8"/>
      <c r="B58753" s="8"/>
      <c r="C58753" s="99"/>
      <c r="D58753" s="8"/>
      <c r="E58753" s="8"/>
      <c r="F58753" s="8"/>
      <c r="G58753" s="8"/>
      <c r="H58753" s="8"/>
      <c r="I58753" s="102"/>
      <c r="J58753" s="8"/>
      <c r="K58753" s="8"/>
      <c r="L58753" s="8"/>
      <c r="M58753" s="8"/>
      <c r="N58753" s="8"/>
      <c r="O58753" s="8"/>
      <c r="P58753" s="8"/>
      <c r="Q58753" s="8"/>
      <c r="R58753" s="103"/>
      <c r="S58753" s="8"/>
      <c r="T58753" s="8"/>
      <c r="U58753" s="8"/>
      <c r="V58753" s="8"/>
      <c r="W58753" s="8"/>
      <c r="X58753" s="8"/>
      <c r="Y58753" s="8"/>
      <c r="Z58753" s="8"/>
      <c r="AA58753" s="8"/>
    </row>
    <row r="58754" spans="1:27" x14ac:dyDescent="0.25">
      <c r="A58754" s="8"/>
      <c r="B58754" s="8"/>
      <c r="C58754" s="99"/>
      <c r="D58754" s="8"/>
      <c r="E58754" s="8"/>
      <c r="F58754" s="8"/>
      <c r="G58754" s="8"/>
      <c r="H58754" s="8"/>
      <c r="I58754" s="102"/>
      <c r="J58754" s="8"/>
      <c r="K58754" s="8"/>
      <c r="L58754" s="8"/>
      <c r="M58754" s="8"/>
      <c r="N58754" s="8"/>
      <c r="O58754" s="8"/>
      <c r="P58754" s="8"/>
      <c r="Q58754" s="8"/>
      <c r="R58754" s="103"/>
      <c r="S58754" s="8"/>
      <c r="T58754" s="8"/>
      <c r="U58754" s="8"/>
      <c r="V58754" s="8"/>
      <c r="W58754" s="8"/>
      <c r="X58754" s="8"/>
      <c r="Y58754" s="8"/>
      <c r="Z58754" s="8"/>
      <c r="AA58754" s="8"/>
    </row>
    <row r="58755" spans="1:27" x14ac:dyDescent="0.25">
      <c r="A58755" s="8"/>
      <c r="B58755" s="8"/>
      <c r="C58755" s="99"/>
      <c r="D58755" s="8"/>
      <c r="E58755" s="8"/>
      <c r="F58755" s="8"/>
      <c r="G58755" s="8"/>
      <c r="H58755" s="8"/>
      <c r="I58755" s="102"/>
      <c r="J58755" s="8"/>
      <c r="K58755" s="8"/>
      <c r="L58755" s="8"/>
      <c r="M58755" s="8"/>
      <c r="N58755" s="8"/>
      <c r="O58755" s="8"/>
      <c r="P58755" s="8"/>
      <c r="Q58755" s="8"/>
      <c r="R58755" s="103"/>
      <c r="S58755" s="8"/>
      <c r="T58755" s="8"/>
      <c r="U58755" s="8"/>
      <c r="V58755" s="8"/>
      <c r="W58755" s="8"/>
      <c r="X58755" s="8"/>
      <c r="Y58755" s="8"/>
      <c r="Z58755" s="8"/>
      <c r="AA58755" s="8"/>
    </row>
    <row r="58756" spans="1:27" x14ac:dyDescent="0.25">
      <c r="A58756" s="8"/>
      <c r="B58756" s="8"/>
      <c r="C58756" s="99"/>
      <c r="D58756" s="8"/>
      <c r="E58756" s="8"/>
      <c r="F58756" s="8"/>
      <c r="G58756" s="8"/>
      <c r="H58756" s="8"/>
      <c r="I58756" s="102"/>
      <c r="J58756" s="8"/>
      <c r="K58756" s="8"/>
      <c r="L58756" s="8"/>
      <c r="M58756" s="8"/>
      <c r="N58756" s="8"/>
      <c r="O58756" s="8"/>
      <c r="P58756" s="8"/>
      <c r="Q58756" s="8"/>
      <c r="R58756" s="103"/>
      <c r="S58756" s="8"/>
      <c r="T58756" s="8"/>
      <c r="U58756" s="8"/>
      <c r="V58756" s="8"/>
      <c r="W58756" s="8"/>
      <c r="X58756" s="8"/>
      <c r="Y58756" s="8"/>
      <c r="Z58756" s="8"/>
      <c r="AA58756" s="8"/>
    </row>
    <row r="58757" spans="1:27" x14ac:dyDescent="0.25">
      <c r="A58757" s="8"/>
      <c r="B58757" s="8"/>
      <c r="C58757" s="99"/>
      <c r="D58757" s="8"/>
      <c r="E58757" s="8"/>
      <c r="F58757" s="8"/>
      <c r="G58757" s="8"/>
      <c r="H58757" s="8"/>
      <c r="I58757" s="102"/>
      <c r="J58757" s="8"/>
      <c r="K58757" s="8"/>
      <c r="L58757" s="8"/>
      <c r="M58757" s="8"/>
      <c r="N58757" s="8"/>
      <c r="O58757" s="8"/>
      <c r="P58757" s="8"/>
      <c r="Q58757" s="8"/>
      <c r="R58757" s="103"/>
      <c r="S58757" s="8"/>
      <c r="T58757" s="8"/>
      <c r="U58757" s="8"/>
      <c r="V58757" s="8"/>
      <c r="W58757" s="8"/>
      <c r="X58757" s="8"/>
      <c r="Y58757" s="8"/>
      <c r="Z58757" s="8"/>
      <c r="AA58757" s="8"/>
    </row>
    <row r="58758" spans="1:27" x14ac:dyDescent="0.25">
      <c r="A58758" s="8"/>
      <c r="B58758" s="8"/>
      <c r="C58758" s="99"/>
      <c r="D58758" s="8"/>
      <c r="E58758" s="8"/>
      <c r="F58758" s="8"/>
      <c r="G58758" s="8"/>
      <c r="H58758" s="8"/>
      <c r="I58758" s="102"/>
      <c r="J58758" s="8"/>
      <c r="K58758" s="8"/>
      <c r="L58758" s="8"/>
      <c r="M58758" s="8"/>
      <c r="N58758" s="8"/>
      <c r="O58758" s="8"/>
      <c r="P58758" s="8"/>
      <c r="Q58758" s="8"/>
      <c r="R58758" s="103"/>
      <c r="S58758" s="8"/>
      <c r="T58758" s="8"/>
      <c r="U58758" s="8"/>
      <c r="V58758" s="8"/>
      <c r="W58758" s="8"/>
      <c r="X58758" s="8"/>
      <c r="Y58758" s="8"/>
      <c r="Z58758" s="8"/>
      <c r="AA58758" s="8"/>
    </row>
    <row r="58759" spans="1:27" x14ac:dyDescent="0.25">
      <c r="A58759" s="8"/>
      <c r="B58759" s="8"/>
      <c r="C58759" s="99"/>
      <c r="D58759" s="8"/>
      <c r="E58759" s="8"/>
      <c r="F58759" s="8"/>
      <c r="G58759" s="8"/>
      <c r="H58759" s="8"/>
      <c r="I58759" s="102"/>
      <c r="J58759" s="8"/>
      <c r="K58759" s="8"/>
      <c r="L58759" s="8"/>
      <c r="M58759" s="8"/>
      <c r="N58759" s="8"/>
      <c r="O58759" s="8"/>
      <c r="P58759" s="8"/>
      <c r="Q58759" s="8"/>
      <c r="R58759" s="103"/>
      <c r="S58759" s="8"/>
      <c r="T58759" s="8"/>
      <c r="U58759" s="8"/>
      <c r="V58759" s="8"/>
      <c r="W58759" s="8"/>
      <c r="X58759" s="8"/>
      <c r="Y58759" s="8"/>
      <c r="Z58759" s="8"/>
      <c r="AA58759" s="8"/>
    </row>
    <row r="58760" spans="1:27" x14ac:dyDescent="0.25">
      <c r="A58760" s="8"/>
      <c r="B58760" s="8"/>
      <c r="C58760" s="99"/>
      <c r="D58760" s="8"/>
      <c r="E58760" s="8"/>
      <c r="F58760" s="8"/>
      <c r="G58760" s="8"/>
      <c r="H58760" s="8"/>
      <c r="I58760" s="102"/>
      <c r="J58760" s="8"/>
      <c r="K58760" s="8"/>
      <c r="L58760" s="8"/>
      <c r="M58760" s="8"/>
      <c r="N58760" s="8"/>
      <c r="O58760" s="8"/>
      <c r="P58760" s="8"/>
      <c r="Q58760" s="8"/>
      <c r="R58760" s="103"/>
      <c r="S58760" s="8"/>
      <c r="T58760" s="8"/>
      <c r="U58760" s="8"/>
      <c r="V58760" s="8"/>
      <c r="W58760" s="8"/>
      <c r="X58760" s="8"/>
      <c r="Y58760" s="8"/>
      <c r="Z58760" s="8"/>
      <c r="AA58760" s="8"/>
    </row>
    <row r="58761" spans="1:27" x14ac:dyDescent="0.25">
      <c r="A58761" s="8"/>
      <c r="B58761" s="8"/>
      <c r="C58761" s="99"/>
      <c r="D58761" s="8"/>
      <c r="E58761" s="8"/>
      <c r="F58761" s="8"/>
      <c r="G58761" s="8"/>
      <c r="H58761" s="8"/>
      <c r="I58761" s="102"/>
      <c r="J58761" s="8"/>
      <c r="K58761" s="8"/>
      <c r="L58761" s="8"/>
      <c r="M58761" s="8"/>
      <c r="N58761" s="8"/>
      <c r="O58761" s="8"/>
      <c r="P58761" s="8"/>
      <c r="Q58761" s="8"/>
      <c r="R58761" s="103"/>
      <c r="S58761" s="8"/>
      <c r="T58761" s="8"/>
      <c r="U58761" s="8"/>
      <c r="V58761" s="8"/>
      <c r="W58761" s="8"/>
      <c r="X58761" s="8"/>
      <c r="Y58761" s="8"/>
      <c r="Z58761" s="8"/>
      <c r="AA58761" s="8"/>
    </row>
    <row r="58762" spans="1:27" x14ac:dyDescent="0.25">
      <c r="A58762" s="8"/>
      <c r="B58762" s="8"/>
      <c r="C58762" s="99"/>
      <c r="D58762" s="8"/>
      <c r="E58762" s="8"/>
      <c r="F58762" s="8"/>
      <c r="G58762" s="8"/>
      <c r="H58762" s="8"/>
      <c r="I58762" s="102"/>
      <c r="J58762" s="8"/>
      <c r="K58762" s="8"/>
      <c r="L58762" s="8"/>
      <c r="M58762" s="8"/>
      <c r="N58762" s="8"/>
      <c r="O58762" s="8"/>
      <c r="P58762" s="8"/>
      <c r="Q58762" s="8"/>
      <c r="R58762" s="103"/>
      <c r="S58762" s="8"/>
      <c r="T58762" s="8"/>
      <c r="U58762" s="8"/>
      <c r="V58762" s="8"/>
      <c r="W58762" s="8"/>
      <c r="X58762" s="8"/>
      <c r="Y58762" s="8"/>
      <c r="Z58762" s="8"/>
      <c r="AA58762" s="8"/>
    </row>
    <row r="58763" spans="1:27" x14ac:dyDescent="0.25">
      <c r="A58763" s="8"/>
      <c r="B58763" s="8"/>
      <c r="C58763" s="99"/>
      <c r="D58763" s="8"/>
      <c r="E58763" s="8"/>
      <c r="F58763" s="8"/>
      <c r="G58763" s="8"/>
      <c r="H58763" s="8"/>
      <c r="I58763" s="102"/>
      <c r="J58763" s="8"/>
      <c r="K58763" s="8"/>
      <c r="L58763" s="8"/>
      <c r="M58763" s="8"/>
      <c r="N58763" s="8"/>
      <c r="O58763" s="8"/>
      <c r="P58763" s="8"/>
      <c r="Q58763" s="8"/>
      <c r="R58763" s="103"/>
      <c r="S58763" s="8"/>
      <c r="T58763" s="8"/>
      <c r="U58763" s="8"/>
      <c r="V58763" s="8"/>
      <c r="W58763" s="8"/>
      <c r="X58763" s="8"/>
      <c r="Y58763" s="8"/>
      <c r="Z58763" s="8"/>
      <c r="AA58763" s="8"/>
    </row>
    <row r="58764" spans="1:27" x14ac:dyDescent="0.25">
      <c r="A58764" s="8"/>
      <c r="B58764" s="8"/>
      <c r="C58764" s="99"/>
      <c r="D58764" s="8"/>
      <c r="E58764" s="8"/>
      <c r="F58764" s="8"/>
      <c r="G58764" s="8"/>
      <c r="H58764" s="8"/>
      <c r="I58764" s="102"/>
      <c r="J58764" s="8"/>
      <c r="K58764" s="8"/>
      <c r="L58764" s="8"/>
      <c r="M58764" s="8"/>
      <c r="N58764" s="8"/>
      <c r="O58764" s="8"/>
      <c r="P58764" s="8"/>
      <c r="Q58764" s="8"/>
      <c r="R58764" s="103"/>
      <c r="S58764" s="8"/>
      <c r="T58764" s="8"/>
      <c r="U58764" s="8"/>
      <c r="V58764" s="8"/>
      <c r="W58764" s="8"/>
      <c r="X58764" s="8"/>
      <c r="Y58764" s="8"/>
      <c r="Z58764" s="8"/>
      <c r="AA58764" s="8"/>
    </row>
    <row r="58765" spans="1:27" x14ac:dyDescent="0.25">
      <c r="A58765" s="8"/>
      <c r="B58765" s="8"/>
      <c r="C58765" s="99"/>
      <c r="D58765" s="8"/>
      <c r="E58765" s="8"/>
      <c r="F58765" s="8"/>
      <c r="G58765" s="8"/>
      <c r="H58765" s="8"/>
      <c r="I58765" s="102"/>
      <c r="J58765" s="8"/>
      <c r="K58765" s="8"/>
      <c r="L58765" s="8"/>
      <c r="M58765" s="8"/>
      <c r="N58765" s="8"/>
      <c r="O58765" s="8"/>
      <c r="P58765" s="8"/>
      <c r="Q58765" s="8"/>
      <c r="R58765" s="103"/>
      <c r="S58765" s="8"/>
      <c r="T58765" s="8"/>
      <c r="U58765" s="8"/>
      <c r="V58765" s="8"/>
      <c r="W58765" s="8"/>
      <c r="X58765" s="8"/>
      <c r="Y58765" s="8"/>
      <c r="Z58765" s="8"/>
      <c r="AA58765" s="8"/>
    </row>
    <row r="58766" spans="1:27" x14ac:dyDescent="0.25">
      <c r="A58766" s="8"/>
      <c r="B58766" s="8"/>
      <c r="C58766" s="99"/>
      <c r="D58766" s="8"/>
      <c r="E58766" s="8"/>
      <c r="F58766" s="8"/>
      <c r="G58766" s="8"/>
      <c r="H58766" s="8"/>
      <c r="I58766" s="102"/>
      <c r="J58766" s="8"/>
      <c r="K58766" s="8"/>
      <c r="L58766" s="8"/>
      <c r="M58766" s="8"/>
      <c r="N58766" s="8"/>
      <c r="O58766" s="8"/>
      <c r="P58766" s="8"/>
      <c r="Q58766" s="8"/>
      <c r="R58766" s="103"/>
      <c r="S58766" s="8"/>
      <c r="T58766" s="8"/>
      <c r="U58766" s="8"/>
      <c r="V58766" s="8"/>
      <c r="W58766" s="8"/>
      <c r="X58766" s="8"/>
      <c r="Y58766" s="8"/>
      <c r="Z58766" s="8"/>
      <c r="AA58766" s="8"/>
    </row>
    <row r="58767" spans="1:27" x14ac:dyDescent="0.25">
      <c r="A58767" s="8"/>
      <c r="B58767" s="8"/>
      <c r="C58767" s="99"/>
      <c r="D58767" s="8"/>
      <c r="E58767" s="8"/>
      <c r="F58767" s="8"/>
      <c r="G58767" s="8"/>
      <c r="H58767" s="8"/>
      <c r="I58767" s="102"/>
      <c r="J58767" s="8"/>
      <c r="K58767" s="8"/>
      <c r="L58767" s="8"/>
      <c r="M58767" s="8"/>
      <c r="N58767" s="8"/>
      <c r="O58767" s="8"/>
      <c r="P58767" s="8"/>
      <c r="Q58767" s="8"/>
      <c r="R58767" s="103"/>
      <c r="S58767" s="8"/>
      <c r="T58767" s="8"/>
      <c r="U58767" s="8"/>
      <c r="V58767" s="8"/>
      <c r="W58767" s="8"/>
      <c r="X58767" s="8"/>
      <c r="Y58767" s="8"/>
      <c r="Z58767" s="8"/>
      <c r="AA58767" s="8"/>
    </row>
    <row r="58768" spans="1:27" x14ac:dyDescent="0.25">
      <c r="A58768" s="8"/>
      <c r="B58768" s="8"/>
      <c r="C58768" s="99"/>
      <c r="D58768" s="8"/>
      <c r="E58768" s="8"/>
      <c r="F58768" s="8"/>
      <c r="G58768" s="8"/>
      <c r="H58768" s="8"/>
      <c r="I58768" s="102"/>
      <c r="J58768" s="8"/>
      <c r="K58768" s="8"/>
      <c r="L58768" s="8"/>
      <c r="M58768" s="8"/>
      <c r="N58768" s="8"/>
      <c r="O58768" s="8"/>
      <c r="P58768" s="8"/>
      <c r="Q58768" s="8"/>
      <c r="R58768" s="103"/>
      <c r="S58768" s="8"/>
      <c r="T58768" s="8"/>
      <c r="U58768" s="8"/>
      <c r="V58768" s="8"/>
      <c r="W58768" s="8"/>
      <c r="X58768" s="8"/>
      <c r="Y58768" s="8"/>
      <c r="Z58768" s="8"/>
      <c r="AA58768" s="8"/>
    </row>
    <row r="58769" spans="1:27" x14ac:dyDescent="0.25">
      <c r="A58769" s="8"/>
      <c r="B58769" s="8"/>
      <c r="C58769" s="99"/>
      <c r="D58769" s="8"/>
      <c r="E58769" s="8"/>
      <c r="F58769" s="8"/>
      <c r="G58769" s="8"/>
      <c r="H58769" s="8"/>
      <c r="I58769" s="102"/>
      <c r="J58769" s="8"/>
      <c r="K58769" s="8"/>
      <c r="L58769" s="8"/>
      <c r="M58769" s="8"/>
      <c r="N58769" s="8"/>
      <c r="O58769" s="8"/>
      <c r="P58769" s="8"/>
      <c r="Q58769" s="8"/>
      <c r="R58769" s="103"/>
      <c r="S58769" s="8"/>
      <c r="T58769" s="8"/>
      <c r="U58769" s="8"/>
      <c r="V58769" s="8"/>
      <c r="W58769" s="8"/>
      <c r="X58769" s="8"/>
      <c r="Y58769" s="8"/>
      <c r="Z58769" s="8"/>
      <c r="AA58769" s="8"/>
    </row>
    <row r="58770" spans="1:27" x14ac:dyDescent="0.25">
      <c r="A58770" s="8"/>
      <c r="B58770" s="8"/>
      <c r="C58770" s="99"/>
      <c r="D58770" s="8"/>
      <c r="E58770" s="8"/>
      <c r="F58770" s="8"/>
      <c r="G58770" s="8"/>
      <c r="H58770" s="8"/>
      <c r="I58770" s="102"/>
      <c r="J58770" s="8"/>
      <c r="K58770" s="8"/>
      <c r="L58770" s="8"/>
      <c r="M58770" s="8"/>
      <c r="N58770" s="8"/>
      <c r="O58770" s="8"/>
      <c r="P58770" s="8"/>
      <c r="Q58770" s="8"/>
      <c r="R58770" s="103"/>
      <c r="S58770" s="8"/>
      <c r="T58770" s="8"/>
      <c r="U58770" s="8"/>
      <c r="V58770" s="8"/>
      <c r="W58770" s="8"/>
      <c r="X58770" s="8"/>
      <c r="Y58770" s="8"/>
      <c r="Z58770" s="8"/>
      <c r="AA58770" s="8"/>
    </row>
    <row r="58771" spans="1:27" x14ac:dyDescent="0.25">
      <c r="A58771" s="8"/>
      <c r="B58771" s="8"/>
      <c r="C58771" s="99"/>
      <c r="D58771" s="8"/>
      <c r="E58771" s="8"/>
      <c r="F58771" s="8"/>
      <c r="G58771" s="8"/>
      <c r="H58771" s="8"/>
      <c r="I58771" s="102"/>
      <c r="J58771" s="8"/>
      <c r="K58771" s="8"/>
      <c r="L58771" s="8"/>
      <c r="M58771" s="8"/>
      <c r="N58771" s="8"/>
      <c r="O58771" s="8"/>
      <c r="P58771" s="8"/>
      <c r="Q58771" s="8"/>
      <c r="R58771" s="103"/>
      <c r="S58771" s="8"/>
      <c r="T58771" s="8"/>
      <c r="U58771" s="8"/>
      <c r="V58771" s="8"/>
      <c r="W58771" s="8"/>
      <c r="X58771" s="8"/>
      <c r="Y58771" s="8"/>
      <c r="Z58771" s="8"/>
      <c r="AA58771" s="8"/>
    </row>
    <row r="58772" spans="1:27" x14ac:dyDescent="0.25">
      <c r="A58772" s="8"/>
      <c r="B58772" s="8"/>
      <c r="C58772" s="99"/>
      <c r="D58772" s="8"/>
      <c r="E58772" s="8"/>
      <c r="F58772" s="8"/>
      <c r="G58772" s="8"/>
      <c r="H58772" s="8"/>
      <c r="I58772" s="102"/>
      <c r="J58772" s="8"/>
      <c r="K58772" s="8"/>
      <c r="L58772" s="8"/>
      <c r="M58772" s="8"/>
      <c r="N58772" s="8"/>
      <c r="O58772" s="8"/>
      <c r="P58772" s="8"/>
      <c r="Q58772" s="8"/>
      <c r="R58772" s="103"/>
      <c r="S58772" s="8"/>
      <c r="T58772" s="8"/>
      <c r="U58772" s="8"/>
      <c r="V58772" s="8"/>
      <c r="W58772" s="8"/>
      <c r="X58772" s="8"/>
      <c r="Y58772" s="8"/>
      <c r="Z58772" s="8"/>
      <c r="AA58772" s="8"/>
    </row>
    <row r="58773" spans="1:27" x14ac:dyDescent="0.25">
      <c r="A58773" s="8"/>
      <c r="B58773" s="8"/>
      <c r="C58773" s="99"/>
      <c r="D58773" s="8"/>
      <c r="E58773" s="8"/>
      <c r="F58773" s="8"/>
      <c r="G58773" s="8"/>
      <c r="H58773" s="8"/>
      <c r="I58773" s="102"/>
      <c r="J58773" s="8"/>
      <c r="K58773" s="8"/>
      <c r="L58773" s="8"/>
      <c r="M58773" s="8"/>
      <c r="N58773" s="8"/>
      <c r="O58773" s="8"/>
      <c r="P58773" s="8"/>
      <c r="Q58773" s="8"/>
      <c r="R58773" s="103"/>
      <c r="S58773" s="8"/>
      <c r="T58773" s="8"/>
      <c r="U58773" s="8"/>
      <c r="V58773" s="8"/>
      <c r="W58773" s="8"/>
      <c r="X58773" s="8"/>
      <c r="Y58773" s="8"/>
      <c r="Z58773" s="8"/>
      <c r="AA58773" s="8"/>
    </row>
    <row r="58774" spans="1:27" x14ac:dyDescent="0.25">
      <c r="A58774" s="8"/>
      <c r="B58774" s="8"/>
      <c r="C58774" s="99"/>
      <c r="D58774" s="8"/>
      <c r="E58774" s="8"/>
      <c r="F58774" s="8"/>
      <c r="G58774" s="8"/>
      <c r="H58774" s="8"/>
      <c r="I58774" s="102"/>
      <c r="J58774" s="8"/>
      <c r="K58774" s="8"/>
      <c r="L58774" s="8"/>
      <c r="M58774" s="8"/>
      <c r="N58774" s="8"/>
      <c r="O58774" s="8"/>
      <c r="P58774" s="8"/>
      <c r="Q58774" s="8"/>
      <c r="R58774" s="103"/>
      <c r="S58774" s="8"/>
      <c r="T58774" s="8"/>
      <c r="U58774" s="8"/>
      <c r="V58774" s="8"/>
      <c r="W58774" s="8"/>
      <c r="X58774" s="8"/>
      <c r="Y58774" s="8"/>
      <c r="Z58774" s="8"/>
      <c r="AA58774" s="8"/>
    </row>
    <row r="58775" spans="1:27" x14ac:dyDescent="0.25">
      <c r="A58775" s="8"/>
      <c r="B58775" s="8"/>
      <c r="C58775" s="99"/>
      <c r="D58775" s="8"/>
      <c r="E58775" s="8"/>
      <c r="F58775" s="8"/>
      <c r="G58775" s="8"/>
      <c r="H58775" s="8"/>
      <c r="I58775" s="102"/>
      <c r="J58775" s="8"/>
      <c r="K58775" s="8"/>
      <c r="L58775" s="8"/>
      <c r="M58775" s="8"/>
      <c r="N58775" s="8"/>
      <c r="O58775" s="8"/>
      <c r="P58775" s="8"/>
      <c r="Q58775" s="8"/>
      <c r="R58775" s="103"/>
      <c r="S58775" s="8"/>
      <c r="T58775" s="8"/>
      <c r="U58775" s="8"/>
      <c r="V58775" s="8"/>
      <c r="W58775" s="8"/>
      <c r="X58775" s="8"/>
      <c r="Y58775" s="8"/>
      <c r="Z58775" s="8"/>
      <c r="AA58775" s="8"/>
    </row>
    <row r="58776" spans="1:27" x14ac:dyDescent="0.25">
      <c r="A58776" s="8"/>
      <c r="B58776" s="8"/>
      <c r="C58776" s="99"/>
      <c r="D58776" s="8"/>
      <c r="E58776" s="8"/>
      <c r="F58776" s="8"/>
      <c r="G58776" s="8"/>
      <c r="H58776" s="8"/>
      <c r="I58776" s="102"/>
      <c r="J58776" s="8"/>
      <c r="K58776" s="8"/>
      <c r="L58776" s="8"/>
      <c r="M58776" s="8"/>
      <c r="N58776" s="8"/>
      <c r="O58776" s="8"/>
      <c r="P58776" s="8"/>
      <c r="Q58776" s="8"/>
      <c r="R58776" s="103"/>
      <c r="S58776" s="8"/>
      <c r="T58776" s="8"/>
      <c r="U58776" s="8"/>
      <c r="V58776" s="8"/>
      <c r="W58776" s="8"/>
      <c r="X58776" s="8"/>
      <c r="Y58776" s="8"/>
      <c r="Z58776" s="8"/>
      <c r="AA58776" s="8"/>
    </row>
    <row r="58777" spans="1:27" x14ac:dyDescent="0.25">
      <c r="A58777" s="8"/>
      <c r="B58777" s="8"/>
      <c r="C58777" s="99"/>
      <c r="D58777" s="8"/>
      <c r="E58777" s="8"/>
      <c r="F58777" s="8"/>
      <c r="G58777" s="8"/>
      <c r="H58777" s="8"/>
      <c r="I58777" s="102"/>
      <c r="J58777" s="8"/>
      <c r="K58777" s="8"/>
      <c r="L58777" s="8"/>
      <c r="M58777" s="8"/>
      <c r="N58777" s="8"/>
      <c r="O58777" s="8"/>
      <c r="P58777" s="8"/>
      <c r="Q58777" s="8"/>
      <c r="R58777" s="103"/>
      <c r="S58777" s="8"/>
      <c r="T58777" s="8"/>
      <c r="U58777" s="8"/>
      <c r="V58777" s="8"/>
      <c r="W58777" s="8"/>
      <c r="X58777" s="8"/>
      <c r="Y58777" s="8"/>
      <c r="Z58777" s="8"/>
      <c r="AA58777" s="8"/>
    </row>
    <row r="58778" spans="1:27" x14ac:dyDescent="0.25">
      <c r="A58778" s="8"/>
      <c r="B58778" s="8"/>
      <c r="C58778" s="99"/>
      <c r="D58778" s="8"/>
      <c r="E58778" s="8"/>
      <c r="F58778" s="8"/>
      <c r="G58778" s="8"/>
      <c r="H58778" s="8"/>
      <c r="I58778" s="102"/>
      <c r="J58778" s="8"/>
      <c r="K58778" s="8"/>
      <c r="L58778" s="8"/>
      <c r="M58778" s="8"/>
      <c r="N58778" s="8"/>
      <c r="O58778" s="8"/>
      <c r="P58778" s="8"/>
      <c r="Q58778" s="8"/>
      <c r="R58778" s="103"/>
      <c r="S58778" s="8"/>
      <c r="T58778" s="8"/>
      <c r="U58778" s="8"/>
      <c r="V58778" s="8"/>
      <c r="W58778" s="8"/>
      <c r="X58778" s="8"/>
      <c r="Y58778" s="8"/>
      <c r="Z58778" s="8"/>
      <c r="AA58778" s="8"/>
    </row>
    <row r="58779" spans="1:27" x14ac:dyDescent="0.25">
      <c r="A58779" s="8"/>
      <c r="B58779" s="8"/>
      <c r="C58779" s="99"/>
      <c r="D58779" s="8"/>
      <c r="E58779" s="8"/>
      <c r="F58779" s="8"/>
      <c r="G58779" s="8"/>
      <c r="H58779" s="8"/>
      <c r="I58779" s="102"/>
      <c r="J58779" s="8"/>
      <c r="K58779" s="8"/>
      <c r="L58779" s="8"/>
      <c r="M58779" s="8"/>
      <c r="N58779" s="8"/>
      <c r="O58779" s="8"/>
      <c r="P58779" s="8"/>
      <c r="Q58779" s="8"/>
      <c r="R58779" s="103"/>
      <c r="S58779" s="8"/>
      <c r="T58779" s="8"/>
      <c r="U58779" s="8"/>
      <c r="V58779" s="8"/>
      <c r="W58779" s="8"/>
      <c r="X58779" s="8"/>
      <c r="Y58779" s="8"/>
      <c r="Z58779" s="8"/>
      <c r="AA58779" s="8"/>
    </row>
    <row r="58780" spans="1:27" x14ac:dyDescent="0.25">
      <c r="A58780" s="8"/>
      <c r="B58780" s="8"/>
      <c r="C58780" s="99"/>
      <c r="D58780" s="8"/>
      <c r="E58780" s="8"/>
      <c r="F58780" s="8"/>
      <c r="G58780" s="8"/>
      <c r="H58780" s="8"/>
      <c r="I58780" s="102"/>
      <c r="J58780" s="8"/>
      <c r="K58780" s="8"/>
      <c r="L58780" s="8"/>
      <c r="M58780" s="8"/>
      <c r="N58780" s="8"/>
      <c r="O58780" s="8"/>
      <c r="P58780" s="8"/>
      <c r="Q58780" s="8"/>
      <c r="R58780" s="103"/>
      <c r="S58780" s="8"/>
      <c r="T58780" s="8"/>
      <c r="U58780" s="8"/>
      <c r="V58780" s="8"/>
      <c r="W58780" s="8"/>
      <c r="X58780" s="8"/>
      <c r="Y58780" s="8"/>
      <c r="Z58780" s="8"/>
      <c r="AA58780" s="8"/>
    </row>
    <row r="58781" spans="1:27" x14ac:dyDescent="0.25">
      <c r="A58781" s="8"/>
      <c r="B58781" s="8"/>
      <c r="C58781" s="99"/>
      <c r="D58781" s="8"/>
      <c r="E58781" s="8"/>
      <c r="F58781" s="8"/>
      <c r="G58781" s="8"/>
      <c r="H58781" s="8"/>
      <c r="I58781" s="102"/>
      <c r="J58781" s="8"/>
      <c r="K58781" s="8"/>
      <c r="L58781" s="8"/>
      <c r="M58781" s="8"/>
      <c r="N58781" s="8"/>
      <c r="O58781" s="8"/>
      <c r="P58781" s="8"/>
      <c r="Q58781" s="8"/>
      <c r="R58781" s="103"/>
      <c r="S58781" s="8"/>
      <c r="T58781" s="8"/>
      <c r="U58781" s="8"/>
      <c r="V58781" s="8"/>
      <c r="W58781" s="8"/>
      <c r="X58781" s="8"/>
      <c r="Y58781" s="8"/>
      <c r="Z58781" s="8"/>
      <c r="AA58781" s="8"/>
    </row>
    <row r="58782" spans="1:27" x14ac:dyDescent="0.25">
      <c r="A58782" s="8"/>
      <c r="B58782" s="8"/>
      <c r="C58782" s="99"/>
      <c r="D58782" s="8"/>
      <c r="E58782" s="8"/>
      <c r="F58782" s="8"/>
      <c r="G58782" s="8"/>
      <c r="H58782" s="8"/>
      <c r="I58782" s="102"/>
      <c r="J58782" s="8"/>
      <c r="K58782" s="8"/>
      <c r="L58782" s="8"/>
      <c r="M58782" s="8"/>
      <c r="N58782" s="8"/>
      <c r="O58782" s="8"/>
      <c r="P58782" s="8"/>
      <c r="Q58782" s="8"/>
      <c r="R58782" s="103"/>
      <c r="S58782" s="8"/>
      <c r="T58782" s="8"/>
      <c r="U58782" s="8"/>
      <c r="V58782" s="8"/>
      <c r="W58782" s="8"/>
      <c r="X58782" s="8"/>
      <c r="Y58782" s="8"/>
      <c r="Z58782" s="8"/>
      <c r="AA58782" s="8"/>
    </row>
    <row r="58783" spans="1:27" x14ac:dyDescent="0.25">
      <c r="A58783" s="8"/>
      <c r="B58783" s="8"/>
      <c r="C58783" s="99"/>
      <c r="D58783" s="8"/>
      <c r="E58783" s="8"/>
      <c r="F58783" s="8"/>
      <c r="G58783" s="8"/>
      <c r="H58783" s="8"/>
      <c r="I58783" s="102"/>
      <c r="J58783" s="8"/>
      <c r="K58783" s="8"/>
      <c r="L58783" s="8"/>
      <c r="M58783" s="8"/>
      <c r="N58783" s="8"/>
      <c r="O58783" s="8"/>
      <c r="P58783" s="8"/>
      <c r="Q58783" s="8"/>
      <c r="R58783" s="103"/>
      <c r="S58783" s="8"/>
      <c r="T58783" s="8"/>
      <c r="U58783" s="8"/>
      <c r="V58783" s="8"/>
      <c r="W58783" s="8"/>
      <c r="X58783" s="8"/>
      <c r="Y58783" s="8"/>
      <c r="Z58783" s="8"/>
      <c r="AA58783" s="8"/>
    </row>
    <row r="58784" spans="1:27" x14ac:dyDescent="0.25">
      <c r="A58784" s="8"/>
      <c r="B58784" s="8"/>
      <c r="C58784" s="99"/>
      <c r="D58784" s="8"/>
      <c r="E58784" s="8"/>
      <c r="F58784" s="8"/>
      <c r="G58784" s="8"/>
      <c r="H58784" s="8"/>
      <c r="I58784" s="102"/>
      <c r="J58784" s="8"/>
      <c r="K58784" s="8"/>
      <c r="L58784" s="8"/>
      <c r="M58784" s="8"/>
      <c r="N58784" s="8"/>
      <c r="O58784" s="8"/>
      <c r="P58784" s="8"/>
      <c r="Q58784" s="8"/>
      <c r="R58784" s="103"/>
      <c r="S58784" s="8"/>
      <c r="T58784" s="8"/>
      <c r="U58784" s="8"/>
      <c r="V58784" s="8"/>
      <c r="W58784" s="8"/>
      <c r="X58784" s="8"/>
      <c r="Y58784" s="8"/>
      <c r="Z58784" s="8"/>
      <c r="AA58784" s="8"/>
    </row>
    <row r="58785" spans="1:27" x14ac:dyDescent="0.25">
      <c r="A58785" s="8"/>
      <c r="B58785" s="8"/>
      <c r="C58785" s="99"/>
      <c r="D58785" s="8"/>
      <c r="E58785" s="8"/>
      <c r="F58785" s="8"/>
      <c r="G58785" s="8"/>
      <c r="H58785" s="8"/>
      <c r="I58785" s="102"/>
      <c r="J58785" s="8"/>
      <c r="K58785" s="8"/>
      <c r="L58785" s="8"/>
      <c r="M58785" s="8"/>
      <c r="N58785" s="8"/>
      <c r="O58785" s="8"/>
      <c r="P58785" s="8"/>
      <c r="Q58785" s="8"/>
      <c r="R58785" s="103"/>
      <c r="S58785" s="8"/>
      <c r="T58785" s="8"/>
      <c r="U58785" s="8"/>
      <c r="V58785" s="8"/>
      <c r="W58785" s="8"/>
      <c r="X58785" s="8"/>
      <c r="Y58785" s="8"/>
      <c r="Z58785" s="8"/>
      <c r="AA58785" s="8"/>
    </row>
    <row r="58786" spans="1:27" x14ac:dyDescent="0.25">
      <c r="A58786" s="8"/>
      <c r="B58786" s="8"/>
      <c r="C58786" s="99"/>
      <c r="D58786" s="8"/>
      <c r="E58786" s="8"/>
      <c r="F58786" s="8"/>
      <c r="G58786" s="8"/>
      <c r="H58786" s="8"/>
      <c r="I58786" s="102"/>
      <c r="J58786" s="8"/>
      <c r="K58786" s="8"/>
      <c r="L58786" s="8"/>
      <c r="M58786" s="8"/>
      <c r="N58786" s="8"/>
      <c r="O58786" s="8"/>
      <c r="P58786" s="8"/>
      <c r="Q58786" s="8"/>
      <c r="R58786" s="103"/>
      <c r="S58786" s="8"/>
      <c r="T58786" s="8"/>
      <c r="U58786" s="8"/>
      <c r="V58786" s="8"/>
      <c r="W58786" s="8"/>
      <c r="X58786" s="8"/>
      <c r="Y58786" s="8"/>
      <c r="Z58786" s="8"/>
      <c r="AA58786" s="8"/>
    </row>
    <row r="58787" spans="1:27" x14ac:dyDescent="0.25">
      <c r="A58787" s="8"/>
      <c r="B58787" s="8"/>
      <c r="C58787" s="99"/>
      <c r="D58787" s="8"/>
      <c r="E58787" s="8"/>
      <c r="F58787" s="8"/>
      <c r="G58787" s="8"/>
      <c r="H58787" s="8"/>
      <c r="I58787" s="102"/>
      <c r="J58787" s="8"/>
      <c r="K58787" s="8"/>
      <c r="L58787" s="8"/>
      <c r="M58787" s="8"/>
      <c r="N58787" s="8"/>
      <c r="O58787" s="8"/>
      <c r="P58787" s="8"/>
      <c r="Q58787" s="8"/>
      <c r="R58787" s="103"/>
      <c r="S58787" s="8"/>
      <c r="T58787" s="8"/>
      <c r="U58787" s="8"/>
      <c r="V58787" s="8"/>
      <c r="W58787" s="8"/>
      <c r="X58787" s="8"/>
      <c r="Y58787" s="8"/>
      <c r="Z58787" s="8"/>
      <c r="AA58787" s="8"/>
    </row>
    <row r="58788" spans="1:27" x14ac:dyDescent="0.25">
      <c r="A58788" s="8"/>
      <c r="B58788" s="8"/>
      <c r="C58788" s="99"/>
      <c r="D58788" s="8"/>
      <c r="E58788" s="8"/>
      <c r="F58788" s="8"/>
      <c r="G58788" s="8"/>
      <c r="H58788" s="8"/>
      <c r="I58788" s="102"/>
      <c r="J58788" s="8"/>
      <c r="K58788" s="8"/>
      <c r="L58788" s="8"/>
      <c r="M58788" s="8"/>
      <c r="N58788" s="8"/>
      <c r="O58788" s="8"/>
      <c r="P58788" s="8"/>
      <c r="Q58788" s="8"/>
      <c r="R58788" s="103"/>
      <c r="S58788" s="8"/>
      <c r="T58788" s="8"/>
      <c r="U58788" s="8"/>
      <c r="V58788" s="8"/>
      <c r="W58788" s="8"/>
      <c r="X58788" s="8"/>
      <c r="Y58788" s="8"/>
      <c r="Z58788" s="8"/>
      <c r="AA58788" s="8"/>
    </row>
    <row r="58789" spans="1:27" x14ac:dyDescent="0.25">
      <c r="A58789" s="8"/>
      <c r="B58789" s="8"/>
      <c r="C58789" s="99"/>
      <c r="D58789" s="8"/>
      <c r="E58789" s="8"/>
      <c r="F58789" s="8"/>
      <c r="G58789" s="8"/>
      <c r="H58789" s="8"/>
      <c r="I58789" s="102"/>
      <c r="J58789" s="8"/>
      <c r="K58789" s="8"/>
      <c r="L58789" s="8"/>
      <c r="M58789" s="8"/>
      <c r="N58789" s="8"/>
      <c r="O58789" s="8"/>
      <c r="P58789" s="8"/>
      <c r="Q58789" s="8"/>
      <c r="R58789" s="103"/>
      <c r="S58789" s="8"/>
      <c r="T58789" s="8"/>
      <c r="U58789" s="8"/>
      <c r="V58789" s="8"/>
      <c r="W58789" s="8"/>
      <c r="X58789" s="8"/>
      <c r="Y58789" s="8"/>
      <c r="Z58789" s="8"/>
      <c r="AA58789" s="8"/>
    </row>
    <row r="58790" spans="1:27" x14ac:dyDescent="0.25">
      <c r="A58790" s="8"/>
      <c r="B58790" s="8"/>
      <c r="C58790" s="99"/>
      <c r="D58790" s="8"/>
      <c r="E58790" s="8"/>
      <c r="F58790" s="8"/>
      <c r="G58790" s="8"/>
      <c r="H58790" s="8"/>
      <c r="I58790" s="102"/>
      <c r="J58790" s="8"/>
      <c r="K58790" s="8"/>
      <c r="L58790" s="8"/>
      <c r="M58790" s="8"/>
      <c r="N58790" s="8"/>
      <c r="O58790" s="8"/>
      <c r="P58790" s="8"/>
      <c r="Q58790" s="8"/>
      <c r="R58790" s="103"/>
      <c r="S58790" s="8"/>
      <c r="T58790" s="8"/>
      <c r="U58790" s="8"/>
      <c r="V58790" s="8"/>
      <c r="W58790" s="8"/>
      <c r="X58790" s="8"/>
      <c r="Y58790" s="8"/>
      <c r="Z58790" s="8"/>
      <c r="AA58790" s="8"/>
    </row>
    <row r="58791" spans="1:27" x14ac:dyDescent="0.25">
      <c r="A58791" s="8"/>
      <c r="B58791" s="8"/>
      <c r="C58791" s="99"/>
      <c r="D58791" s="8"/>
      <c r="E58791" s="8"/>
      <c r="F58791" s="8"/>
      <c r="G58791" s="8"/>
      <c r="H58791" s="8"/>
      <c r="I58791" s="102"/>
      <c r="J58791" s="8"/>
      <c r="K58791" s="8"/>
      <c r="L58791" s="8"/>
      <c r="M58791" s="8"/>
      <c r="N58791" s="8"/>
      <c r="O58791" s="8"/>
      <c r="P58791" s="8"/>
      <c r="Q58791" s="8"/>
      <c r="R58791" s="103"/>
      <c r="S58791" s="8"/>
      <c r="T58791" s="8"/>
      <c r="U58791" s="8"/>
      <c r="V58791" s="8"/>
      <c r="W58791" s="8"/>
      <c r="X58791" s="8"/>
      <c r="Y58791" s="8"/>
      <c r="Z58791" s="8"/>
      <c r="AA58791" s="8"/>
    </row>
    <row r="58792" spans="1:27" x14ac:dyDescent="0.25">
      <c r="A58792" s="8"/>
      <c r="B58792" s="8"/>
      <c r="C58792" s="99"/>
      <c r="D58792" s="8"/>
      <c r="E58792" s="8"/>
      <c r="F58792" s="8"/>
      <c r="G58792" s="8"/>
      <c r="H58792" s="8"/>
      <c r="I58792" s="102"/>
      <c r="J58792" s="8"/>
      <c r="K58792" s="8"/>
      <c r="L58792" s="8"/>
      <c r="M58792" s="8"/>
      <c r="N58792" s="8"/>
      <c r="O58792" s="8"/>
      <c r="P58792" s="8"/>
      <c r="Q58792" s="8"/>
      <c r="R58792" s="103"/>
      <c r="S58792" s="8"/>
      <c r="T58792" s="8"/>
      <c r="U58792" s="8"/>
      <c r="V58792" s="8"/>
      <c r="W58792" s="8"/>
      <c r="X58792" s="8"/>
      <c r="Y58792" s="8"/>
      <c r="Z58792" s="8"/>
      <c r="AA58792" s="8"/>
    </row>
    <row r="58793" spans="1:27" x14ac:dyDescent="0.25">
      <c r="A58793" s="8"/>
      <c r="B58793" s="8"/>
      <c r="C58793" s="99"/>
      <c r="D58793" s="8"/>
      <c r="E58793" s="8"/>
      <c r="F58793" s="8"/>
      <c r="G58793" s="8"/>
      <c r="H58793" s="8"/>
      <c r="I58793" s="102"/>
      <c r="J58793" s="8"/>
      <c r="K58793" s="8"/>
      <c r="L58793" s="8"/>
      <c r="M58793" s="8"/>
      <c r="N58793" s="8"/>
      <c r="O58793" s="8"/>
      <c r="P58793" s="8"/>
      <c r="Q58793" s="8"/>
      <c r="R58793" s="103"/>
      <c r="S58793" s="8"/>
      <c r="T58793" s="8"/>
      <c r="U58793" s="8"/>
      <c r="V58793" s="8"/>
      <c r="W58793" s="8"/>
      <c r="X58793" s="8"/>
      <c r="Y58793" s="8"/>
      <c r="Z58793" s="8"/>
      <c r="AA58793" s="8"/>
    </row>
    <row r="58794" spans="1:27" x14ac:dyDescent="0.25">
      <c r="A58794" s="8"/>
      <c r="B58794" s="8"/>
      <c r="C58794" s="99"/>
      <c r="D58794" s="8"/>
      <c r="E58794" s="8"/>
      <c r="F58794" s="8"/>
      <c r="G58794" s="8"/>
      <c r="H58794" s="8"/>
      <c r="I58794" s="102"/>
      <c r="J58794" s="8"/>
      <c r="K58794" s="8"/>
      <c r="L58794" s="8"/>
      <c r="M58794" s="8"/>
      <c r="N58794" s="8"/>
      <c r="O58794" s="8"/>
      <c r="P58794" s="8"/>
      <c r="Q58794" s="8"/>
      <c r="R58794" s="103"/>
      <c r="S58794" s="8"/>
      <c r="T58794" s="8"/>
      <c r="U58794" s="8"/>
      <c r="V58794" s="8"/>
      <c r="W58794" s="8"/>
      <c r="X58794" s="8"/>
      <c r="Y58794" s="8"/>
      <c r="Z58794" s="8"/>
      <c r="AA58794" s="8"/>
    </row>
    <row r="58795" spans="1:27" x14ac:dyDescent="0.25">
      <c r="A58795" s="8"/>
      <c r="B58795" s="8"/>
      <c r="C58795" s="99"/>
      <c r="D58795" s="8"/>
      <c r="E58795" s="8"/>
      <c r="F58795" s="8"/>
      <c r="G58795" s="8"/>
      <c r="H58795" s="8"/>
      <c r="I58795" s="102"/>
      <c r="J58795" s="8"/>
      <c r="K58795" s="8"/>
      <c r="L58795" s="8"/>
      <c r="M58795" s="8"/>
      <c r="N58795" s="8"/>
      <c r="O58795" s="8"/>
      <c r="P58795" s="8"/>
      <c r="Q58795" s="8"/>
      <c r="R58795" s="103"/>
      <c r="S58795" s="8"/>
      <c r="T58795" s="8"/>
      <c r="U58795" s="8"/>
      <c r="V58795" s="8"/>
      <c r="W58795" s="8"/>
      <c r="X58795" s="8"/>
      <c r="Y58795" s="8"/>
      <c r="Z58795" s="8"/>
      <c r="AA58795" s="8"/>
    </row>
    <row r="58796" spans="1:27" x14ac:dyDescent="0.25">
      <c r="A58796" s="8"/>
      <c r="B58796" s="8"/>
      <c r="C58796" s="99"/>
      <c r="D58796" s="8"/>
      <c r="E58796" s="8"/>
      <c r="F58796" s="8"/>
      <c r="G58796" s="8"/>
      <c r="H58796" s="8"/>
      <c r="I58796" s="102"/>
      <c r="J58796" s="8"/>
      <c r="K58796" s="8"/>
      <c r="L58796" s="8"/>
      <c r="M58796" s="8"/>
      <c r="N58796" s="8"/>
      <c r="O58796" s="8"/>
      <c r="P58796" s="8"/>
      <c r="Q58796" s="8"/>
      <c r="R58796" s="103"/>
      <c r="S58796" s="8"/>
      <c r="T58796" s="8"/>
      <c r="U58796" s="8"/>
      <c r="V58796" s="8"/>
      <c r="W58796" s="8"/>
      <c r="X58796" s="8"/>
      <c r="Y58796" s="8"/>
      <c r="Z58796" s="8"/>
      <c r="AA58796" s="8"/>
    </row>
    <row r="58797" spans="1:27" x14ac:dyDescent="0.25">
      <c r="A58797" s="8"/>
      <c r="B58797" s="8"/>
      <c r="C58797" s="99"/>
      <c r="D58797" s="8"/>
      <c r="E58797" s="8"/>
      <c r="F58797" s="8"/>
      <c r="G58797" s="8"/>
      <c r="H58797" s="8"/>
      <c r="I58797" s="102"/>
      <c r="J58797" s="8"/>
      <c r="K58797" s="8"/>
      <c r="L58797" s="8"/>
      <c r="M58797" s="8"/>
      <c r="N58797" s="8"/>
      <c r="O58797" s="8"/>
      <c r="P58797" s="8"/>
      <c r="Q58797" s="8"/>
      <c r="R58797" s="103"/>
      <c r="S58797" s="8"/>
      <c r="T58797" s="8"/>
      <c r="U58797" s="8"/>
      <c r="V58797" s="8"/>
      <c r="W58797" s="8"/>
      <c r="X58797" s="8"/>
      <c r="Y58797" s="8"/>
      <c r="Z58797" s="8"/>
      <c r="AA58797" s="8"/>
    </row>
    <row r="58798" spans="1:27" x14ac:dyDescent="0.25">
      <c r="A58798" s="8"/>
      <c r="B58798" s="8"/>
      <c r="C58798" s="99"/>
      <c r="D58798" s="8"/>
      <c r="E58798" s="8"/>
      <c r="F58798" s="8"/>
      <c r="G58798" s="8"/>
      <c r="H58798" s="8"/>
      <c r="I58798" s="102"/>
      <c r="J58798" s="8"/>
      <c r="K58798" s="8"/>
      <c r="L58798" s="8"/>
      <c r="M58798" s="8"/>
      <c r="N58798" s="8"/>
      <c r="O58798" s="8"/>
      <c r="P58798" s="8"/>
      <c r="Q58798" s="8"/>
      <c r="R58798" s="103"/>
      <c r="S58798" s="8"/>
      <c r="T58798" s="8"/>
      <c r="U58798" s="8"/>
      <c r="V58798" s="8"/>
      <c r="W58798" s="8"/>
      <c r="X58798" s="8"/>
      <c r="Y58798" s="8"/>
      <c r="Z58798" s="8"/>
      <c r="AA58798" s="8"/>
    </row>
    <row r="58799" spans="1:27" x14ac:dyDescent="0.25">
      <c r="A58799" s="8"/>
      <c r="B58799" s="8"/>
      <c r="C58799" s="99"/>
      <c r="D58799" s="8"/>
      <c r="E58799" s="8"/>
      <c r="F58799" s="8"/>
      <c r="G58799" s="8"/>
      <c r="H58799" s="8"/>
      <c r="I58799" s="102"/>
      <c r="J58799" s="8"/>
      <c r="K58799" s="8"/>
      <c r="L58799" s="8"/>
      <c r="M58799" s="8"/>
      <c r="N58799" s="8"/>
      <c r="O58799" s="8"/>
      <c r="P58799" s="8"/>
      <c r="Q58799" s="8"/>
      <c r="R58799" s="103"/>
      <c r="S58799" s="8"/>
      <c r="T58799" s="8"/>
      <c r="U58799" s="8"/>
      <c r="V58799" s="8"/>
      <c r="W58799" s="8"/>
      <c r="X58799" s="8"/>
      <c r="Y58799" s="8"/>
      <c r="Z58799" s="8"/>
      <c r="AA58799" s="8"/>
    </row>
    <row r="58800" spans="1:27" x14ac:dyDescent="0.25">
      <c r="A58800" s="8"/>
      <c r="B58800" s="8"/>
      <c r="C58800" s="99"/>
      <c r="D58800" s="8"/>
      <c r="E58800" s="8"/>
      <c r="F58800" s="8"/>
      <c r="G58800" s="8"/>
      <c r="H58800" s="8"/>
      <c r="I58800" s="102"/>
      <c r="J58800" s="8"/>
      <c r="K58800" s="8"/>
      <c r="L58800" s="8"/>
      <c r="M58800" s="8"/>
      <c r="N58800" s="8"/>
      <c r="O58800" s="8"/>
      <c r="P58800" s="8"/>
      <c r="Q58800" s="8"/>
      <c r="R58800" s="103"/>
      <c r="S58800" s="8"/>
      <c r="T58800" s="8"/>
      <c r="U58800" s="8"/>
      <c r="V58800" s="8"/>
      <c r="W58800" s="8"/>
      <c r="X58800" s="8"/>
      <c r="Y58800" s="8"/>
      <c r="Z58800" s="8"/>
      <c r="AA58800" s="8"/>
    </row>
    <row r="58801" spans="1:27" x14ac:dyDescent="0.25">
      <c r="A58801" s="8"/>
      <c r="B58801" s="8"/>
      <c r="C58801" s="99"/>
      <c r="D58801" s="8"/>
      <c r="E58801" s="8"/>
      <c r="F58801" s="8"/>
      <c r="G58801" s="8"/>
      <c r="H58801" s="8"/>
      <c r="I58801" s="102"/>
      <c r="J58801" s="8"/>
      <c r="K58801" s="8"/>
      <c r="L58801" s="8"/>
      <c r="M58801" s="8"/>
      <c r="N58801" s="8"/>
      <c r="O58801" s="8"/>
      <c r="P58801" s="8"/>
      <c r="Q58801" s="8"/>
      <c r="R58801" s="103"/>
      <c r="S58801" s="8"/>
      <c r="T58801" s="8"/>
      <c r="U58801" s="8"/>
      <c r="V58801" s="8"/>
      <c r="W58801" s="8"/>
      <c r="X58801" s="8"/>
      <c r="Y58801" s="8"/>
      <c r="Z58801" s="8"/>
      <c r="AA58801" s="8"/>
    </row>
    <row r="58802" spans="1:27" x14ac:dyDescent="0.25">
      <c r="A58802" s="8"/>
      <c r="B58802" s="8"/>
      <c r="C58802" s="99"/>
      <c r="D58802" s="8"/>
      <c r="E58802" s="8"/>
      <c r="F58802" s="8"/>
      <c r="G58802" s="8"/>
      <c r="H58802" s="8"/>
      <c r="I58802" s="102"/>
      <c r="J58802" s="8"/>
      <c r="K58802" s="8"/>
      <c r="L58802" s="8"/>
      <c r="M58802" s="8"/>
      <c r="N58802" s="8"/>
      <c r="O58802" s="8"/>
      <c r="P58802" s="8"/>
      <c r="Q58802" s="8"/>
      <c r="R58802" s="103"/>
      <c r="S58802" s="8"/>
      <c r="T58802" s="8"/>
      <c r="U58802" s="8"/>
      <c r="V58802" s="8"/>
      <c r="W58802" s="8"/>
      <c r="X58802" s="8"/>
      <c r="Y58802" s="8"/>
      <c r="Z58802" s="8"/>
      <c r="AA58802" s="8"/>
    </row>
    <row r="58803" spans="1:27" x14ac:dyDescent="0.25">
      <c r="A58803" s="8"/>
      <c r="B58803" s="8"/>
      <c r="C58803" s="99"/>
      <c r="D58803" s="8"/>
      <c r="E58803" s="8"/>
      <c r="F58803" s="8"/>
      <c r="G58803" s="8"/>
      <c r="H58803" s="8"/>
      <c r="I58803" s="102"/>
      <c r="J58803" s="8"/>
      <c r="K58803" s="8"/>
      <c r="L58803" s="8"/>
      <c r="M58803" s="8"/>
      <c r="N58803" s="8"/>
      <c r="O58803" s="8"/>
      <c r="P58803" s="8"/>
      <c r="Q58803" s="8"/>
      <c r="R58803" s="103"/>
      <c r="S58803" s="8"/>
      <c r="T58803" s="8"/>
      <c r="U58803" s="8"/>
      <c r="V58803" s="8"/>
      <c r="W58803" s="8"/>
      <c r="X58803" s="8"/>
      <c r="Y58803" s="8"/>
      <c r="Z58803" s="8"/>
      <c r="AA58803" s="8"/>
    </row>
    <row r="58804" spans="1:27" x14ac:dyDescent="0.25">
      <c r="A58804" s="8"/>
      <c r="B58804" s="8"/>
      <c r="C58804" s="99"/>
      <c r="D58804" s="8"/>
      <c r="E58804" s="8"/>
      <c r="F58804" s="8"/>
      <c r="G58804" s="8"/>
      <c r="H58804" s="8"/>
      <c r="I58804" s="102"/>
      <c r="J58804" s="8"/>
      <c r="K58804" s="8"/>
      <c r="L58804" s="8"/>
      <c r="M58804" s="8"/>
      <c r="N58804" s="8"/>
      <c r="O58804" s="8"/>
      <c r="P58804" s="8"/>
      <c r="Q58804" s="8"/>
      <c r="R58804" s="103"/>
      <c r="S58804" s="8"/>
      <c r="T58804" s="8"/>
      <c r="U58804" s="8"/>
      <c r="V58804" s="8"/>
      <c r="W58804" s="8"/>
      <c r="X58804" s="8"/>
      <c r="Y58804" s="8"/>
      <c r="Z58804" s="8"/>
      <c r="AA58804" s="8"/>
    </row>
    <row r="58805" spans="1:27" x14ac:dyDescent="0.25">
      <c r="A58805" s="8"/>
      <c r="B58805" s="8"/>
      <c r="C58805" s="99"/>
      <c r="D58805" s="8"/>
      <c r="E58805" s="8"/>
      <c r="F58805" s="8"/>
      <c r="G58805" s="8"/>
      <c r="H58805" s="8"/>
      <c r="I58805" s="102"/>
      <c r="J58805" s="8"/>
      <c r="K58805" s="8"/>
      <c r="L58805" s="8"/>
      <c r="M58805" s="8"/>
      <c r="N58805" s="8"/>
      <c r="O58805" s="8"/>
      <c r="P58805" s="8"/>
      <c r="Q58805" s="8"/>
      <c r="R58805" s="103"/>
      <c r="S58805" s="8"/>
      <c r="T58805" s="8"/>
      <c r="U58805" s="8"/>
      <c r="V58805" s="8"/>
      <c r="W58805" s="8"/>
      <c r="X58805" s="8"/>
      <c r="Y58805" s="8"/>
      <c r="Z58805" s="8"/>
      <c r="AA58805" s="8"/>
    </row>
    <row r="58806" spans="1:27" x14ac:dyDescent="0.25">
      <c r="A58806" s="8"/>
      <c r="B58806" s="8"/>
      <c r="C58806" s="99"/>
      <c r="D58806" s="8"/>
      <c r="E58806" s="8"/>
      <c r="F58806" s="8"/>
      <c r="G58806" s="8"/>
      <c r="H58806" s="8"/>
      <c r="I58806" s="102"/>
      <c r="J58806" s="8"/>
      <c r="K58806" s="8"/>
      <c r="L58806" s="8"/>
      <c r="M58806" s="8"/>
      <c r="N58806" s="8"/>
      <c r="O58806" s="8"/>
      <c r="P58806" s="8"/>
      <c r="Q58806" s="8"/>
      <c r="R58806" s="103"/>
      <c r="S58806" s="8"/>
      <c r="T58806" s="8"/>
      <c r="U58806" s="8"/>
      <c r="V58806" s="8"/>
      <c r="W58806" s="8"/>
      <c r="X58806" s="8"/>
      <c r="Y58806" s="8"/>
      <c r="Z58806" s="8"/>
      <c r="AA58806" s="8"/>
    </row>
    <row r="58807" spans="1:27" x14ac:dyDescent="0.25">
      <c r="A58807" s="8"/>
      <c r="B58807" s="8"/>
      <c r="C58807" s="99"/>
      <c r="D58807" s="8"/>
      <c r="E58807" s="8"/>
      <c r="F58807" s="8"/>
      <c r="G58807" s="8"/>
      <c r="H58807" s="8"/>
      <c r="I58807" s="102"/>
      <c r="J58807" s="8"/>
      <c r="K58807" s="8"/>
      <c r="L58807" s="8"/>
      <c r="M58807" s="8"/>
      <c r="N58807" s="8"/>
      <c r="O58807" s="8"/>
      <c r="P58807" s="8"/>
      <c r="Q58807" s="8"/>
      <c r="R58807" s="103"/>
      <c r="S58807" s="8"/>
      <c r="T58807" s="8"/>
      <c r="U58807" s="8"/>
      <c r="V58807" s="8"/>
      <c r="W58807" s="8"/>
      <c r="X58807" s="8"/>
      <c r="Y58807" s="8"/>
      <c r="Z58807" s="8"/>
      <c r="AA58807" s="8"/>
    </row>
    <row r="58808" spans="1:27" x14ac:dyDescent="0.25">
      <c r="A58808" s="8"/>
      <c r="B58808" s="8"/>
      <c r="C58808" s="99"/>
      <c r="D58808" s="8"/>
      <c r="E58808" s="8"/>
      <c r="F58808" s="8"/>
      <c r="G58808" s="8"/>
      <c r="H58808" s="8"/>
      <c r="I58808" s="102"/>
      <c r="J58808" s="8"/>
      <c r="K58808" s="8"/>
      <c r="L58808" s="8"/>
      <c r="M58808" s="8"/>
      <c r="N58808" s="8"/>
      <c r="O58808" s="8"/>
      <c r="P58808" s="8"/>
      <c r="Q58808" s="8"/>
      <c r="R58808" s="103"/>
      <c r="S58808" s="8"/>
      <c r="T58808" s="8"/>
      <c r="U58808" s="8"/>
      <c r="V58808" s="8"/>
      <c r="W58808" s="8"/>
      <c r="X58808" s="8"/>
      <c r="Y58808" s="8"/>
      <c r="Z58808" s="8"/>
      <c r="AA58808" s="8"/>
    </row>
    <row r="58809" spans="1:27" x14ac:dyDescent="0.25">
      <c r="A58809" s="8"/>
      <c r="B58809" s="8"/>
      <c r="C58809" s="99"/>
      <c r="D58809" s="8"/>
      <c r="E58809" s="8"/>
      <c r="F58809" s="8"/>
      <c r="G58809" s="8"/>
      <c r="H58809" s="8"/>
      <c r="I58809" s="102"/>
      <c r="J58809" s="8"/>
      <c r="K58809" s="8"/>
      <c r="L58809" s="8"/>
      <c r="M58809" s="8"/>
      <c r="N58809" s="8"/>
      <c r="O58809" s="8"/>
      <c r="P58809" s="8"/>
      <c r="Q58809" s="8"/>
      <c r="R58809" s="103"/>
      <c r="S58809" s="8"/>
      <c r="T58809" s="8"/>
      <c r="U58809" s="8"/>
      <c r="V58809" s="8"/>
      <c r="W58809" s="8"/>
      <c r="X58809" s="8"/>
      <c r="Y58809" s="8"/>
      <c r="Z58809" s="8"/>
      <c r="AA58809" s="8"/>
    </row>
    <row r="58810" spans="1:27" x14ac:dyDescent="0.25">
      <c r="A58810" s="8"/>
      <c r="B58810" s="8"/>
      <c r="C58810" s="99"/>
      <c r="D58810" s="8"/>
      <c r="E58810" s="8"/>
      <c r="F58810" s="8"/>
      <c r="G58810" s="8"/>
      <c r="H58810" s="8"/>
      <c r="I58810" s="102"/>
      <c r="J58810" s="8"/>
      <c r="K58810" s="8"/>
      <c r="L58810" s="8"/>
      <c r="M58810" s="8"/>
      <c r="N58810" s="8"/>
      <c r="O58810" s="8"/>
      <c r="P58810" s="8"/>
      <c r="Q58810" s="8"/>
      <c r="R58810" s="103"/>
      <c r="S58810" s="8"/>
      <c r="T58810" s="8"/>
      <c r="U58810" s="8"/>
      <c r="V58810" s="8"/>
      <c r="W58810" s="8"/>
      <c r="X58810" s="8"/>
      <c r="Y58810" s="8"/>
      <c r="Z58810" s="8"/>
      <c r="AA58810" s="8"/>
    </row>
    <row r="58811" spans="1:27" x14ac:dyDescent="0.25">
      <c r="A58811" s="8"/>
      <c r="B58811" s="8"/>
      <c r="C58811" s="99"/>
      <c r="D58811" s="8"/>
      <c r="E58811" s="8"/>
      <c r="F58811" s="8"/>
      <c r="G58811" s="8"/>
      <c r="H58811" s="8"/>
      <c r="I58811" s="102"/>
      <c r="J58811" s="8"/>
      <c r="K58811" s="8"/>
      <c r="L58811" s="8"/>
      <c r="M58811" s="8"/>
      <c r="N58811" s="8"/>
      <c r="O58811" s="8"/>
      <c r="P58811" s="8"/>
      <c r="Q58811" s="8"/>
      <c r="R58811" s="103"/>
      <c r="S58811" s="8"/>
      <c r="T58811" s="8"/>
      <c r="U58811" s="8"/>
      <c r="V58811" s="8"/>
      <c r="W58811" s="8"/>
      <c r="X58811" s="8"/>
      <c r="Y58811" s="8"/>
      <c r="Z58811" s="8"/>
      <c r="AA58811" s="8"/>
    </row>
    <row r="58812" spans="1:27" x14ac:dyDescent="0.25">
      <c r="A58812" s="8"/>
      <c r="B58812" s="8"/>
      <c r="C58812" s="99"/>
      <c r="D58812" s="8"/>
      <c r="E58812" s="8"/>
      <c r="F58812" s="8"/>
      <c r="G58812" s="8"/>
      <c r="H58812" s="8"/>
      <c r="I58812" s="102"/>
      <c r="J58812" s="8"/>
      <c r="K58812" s="8"/>
      <c r="L58812" s="8"/>
      <c r="M58812" s="8"/>
      <c r="N58812" s="8"/>
      <c r="O58812" s="8"/>
      <c r="P58812" s="8"/>
      <c r="Q58812" s="8"/>
      <c r="R58812" s="103"/>
      <c r="S58812" s="8"/>
      <c r="T58812" s="8"/>
      <c r="U58812" s="8"/>
      <c r="V58812" s="8"/>
      <c r="W58812" s="8"/>
      <c r="X58812" s="8"/>
      <c r="Y58812" s="8"/>
      <c r="Z58812" s="8"/>
      <c r="AA58812" s="8"/>
    </row>
    <row r="58813" spans="1:27" x14ac:dyDescent="0.25">
      <c r="A58813" s="8"/>
      <c r="B58813" s="8"/>
      <c r="C58813" s="99"/>
      <c r="D58813" s="8"/>
      <c r="E58813" s="8"/>
      <c r="F58813" s="8"/>
      <c r="G58813" s="8"/>
      <c r="H58813" s="8"/>
      <c r="I58813" s="102"/>
      <c r="J58813" s="8"/>
      <c r="K58813" s="8"/>
      <c r="L58813" s="8"/>
      <c r="M58813" s="8"/>
      <c r="N58813" s="8"/>
      <c r="O58813" s="8"/>
      <c r="P58813" s="8"/>
      <c r="Q58813" s="8"/>
      <c r="R58813" s="103"/>
      <c r="S58813" s="8"/>
      <c r="T58813" s="8"/>
      <c r="U58813" s="8"/>
      <c r="V58813" s="8"/>
      <c r="W58813" s="8"/>
      <c r="X58813" s="8"/>
      <c r="Y58813" s="8"/>
      <c r="Z58813" s="8"/>
      <c r="AA58813" s="8"/>
    </row>
    <row r="58814" spans="1:27" x14ac:dyDescent="0.25">
      <c r="A58814" s="8"/>
      <c r="B58814" s="8"/>
      <c r="C58814" s="99"/>
      <c r="D58814" s="8"/>
      <c r="E58814" s="8"/>
      <c r="F58814" s="8"/>
      <c r="G58814" s="8"/>
      <c r="H58814" s="8"/>
      <c r="I58814" s="102"/>
      <c r="J58814" s="8"/>
      <c r="K58814" s="8"/>
      <c r="L58814" s="8"/>
      <c r="M58814" s="8"/>
      <c r="N58814" s="8"/>
      <c r="O58814" s="8"/>
      <c r="P58814" s="8"/>
      <c r="Q58814" s="8"/>
      <c r="R58814" s="103"/>
      <c r="S58814" s="8"/>
      <c r="T58814" s="8"/>
      <c r="U58814" s="8"/>
      <c r="V58814" s="8"/>
      <c r="W58814" s="8"/>
      <c r="X58814" s="8"/>
      <c r="Y58814" s="8"/>
      <c r="Z58814" s="8"/>
      <c r="AA58814" s="8"/>
    </row>
    <row r="58815" spans="1:27" x14ac:dyDescent="0.25">
      <c r="A58815" s="8"/>
      <c r="B58815" s="8"/>
      <c r="C58815" s="99"/>
      <c r="D58815" s="8"/>
      <c r="E58815" s="8"/>
      <c r="F58815" s="8"/>
      <c r="G58815" s="8"/>
      <c r="H58815" s="8"/>
      <c r="I58815" s="102"/>
      <c r="J58815" s="8"/>
      <c r="K58815" s="8"/>
      <c r="L58815" s="8"/>
      <c r="M58815" s="8"/>
      <c r="N58815" s="8"/>
      <c r="O58815" s="8"/>
      <c r="P58815" s="8"/>
      <c r="Q58815" s="8"/>
      <c r="R58815" s="103"/>
      <c r="S58815" s="8"/>
      <c r="T58815" s="8"/>
      <c r="U58815" s="8"/>
      <c r="V58815" s="8"/>
      <c r="W58815" s="8"/>
      <c r="X58815" s="8"/>
      <c r="Y58815" s="8"/>
      <c r="Z58815" s="8"/>
      <c r="AA58815" s="8"/>
    </row>
    <row r="58816" spans="1:27" x14ac:dyDescent="0.25">
      <c r="A58816" s="8"/>
      <c r="B58816" s="8"/>
      <c r="C58816" s="99"/>
      <c r="D58816" s="8"/>
      <c r="E58816" s="8"/>
      <c r="F58816" s="8"/>
      <c r="G58816" s="8"/>
      <c r="H58816" s="8"/>
      <c r="I58816" s="102"/>
      <c r="J58816" s="8"/>
      <c r="K58816" s="8"/>
      <c r="L58816" s="8"/>
      <c r="M58816" s="8"/>
      <c r="N58816" s="8"/>
      <c r="O58816" s="8"/>
      <c r="P58816" s="8"/>
      <c r="Q58816" s="8"/>
      <c r="R58816" s="103"/>
      <c r="S58816" s="8"/>
      <c r="T58816" s="8"/>
      <c r="U58816" s="8"/>
      <c r="V58816" s="8"/>
      <c r="W58816" s="8"/>
      <c r="X58816" s="8"/>
      <c r="Y58816" s="8"/>
      <c r="Z58816" s="8"/>
      <c r="AA58816" s="8"/>
    </row>
    <row r="58817" spans="1:27" x14ac:dyDescent="0.25">
      <c r="A58817" s="8"/>
      <c r="B58817" s="8"/>
      <c r="C58817" s="99"/>
      <c r="D58817" s="8"/>
      <c r="E58817" s="8"/>
      <c r="F58817" s="8"/>
      <c r="G58817" s="8"/>
      <c r="H58817" s="8"/>
      <c r="I58817" s="102"/>
      <c r="J58817" s="8"/>
      <c r="K58817" s="8"/>
      <c r="L58817" s="8"/>
      <c r="M58817" s="8"/>
      <c r="N58817" s="8"/>
      <c r="O58817" s="8"/>
      <c r="P58817" s="8"/>
      <c r="Q58817" s="8"/>
      <c r="R58817" s="103"/>
      <c r="S58817" s="8"/>
      <c r="T58817" s="8"/>
      <c r="U58817" s="8"/>
      <c r="V58817" s="8"/>
      <c r="W58817" s="8"/>
      <c r="X58817" s="8"/>
      <c r="Y58817" s="8"/>
      <c r="Z58817" s="8"/>
      <c r="AA58817" s="8"/>
    </row>
    <row r="58818" spans="1:27" x14ac:dyDescent="0.25">
      <c r="A58818" s="8"/>
      <c r="B58818" s="8"/>
      <c r="C58818" s="99"/>
      <c r="D58818" s="8"/>
      <c r="E58818" s="8"/>
      <c r="F58818" s="8"/>
      <c r="G58818" s="8"/>
      <c r="H58818" s="8"/>
      <c r="I58818" s="102"/>
      <c r="J58818" s="8"/>
      <c r="K58818" s="8"/>
      <c r="L58818" s="8"/>
      <c r="M58818" s="8"/>
      <c r="N58818" s="8"/>
      <c r="O58818" s="8"/>
      <c r="P58818" s="8"/>
      <c r="Q58818" s="8"/>
      <c r="R58818" s="103"/>
      <c r="S58818" s="8"/>
      <c r="T58818" s="8"/>
      <c r="U58818" s="8"/>
      <c r="V58818" s="8"/>
      <c r="W58818" s="8"/>
      <c r="X58818" s="8"/>
      <c r="Y58818" s="8"/>
      <c r="Z58818" s="8"/>
      <c r="AA58818" s="8"/>
    </row>
    <row r="58819" spans="1:27" x14ac:dyDescent="0.25">
      <c r="A58819" s="8"/>
      <c r="B58819" s="8"/>
      <c r="C58819" s="99"/>
      <c r="D58819" s="8"/>
      <c r="E58819" s="8"/>
      <c r="F58819" s="8"/>
      <c r="G58819" s="8"/>
      <c r="H58819" s="8"/>
      <c r="I58819" s="102"/>
      <c r="J58819" s="8"/>
      <c r="K58819" s="8"/>
      <c r="L58819" s="8"/>
      <c r="M58819" s="8"/>
      <c r="N58819" s="8"/>
      <c r="O58819" s="8"/>
      <c r="P58819" s="8"/>
      <c r="Q58819" s="8"/>
      <c r="R58819" s="103"/>
      <c r="S58819" s="8"/>
      <c r="T58819" s="8"/>
      <c r="U58819" s="8"/>
      <c r="V58819" s="8"/>
      <c r="W58819" s="8"/>
      <c r="X58819" s="8"/>
      <c r="Y58819" s="8"/>
      <c r="Z58819" s="8"/>
      <c r="AA58819" s="8"/>
    </row>
    <row r="58820" spans="1:27" x14ac:dyDescent="0.25">
      <c r="A58820" s="8"/>
      <c r="B58820" s="8"/>
      <c r="C58820" s="99"/>
      <c r="D58820" s="8"/>
      <c r="E58820" s="8"/>
      <c r="F58820" s="8"/>
      <c r="G58820" s="8"/>
      <c r="H58820" s="8"/>
      <c r="I58820" s="102"/>
      <c r="J58820" s="8"/>
      <c r="K58820" s="8"/>
      <c r="L58820" s="8"/>
      <c r="M58820" s="8"/>
      <c r="N58820" s="8"/>
      <c r="O58820" s="8"/>
      <c r="P58820" s="8"/>
      <c r="Q58820" s="8"/>
      <c r="R58820" s="103"/>
      <c r="S58820" s="8"/>
      <c r="T58820" s="8"/>
      <c r="U58820" s="8"/>
      <c r="V58820" s="8"/>
      <c r="W58820" s="8"/>
      <c r="X58820" s="8"/>
      <c r="Y58820" s="8"/>
      <c r="Z58820" s="8"/>
      <c r="AA58820" s="8"/>
    </row>
    <row r="58821" spans="1:27" x14ac:dyDescent="0.25">
      <c r="A58821" s="8"/>
      <c r="B58821" s="8"/>
      <c r="C58821" s="99"/>
      <c r="D58821" s="8"/>
      <c r="E58821" s="8"/>
      <c r="F58821" s="8"/>
      <c r="G58821" s="8"/>
      <c r="H58821" s="8"/>
      <c r="I58821" s="102"/>
      <c r="J58821" s="8"/>
      <c r="K58821" s="8"/>
      <c r="L58821" s="8"/>
      <c r="M58821" s="8"/>
      <c r="N58821" s="8"/>
      <c r="O58821" s="8"/>
      <c r="P58821" s="8"/>
      <c r="Q58821" s="8"/>
      <c r="R58821" s="103"/>
      <c r="S58821" s="8"/>
      <c r="T58821" s="8"/>
      <c r="U58821" s="8"/>
      <c r="V58821" s="8"/>
      <c r="W58821" s="8"/>
      <c r="X58821" s="8"/>
      <c r="Y58821" s="8"/>
      <c r="Z58821" s="8"/>
      <c r="AA58821" s="8"/>
    </row>
    <row r="58822" spans="1:27" x14ac:dyDescent="0.25">
      <c r="A58822" s="8"/>
      <c r="B58822" s="8"/>
      <c r="C58822" s="99"/>
      <c r="D58822" s="8"/>
      <c r="E58822" s="8"/>
      <c r="F58822" s="8"/>
      <c r="G58822" s="8"/>
      <c r="H58822" s="8"/>
      <c r="I58822" s="102"/>
      <c r="J58822" s="8"/>
      <c r="K58822" s="8"/>
      <c r="L58822" s="8"/>
      <c r="M58822" s="8"/>
      <c r="N58822" s="8"/>
      <c r="O58822" s="8"/>
      <c r="P58822" s="8"/>
      <c r="Q58822" s="8"/>
      <c r="R58822" s="103"/>
      <c r="S58822" s="8"/>
      <c r="T58822" s="8"/>
      <c r="U58822" s="8"/>
      <c r="V58822" s="8"/>
      <c r="W58822" s="8"/>
      <c r="X58822" s="8"/>
      <c r="Y58822" s="8"/>
      <c r="Z58822" s="8"/>
      <c r="AA58822" s="8"/>
    </row>
    <row r="58823" spans="1:27" x14ac:dyDescent="0.25">
      <c r="A58823" s="8"/>
      <c r="B58823" s="8"/>
      <c r="C58823" s="99"/>
      <c r="D58823" s="8"/>
      <c r="E58823" s="8"/>
      <c r="F58823" s="8"/>
      <c r="G58823" s="8"/>
      <c r="H58823" s="8"/>
      <c r="I58823" s="102"/>
      <c r="J58823" s="8"/>
      <c r="K58823" s="8"/>
      <c r="L58823" s="8"/>
      <c r="M58823" s="8"/>
      <c r="N58823" s="8"/>
      <c r="O58823" s="8"/>
      <c r="P58823" s="8"/>
      <c r="Q58823" s="8"/>
      <c r="R58823" s="103"/>
      <c r="S58823" s="8"/>
      <c r="T58823" s="8"/>
      <c r="U58823" s="8"/>
      <c r="V58823" s="8"/>
      <c r="W58823" s="8"/>
      <c r="X58823" s="8"/>
      <c r="Y58823" s="8"/>
      <c r="Z58823" s="8"/>
      <c r="AA58823" s="8"/>
    </row>
    <row r="58824" spans="1:27" x14ac:dyDescent="0.25">
      <c r="A58824" s="8"/>
      <c r="B58824" s="8"/>
      <c r="C58824" s="99"/>
      <c r="D58824" s="8"/>
      <c r="E58824" s="8"/>
      <c r="F58824" s="8"/>
      <c r="G58824" s="8"/>
      <c r="H58824" s="8"/>
      <c r="I58824" s="102"/>
      <c r="J58824" s="8"/>
      <c r="K58824" s="8"/>
      <c r="L58824" s="8"/>
      <c r="M58824" s="8"/>
      <c r="N58824" s="8"/>
      <c r="O58824" s="8"/>
      <c r="P58824" s="8"/>
      <c r="Q58824" s="8"/>
      <c r="R58824" s="103"/>
      <c r="S58824" s="8"/>
      <c r="T58824" s="8"/>
      <c r="U58824" s="8"/>
      <c r="V58824" s="8"/>
      <c r="W58824" s="8"/>
      <c r="X58824" s="8"/>
      <c r="Y58824" s="8"/>
      <c r="Z58824" s="8"/>
      <c r="AA58824" s="8"/>
    </row>
    <row r="58825" spans="1:27" x14ac:dyDescent="0.25">
      <c r="A58825" s="8"/>
      <c r="B58825" s="8"/>
      <c r="C58825" s="99"/>
      <c r="D58825" s="8"/>
      <c r="E58825" s="8"/>
      <c r="F58825" s="8"/>
      <c r="G58825" s="8"/>
      <c r="H58825" s="8"/>
      <c r="I58825" s="102"/>
      <c r="J58825" s="8"/>
      <c r="K58825" s="8"/>
      <c r="L58825" s="8"/>
      <c r="M58825" s="8"/>
      <c r="N58825" s="8"/>
      <c r="O58825" s="8"/>
      <c r="P58825" s="8"/>
      <c r="Q58825" s="8"/>
      <c r="R58825" s="103"/>
      <c r="S58825" s="8"/>
      <c r="T58825" s="8"/>
      <c r="U58825" s="8"/>
      <c r="V58825" s="8"/>
      <c r="W58825" s="8"/>
      <c r="X58825" s="8"/>
      <c r="Y58825" s="8"/>
      <c r="Z58825" s="8"/>
      <c r="AA58825" s="8"/>
    </row>
    <row r="58826" spans="1:27" x14ac:dyDescent="0.25">
      <c r="A58826" s="8"/>
      <c r="B58826" s="8"/>
      <c r="C58826" s="99"/>
      <c r="D58826" s="8"/>
      <c r="E58826" s="8"/>
      <c r="F58826" s="8"/>
      <c r="G58826" s="8"/>
      <c r="H58826" s="8"/>
      <c r="I58826" s="102"/>
      <c r="J58826" s="8"/>
      <c r="K58826" s="8"/>
      <c r="L58826" s="8"/>
      <c r="M58826" s="8"/>
      <c r="N58826" s="8"/>
      <c r="O58826" s="8"/>
      <c r="P58826" s="8"/>
      <c r="Q58826" s="8"/>
      <c r="R58826" s="103"/>
      <c r="S58826" s="8"/>
      <c r="T58826" s="8"/>
      <c r="U58826" s="8"/>
      <c r="V58826" s="8"/>
      <c r="W58826" s="8"/>
      <c r="X58826" s="8"/>
      <c r="Y58826" s="8"/>
      <c r="Z58826" s="8"/>
      <c r="AA58826" s="8"/>
    </row>
    <row r="58827" spans="1:27" x14ac:dyDescent="0.25">
      <c r="A58827" s="8"/>
      <c r="B58827" s="8"/>
      <c r="C58827" s="99"/>
      <c r="D58827" s="8"/>
      <c r="E58827" s="8"/>
      <c r="F58827" s="8"/>
      <c r="G58827" s="8"/>
      <c r="H58827" s="8"/>
      <c r="I58827" s="102"/>
      <c r="J58827" s="8"/>
      <c r="K58827" s="8"/>
      <c r="L58827" s="8"/>
      <c r="M58827" s="8"/>
      <c r="N58827" s="8"/>
      <c r="O58827" s="8"/>
      <c r="P58827" s="8"/>
      <c r="Q58827" s="8"/>
      <c r="R58827" s="103"/>
      <c r="S58827" s="8"/>
      <c r="T58827" s="8"/>
      <c r="U58827" s="8"/>
      <c r="V58827" s="8"/>
      <c r="W58827" s="8"/>
      <c r="X58827" s="8"/>
      <c r="Y58827" s="8"/>
      <c r="Z58827" s="8"/>
      <c r="AA58827" s="8"/>
    </row>
    <row r="58828" spans="1:27" x14ac:dyDescent="0.25">
      <c r="A58828" s="8"/>
      <c r="B58828" s="8"/>
      <c r="C58828" s="99"/>
      <c r="D58828" s="8"/>
      <c r="E58828" s="8"/>
      <c r="F58828" s="8"/>
      <c r="G58828" s="8"/>
      <c r="H58828" s="8"/>
      <c r="I58828" s="102"/>
      <c r="J58828" s="8"/>
      <c r="K58828" s="8"/>
      <c r="L58828" s="8"/>
      <c r="M58828" s="8"/>
      <c r="N58828" s="8"/>
      <c r="O58828" s="8"/>
      <c r="P58828" s="8"/>
      <c r="Q58828" s="8"/>
      <c r="R58828" s="103"/>
      <c r="S58828" s="8"/>
      <c r="T58828" s="8"/>
      <c r="U58828" s="8"/>
      <c r="V58828" s="8"/>
      <c r="W58828" s="8"/>
      <c r="X58828" s="8"/>
      <c r="Y58828" s="8"/>
      <c r="Z58828" s="8"/>
      <c r="AA58828" s="8"/>
    </row>
    <row r="58829" spans="1:27" x14ac:dyDescent="0.25">
      <c r="A58829" s="8"/>
      <c r="B58829" s="8"/>
      <c r="C58829" s="99"/>
      <c r="D58829" s="8"/>
      <c r="E58829" s="8"/>
      <c r="F58829" s="8"/>
      <c r="G58829" s="8"/>
      <c r="H58829" s="8"/>
      <c r="I58829" s="102"/>
      <c r="J58829" s="8"/>
      <c r="K58829" s="8"/>
      <c r="L58829" s="8"/>
      <c r="M58829" s="8"/>
      <c r="N58829" s="8"/>
      <c r="O58829" s="8"/>
      <c r="P58829" s="8"/>
      <c r="Q58829" s="8"/>
      <c r="R58829" s="103"/>
      <c r="S58829" s="8"/>
      <c r="T58829" s="8"/>
      <c r="U58829" s="8"/>
      <c r="V58829" s="8"/>
      <c r="W58829" s="8"/>
      <c r="X58829" s="8"/>
      <c r="Y58829" s="8"/>
      <c r="Z58829" s="8"/>
      <c r="AA58829" s="8"/>
    </row>
    <row r="58830" spans="1:27" x14ac:dyDescent="0.25">
      <c r="A58830" s="8"/>
      <c r="B58830" s="8"/>
      <c r="C58830" s="99"/>
      <c r="D58830" s="8"/>
      <c r="E58830" s="8"/>
      <c r="F58830" s="8"/>
      <c r="G58830" s="8"/>
      <c r="H58830" s="8"/>
      <c r="I58830" s="102"/>
      <c r="J58830" s="8"/>
      <c r="K58830" s="8"/>
      <c r="L58830" s="8"/>
      <c r="M58830" s="8"/>
      <c r="N58830" s="8"/>
      <c r="O58830" s="8"/>
      <c r="P58830" s="8"/>
      <c r="Q58830" s="8"/>
      <c r="R58830" s="103"/>
      <c r="S58830" s="8"/>
      <c r="T58830" s="8"/>
      <c r="U58830" s="8"/>
      <c r="V58830" s="8"/>
      <c r="W58830" s="8"/>
      <c r="X58830" s="8"/>
      <c r="Y58830" s="8"/>
      <c r="Z58830" s="8"/>
      <c r="AA58830" s="8"/>
    </row>
    <row r="58831" spans="1:27" x14ac:dyDescent="0.25">
      <c r="A58831" s="8"/>
      <c r="B58831" s="8"/>
      <c r="C58831" s="99"/>
      <c r="D58831" s="8"/>
      <c r="E58831" s="8"/>
      <c r="F58831" s="8"/>
      <c r="G58831" s="8"/>
      <c r="H58831" s="8"/>
      <c r="I58831" s="102"/>
      <c r="J58831" s="8"/>
      <c r="K58831" s="8"/>
      <c r="L58831" s="8"/>
      <c r="M58831" s="8"/>
      <c r="N58831" s="8"/>
      <c r="O58831" s="8"/>
      <c r="P58831" s="8"/>
      <c r="Q58831" s="8"/>
      <c r="R58831" s="103"/>
      <c r="S58831" s="8"/>
      <c r="T58831" s="8"/>
      <c r="U58831" s="8"/>
      <c r="V58831" s="8"/>
      <c r="W58831" s="8"/>
      <c r="X58831" s="8"/>
      <c r="Y58831" s="8"/>
      <c r="Z58831" s="8"/>
      <c r="AA58831" s="8"/>
    </row>
    <row r="58832" spans="1:27" x14ac:dyDescent="0.25">
      <c r="A58832" s="8"/>
      <c r="B58832" s="8"/>
      <c r="C58832" s="99"/>
      <c r="D58832" s="8"/>
      <c r="E58832" s="8"/>
      <c r="F58832" s="8"/>
      <c r="G58832" s="8"/>
      <c r="H58832" s="8"/>
      <c r="I58832" s="102"/>
      <c r="J58832" s="8"/>
      <c r="K58832" s="8"/>
      <c r="L58832" s="8"/>
      <c r="M58832" s="8"/>
      <c r="N58832" s="8"/>
      <c r="O58832" s="8"/>
      <c r="P58832" s="8"/>
      <c r="Q58832" s="8"/>
      <c r="R58832" s="103"/>
      <c r="S58832" s="8"/>
      <c r="T58832" s="8"/>
      <c r="U58832" s="8"/>
      <c r="V58832" s="8"/>
      <c r="W58832" s="8"/>
      <c r="X58832" s="8"/>
      <c r="Y58832" s="8"/>
      <c r="Z58832" s="8"/>
      <c r="AA58832" s="8"/>
    </row>
    <row r="58833" spans="1:27" x14ac:dyDescent="0.25">
      <c r="A58833" s="8"/>
      <c r="B58833" s="8"/>
      <c r="C58833" s="99"/>
      <c r="D58833" s="8"/>
      <c r="E58833" s="8"/>
      <c r="F58833" s="8"/>
      <c r="G58833" s="8"/>
      <c r="H58833" s="8"/>
      <c r="I58833" s="102"/>
      <c r="J58833" s="8"/>
      <c r="K58833" s="8"/>
      <c r="L58833" s="8"/>
      <c r="M58833" s="8"/>
      <c r="N58833" s="8"/>
      <c r="O58833" s="8"/>
      <c r="P58833" s="8"/>
      <c r="Q58833" s="8"/>
      <c r="R58833" s="103"/>
      <c r="S58833" s="8"/>
      <c r="T58833" s="8"/>
      <c r="U58833" s="8"/>
      <c r="V58833" s="8"/>
      <c r="W58833" s="8"/>
      <c r="X58833" s="8"/>
      <c r="Y58833" s="8"/>
      <c r="Z58833" s="8"/>
      <c r="AA58833" s="8"/>
    </row>
    <row r="58834" spans="1:27" x14ac:dyDescent="0.25">
      <c r="A58834" s="8"/>
      <c r="B58834" s="8"/>
      <c r="C58834" s="99"/>
      <c r="D58834" s="8"/>
      <c r="E58834" s="8"/>
      <c r="F58834" s="8"/>
      <c r="G58834" s="8"/>
      <c r="H58834" s="8"/>
      <c r="I58834" s="102"/>
      <c r="J58834" s="8"/>
      <c r="K58834" s="8"/>
      <c r="L58834" s="8"/>
      <c r="M58834" s="8"/>
      <c r="N58834" s="8"/>
      <c r="O58834" s="8"/>
      <c r="P58834" s="8"/>
      <c r="Q58834" s="8"/>
      <c r="R58834" s="103"/>
      <c r="S58834" s="8"/>
      <c r="T58834" s="8"/>
      <c r="U58834" s="8"/>
      <c r="V58834" s="8"/>
      <c r="W58834" s="8"/>
      <c r="X58834" s="8"/>
      <c r="Y58834" s="8"/>
      <c r="Z58834" s="8"/>
      <c r="AA58834" s="8"/>
    </row>
    <row r="58835" spans="1:27" x14ac:dyDescent="0.25">
      <c r="A58835" s="8"/>
      <c r="B58835" s="8"/>
      <c r="C58835" s="99"/>
      <c r="D58835" s="8"/>
      <c r="E58835" s="8"/>
      <c r="F58835" s="8"/>
      <c r="G58835" s="8"/>
      <c r="H58835" s="8"/>
      <c r="I58835" s="102"/>
      <c r="J58835" s="8"/>
      <c r="K58835" s="8"/>
      <c r="L58835" s="8"/>
      <c r="M58835" s="8"/>
      <c r="N58835" s="8"/>
      <c r="O58835" s="8"/>
      <c r="P58835" s="8"/>
      <c r="Q58835" s="8"/>
      <c r="R58835" s="103"/>
      <c r="S58835" s="8"/>
      <c r="T58835" s="8"/>
      <c r="U58835" s="8"/>
      <c r="V58835" s="8"/>
      <c r="W58835" s="8"/>
      <c r="X58835" s="8"/>
      <c r="Y58835" s="8"/>
      <c r="Z58835" s="8"/>
      <c r="AA58835" s="8"/>
    </row>
    <row r="58836" spans="1:27" x14ac:dyDescent="0.25">
      <c r="A58836" s="8"/>
      <c r="B58836" s="8"/>
      <c r="C58836" s="99"/>
      <c r="D58836" s="8"/>
      <c r="E58836" s="8"/>
      <c r="F58836" s="8"/>
      <c r="G58836" s="8"/>
      <c r="H58836" s="8"/>
      <c r="I58836" s="102"/>
      <c r="J58836" s="8"/>
      <c r="K58836" s="8"/>
      <c r="L58836" s="8"/>
      <c r="M58836" s="8"/>
      <c r="N58836" s="8"/>
      <c r="O58836" s="8"/>
      <c r="P58836" s="8"/>
      <c r="Q58836" s="8"/>
      <c r="R58836" s="103"/>
      <c r="S58836" s="8"/>
      <c r="T58836" s="8"/>
      <c r="U58836" s="8"/>
      <c r="V58836" s="8"/>
      <c r="W58836" s="8"/>
      <c r="X58836" s="8"/>
      <c r="Y58836" s="8"/>
      <c r="Z58836" s="8"/>
      <c r="AA58836" s="8"/>
    </row>
    <row r="58837" spans="1:27" x14ac:dyDescent="0.25">
      <c r="A58837" s="8"/>
      <c r="B58837" s="8"/>
      <c r="C58837" s="99"/>
      <c r="D58837" s="8"/>
      <c r="E58837" s="8"/>
      <c r="F58837" s="8"/>
      <c r="G58837" s="8"/>
      <c r="H58837" s="8"/>
      <c r="I58837" s="102"/>
      <c r="J58837" s="8"/>
      <c r="K58837" s="8"/>
      <c r="L58837" s="8"/>
      <c r="M58837" s="8"/>
      <c r="N58837" s="8"/>
      <c r="O58837" s="8"/>
      <c r="P58837" s="8"/>
      <c r="Q58837" s="8"/>
      <c r="R58837" s="103"/>
      <c r="S58837" s="8"/>
      <c r="T58837" s="8"/>
      <c r="U58837" s="8"/>
      <c r="V58837" s="8"/>
      <c r="W58837" s="8"/>
      <c r="X58837" s="8"/>
      <c r="Y58837" s="8"/>
      <c r="Z58837" s="8"/>
      <c r="AA58837" s="8"/>
    </row>
    <row r="58838" spans="1:27" x14ac:dyDescent="0.25">
      <c r="A58838" s="8"/>
      <c r="B58838" s="8"/>
      <c r="C58838" s="99"/>
      <c r="D58838" s="8"/>
      <c r="E58838" s="8"/>
      <c r="F58838" s="8"/>
      <c r="G58838" s="8"/>
      <c r="H58838" s="8"/>
      <c r="I58838" s="102"/>
      <c r="J58838" s="8"/>
      <c r="K58838" s="8"/>
      <c r="L58838" s="8"/>
      <c r="M58838" s="8"/>
      <c r="N58838" s="8"/>
      <c r="O58838" s="8"/>
      <c r="P58838" s="8"/>
      <c r="Q58838" s="8"/>
      <c r="R58838" s="103"/>
      <c r="S58838" s="8"/>
      <c r="T58838" s="8"/>
      <c r="U58838" s="8"/>
      <c r="V58838" s="8"/>
      <c r="W58838" s="8"/>
      <c r="X58838" s="8"/>
      <c r="Y58838" s="8"/>
      <c r="Z58838" s="8"/>
      <c r="AA58838" s="8"/>
    </row>
    <row r="58839" spans="1:27" x14ac:dyDescent="0.25">
      <c r="A58839" s="8"/>
      <c r="B58839" s="8"/>
      <c r="C58839" s="99"/>
      <c r="D58839" s="8"/>
      <c r="E58839" s="8"/>
      <c r="F58839" s="8"/>
      <c r="G58839" s="8"/>
      <c r="H58839" s="8"/>
      <c r="I58839" s="102"/>
      <c r="J58839" s="8"/>
      <c r="K58839" s="8"/>
      <c r="L58839" s="8"/>
      <c r="M58839" s="8"/>
      <c r="N58839" s="8"/>
      <c r="O58839" s="8"/>
      <c r="P58839" s="8"/>
      <c r="Q58839" s="8"/>
      <c r="R58839" s="103"/>
      <c r="S58839" s="8"/>
      <c r="T58839" s="8"/>
      <c r="U58839" s="8"/>
      <c r="V58839" s="8"/>
      <c r="W58839" s="8"/>
      <c r="X58839" s="8"/>
      <c r="Y58839" s="8"/>
      <c r="Z58839" s="8"/>
      <c r="AA58839" s="8"/>
    </row>
    <row r="58840" spans="1:27" x14ac:dyDescent="0.25">
      <c r="A58840" s="8"/>
      <c r="B58840" s="8"/>
      <c r="C58840" s="99"/>
      <c r="D58840" s="8"/>
      <c r="E58840" s="8"/>
      <c r="F58840" s="8"/>
      <c r="G58840" s="8"/>
      <c r="H58840" s="8"/>
      <c r="I58840" s="102"/>
      <c r="J58840" s="8"/>
      <c r="K58840" s="8"/>
      <c r="L58840" s="8"/>
      <c r="M58840" s="8"/>
      <c r="N58840" s="8"/>
      <c r="O58840" s="8"/>
      <c r="P58840" s="8"/>
      <c r="Q58840" s="8"/>
      <c r="R58840" s="103"/>
      <c r="S58840" s="8"/>
      <c r="T58840" s="8"/>
      <c r="U58840" s="8"/>
      <c r="V58840" s="8"/>
      <c r="W58840" s="8"/>
      <c r="X58840" s="8"/>
      <c r="Y58840" s="8"/>
      <c r="Z58840" s="8"/>
      <c r="AA58840" s="8"/>
    </row>
    <row r="58841" spans="1:27" x14ac:dyDescent="0.25">
      <c r="A58841" s="8"/>
      <c r="B58841" s="8"/>
      <c r="C58841" s="99"/>
      <c r="D58841" s="8"/>
      <c r="E58841" s="8"/>
      <c r="F58841" s="8"/>
      <c r="G58841" s="8"/>
      <c r="H58841" s="8"/>
      <c r="I58841" s="102"/>
      <c r="J58841" s="8"/>
      <c r="K58841" s="8"/>
      <c r="L58841" s="8"/>
      <c r="M58841" s="8"/>
      <c r="N58841" s="8"/>
      <c r="O58841" s="8"/>
      <c r="P58841" s="8"/>
      <c r="Q58841" s="8"/>
      <c r="R58841" s="103"/>
      <c r="S58841" s="8"/>
      <c r="T58841" s="8"/>
      <c r="U58841" s="8"/>
      <c r="V58841" s="8"/>
      <c r="W58841" s="8"/>
      <c r="X58841" s="8"/>
      <c r="Y58841" s="8"/>
      <c r="Z58841" s="8"/>
      <c r="AA58841" s="8"/>
    </row>
    <row r="58842" spans="1:27" x14ac:dyDescent="0.25">
      <c r="A58842" s="8"/>
      <c r="B58842" s="8"/>
      <c r="C58842" s="99"/>
      <c r="D58842" s="8"/>
      <c r="E58842" s="8"/>
      <c r="F58842" s="8"/>
      <c r="G58842" s="8"/>
      <c r="H58842" s="8"/>
      <c r="I58842" s="102"/>
      <c r="J58842" s="8"/>
      <c r="K58842" s="8"/>
      <c r="L58842" s="8"/>
      <c r="M58842" s="8"/>
      <c r="N58842" s="8"/>
      <c r="O58842" s="8"/>
      <c r="P58842" s="8"/>
      <c r="Q58842" s="8"/>
      <c r="R58842" s="103"/>
      <c r="S58842" s="8"/>
      <c r="T58842" s="8"/>
      <c r="U58842" s="8"/>
      <c r="V58842" s="8"/>
      <c r="W58842" s="8"/>
      <c r="X58842" s="8"/>
      <c r="Y58842" s="8"/>
      <c r="Z58842" s="8"/>
      <c r="AA58842" s="8"/>
    </row>
    <row r="58843" spans="1:27" x14ac:dyDescent="0.25">
      <c r="A58843" s="8"/>
      <c r="B58843" s="8"/>
      <c r="C58843" s="99"/>
      <c r="D58843" s="8"/>
      <c r="E58843" s="8"/>
      <c r="F58843" s="8"/>
      <c r="G58843" s="8"/>
      <c r="H58843" s="8"/>
      <c r="I58843" s="102"/>
      <c r="J58843" s="8"/>
      <c r="K58843" s="8"/>
      <c r="L58843" s="8"/>
      <c r="M58843" s="8"/>
      <c r="N58843" s="8"/>
      <c r="O58843" s="8"/>
      <c r="P58843" s="8"/>
      <c r="Q58843" s="8"/>
      <c r="R58843" s="103"/>
      <c r="S58843" s="8"/>
      <c r="T58843" s="8"/>
      <c r="U58843" s="8"/>
      <c r="V58843" s="8"/>
      <c r="W58843" s="8"/>
      <c r="X58843" s="8"/>
      <c r="Y58843" s="8"/>
      <c r="Z58843" s="8"/>
      <c r="AA58843" s="8"/>
    </row>
    <row r="58844" spans="1:27" x14ac:dyDescent="0.25">
      <c r="A58844" s="8"/>
      <c r="B58844" s="8"/>
      <c r="C58844" s="99"/>
      <c r="D58844" s="8"/>
      <c r="E58844" s="8"/>
      <c r="F58844" s="8"/>
      <c r="G58844" s="8"/>
      <c r="H58844" s="8"/>
      <c r="I58844" s="102"/>
      <c r="J58844" s="8"/>
      <c r="K58844" s="8"/>
      <c r="L58844" s="8"/>
      <c r="M58844" s="8"/>
      <c r="N58844" s="8"/>
      <c r="O58844" s="8"/>
      <c r="P58844" s="8"/>
      <c r="Q58844" s="8"/>
      <c r="R58844" s="103"/>
      <c r="S58844" s="8"/>
      <c r="T58844" s="8"/>
      <c r="U58844" s="8"/>
      <c r="V58844" s="8"/>
      <c r="W58844" s="8"/>
      <c r="X58844" s="8"/>
      <c r="Y58844" s="8"/>
      <c r="Z58844" s="8"/>
      <c r="AA58844" s="8"/>
    </row>
    <row r="58845" spans="1:27" x14ac:dyDescent="0.25">
      <c r="A58845" s="8"/>
      <c r="B58845" s="8"/>
      <c r="C58845" s="99"/>
      <c r="D58845" s="8"/>
      <c r="E58845" s="8"/>
      <c r="F58845" s="8"/>
      <c r="G58845" s="8"/>
      <c r="H58845" s="8"/>
      <c r="I58845" s="102"/>
      <c r="J58845" s="8"/>
      <c r="K58845" s="8"/>
      <c r="L58845" s="8"/>
      <c r="M58845" s="8"/>
      <c r="N58845" s="8"/>
      <c r="O58845" s="8"/>
      <c r="P58845" s="8"/>
      <c r="Q58845" s="8"/>
      <c r="R58845" s="103"/>
      <c r="S58845" s="8"/>
      <c r="T58845" s="8"/>
      <c r="U58845" s="8"/>
      <c r="V58845" s="8"/>
      <c r="W58845" s="8"/>
      <c r="X58845" s="8"/>
      <c r="Y58845" s="8"/>
      <c r="Z58845" s="8"/>
      <c r="AA58845" s="8"/>
    </row>
    <row r="58846" spans="1:27" x14ac:dyDescent="0.25">
      <c r="A58846" s="8"/>
      <c r="B58846" s="8"/>
      <c r="C58846" s="99"/>
      <c r="D58846" s="8"/>
      <c r="E58846" s="8"/>
      <c r="F58846" s="8"/>
      <c r="G58846" s="8"/>
      <c r="H58846" s="8"/>
      <c r="I58846" s="102"/>
      <c r="J58846" s="8"/>
      <c r="K58846" s="8"/>
      <c r="L58846" s="8"/>
      <c r="M58846" s="8"/>
      <c r="N58846" s="8"/>
      <c r="O58846" s="8"/>
      <c r="P58846" s="8"/>
      <c r="Q58846" s="8"/>
      <c r="R58846" s="103"/>
      <c r="S58846" s="8"/>
      <c r="T58846" s="8"/>
      <c r="U58846" s="8"/>
      <c r="V58846" s="8"/>
      <c r="W58846" s="8"/>
      <c r="X58846" s="8"/>
      <c r="Y58846" s="8"/>
      <c r="Z58846" s="8"/>
      <c r="AA58846" s="8"/>
    </row>
    <row r="58847" spans="1:27" x14ac:dyDescent="0.25">
      <c r="A58847" s="8"/>
      <c r="B58847" s="8"/>
      <c r="C58847" s="99"/>
      <c r="D58847" s="8"/>
      <c r="E58847" s="8"/>
      <c r="F58847" s="8"/>
      <c r="G58847" s="8"/>
      <c r="H58847" s="8"/>
      <c r="I58847" s="102"/>
      <c r="J58847" s="8"/>
      <c r="K58847" s="8"/>
      <c r="L58847" s="8"/>
      <c r="M58847" s="8"/>
      <c r="N58847" s="8"/>
      <c r="O58847" s="8"/>
      <c r="P58847" s="8"/>
      <c r="Q58847" s="8"/>
      <c r="R58847" s="103"/>
      <c r="S58847" s="8"/>
      <c r="T58847" s="8"/>
      <c r="U58847" s="8"/>
      <c r="V58847" s="8"/>
      <c r="W58847" s="8"/>
      <c r="X58847" s="8"/>
      <c r="Y58847" s="8"/>
      <c r="Z58847" s="8"/>
      <c r="AA58847" s="8"/>
    </row>
    <row r="58848" spans="1:27" x14ac:dyDescent="0.25">
      <c r="A58848" s="8"/>
      <c r="B58848" s="8"/>
      <c r="C58848" s="99"/>
      <c r="D58848" s="8"/>
      <c r="E58848" s="8"/>
      <c r="F58848" s="8"/>
      <c r="G58848" s="8"/>
      <c r="H58848" s="8"/>
      <c r="I58848" s="102"/>
      <c r="J58848" s="8"/>
      <c r="K58848" s="8"/>
      <c r="L58848" s="8"/>
      <c r="M58848" s="8"/>
      <c r="N58848" s="8"/>
      <c r="O58848" s="8"/>
      <c r="P58848" s="8"/>
      <c r="Q58848" s="8"/>
      <c r="R58848" s="103"/>
      <c r="S58848" s="8"/>
      <c r="T58848" s="8"/>
      <c r="U58848" s="8"/>
      <c r="V58848" s="8"/>
      <c r="W58848" s="8"/>
      <c r="X58848" s="8"/>
      <c r="Y58848" s="8"/>
      <c r="Z58848" s="8"/>
      <c r="AA58848" s="8"/>
    </row>
    <row r="58849" spans="1:27" x14ac:dyDescent="0.25">
      <c r="A58849" s="8"/>
      <c r="B58849" s="8"/>
      <c r="C58849" s="99"/>
      <c r="D58849" s="8"/>
      <c r="E58849" s="8"/>
      <c r="F58849" s="8"/>
      <c r="G58849" s="8"/>
      <c r="H58849" s="8"/>
      <c r="I58849" s="102"/>
      <c r="J58849" s="8"/>
      <c r="K58849" s="8"/>
      <c r="L58849" s="8"/>
      <c r="M58849" s="8"/>
      <c r="N58849" s="8"/>
      <c r="O58849" s="8"/>
      <c r="P58849" s="8"/>
      <c r="Q58849" s="8"/>
      <c r="R58849" s="103"/>
      <c r="S58849" s="8"/>
      <c r="T58849" s="8"/>
      <c r="U58849" s="8"/>
      <c r="V58849" s="8"/>
      <c r="W58849" s="8"/>
      <c r="X58849" s="8"/>
      <c r="Y58849" s="8"/>
      <c r="Z58849" s="8"/>
      <c r="AA58849" s="8"/>
    </row>
    <row r="58850" spans="1:27" x14ac:dyDescent="0.25">
      <c r="A58850" s="8"/>
      <c r="B58850" s="8"/>
      <c r="C58850" s="99"/>
      <c r="D58850" s="8"/>
      <c r="E58850" s="8"/>
      <c r="F58850" s="8"/>
      <c r="G58850" s="8"/>
      <c r="H58850" s="8"/>
      <c r="I58850" s="102"/>
      <c r="J58850" s="8"/>
      <c r="K58850" s="8"/>
      <c r="L58850" s="8"/>
      <c r="M58850" s="8"/>
      <c r="N58850" s="8"/>
      <c r="O58850" s="8"/>
      <c r="P58850" s="8"/>
      <c r="Q58850" s="8"/>
      <c r="R58850" s="103"/>
      <c r="S58850" s="8"/>
      <c r="T58850" s="8"/>
      <c r="U58850" s="8"/>
      <c r="V58850" s="8"/>
      <c r="W58850" s="8"/>
      <c r="X58850" s="8"/>
      <c r="Y58850" s="8"/>
      <c r="Z58850" s="8"/>
      <c r="AA58850" s="8"/>
    </row>
    <row r="58851" spans="1:27" x14ac:dyDescent="0.25">
      <c r="A58851" s="8"/>
      <c r="B58851" s="8"/>
      <c r="C58851" s="99"/>
      <c r="D58851" s="8"/>
      <c r="E58851" s="8"/>
      <c r="F58851" s="8"/>
      <c r="G58851" s="8"/>
      <c r="H58851" s="8"/>
      <c r="I58851" s="102"/>
      <c r="J58851" s="8"/>
      <c r="K58851" s="8"/>
      <c r="L58851" s="8"/>
      <c r="M58851" s="8"/>
      <c r="N58851" s="8"/>
      <c r="O58851" s="8"/>
      <c r="P58851" s="8"/>
      <c r="Q58851" s="8"/>
      <c r="R58851" s="103"/>
      <c r="S58851" s="8"/>
      <c r="T58851" s="8"/>
      <c r="U58851" s="8"/>
      <c r="V58851" s="8"/>
      <c r="W58851" s="8"/>
      <c r="X58851" s="8"/>
      <c r="Y58851" s="8"/>
      <c r="Z58851" s="8"/>
      <c r="AA58851" s="8"/>
    </row>
    <row r="58852" spans="1:27" x14ac:dyDescent="0.25">
      <c r="A58852" s="8"/>
      <c r="B58852" s="8"/>
      <c r="C58852" s="99"/>
      <c r="D58852" s="8"/>
      <c r="E58852" s="8"/>
      <c r="F58852" s="8"/>
      <c r="G58852" s="8"/>
      <c r="H58852" s="8"/>
      <c r="I58852" s="102"/>
      <c r="J58852" s="8"/>
      <c r="K58852" s="8"/>
      <c r="L58852" s="8"/>
      <c r="M58852" s="8"/>
      <c r="N58852" s="8"/>
      <c r="O58852" s="8"/>
      <c r="P58852" s="8"/>
      <c r="Q58852" s="8"/>
      <c r="R58852" s="103"/>
      <c r="S58852" s="8"/>
      <c r="T58852" s="8"/>
      <c r="U58852" s="8"/>
      <c r="V58852" s="8"/>
      <c r="W58852" s="8"/>
      <c r="X58852" s="8"/>
      <c r="Y58852" s="8"/>
      <c r="Z58852" s="8"/>
      <c r="AA58852" s="8"/>
    </row>
    <row r="58853" spans="1:27" x14ac:dyDescent="0.25">
      <c r="A58853" s="8"/>
      <c r="B58853" s="8"/>
      <c r="C58853" s="99"/>
      <c r="D58853" s="8"/>
      <c r="E58853" s="8"/>
      <c r="F58853" s="8"/>
      <c r="G58853" s="8"/>
      <c r="H58853" s="8"/>
      <c r="I58853" s="102"/>
      <c r="J58853" s="8"/>
      <c r="K58853" s="8"/>
      <c r="L58853" s="8"/>
      <c r="M58853" s="8"/>
      <c r="N58853" s="8"/>
      <c r="O58853" s="8"/>
      <c r="P58853" s="8"/>
      <c r="Q58853" s="8"/>
      <c r="R58853" s="103"/>
      <c r="S58853" s="8"/>
      <c r="T58853" s="8"/>
      <c r="U58853" s="8"/>
      <c r="V58853" s="8"/>
      <c r="W58853" s="8"/>
      <c r="X58853" s="8"/>
      <c r="Y58853" s="8"/>
      <c r="Z58853" s="8"/>
      <c r="AA58853" s="8"/>
    </row>
    <row r="58854" spans="1:27" x14ac:dyDescent="0.25">
      <c r="A58854" s="8"/>
      <c r="B58854" s="8"/>
      <c r="C58854" s="99"/>
      <c r="D58854" s="8"/>
      <c r="E58854" s="8"/>
      <c r="F58854" s="8"/>
      <c r="G58854" s="8"/>
      <c r="H58854" s="8"/>
      <c r="I58854" s="102"/>
      <c r="J58854" s="8"/>
      <c r="K58854" s="8"/>
      <c r="L58854" s="8"/>
      <c r="M58854" s="8"/>
      <c r="N58854" s="8"/>
      <c r="O58854" s="8"/>
      <c r="P58854" s="8"/>
      <c r="Q58854" s="8"/>
      <c r="R58854" s="103"/>
      <c r="S58854" s="8"/>
      <c r="T58854" s="8"/>
      <c r="U58854" s="8"/>
      <c r="V58854" s="8"/>
      <c r="W58854" s="8"/>
      <c r="X58854" s="8"/>
      <c r="Y58854" s="8"/>
      <c r="Z58854" s="8"/>
      <c r="AA58854" s="8"/>
    </row>
    <row r="58855" spans="1:27" x14ac:dyDescent="0.25">
      <c r="A58855" s="8"/>
      <c r="B58855" s="8"/>
      <c r="C58855" s="99"/>
      <c r="D58855" s="8"/>
      <c r="E58855" s="8"/>
      <c r="F58855" s="8"/>
      <c r="G58855" s="8"/>
      <c r="H58855" s="8"/>
      <c r="I58855" s="102"/>
      <c r="J58855" s="8"/>
      <c r="K58855" s="8"/>
      <c r="L58855" s="8"/>
      <c r="M58855" s="8"/>
      <c r="N58855" s="8"/>
      <c r="O58855" s="8"/>
      <c r="P58855" s="8"/>
      <c r="Q58855" s="8"/>
      <c r="R58855" s="103"/>
      <c r="S58855" s="8"/>
      <c r="T58855" s="8"/>
      <c r="U58855" s="8"/>
      <c r="V58855" s="8"/>
      <c r="W58855" s="8"/>
      <c r="X58855" s="8"/>
      <c r="Y58855" s="8"/>
      <c r="Z58855" s="8"/>
      <c r="AA58855" s="8"/>
    </row>
    <row r="58856" spans="1:27" x14ac:dyDescent="0.25">
      <c r="A58856" s="8"/>
      <c r="B58856" s="8"/>
      <c r="C58856" s="99"/>
      <c r="D58856" s="8"/>
      <c r="E58856" s="8"/>
      <c r="F58856" s="8"/>
      <c r="G58856" s="8"/>
      <c r="H58856" s="8"/>
      <c r="I58856" s="102"/>
      <c r="J58856" s="8"/>
      <c r="K58856" s="8"/>
      <c r="L58856" s="8"/>
      <c r="M58856" s="8"/>
      <c r="N58856" s="8"/>
      <c r="O58856" s="8"/>
      <c r="P58856" s="8"/>
      <c r="Q58856" s="8"/>
      <c r="R58856" s="103"/>
      <c r="S58856" s="8"/>
      <c r="T58856" s="8"/>
      <c r="U58856" s="8"/>
      <c r="V58856" s="8"/>
      <c r="W58856" s="8"/>
      <c r="X58856" s="8"/>
      <c r="Y58856" s="8"/>
      <c r="Z58856" s="8"/>
      <c r="AA58856" s="8"/>
    </row>
    <row r="58857" spans="1:27" x14ac:dyDescent="0.25">
      <c r="A58857" s="8"/>
      <c r="B58857" s="8"/>
      <c r="C58857" s="99"/>
      <c r="D58857" s="8"/>
      <c r="E58857" s="8"/>
      <c r="F58857" s="8"/>
      <c r="G58857" s="8"/>
      <c r="H58857" s="8"/>
      <c r="I58857" s="102"/>
      <c r="J58857" s="8"/>
      <c r="K58857" s="8"/>
      <c r="L58857" s="8"/>
      <c r="M58857" s="8"/>
      <c r="N58857" s="8"/>
      <c r="O58857" s="8"/>
      <c r="P58857" s="8"/>
      <c r="Q58857" s="8"/>
      <c r="R58857" s="103"/>
      <c r="S58857" s="8"/>
      <c r="T58857" s="8"/>
      <c r="U58857" s="8"/>
      <c r="V58857" s="8"/>
      <c r="W58857" s="8"/>
      <c r="X58857" s="8"/>
      <c r="Y58857" s="8"/>
      <c r="Z58857" s="8"/>
      <c r="AA58857" s="8"/>
    </row>
    <row r="58858" spans="1:27" x14ac:dyDescent="0.25">
      <c r="A58858" s="8"/>
      <c r="B58858" s="8"/>
      <c r="C58858" s="99"/>
      <c r="D58858" s="8"/>
      <c r="E58858" s="8"/>
      <c r="F58858" s="8"/>
      <c r="G58858" s="8"/>
      <c r="H58858" s="8"/>
      <c r="I58858" s="102"/>
      <c r="J58858" s="8"/>
      <c r="K58858" s="8"/>
      <c r="L58858" s="8"/>
      <c r="M58858" s="8"/>
      <c r="N58858" s="8"/>
      <c r="O58858" s="8"/>
      <c r="P58858" s="8"/>
      <c r="Q58858" s="8"/>
      <c r="R58858" s="103"/>
      <c r="S58858" s="8"/>
      <c r="T58858" s="8"/>
      <c r="U58858" s="8"/>
      <c r="V58858" s="8"/>
      <c r="W58858" s="8"/>
      <c r="X58858" s="8"/>
      <c r="Y58858" s="8"/>
      <c r="Z58858" s="8"/>
      <c r="AA58858" s="8"/>
    </row>
    <row r="58859" spans="1:27" x14ac:dyDescent="0.25">
      <c r="A58859" s="8"/>
      <c r="B58859" s="8"/>
      <c r="C58859" s="99"/>
      <c r="D58859" s="8"/>
      <c r="E58859" s="8"/>
      <c r="F58859" s="8"/>
      <c r="G58859" s="8"/>
      <c r="H58859" s="8"/>
      <c r="I58859" s="102"/>
      <c r="J58859" s="8"/>
      <c r="K58859" s="8"/>
      <c r="L58859" s="8"/>
      <c r="M58859" s="8"/>
      <c r="N58859" s="8"/>
      <c r="O58859" s="8"/>
      <c r="P58859" s="8"/>
      <c r="Q58859" s="8"/>
      <c r="R58859" s="103"/>
      <c r="S58859" s="8"/>
      <c r="T58859" s="8"/>
      <c r="U58859" s="8"/>
      <c r="V58859" s="8"/>
      <c r="W58859" s="8"/>
      <c r="X58859" s="8"/>
      <c r="Y58859" s="8"/>
      <c r="Z58859" s="8"/>
      <c r="AA58859" s="8"/>
    </row>
    <row r="58860" spans="1:27" x14ac:dyDescent="0.25">
      <c r="A58860" s="8"/>
      <c r="B58860" s="8"/>
      <c r="C58860" s="99"/>
      <c r="D58860" s="8"/>
      <c r="E58860" s="8"/>
      <c r="F58860" s="8"/>
      <c r="G58860" s="8"/>
      <c r="H58860" s="8"/>
      <c r="I58860" s="102"/>
      <c r="J58860" s="8"/>
      <c r="K58860" s="8"/>
      <c r="L58860" s="8"/>
      <c r="M58860" s="8"/>
      <c r="N58860" s="8"/>
      <c r="O58860" s="8"/>
      <c r="P58860" s="8"/>
      <c r="Q58860" s="8"/>
      <c r="R58860" s="103"/>
      <c r="S58860" s="8"/>
      <c r="T58860" s="8"/>
      <c r="U58860" s="8"/>
      <c r="V58860" s="8"/>
      <c r="W58860" s="8"/>
      <c r="X58860" s="8"/>
      <c r="Y58860" s="8"/>
      <c r="Z58860" s="8"/>
      <c r="AA58860" s="8"/>
    </row>
    <row r="58861" spans="1:27" x14ac:dyDescent="0.25">
      <c r="A58861" s="8"/>
      <c r="B58861" s="8"/>
      <c r="C58861" s="99"/>
      <c r="D58861" s="8"/>
      <c r="E58861" s="8"/>
      <c r="F58861" s="8"/>
      <c r="G58861" s="8"/>
      <c r="H58861" s="8"/>
      <c r="I58861" s="102"/>
      <c r="J58861" s="8"/>
      <c r="K58861" s="8"/>
      <c r="L58861" s="8"/>
      <c r="M58861" s="8"/>
      <c r="N58861" s="8"/>
      <c r="O58861" s="8"/>
      <c r="P58861" s="8"/>
      <c r="Q58861" s="8"/>
      <c r="R58861" s="103"/>
      <c r="S58861" s="8"/>
      <c r="T58861" s="8"/>
      <c r="U58861" s="8"/>
      <c r="V58861" s="8"/>
      <c r="W58861" s="8"/>
      <c r="X58861" s="8"/>
      <c r="Y58861" s="8"/>
      <c r="Z58861" s="8"/>
      <c r="AA58861" s="8"/>
    </row>
    <row r="58862" spans="1:27" x14ac:dyDescent="0.25">
      <c r="A58862" s="8"/>
      <c r="B58862" s="8"/>
      <c r="C58862" s="99"/>
      <c r="D58862" s="8"/>
      <c r="E58862" s="8"/>
      <c r="F58862" s="8"/>
      <c r="G58862" s="8"/>
      <c r="H58862" s="8"/>
      <c r="I58862" s="102"/>
      <c r="J58862" s="8"/>
      <c r="K58862" s="8"/>
      <c r="L58862" s="8"/>
      <c r="M58862" s="8"/>
      <c r="N58862" s="8"/>
      <c r="O58862" s="8"/>
      <c r="P58862" s="8"/>
      <c r="Q58862" s="8"/>
      <c r="R58862" s="103"/>
      <c r="S58862" s="8"/>
      <c r="T58862" s="8"/>
      <c r="U58862" s="8"/>
      <c r="V58862" s="8"/>
      <c r="W58862" s="8"/>
      <c r="X58862" s="8"/>
      <c r="Y58862" s="8"/>
      <c r="Z58862" s="8"/>
      <c r="AA58862" s="8"/>
    </row>
    <row r="58863" spans="1:27" x14ac:dyDescent="0.25">
      <c r="A58863" s="8"/>
      <c r="B58863" s="8"/>
      <c r="C58863" s="99"/>
      <c r="D58863" s="8"/>
      <c r="E58863" s="8"/>
      <c r="F58863" s="8"/>
      <c r="G58863" s="8"/>
      <c r="H58863" s="8"/>
      <c r="I58863" s="102"/>
      <c r="J58863" s="8"/>
      <c r="K58863" s="8"/>
      <c r="L58863" s="8"/>
      <c r="M58863" s="8"/>
      <c r="N58863" s="8"/>
      <c r="O58863" s="8"/>
      <c r="P58863" s="8"/>
      <c r="Q58863" s="8"/>
      <c r="R58863" s="103"/>
      <c r="S58863" s="8"/>
      <c r="T58863" s="8"/>
      <c r="U58863" s="8"/>
      <c r="V58863" s="8"/>
      <c r="W58863" s="8"/>
      <c r="X58863" s="8"/>
      <c r="Y58863" s="8"/>
      <c r="Z58863" s="8"/>
      <c r="AA58863" s="8"/>
    </row>
    <row r="58864" spans="1:27" x14ac:dyDescent="0.25">
      <c r="A58864" s="8"/>
      <c r="B58864" s="8"/>
      <c r="C58864" s="99"/>
      <c r="D58864" s="8"/>
      <c r="E58864" s="8"/>
      <c r="F58864" s="8"/>
      <c r="G58864" s="8"/>
      <c r="H58864" s="8"/>
      <c r="I58864" s="102"/>
      <c r="J58864" s="8"/>
      <c r="K58864" s="8"/>
      <c r="L58864" s="8"/>
      <c r="M58864" s="8"/>
      <c r="N58864" s="8"/>
      <c r="O58864" s="8"/>
      <c r="P58864" s="8"/>
      <c r="Q58864" s="8"/>
      <c r="R58864" s="103"/>
      <c r="S58864" s="8"/>
      <c r="T58864" s="8"/>
      <c r="U58864" s="8"/>
      <c r="V58864" s="8"/>
      <c r="W58864" s="8"/>
      <c r="X58864" s="8"/>
      <c r="Y58864" s="8"/>
      <c r="Z58864" s="8"/>
      <c r="AA58864" s="8"/>
    </row>
    <row r="58865" spans="1:27" x14ac:dyDescent="0.25">
      <c r="A58865" s="8"/>
      <c r="B58865" s="8"/>
      <c r="C58865" s="99"/>
      <c r="D58865" s="8"/>
      <c r="E58865" s="8"/>
      <c r="F58865" s="8"/>
      <c r="G58865" s="8"/>
      <c r="H58865" s="8"/>
      <c r="I58865" s="102"/>
      <c r="J58865" s="8"/>
      <c r="K58865" s="8"/>
      <c r="L58865" s="8"/>
      <c r="M58865" s="8"/>
      <c r="N58865" s="8"/>
      <c r="O58865" s="8"/>
      <c r="P58865" s="8"/>
      <c r="Q58865" s="8"/>
      <c r="R58865" s="103"/>
      <c r="S58865" s="8"/>
      <c r="T58865" s="8"/>
      <c r="U58865" s="8"/>
      <c r="V58865" s="8"/>
      <c r="W58865" s="8"/>
      <c r="X58865" s="8"/>
      <c r="Y58865" s="8"/>
      <c r="Z58865" s="8"/>
      <c r="AA58865" s="8"/>
    </row>
    <row r="58866" spans="1:27" x14ac:dyDescent="0.25">
      <c r="A58866" s="8"/>
      <c r="B58866" s="8"/>
      <c r="C58866" s="99"/>
      <c r="D58866" s="8"/>
      <c r="E58866" s="8"/>
      <c r="F58866" s="8"/>
      <c r="G58866" s="8"/>
      <c r="H58866" s="8"/>
      <c r="I58866" s="102"/>
      <c r="J58866" s="8"/>
      <c r="K58866" s="8"/>
      <c r="L58866" s="8"/>
      <c r="M58866" s="8"/>
      <c r="N58866" s="8"/>
      <c r="O58866" s="8"/>
      <c r="P58866" s="8"/>
      <c r="Q58866" s="8"/>
      <c r="R58866" s="103"/>
      <c r="S58866" s="8"/>
      <c r="T58866" s="8"/>
      <c r="U58866" s="8"/>
      <c r="V58866" s="8"/>
      <c r="W58866" s="8"/>
      <c r="X58866" s="8"/>
      <c r="Y58866" s="8"/>
      <c r="Z58866" s="8"/>
      <c r="AA58866" s="8"/>
    </row>
    <row r="58867" spans="1:27" x14ac:dyDescent="0.25">
      <c r="A58867" s="8"/>
      <c r="B58867" s="8"/>
      <c r="C58867" s="99"/>
      <c r="D58867" s="8"/>
      <c r="E58867" s="8"/>
      <c r="F58867" s="8"/>
      <c r="G58867" s="8"/>
      <c r="H58867" s="8"/>
      <c r="I58867" s="102"/>
      <c r="J58867" s="8"/>
      <c r="K58867" s="8"/>
      <c r="L58867" s="8"/>
      <c r="M58867" s="8"/>
      <c r="N58867" s="8"/>
      <c r="O58867" s="8"/>
      <c r="P58867" s="8"/>
      <c r="Q58867" s="8"/>
      <c r="R58867" s="103"/>
      <c r="S58867" s="8"/>
      <c r="T58867" s="8"/>
      <c r="U58867" s="8"/>
      <c r="V58867" s="8"/>
      <c r="W58867" s="8"/>
      <c r="X58867" s="8"/>
      <c r="Y58867" s="8"/>
      <c r="Z58867" s="8"/>
      <c r="AA58867" s="8"/>
    </row>
    <row r="58868" spans="1:27" x14ac:dyDescent="0.25">
      <c r="A58868" s="8"/>
      <c r="B58868" s="8"/>
      <c r="C58868" s="99"/>
      <c r="D58868" s="8"/>
      <c r="E58868" s="8"/>
      <c r="F58868" s="8"/>
      <c r="G58868" s="8"/>
      <c r="H58868" s="8"/>
      <c r="I58868" s="102"/>
      <c r="J58868" s="8"/>
      <c r="K58868" s="8"/>
      <c r="L58868" s="8"/>
      <c r="M58868" s="8"/>
      <c r="N58868" s="8"/>
      <c r="O58868" s="8"/>
      <c r="P58868" s="8"/>
      <c r="Q58868" s="8"/>
      <c r="R58868" s="103"/>
      <c r="S58868" s="8"/>
      <c r="T58868" s="8"/>
      <c r="U58868" s="8"/>
      <c r="V58868" s="8"/>
      <c r="W58868" s="8"/>
      <c r="X58868" s="8"/>
      <c r="Y58868" s="8"/>
      <c r="Z58868" s="8"/>
      <c r="AA58868" s="8"/>
    </row>
    <row r="58869" spans="1:27" x14ac:dyDescent="0.25">
      <c r="A58869" s="8"/>
      <c r="B58869" s="8"/>
      <c r="C58869" s="99"/>
      <c r="D58869" s="8"/>
      <c r="E58869" s="8"/>
      <c r="F58869" s="8"/>
      <c r="G58869" s="8"/>
      <c r="H58869" s="8"/>
      <c r="I58869" s="102"/>
      <c r="J58869" s="8"/>
      <c r="K58869" s="8"/>
      <c r="L58869" s="8"/>
      <c r="M58869" s="8"/>
      <c r="N58869" s="8"/>
      <c r="O58869" s="8"/>
      <c r="P58869" s="8"/>
      <c r="Q58869" s="8"/>
      <c r="R58869" s="103"/>
      <c r="S58869" s="8"/>
      <c r="T58869" s="8"/>
      <c r="U58869" s="8"/>
      <c r="V58869" s="8"/>
      <c r="W58869" s="8"/>
      <c r="X58869" s="8"/>
      <c r="Y58869" s="8"/>
      <c r="Z58869" s="8"/>
      <c r="AA58869" s="8"/>
    </row>
    <row r="58870" spans="1:27" x14ac:dyDescent="0.25">
      <c r="A58870" s="8"/>
      <c r="B58870" s="8"/>
      <c r="C58870" s="99"/>
      <c r="D58870" s="8"/>
      <c r="E58870" s="8"/>
      <c r="F58870" s="8"/>
      <c r="G58870" s="8"/>
      <c r="H58870" s="8"/>
      <c r="I58870" s="102"/>
      <c r="J58870" s="8"/>
      <c r="K58870" s="8"/>
      <c r="L58870" s="8"/>
      <c r="M58870" s="8"/>
      <c r="N58870" s="8"/>
      <c r="O58870" s="8"/>
      <c r="P58870" s="8"/>
      <c r="Q58870" s="8"/>
      <c r="R58870" s="103"/>
      <c r="S58870" s="8"/>
      <c r="T58870" s="8"/>
      <c r="U58870" s="8"/>
      <c r="V58870" s="8"/>
      <c r="W58870" s="8"/>
      <c r="X58870" s="8"/>
      <c r="Y58870" s="8"/>
      <c r="Z58870" s="8"/>
      <c r="AA58870" s="8"/>
    </row>
    <row r="58871" spans="1:27" x14ac:dyDescent="0.25">
      <c r="A58871" s="8"/>
      <c r="B58871" s="8"/>
      <c r="C58871" s="99"/>
      <c r="D58871" s="8"/>
      <c r="E58871" s="8"/>
      <c r="F58871" s="8"/>
      <c r="G58871" s="8"/>
      <c r="H58871" s="8"/>
      <c r="I58871" s="102"/>
      <c r="J58871" s="8"/>
      <c r="K58871" s="8"/>
      <c r="L58871" s="8"/>
      <c r="M58871" s="8"/>
      <c r="N58871" s="8"/>
      <c r="O58871" s="8"/>
      <c r="P58871" s="8"/>
      <c r="Q58871" s="8"/>
      <c r="R58871" s="103"/>
      <c r="S58871" s="8"/>
      <c r="T58871" s="8"/>
      <c r="U58871" s="8"/>
      <c r="V58871" s="8"/>
      <c r="W58871" s="8"/>
      <c r="X58871" s="8"/>
      <c r="Y58871" s="8"/>
      <c r="Z58871" s="8"/>
      <c r="AA58871" s="8"/>
    </row>
    <row r="58872" spans="1:27" x14ac:dyDescent="0.25">
      <c r="A58872" s="8"/>
      <c r="B58872" s="8"/>
      <c r="C58872" s="99"/>
      <c r="D58872" s="8"/>
      <c r="E58872" s="8"/>
      <c r="F58872" s="8"/>
      <c r="G58872" s="8"/>
      <c r="H58872" s="8"/>
      <c r="I58872" s="102"/>
      <c r="J58872" s="8"/>
      <c r="K58872" s="8"/>
      <c r="L58872" s="8"/>
      <c r="M58872" s="8"/>
      <c r="N58872" s="8"/>
      <c r="O58872" s="8"/>
      <c r="P58872" s="8"/>
      <c r="Q58872" s="8"/>
      <c r="R58872" s="103"/>
      <c r="S58872" s="8"/>
      <c r="T58872" s="8"/>
      <c r="U58872" s="8"/>
      <c r="V58872" s="8"/>
      <c r="W58872" s="8"/>
      <c r="X58872" s="8"/>
      <c r="Y58872" s="8"/>
      <c r="Z58872" s="8"/>
      <c r="AA58872" s="8"/>
    </row>
    <row r="58873" spans="1:27" x14ac:dyDescent="0.25">
      <c r="A58873" s="8"/>
      <c r="B58873" s="8"/>
      <c r="C58873" s="99"/>
      <c r="D58873" s="8"/>
      <c r="E58873" s="8"/>
      <c r="F58873" s="8"/>
      <c r="G58873" s="8"/>
      <c r="H58873" s="8"/>
      <c r="I58873" s="102"/>
      <c r="J58873" s="8"/>
      <c r="K58873" s="8"/>
      <c r="L58873" s="8"/>
      <c r="M58873" s="8"/>
      <c r="N58873" s="8"/>
      <c r="O58873" s="8"/>
      <c r="P58873" s="8"/>
      <c r="Q58873" s="8"/>
      <c r="R58873" s="103"/>
      <c r="S58873" s="8"/>
      <c r="T58873" s="8"/>
      <c r="U58873" s="8"/>
      <c r="V58873" s="8"/>
      <c r="W58873" s="8"/>
      <c r="X58873" s="8"/>
      <c r="Y58873" s="8"/>
      <c r="Z58873" s="8"/>
      <c r="AA58873" s="8"/>
    </row>
    <row r="58874" spans="1:27" x14ac:dyDescent="0.25">
      <c r="A58874" s="8"/>
      <c r="B58874" s="8"/>
      <c r="C58874" s="99"/>
      <c r="D58874" s="8"/>
      <c r="E58874" s="8"/>
      <c r="F58874" s="8"/>
      <c r="G58874" s="8"/>
      <c r="H58874" s="8"/>
      <c r="I58874" s="102"/>
      <c r="J58874" s="8"/>
      <c r="K58874" s="8"/>
      <c r="L58874" s="8"/>
      <c r="M58874" s="8"/>
      <c r="N58874" s="8"/>
      <c r="O58874" s="8"/>
      <c r="P58874" s="8"/>
      <c r="Q58874" s="8"/>
      <c r="R58874" s="103"/>
      <c r="S58874" s="8"/>
      <c r="T58874" s="8"/>
      <c r="U58874" s="8"/>
      <c r="V58874" s="8"/>
      <c r="W58874" s="8"/>
      <c r="X58874" s="8"/>
      <c r="Y58874" s="8"/>
      <c r="Z58874" s="8"/>
      <c r="AA58874" s="8"/>
    </row>
    <row r="58875" spans="1:27" x14ac:dyDescent="0.25">
      <c r="A58875" s="8"/>
      <c r="B58875" s="8"/>
      <c r="C58875" s="99"/>
      <c r="D58875" s="8"/>
      <c r="E58875" s="8"/>
      <c r="F58875" s="8"/>
      <c r="G58875" s="8"/>
      <c r="H58875" s="8"/>
      <c r="I58875" s="102"/>
      <c r="J58875" s="8"/>
      <c r="K58875" s="8"/>
      <c r="L58875" s="8"/>
      <c r="M58875" s="8"/>
      <c r="N58875" s="8"/>
      <c r="O58875" s="8"/>
      <c r="P58875" s="8"/>
      <c r="Q58875" s="8"/>
      <c r="R58875" s="103"/>
      <c r="S58875" s="8"/>
      <c r="T58875" s="8"/>
      <c r="U58875" s="8"/>
      <c r="V58875" s="8"/>
      <c r="W58875" s="8"/>
      <c r="X58875" s="8"/>
      <c r="Y58875" s="8"/>
      <c r="Z58875" s="8"/>
      <c r="AA58875" s="8"/>
    </row>
    <row r="58876" spans="1:27" x14ac:dyDescent="0.25">
      <c r="A58876" s="8"/>
      <c r="B58876" s="8"/>
      <c r="C58876" s="99"/>
      <c r="D58876" s="8"/>
      <c r="E58876" s="8"/>
      <c r="F58876" s="8"/>
      <c r="G58876" s="8"/>
      <c r="H58876" s="8"/>
      <c r="I58876" s="102"/>
      <c r="J58876" s="8"/>
      <c r="K58876" s="8"/>
      <c r="L58876" s="8"/>
      <c r="M58876" s="8"/>
      <c r="N58876" s="8"/>
      <c r="O58876" s="8"/>
      <c r="P58876" s="8"/>
      <c r="Q58876" s="8"/>
      <c r="R58876" s="103"/>
      <c r="S58876" s="8"/>
      <c r="T58876" s="8"/>
      <c r="U58876" s="8"/>
      <c r="V58876" s="8"/>
      <c r="W58876" s="8"/>
      <c r="X58876" s="8"/>
      <c r="Y58876" s="8"/>
      <c r="Z58876" s="8"/>
      <c r="AA58876" s="8"/>
    </row>
    <row r="58877" spans="1:27" x14ac:dyDescent="0.25">
      <c r="A58877" s="8"/>
      <c r="B58877" s="8"/>
      <c r="C58877" s="99"/>
      <c r="D58877" s="8"/>
      <c r="E58877" s="8"/>
      <c r="F58877" s="8"/>
      <c r="G58877" s="8"/>
      <c r="H58877" s="8"/>
      <c r="I58877" s="102"/>
      <c r="J58877" s="8"/>
      <c r="K58877" s="8"/>
      <c r="L58877" s="8"/>
      <c r="M58877" s="8"/>
      <c r="N58877" s="8"/>
      <c r="O58877" s="8"/>
      <c r="P58877" s="8"/>
      <c r="Q58877" s="8"/>
      <c r="R58877" s="103"/>
      <c r="S58877" s="8"/>
      <c r="T58877" s="8"/>
      <c r="U58877" s="8"/>
      <c r="V58877" s="8"/>
      <c r="W58877" s="8"/>
      <c r="X58877" s="8"/>
      <c r="Y58877" s="8"/>
      <c r="Z58877" s="8"/>
      <c r="AA58877" s="8"/>
    </row>
    <row r="58878" spans="1:27" x14ac:dyDescent="0.25">
      <c r="A58878" s="8"/>
      <c r="B58878" s="8"/>
      <c r="C58878" s="99"/>
      <c r="D58878" s="8"/>
      <c r="E58878" s="8"/>
      <c r="F58878" s="8"/>
      <c r="G58878" s="8"/>
      <c r="H58878" s="8"/>
      <c r="I58878" s="102"/>
      <c r="J58878" s="8"/>
      <c r="K58878" s="8"/>
      <c r="L58878" s="8"/>
      <c r="M58878" s="8"/>
      <c r="N58878" s="8"/>
      <c r="O58878" s="8"/>
      <c r="P58878" s="8"/>
      <c r="Q58878" s="8"/>
      <c r="R58878" s="103"/>
      <c r="S58878" s="8"/>
      <c r="T58878" s="8"/>
      <c r="U58878" s="8"/>
      <c r="V58878" s="8"/>
      <c r="W58878" s="8"/>
      <c r="X58878" s="8"/>
      <c r="Y58878" s="8"/>
      <c r="Z58878" s="8"/>
      <c r="AA58878" s="8"/>
    </row>
    <row r="58879" spans="1:27" x14ac:dyDescent="0.25">
      <c r="A58879" s="8"/>
      <c r="B58879" s="8"/>
      <c r="C58879" s="99"/>
      <c r="D58879" s="8"/>
      <c r="E58879" s="8"/>
      <c r="F58879" s="8"/>
      <c r="G58879" s="8"/>
      <c r="H58879" s="8"/>
      <c r="I58879" s="102"/>
      <c r="J58879" s="8"/>
      <c r="K58879" s="8"/>
      <c r="L58879" s="8"/>
      <c r="M58879" s="8"/>
      <c r="N58879" s="8"/>
      <c r="O58879" s="8"/>
      <c r="P58879" s="8"/>
      <c r="Q58879" s="8"/>
      <c r="R58879" s="103"/>
      <c r="S58879" s="8"/>
      <c r="T58879" s="8"/>
      <c r="U58879" s="8"/>
      <c r="V58879" s="8"/>
      <c r="W58879" s="8"/>
      <c r="X58879" s="8"/>
      <c r="Y58879" s="8"/>
      <c r="Z58879" s="8"/>
      <c r="AA58879" s="8"/>
    </row>
    <row r="58880" spans="1:27" x14ac:dyDescent="0.25">
      <c r="A58880" s="8"/>
      <c r="B58880" s="8"/>
      <c r="C58880" s="99"/>
      <c r="D58880" s="8"/>
      <c r="E58880" s="8"/>
      <c r="F58880" s="8"/>
      <c r="G58880" s="8"/>
      <c r="H58880" s="8"/>
      <c r="I58880" s="102"/>
      <c r="J58880" s="8"/>
      <c r="K58880" s="8"/>
      <c r="L58880" s="8"/>
      <c r="M58880" s="8"/>
      <c r="N58880" s="8"/>
      <c r="O58880" s="8"/>
      <c r="P58880" s="8"/>
      <c r="Q58880" s="8"/>
      <c r="R58880" s="103"/>
      <c r="S58880" s="8"/>
      <c r="T58880" s="8"/>
      <c r="U58880" s="8"/>
      <c r="V58880" s="8"/>
      <c r="W58880" s="8"/>
      <c r="X58880" s="8"/>
      <c r="Y58880" s="8"/>
      <c r="Z58880" s="8"/>
      <c r="AA58880" s="8"/>
    </row>
    <row r="58881" spans="1:27" x14ac:dyDescent="0.25">
      <c r="A58881" s="8"/>
      <c r="B58881" s="8"/>
      <c r="C58881" s="99"/>
      <c r="D58881" s="8"/>
      <c r="E58881" s="8"/>
      <c r="F58881" s="8"/>
      <c r="G58881" s="8"/>
      <c r="H58881" s="8"/>
      <c r="I58881" s="102"/>
      <c r="J58881" s="8"/>
      <c r="K58881" s="8"/>
      <c r="L58881" s="8"/>
      <c r="M58881" s="8"/>
      <c r="N58881" s="8"/>
      <c r="O58881" s="8"/>
      <c r="P58881" s="8"/>
      <c r="Q58881" s="8"/>
      <c r="R58881" s="103"/>
      <c r="S58881" s="8"/>
      <c r="T58881" s="8"/>
      <c r="U58881" s="8"/>
      <c r="V58881" s="8"/>
      <c r="W58881" s="8"/>
      <c r="X58881" s="8"/>
      <c r="Y58881" s="8"/>
      <c r="Z58881" s="8"/>
      <c r="AA58881" s="8"/>
    </row>
    <row r="58882" spans="1:27" x14ac:dyDescent="0.25">
      <c r="A58882" s="8"/>
      <c r="B58882" s="8"/>
      <c r="C58882" s="99"/>
      <c r="D58882" s="8"/>
      <c r="E58882" s="8"/>
      <c r="F58882" s="8"/>
      <c r="G58882" s="8"/>
      <c r="H58882" s="8"/>
      <c r="I58882" s="102"/>
      <c r="J58882" s="8"/>
      <c r="K58882" s="8"/>
      <c r="L58882" s="8"/>
      <c r="M58882" s="8"/>
      <c r="N58882" s="8"/>
      <c r="O58882" s="8"/>
      <c r="P58882" s="8"/>
      <c r="Q58882" s="8"/>
      <c r="R58882" s="103"/>
      <c r="S58882" s="8"/>
      <c r="T58882" s="8"/>
      <c r="U58882" s="8"/>
      <c r="V58882" s="8"/>
      <c r="W58882" s="8"/>
      <c r="X58882" s="8"/>
      <c r="Y58882" s="8"/>
      <c r="Z58882" s="8"/>
      <c r="AA58882" s="8"/>
    </row>
    <row r="58883" spans="1:27" x14ac:dyDescent="0.25">
      <c r="A58883" s="8"/>
      <c r="B58883" s="8"/>
      <c r="C58883" s="99"/>
      <c r="D58883" s="8"/>
      <c r="E58883" s="8"/>
      <c r="F58883" s="8"/>
      <c r="G58883" s="8"/>
      <c r="H58883" s="8"/>
      <c r="I58883" s="102"/>
      <c r="J58883" s="8"/>
      <c r="K58883" s="8"/>
      <c r="L58883" s="8"/>
      <c r="M58883" s="8"/>
      <c r="N58883" s="8"/>
      <c r="O58883" s="8"/>
      <c r="P58883" s="8"/>
      <c r="Q58883" s="8"/>
      <c r="R58883" s="103"/>
      <c r="S58883" s="8"/>
      <c r="T58883" s="8"/>
      <c r="U58883" s="8"/>
      <c r="V58883" s="8"/>
      <c r="W58883" s="8"/>
      <c r="X58883" s="8"/>
      <c r="Y58883" s="8"/>
      <c r="Z58883" s="8"/>
      <c r="AA58883" s="8"/>
    </row>
    <row r="58884" spans="1:27" x14ac:dyDescent="0.25">
      <c r="A58884" s="8"/>
      <c r="B58884" s="8"/>
      <c r="C58884" s="99"/>
      <c r="D58884" s="8"/>
      <c r="E58884" s="8"/>
      <c r="F58884" s="8"/>
      <c r="G58884" s="8"/>
      <c r="H58884" s="8"/>
      <c r="I58884" s="102"/>
      <c r="J58884" s="8"/>
      <c r="K58884" s="8"/>
      <c r="L58884" s="8"/>
      <c r="M58884" s="8"/>
      <c r="N58884" s="8"/>
      <c r="O58884" s="8"/>
      <c r="P58884" s="8"/>
      <c r="Q58884" s="8"/>
      <c r="R58884" s="103"/>
      <c r="S58884" s="8"/>
      <c r="T58884" s="8"/>
      <c r="U58884" s="8"/>
      <c r="V58884" s="8"/>
      <c r="W58884" s="8"/>
      <c r="X58884" s="8"/>
      <c r="Y58884" s="8"/>
      <c r="Z58884" s="8"/>
      <c r="AA58884" s="8"/>
    </row>
    <row r="58885" spans="1:27" x14ac:dyDescent="0.25">
      <c r="A58885" s="8"/>
      <c r="B58885" s="8"/>
      <c r="C58885" s="99"/>
      <c r="D58885" s="8"/>
      <c r="E58885" s="8"/>
      <c r="F58885" s="8"/>
      <c r="G58885" s="8"/>
      <c r="H58885" s="8"/>
      <c r="I58885" s="102"/>
      <c r="J58885" s="8"/>
      <c r="K58885" s="8"/>
      <c r="L58885" s="8"/>
      <c r="M58885" s="8"/>
      <c r="N58885" s="8"/>
      <c r="O58885" s="8"/>
      <c r="P58885" s="8"/>
      <c r="Q58885" s="8"/>
      <c r="R58885" s="103"/>
      <c r="S58885" s="8"/>
      <c r="T58885" s="8"/>
      <c r="U58885" s="8"/>
      <c r="V58885" s="8"/>
      <c r="W58885" s="8"/>
      <c r="X58885" s="8"/>
      <c r="Y58885" s="8"/>
      <c r="Z58885" s="8"/>
      <c r="AA58885" s="8"/>
    </row>
    <row r="58886" spans="1:27" x14ac:dyDescent="0.25">
      <c r="A58886" s="8"/>
      <c r="B58886" s="8"/>
      <c r="C58886" s="99"/>
      <c r="D58886" s="8"/>
      <c r="E58886" s="8"/>
      <c r="F58886" s="8"/>
      <c r="G58886" s="8"/>
      <c r="H58886" s="8"/>
      <c r="I58886" s="102"/>
      <c r="J58886" s="8"/>
      <c r="K58886" s="8"/>
      <c r="L58886" s="8"/>
      <c r="M58886" s="8"/>
      <c r="N58886" s="8"/>
      <c r="O58886" s="8"/>
      <c r="P58886" s="8"/>
      <c r="Q58886" s="8"/>
      <c r="R58886" s="103"/>
      <c r="S58886" s="8"/>
      <c r="T58886" s="8"/>
      <c r="U58886" s="8"/>
      <c r="V58886" s="8"/>
      <c r="W58886" s="8"/>
      <c r="X58886" s="8"/>
      <c r="Y58886" s="8"/>
      <c r="Z58886" s="8"/>
      <c r="AA58886" s="8"/>
    </row>
    <row r="58887" spans="1:27" x14ac:dyDescent="0.25">
      <c r="A58887" s="8"/>
      <c r="B58887" s="8"/>
      <c r="C58887" s="99"/>
      <c r="D58887" s="8"/>
      <c r="E58887" s="8"/>
      <c r="F58887" s="8"/>
      <c r="G58887" s="8"/>
      <c r="H58887" s="8"/>
      <c r="I58887" s="102"/>
      <c r="J58887" s="8"/>
      <c r="K58887" s="8"/>
      <c r="L58887" s="8"/>
      <c r="M58887" s="8"/>
      <c r="N58887" s="8"/>
      <c r="O58887" s="8"/>
      <c r="P58887" s="8"/>
      <c r="Q58887" s="8"/>
      <c r="R58887" s="103"/>
      <c r="S58887" s="8"/>
      <c r="T58887" s="8"/>
      <c r="U58887" s="8"/>
      <c r="V58887" s="8"/>
      <c r="W58887" s="8"/>
      <c r="X58887" s="8"/>
      <c r="Y58887" s="8"/>
      <c r="Z58887" s="8"/>
      <c r="AA58887" s="8"/>
    </row>
    <row r="58888" spans="1:27" x14ac:dyDescent="0.25">
      <c r="A58888" s="8"/>
      <c r="B58888" s="8"/>
      <c r="C58888" s="99"/>
      <c r="D58888" s="8"/>
      <c r="E58888" s="8"/>
      <c r="F58888" s="8"/>
      <c r="G58888" s="8"/>
      <c r="H58888" s="8"/>
      <c r="I58888" s="102"/>
      <c r="J58888" s="8"/>
      <c r="K58888" s="8"/>
      <c r="L58888" s="8"/>
      <c r="M58888" s="8"/>
      <c r="N58888" s="8"/>
      <c r="O58888" s="8"/>
      <c r="P58888" s="8"/>
      <c r="Q58888" s="8"/>
      <c r="R58888" s="103"/>
      <c r="S58888" s="8"/>
      <c r="T58888" s="8"/>
      <c r="U58888" s="8"/>
      <c r="V58888" s="8"/>
      <c r="W58888" s="8"/>
      <c r="X58888" s="8"/>
      <c r="Y58888" s="8"/>
      <c r="Z58888" s="8"/>
      <c r="AA58888" s="8"/>
    </row>
    <row r="58889" spans="1:27" x14ac:dyDescent="0.25">
      <c r="A58889" s="8"/>
      <c r="B58889" s="8"/>
      <c r="C58889" s="99"/>
      <c r="D58889" s="8"/>
      <c r="E58889" s="8"/>
      <c r="F58889" s="8"/>
      <c r="G58889" s="8"/>
      <c r="H58889" s="8"/>
      <c r="I58889" s="102"/>
      <c r="J58889" s="8"/>
      <c r="K58889" s="8"/>
      <c r="L58889" s="8"/>
      <c r="M58889" s="8"/>
      <c r="N58889" s="8"/>
      <c r="O58889" s="8"/>
      <c r="P58889" s="8"/>
      <c r="Q58889" s="8"/>
      <c r="R58889" s="103"/>
      <c r="S58889" s="8"/>
      <c r="T58889" s="8"/>
      <c r="U58889" s="8"/>
      <c r="V58889" s="8"/>
      <c r="W58889" s="8"/>
      <c r="X58889" s="8"/>
      <c r="Y58889" s="8"/>
      <c r="Z58889" s="8"/>
      <c r="AA58889" s="8"/>
    </row>
    <row r="58890" spans="1:27" x14ac:dyDescent="0.25">
      <c r="A58890" s="8"/>
      <c r="B58890" s="8"/>
      <c r="C58890" s="99"/>
      <c r="D58890" s="8"/>
      <c r="E58890" s="8"/>
      <c r="F58890" s="8"/>
      <c r="G58890" s="8"/>
      <c r="H58890" s="8"/>
      <c r="I58890" s="102"/>
      <c r="J58890" s="8"/>
      <c r="K58890" s="8"/>
      <c r="L58890" s="8"/>
      <c r="M58890" s="8"/>
      <c r="N58890" s="8"/>
      <c r="O58890" s="8"/>
      <c r="P58890" s="8"/>
      <c r="Q58890" s="8"/>
      <c r="R58890" s="103"/>
      <c r="S58890" s="8"/>
      <c r="T58890" s="8"/>
      <c r="U58890" s="8"/>
      <c r="V58890" s="8"/>
      <c r="W58890" s="8"/>
      <c r="X58890" s="8"/>
      <c r="Y58890" s="8"/>
      <c r="Z58890" s="8"/>
      <c r="AA58890" s="8"/>
    </row>
    <row r="58891" spans="1:27" x14ac:dyDescent="0.25">
      <c r="A58891" s="8"/>
      <c r="B58891" s="8"/>
      <c r="C58891" s="99"/>
      <c r="D58891" s="8"/>
      <c r="E58891" s="8"/>
      <c r="F58891" s="8"/>
      <c r="G58891" s="8"/>
      <c r="H58891" s="8"/>
      <c r="I58891" s="102"/>
      <c r="J58891" s="8"/>
      <c r="K58891" s="8"/>
      <c r="L58891" s="8"/>
      <c r="M58891" s="8"/>
      <c r="N58891" s="8"/>
      <c r="O58891" s="8"/>
      <c r="P58891" s="8"/>
      <c r="Q58891" s="8"/>
      <c r="R58891" s="103"/>
      <c r="S58891" s="8"/>
      <c r="T58891" s="8"/>
      <c r="U58891" s="8"/>
      <c r="V58891" s="8"/>
      <c r="W58891" s="8"/>
      <c r="X58891" s="8"/>
      <c r="Y58891" s="8"/>
      <c r="Z58891" s="8"/>
      <c r="AA58891" s="8"/>
    </row>
    <row r="58892" spans="1:27" x14ac:dyDescent="0.25">
      <c r="A58892" s="8"/>
      <c r="B58892" s="8"/>
      <c r="C58892" s="99"/>
      <c r="D58892" s="8"/>
      <c r="E58892" s="8"/>
      <c r="F58892" s="8"/>
      <c r="G58892" s="8"/>
      <c r="H58892" s="8"/>
      <c r="I58892" s="102"/>
      <c r="J58892" s="8"/>
      <c r="K58892" s="8"/>
      <c r="L58892" s="8"/>
      <c r="M58892" s="8"/>
      <c r="N58892" s="8"/>
      <c r="O58892" s="8"/>
      <c r="P58892" s="8"/>
      <c r="Q58892" s="8"/>
      <c r="R58892" s="103"/>
      <c r="S58892" s="8"/>
      <c r="T58892" s="8"/>
      <c r="U58892" s="8"/>
      <c r="V58892" s="8"/>
      <c r="W58892" s="8"/>
      <c r="X58892" s="8"/>
      <c r="Y58892" s="8"/>
      <c r="Z58892" s="8"/>
      <c r="AA58892" s="8"/>
    </row>
    <row r="58893" spans="1:27" x14ac:dyDescent="0.25">
      <c r="A58893" s="8"/>
      <c r="B58893" s="8"/>
      <c r="C58893" s="99"/>
      <c r="D58893" s="8"/>
      <c r="E58893" s="8"/>
      <c r="F58893" s="8"/>
      <c r="G58893" s="8"/>
      <c r="H58893" s="8"/>
      <c r="I58893" s="102"/>
      <c r="J58893" s="8"/>
      <c r="K58893" s="8"/>
      <c r="L58893" s="8"/>
      <c r="M58893" s="8"/>
      <c r="N58893" s="8"/>
      <c r="O58893" s="8"/>
      <c r="P58893" s="8"/>
      <c r="Q58893" s="8"/>
      <c r="R58893" s="103"/>
      <c r="S58893" s="8"/>
      <c r="T58893" s="8"/>
      <c r="U58893" s="8"/>
      <c r="V58893" s="8"/>
      <c r="W58893" s="8"/>
      <c r="X58893" s="8"/>
      <c r="Y58893" s="8"/>
      <c r="Z58893" s="8"/>
      <c r="AA58893" s="8"/>
    </row>
    <row r="58894" spans="1:27" x14ac:dyDescent="0.25">
      <c r="A58894" s="8"/>
      <c r="B58894" s="8"/>
      <c r="C58894" s="99"/>
      <c r="D58894" s="8"/>
      <c r="E58894" s="8"/>
      <c r="F58894" s="8"/>
      <c r="G58894" s="8"/>
      <c r="H58894" s="8"/>
      <c r="I58894" s="102"/>
      <c r="J58894" s="8"/>
      <c r="K58894" s="8"/>
      <c r="L58894" s="8"/>
      <c r="M58894" s="8"/>
      <c r="N58894" s="8"/>
      <c r="O58894" s="8"/>
      <c r="P58894" s="8"/>
      <c r="Q58894" s="8"/>
      <c r="R58894" s="103"/>
      <c r="S58894" s="8"/>
      <c r="T58894" s="8"/>
      <c r="U58894" s="8"/>
      <c r="V58894" s="8"/>
      <c r="W58894" s="8"/>
      <c r="X58894" s="8"/>
      <c r="Y58894" s="8"/>
      <c r="Z58894" s="8"/>
      <c r="AA58894" s="8"/>
    </row>
    <row r="58895" spans="1:27" x14ac:dyDescent="0.25">
      <c r="A58895" s="8"/>
      <c r="B58895" s="8"/>
      <c r="C58895" s="99"/>
      <c r="D58895" s="8"/>
      <c r="E58895" s="8"/>
      <c r="F58895" s="8"/>
      <c r="G58895" s="8"/>
      <c r="H58895" s="8"/>
      <c r="I58895" s="102"/>
      <c r="J58895" s="8"/>
      <c r="K58895" s="8"/>
      <c r="L58895" s="8"/>
      <c r="M58895" s="8"/>
      <c r="N58895" s="8"/>
      <c r="O58895" s="8"/>
      <c r="P58895" s="8"/>
      <c r="Q58895" s="8"/>
      <c r="R58895" s="103"/>
      <c r="S58895" s="8"/>
      <c r="T58895" s="8"/>
      <c r="U58895" s="8"/>
      <c r="V58895" s="8"/>
      <c r="W58895" s="8"/>
      <c r="X58895" s="8"/>
      <c r="Y58895" s="8"/>
      <c r="Z58895" s="8"/>
      <c r="AA58895" s="8"/>
    </row>
    <row r="58896" spans="1:27" x14ac:dyDescent="0.25">
      <c r="A58896" s="8"/>
      <c r="B58896" s="8"/>
      <c r="C58896" s="99"/>
      <c r="D58896" s="8"/>
      <c r="E58896" s="8"/>
      <c r="F58896" s="8"/>
      <c r="G58896" s="8"/>
      <c r="H58896" s="8"/>
      <c r="I58896" s="102"/>
      <c r="J58896" s="8"/>
      <c r="K58896" s="8"/>
      <c r="L58896" s="8"/>
      <c r="M58896" s="8"/>
      <c r="N58896" s="8"/>
      <c r="O58896" s="8"/>
      <c r="P58896" s="8"/>
      <c r="Q58896" s="8"/>
      <c r="R58896" s="103"/>
      <c r="S58896" s="8"/>
      <c r="T58896" s="8"/>
      <c r="U58896" s="8"/>
      <c r="V58896" s="8"/>
      <c r="W58896" s="8"/>
      <c r="X58896" s="8"/>
      <c r="Y58896" s="8"/>
      <c r="Z58896" s="8"/>
      <c r="AA58896" s="8"/>
    </row>
    <row r="58897" spans="1:27" x14ac:dyDescent="0.25">
      <c r="A58897" s="8"/>
      <c r="B58897" s="8"/>
      <c r="C58897" s="99"/>
      <c r="D58897" s="8"/>
      <c r="E58897" s="8"/>
      <c r="F58897" s="8"/>
      <c r="G58897" s="8"/>
      <c r="H58897" s="8"/>
      <c r="I58897" s="102"/>
      <c r="J58897" s="8"/>
      <c r="K58897" s="8"/>
      <c r="L58897" s="8"/>
      <c r="M58897" s="8"/>
      <c r="N58897" s="8"/>
      <c r="O58897" s="8"/>
      <c r="P58897" s="8"/>
      <c r="Q58897" s="8"/>
      <c r="R58897" s="103"/>
      <c r="S58897" s="8"/>
      <c r="T58897" s="8"/>
      <c r="U58897" s="8"/>
      <c r="V58897" s="8"/>
      <c r="W58897" s="8"/>
      <c r="X58897" s="8"/>
      <c r="Y58897" s="8"/>
      <c r="Z58897" s="8"/>
      <c r="AA58897" s="8"/>
    </row>
    <row r="58898" spans="1:27" x14ac:dyDescent="0.25">
      <c r="A58898" s="8"/>
      <c r="B58898" s="8"/>
      <c r="C58898" s="99"/>
      <c r="D58898" s="8"/>
      <c r="E58898" s="8"/>
      <c r="F58898" s="8"/>
      <c r="G58898" s="8"/>
      <c r="H58898" s="8"/>
      <c r="I58898" s="102"/>
      <c r="J58898" s="8"/>
      <c r="K58898" s="8"/>
      <c r="L58898" s="8"/>
      <c r="M58898" s="8"/>
      <c r="N58898" s="8"/>
      <c r="O58898" s="8"/>
      <c r="P58898" s="8"/>
      <c r="Q58898" s="8"/>
      <c r="R58898" s="103"/>
      <c r="S58898" s="8"/>
      <c r="T58898" s="8"/>
      <c r="U58898" s="8"/>
      <c r="V58898" s="8"/>
      <c r="W58898" s="8"/>
      <c r="X58898" s="8"/>
      <c r="Y58898" s="8"/>
      <c r="Z58898" s="8"/>
      <c r="AA58898" s="8"/>
    </row>
    <row r="58899" spans="1:27" x14ac:dyDescent="0.25">
      <c r="A58899" s="8"/>
      <c r="B58899" s="8"/>
      <c r="C58899" s="99"/>
      <c r="D58899" s="8"/>
      <c r="E58899" s="8"/>
      <c r="F58899" s="8"/>
      <c r="G58899" s="8"/>
      <c r="H58899" s="8"/>
      <c r="I58899" s="102"/>
      <c r="J58899" s="8"/>
      <c r="K58899" s="8"/>
      <c r="L58899" s="8"/>
      <c r="M58899" s="8"/>
      <c r="N58899" s="8"/>
      <c r="O58899" s="8"/>
      <c r="P58899" s="8"/>
      <c r="Q58899" s="8"/>
      <c r="R58899" s="103"/>
      <c r="S58899" s="8"/>
      <c r="T58899" s="8"/>
      <c r="U58899" s="8"/>
      <c r="V58899" s="8"/>
      <c r="W58899" s="8"/>
      <c r="X58899" s="8"/>
      <c r="Y58899" s="8"/>
      <c r="Z58899" s="8"/>
      <c r="AA58899" s="8"/>
    </row>
    <row r="58900" spans="1:27" x14ac:dyDescent="0.25">
      <c r="A58900" s="8"/>
      <c r="B58900" s="8"/>
      <c r="C58900" s="99"/>
      <c r="D58900" s="8"/>
      <c r="E58900" s="8"/>
      <c r="F58900" s="8"/>
      <c r="G58900" s="8"/>
      <c r="H58900" s="8"/>
      <c r="I58900" s="102"/>
      <c r="J58900" s="8"/>
      <c r="K58900" s="8"/>
      <c r="L58900" s="8"/>
      <c r="M58900" s="8"/>
      <c r="N58900" s="8"/>
      <c r="O58900" s="8"/>
      <c r="P58900" s="8"/>
      <c r="Q58900" s="8"/>
      <c r="R58900" s="103"/>
      <c r="S58900" s="8"/>
      <c r="T58900" s="8"/>
      <c r="U58900" s="8"/>
      <c r="V58900" s="8"/>
      <c r="W58900" s="8"/>
      <c r="X58900" s="8"/>
      <c r="Y58900" s="8"/>
      <c r="Z58900" s="8"/>
      <c r="AA58900" s="8"/>
    </row>
    <row r="58901" spans="1:27" x14ac:dyDescent="0.25">
      <c r="A58901" s="8"/>
      <c r="B58901" s="8"/>
      <c r="C58901" s="99"/>
      <c r="D58901" s="8"/>
      <c r="E58901" s="8"/>
      <c r="F58901" s="8"/>
      <c r="G58901" s="8"/>
      <c r="H58901" s="8"/>
      <c r="I58901" s="102"/>
      <c r="J58901" s="8"/>
      <c r="K58901" s="8"/>
      <c r="L58901" s="8"/>
      <c r="M58901" s="8"/>
      <c r="N58901" s="8"/>
      <c r="O58901" s="8"/>
      <c r="P58901" s="8"/>
      <c r="Q58901" s="8"/>
      <c r="R58901" s="103"/>
      <c r="S58901" s="8"/>
      <c r="T58901" s="8"/>
      <c r="U58901" s="8"/>
      <c r="V58901" s="8"/>
      <c r="W58901" s="8"/>
      <c r="X58901" s="8"/>
      <c r="Y58901" s="8"/>
      <c r="Z58901" s="8"/>
      <c r="AA58901" s="8"/>
    </row>
    <row r="58902" spans="1:27" x14ac:dyDescent="0.25">
      <c r="A58902" s="8"/>
      <c r="B58902" s="8"/>
      <c r="C58902" s="99"/>
      <c r="D58902" s="8"/>
      <c r="E58902" s="8"/>
      <c r="F58902" s="8"/>
      <c r="G58902" s="8"/>
      <c r="H58902" s="8"/>
      <c r="I58902" s="102"/>
      <c r="J58902" s="8"/>
      <c r="K58902" s="8"/>
      <c r="L58902" s="8"/>
      <c r="M58902" s="8"/>
      <c r="N58902" s="8"/>
      <c r="O58902" s="8"/>
      <c r="P58902" s="8"/>
      <c r="Q58902" s="8"/>
      <c r="R58902" s="103"/>
      <c r="S58902" s="8"/>
      <c r="T58902" s="8"/>
      <c r="U58902" s="8"/>
      <c r="V58902" s="8"/>
      <c r="W58902" s="8"/>
      <c r="X58902" s="8"/>
      <c r="Y58902" s="8"/>
      <c r="Z58902" s="8"/>
      <c r="AA58902" s="8"/>
    </row>
    <row r="58903" spans="1:27" x14ac:dyDescent="0.25">
      <c r="A58903" s="8"/>
      <c r="B58903" s="8"/>
      <c r="C58903" s="99"/>
      <c r="D58903" s="8"/>
      <c r="E58903" s="8"/>
      <c r="F58903" s="8"/>
      <c r="G58903" s="8"/>
      <c r="H58903" s="8"/>
      <c r="I58903" s="102"/>
      <c r="J58903" s="8"/>
      <c r="K58903" s="8"/>
      <c r="L58903" s="8"/>
      <c r="M58903" s="8"/>
      <c r="N58903" s="8"/>
      <c r="O58903" s="8"/>
      <c r="P58903" s="8"/>
      <c r="Q58903" s="8"/>
      <c r="R58903" s="103"/>
      <c r="S58903" s="8"/>
      <c r="T58903" s="8"/>
      <c r="U58903" s="8"/>
      <c r="V58903" s="8"/>
      <c r="W58903" s="8"/>
      <c r="X58903" s="8"/>
      <c r="Y58903" s="8"/>
      <c r="Z58903" s="8"/>
      <c r="AA58903" s="8"/>
    </row>
    <row r="58904" spans="1:27" x14ac:dyDescent="0.25">
      <c r="A58904" s="8"/>
      <c r="B58904" s="8"/>
      <c r="C58904" s="99"/>
      <c r="D58904" s="8"/>
      <c r="E58904" s="8"/>
      <c r="F58904" s="8"/>
      <c r="G58904" s="8"/>
      <c r="H58904" s="8"/>
      <c r="I58904" s="102"/>
      <c r="J58904" s="8"/>
      <c r="K58904" s="8"/>
      <c r="L58904" s="8"/>
      <c r="M58904" s="8"/>
      <c r="N58904" s="8"/>
      <c r="O58904" s="8"/>
      <c r="P58904" s="8"/>
      <c r="Q58904" s="8"/>
      <c r="R58904" s="103"/>
      <c r="S58904" s="8"/>
      <c r="T58904" s="8"/>
      <c r="U58904" s="8"/>
      <c r="V58904" s="8"/>
      <c r="W58904" s="8"/>
      <c r="X58904" s="8"/>
      <c r="Y58904" s="8"/>
      <c r="Z58904" s="8"/>
      <c r="AA58904" s="8"/>
    </row>
    <row r="58905" spans="1:27" x14ac:dyDescent="0.25">
      <c r="A58905" s="8"/>
      <c r="B58905" s="8"/>
      <c r="C58905" s="99"/>
      <c r="D58905" s="8"/>
      <c r="E58905" s="8"/>
      <c r="F58905" s="8"/>
      <c r="G58905" s="8"/>
      <c r="H58905" s="8"/>
      <c r="I58905" s="102"/>
      <c r="J58905" s="8"/>
      <c r="K58905" s="8"/>
      <c r="L58905" s="8"/>
      <c r="M58905" s="8"/>
      <c r="N58905" s="8"/>
      <c r="O58905" s="8"/>
      <c r="P58905" s="8"/>
      <c r="Q58905" s="8"/>
      <c r="R58905" s="103"/>
      <c r="S58905" s="8"/>
      <c r="T58905" s="8"/>
      <c r="U58905" s="8"/>
      <c r="V58905" s="8"/>
      <c r="W58905" s="8"/>
      <c r="X58905" s="8"/>
      <c r="Y58905" s="8"/>
      <c r="Z58905" s="8"/>
      <c r="AA58905" s="8"/>
    </row>
    <row r="58906" spans="1:27" x14ac:dyDescent="0.25">
      <c r="A58906" s="8"/>
      <c r="B58906" s="8"/>
      <c r="C58906" s="99"/>
      <c r="D58906" s="8"/>
      <c r="E58906" s="8"/>
      <c r="F58906" s="8"/>
      <c r="G58906" s="8"/>
      <c r="H58906" s="8"/>
      <c r="I58906" s="102"/>
      <c r="J58906" s="8"/>
      <c r="K58906" s="8"/>
      <c r="L58906" s="8"/>
      <c r="M58906" s="8"/>
      <c r="N58906" s="8"/>
      <c r="O58906" s="8"/>
      <c r="P58906" s="8"/>
      <c r="Q58906" s="8"/>
      <c r="R58906" s="103"/>
      <c r="S58906" s="8"/>
      <c r="T58906" s="8"/>
      <c r="U58906" s="8"/>
      <c r="V58906" s="8"/>
      <c r="W58906" s="8"/>
      <c r="X58906" s="8"/>
      <c r="Y58906" s="8"/>
      <c r="Z58906" s="8"/>
      <c r="AA58906" s="8"/>
    </row>
    <row r="58907" spans="1:27" x14ac:dyDescent="0.25">
      <c r="A58907" s="8"/>
      <c r="B58907" s="8"/>
      <c r="C58907" s="99"/>
      <c r="D58907" s="8"/>
      <c r="E58907" s="8"/>
      <c r="F58907" s="8"/>
      <c r="G58907" s="8"/>
      <c r="H58907" s="8"/>
      <c r="I58907" s="102"/>
      <c r="J58907" s="8"/>
      <c r="K58907" s="8"/>
      <c r="L58907" s="8"/>
      <c r="M58907" s="8"/>
      <c r="N58907" s="8"/>
      <c r="O58907" s="8"/>
      <c r="P58907" s="8"/>
      <c r="Q58907" s="8"/>
      <c r="R58907" s="103"/>
      <c r="S58907" s="8"/>
      <c r="T58907" s="8"/>
      <c r="U58907" s="8"/>
      <c r="V58907" s="8"/>
      <c r="W58907" s="8"/>
      <c r="X58907" s="8"/>
      <c r="Y58907" s="8"/>
      <c r="Z58907" s="8"/>
      <c r="AA58907" s="8"/>
    </row>
    <row r="58908" spans="1:27" x14ac:dyDescent="0.25">
      <c r="A58908" s="8"/>
      <c r="B58908" s="8"/>
      <c r="C58908" s="99"/>
      <c r="D58908" s="8"/>
      <c r="E58908" s="8"/>
      <c r="F58908" s="8"/>
      <c r="G58908" s="8"/>
      <c r="H58908" s="8"/>
      <c r="I58908" s="102"/>
      <c r="J58908" s="8"/>
      <c r="K58908" s="8"/>
      <c r="L58908" s="8"/>
      <c r="M58908" s="8"/>
      <c r="N58908" s="8"/>
      <c r="O58908" s="8"/>
      <c r="P58908" s="8"/>
      <c r="Q58908" s="8"/>
      <c r="R58908" s="103"/>
      <c r="S58908" s="8"/>
      <c r="T58908" s="8"/>
      <c r="U58908" s="8"/>
      <c r="V58908" s="8"/>
      <c r="W58908" s="8"/>
      <c r="X58908" s="8"/>
      <c r="Y58908" s="8"/>
      <c r="Z58908" s="8"/>
      <c r="AA58908" s="8"/>
    </row>
    <row r="58909" spans="1:27" x14ac:dyDescent="0.25">
      <c r="A58909" s="8"/>
      <c r="B58909" s="8"/>
      <c r="C58909" s="99"/>
      <c r="D58909" s="8"/>
      <c r="E58909" s="8"/>
      <c r="F58909" s="8"/>
      <c r="G58909" s="8"/>
      <c r="H58909" s="8"/>
      <c r="I58909" s="102"/>
      <c r="J58909" s="8"/>
      <c r="K58909" s="8"/>
      <c r="L58909" s="8"/>
      <c r="M58909" s="8"/>
      <c r="N58909" s="8"/>
      <c r="O58909" s="8"/>
      <c r="P58909" s="8"/>
      <c r="Q58909" s="8"/>
      <c r="R58909" s="103"/>
      <c r="S58909" s="8"/>
      <c r="T58909" s="8"/>
      <c r="U58909" s="8"/>
      <c r="V58909" s="8"/>
      <c r="W58909" s="8"/>
      <c r="X58909" s="8"/>
      <c r="Y58909" s="8"/>
      <c r="Z58909" s="8"/>
      <c r="AA58909" s="8"/>
    </row>
    <row r="58910" spans="1:27" x14ac:dyDescent="0.25">
      <c r="A58910" s="8"/>
      <c r="B58910" s="8"/>
      <c r="C58910" s="99"/>
      <c r="D58910" s="8"/>
      <c r="E58910" s="8"/>
      <c r="F58910" s="8"/>
      <c r="G58910" s="8"/>
      <c r="H58910" s="8"/>
      <c r="I58910" s="102"/>
      <c r="J58910" s="8"/>
      <c r="K58910" s="8"/>
      <c r="L58910" s="8"/>
      <c r="M58910" s="8"/>
      <c r="N58910" s="8"/>
      <c r="O58910" s="8"/>
      <c r="P58910" s="8"/>
      <c r="Q58910" s="8"/>
      <c r="R58910" s="103"/>
      <c r="S58910" s="8"/>
      <c r="T58910" s="8"/>
      <c r="U58910" s="8"/>
      <c r="V58910" s="8"/>
      <c r="W58910" s="8"/>
      <c r="X58910" s="8"/>
      <c r="Y58910" s="8"/>
      <c r="Z58910" s="8"/>
      <c r="AA58910" s="8"/>
    </row>
    <row r="58911" spans="1:27" x14ac:dyDescent="0.25">
      <c r="A58911" s="8"/>
      <c r="B58911" s="8"/>
      <c r="C58911" s="99"/>
      <c r="D58911" s="8"/>
      <c r="E58911" s="8"/>
      <c r="F58911" s="8"/>
      <c r="G58911" s="8"/>
      <c r="H58911" s="8"/>
      <c r="I58911" s="102"/>
      <c r="J58911" s="8"/>
      <c r="K58911" s="8"/>
      <c r="L58911" s="8"/>
      <c r="M58911" s="8"/>
      <c r="N58911" s="8"/>
      <c r="O58911" s="8"/>
      <c r="P58911" s="8"/>
      <c r="Q58911" s="8"/>
      <c r="R58911" s="103"/>
      <c r="S58911" s="8"/>
      <c r="T58911" s="8"/>
      <c r="U58911" s="8"/>
      <c r="V58911" s="8"/>
      <c r="W58911" s="8"/>
      <c r="X58911" s="8"/>
      <c r="Y58911" s="8"/>
      <c r="Z58911" s="8"/>
      <c r="AA58911" s="8"/>
    </row>
    <row r="58912" spans="1:27" x14ac:dyDescent="0.25">
      <c r="A58912" s="8"/>
      <c r="B58912" s="8"/>
      <c r="C58912" s="99"/>
      <c r="D58912" s="8"/>
      <c r="E58912" s="8"/>
      <c r="F58912" s="8"/>
      <c r="G58912" s="8"/>
      <c r="H58912" s="8"/>
      <c r="I58912" s="102"/>
      <c r="J58912" s="8"/>
      <c r="K58912" s="8"/>
      <c r="L58912" s="8"/>
      <c r="M58912" s="8"/>
      <c r="N58912" s="8"/>
      <c r="O58912" s="8"/>
      <c r="P58912" s="8"/>
      <c r="Q58912" s="8"/>
      <c r="R58912" s="103"/>
      <c r="S58912" s="8"/>
      <c r="T58912" s="8"/>
      <c r="U58912" s="8"/>
      <c r="V58912" s="8"/>
      <c r="W58912" s="8"/>
      <c r="X58912" s="8"/>
      <c r="Y58912" s="8"/>
      <c r="Z58912" s="8"/>
      <c r="AA58912" s="8"/>
    </row>
    <row r="58913" spans="1:27" x14ac:dyDescent="0.25">
      <c r="A58913" s="8"/>
      <c r="B58913" s="8"/>
      <c r="C58913" s="99"/>
      <c r="D58913" s="8"/>
      <c r="E58913" s="8"/>
      <c r="F58913" s="8"/>
      <c r="G58913" s="8"/>
      <c r="H58913" s="8"/>
      <c r="I58913" s="102"/>
      <c r="J58913" s="8"/>
      <c r="K58913" s="8"/>
      <c r="L58913" s="8"/>
      <c r="M58913" s="8"/>
      <c r="N58913" s="8"/>
      <c r="O58913" s="8"/>
      <c r="P58913" s="8"/>
      <c r="Q58913" s="8"/>
      <c r="R58913" s="103"/>
      <c r="S58913" s="8"/>
      <c r="T58913" s="8"/>
      <c r="U58913" s="8"/>
      <c r="V58913" s="8"/>
      <c r="W58913" s="8"/>
      <c r="X58913" s="8"/>
      <c r="Y58913" s="8"/>
      <c r="Z58913" s="8"/>
      <c r="AA58913" s="8"/>
    </row>
    <row r="58914" spans="1:27" x14ac:dyDescent="0.25">
      <c r="A58914" s="8"/>
      <c r="B58914" s="8"/>
      <c r="C58914" s="99"/>
      <c r="D58914" s="8"/>
      <c r="E58914" s="8"/>
      <c r="F58914" s="8"/>
      <c r="G58914" s="8"/>
      <c r="H58914" s="8"/>
      <c r="I58914" s="102"/>
      <c r="J58914" s="8"/>
      <c r="K58914" s="8"/>
      <c r="L58914" s="8"/>
      <c r="M58914" s="8"/>
      <c r="N58914" s="8"/>
      <c r="O58914" s="8"/>
      <c r="P58914" s="8"/>
      <c r="Q58914" s="8"/>
      <c r="R58914" s="103"/>
      <c r="S58914" s="8"/>
      <c r="T58914" s="8"/>
      <c r="U58914" s="8"/>
      <c r="V58914" s="8"/>
      <c r="W58914" s="8"/>
      <c r="X58914" s="8"/>
      <c r="Y58914" s="8"/>
      <c r="Z58914" s="8"/>
      <c r="AA58914" s="8"/>
    </row>
    <row r="58915" spans="1:27" x14ac:dyDescent="0.25">
      <c r="A58915" s="8"/>
      <c r="B58915" s="8"/>
      <c r="C58915" s="99"/>
      <c r="D58915" s="8"/>
      <c r="E58915" s="8"/>
      <c r="F58915" s="8"/>
      <c r="G58915" s="8"/>
      <c r="H58915" s="8"/>
      <c r="I58915" s="102"/>
      <c r="J58915" s="8"/>
      <c r="K58915" s="8"/>
      <c r="L58915" s="8"/>
      <c r="M58915" s="8"/>
      <c r="N58915" s="8"/>
      <c r="O58915" s="8"/>
      <c r="P58915" s="8"/>
      <c r="Q58915" s="8"/>
      <c r="R58915" s="103"/>
      <c r="S58915" s="8"/>
      <c r="T58915" s="8"/>
      <c r="U58915" s="8"/>
      <c r="V58915" s="8"/>
      <c r="W58915" s="8"/>
      <c r="X58915" s="8"/>
      <c r="Y58915" s="8"/>
      <c r="Z58915" s="8"/>
      <c r="AA58915" s="8"/>
    </row>
    <row r="58916" spans="1:27" x14ac:dyDescent="0.25">
      <c r="A58916" s="8"/>
      <c r="B58916" s="8"/>
      <c r="C58916" s="99"/>
      <c r="D58916" s="8"/>
      <c r="E58916" s="8"/>
      <c r="F58916" s="8"/>
      <c r="G58916" s="8"/>
      <c r="H58916" s="8"/>
      <c r="I58916" s="102"/>
      <c r="J58916" s="8"/>
      <c r="K58916" s="8"/>
      <c r="L58916" s="8"/>
      <c r="M58916" s="8"/>
      <c r="N58916" s="8"/>
      <c r="O58916" s="8"/>
      <c r="P58916" s="8"/>
      <c r="Q58916" s="8"/>
      <c r="R58916" s="103"/>
      <c r="S58916" s="8"/>
      <c r="T58916" s="8"/>
      <c r="U58916" s="8"/>
      <c r="V58916" s="8"/>
      <c r="W58916" s="8"/>
      <c r="X58916" s="8"/>
      <c r="Y58916" s="8"/>
      <c r="Z58916" s="8"/>
      <c r="AA58916" s="8"/>
    </row>
    <row r="58917" spans="1:27" x14ac:dyDescent="0.25">
      <c r="A58917" s="8"/>
      <c r="B58917" s="8"/>
      <c r="C58917" s="99"/>
      <c r="D58917" s="8"/>
      <c r="E58917" s="8"/>
      <c r="F58917" s="8"/>
      <c r="G58917" s="8"/>
      <c r="H58917" s="8"/>
      <c r="I58917" s="102"/>
      <c r="J58917" s="8"/>
      <c r="K58917" s="8"/>
      <c r="L58917" s="8"/>
      <c r="M58917" s="8"/>
      <c r="N58917" s="8"/>
      <c r="O58917" s="8"/>
      <c r="P58917" s="8"/>
      <c r="Q58917" s="8"/>
      <c r="R58917" s="103"/>
      <c r="S58917" s="8"/>
      <c r="T58917" s="8"/>
      <c r="U58917" s="8"/>
      <c r="V58917" s="8"/>
      <c r="W58917" s="8"/>
      <c r="X58917" s="8"/>
      <c r="Y58917" s="8"/>
      <c r="Z58917" s="8"/>
      <c r="AA58917" s="8"/>
    </row>
    <row r="58918" spans="1:27" x14ac:dyDescent="0.25">
      <c r="A58918" s="8"/>
      <c r="B58918" s="8"/>
      <c r="C58918" s="99"/>
      <c r="D58918" s="8"/>
      <c r="E58918" s="8"/>
      <c r="F58918" s="8"/>
      <c r="G58918" s="8"/>
      <c r="H58918" s="8"/>
      <c r="I58918" s="102"/>
      <c r="J58918" s="8"/>
      <c r="K58918" s="8"/>
      <c r="L58918" s="8"/>
      <c r="M58918" s="8"/>
      <c r="N58918" s="8"/>
      <c r="O58918" s="8"/>
      <c r="P58918" s="8"/>
      <c r="Q58918" s="8"/>
      <c r="R58918" s="103"/>
      <c r="S58918" s="8"/>
      <c r="T58918" s="8"/>
      <c r="U58918" s="8"/>
      <c r="V58918" s="8"/>
      <c r="W58918" s="8"/>
      <c r="X58918" s="8"/>
      <c r="Y58918" s="8"/>
      <c r="Z58918" s="8"/>
      <c r="AA58918" s="8"/>
    </row>
    <row r="58919" spans="1:27" x14ac:dyDescent="0.25">
      <c r="A58919" s="8"/>
      <c r="B58919" s="8"/>
      <c r="C58919" s="99"/>
      <c r="D58919" s="8"/>
      <c r="E58919" s="8"/>
      <c r="F58919" s="8"/>
      <c r="G58919" s="8"/>
      <c r="H58919" s="8"/>
      <c r="I58919" s="102"/>
      <c r="J58919" s="8"/>
      <c r="K58919" s="8"/>
      <c r="L58919" s="8"/>
      <c r="M58919" s="8"/>
      <c r="N58919" s="8"/>
      <c r="O58919" s="8"/>
      <c r="P58919" s="8"/>
      <c r="Q58919" s="8"/>
      <c r="R58919" s="103"/>
      <c r="S58919" s="8"/>
      <c r="T58919" s="8"/>
      <c r="U58919" s="8"/>
      <c r="V58919" s="8"/>
      <c r="W58919" s="8"/>
      <c r="X58919" s="8"/>
      <c r="Y58919" s="8"/>
      <c r="Z58919" s="8"/>
      <c r="AA58919" s="8"/>
    </row>
    <row r="58920" spans="1:27" x14ac:dyDescent="0.25">
      <c r="A58920" s="8"/>
      <c r="B58920" s="8"/>
      <c r="C58920" s="99"/>
      <c r="D58920" s="8"/>
      <c r="E58920" s="8"/>
      <c r="F58920" s="8"/>
      <c r="G58920" s="8"/>
      <c r="H58920" s="8"/>
      <c r="I58920" s="102"/>
      <c r="J58920" s="8"/>
      <c r="K58920" s="8"/>
      <c r="L58920" s="8"/>
      <c r="M58920" s="8"/>
      <c r="N58920" s="8"/>
      <c r="O58920" s="8"/>
      <c r="P58920" s="8"/>
      <c r="Q58920" s="8"/>
      <c r="R58920" s="103"/>
      <c r="S58920" s="8"/>
      <c r="T58920" s="8"/>
      <c r="U58920" s="8"/>
      <c r="V58920" s="8"/>
      <c r="W58920" s="8"/>
      <c r="X58920" s="8"/>
      <c r="Y58920" s="8"/>
      <c r="Z58920" s="8"/>
      <c r="AA58920" s="8"/>
    </row>
    <row r="58921" spans="1:27" x14ac:dyDescent="0.25">
      <c r="A58921" s="8"/>
      <c r="B58921" s="8"/>
      <c r="C58921" s="99"/>
      <c r="D58921" s="8"/>
      <c r="E58921" s="8"/>
      <c r="F58921" s="8"/>
      <c r="G58921" s="8"/>
      <c r="H58921" s="8"/>
      <c r="I58921" s="102"/>
      <c r="J58921" s="8"/>
      <c r="K58921" s="8"/>
      <c r="L58921" s="8"/>
      <c r="M58921" s="8"/>
      <c r="N58921" s="8"/>
      <c r="O58921" s="8"/>
      <c r="P58921" s="8"/>
      <c r="Q58921" s="8"/>
      <c r="R58921" s="103"/>
      <c r="S58921" s="8"/>
      <c r="T58921" s="8"/>
      <c r="U58921" s="8"/>
      <c r="V58921" s="8"/>
      <c r="W58921" s="8"/>
      <c r="X58921" s="8"/>
      <c r="Y58921" s="8"/>
      <c r="Z58921" s="8"/>
      <c r="AA58921" s="8"/>
    </row>
    <row r="58922" spans="1:27" x14ac:dyDescent="0.25">
      <c r="A58922" s="8"/>
      <c r="B58922" s="8"/>
      <c r="C58922" s="99"/>
      <c r="D58922" s="8"/>
      <c r="E58922" s="8"/>
      <c r="F58922" s="8"/>
      <c r="G58922" s="8"/>
      <c r="H58922" s="8"/>
      <c r="I58922" s="102"/>
      <c r="J58922" s="8"/>
      <c r="K58922" s="8"/>
      <c r="L58922" s="8"/>
      <c r="M58922" s="8"/>
      <c r="N58922" s="8"/>
      <c r="O58922" s="8"/>
      <c r="P58922" s="8"/>
      <c r="Q58922" s="8"/>
      <c r="R58922" s="103"/>
      <c r="S58922" s="8"/>
      <c r="T58922" s="8"/>
      <c r="U58922" s="8"/>
      <c r="V58922" s="8"/>
      <c r="W58922" s="8"/>
      <c r="X58922" s="8"/>
      <c r="Y58922" s="8"/>
      <c r="Z58922" s="8"/>
      <c r="AA58922" s="8"/>
    </row>
    <row r="58923" spans="1:27" x14ac:dyDescent="0.25">
      <c r="A58923" s="8"/>
      <c r="B58923" s="8"/>
      <c r="C58923" s="99"/>
      <c r="D58923" s="8"/>
      <c r="E58923" s="8"/>
      <c r="F58923" s="8"/>
      <c r="G58923" s="8"/>
      <c r="H58923" s="8"/>
      <c r="I58923" s="102"/>
      <c r="J58923" s="8"/>
      <c r="K58923" s="8"/>
      <c r="L58923" s="8"/>
      <c r="M58923" s="8"/>
      <c r="N58923" s="8"/>
      <c r="O58923" s="8"/>
      <c r="P58923" s="8"/>
      <c r="Q58923" s="8"/>
      <c r="R58923" s="103"/>
      <c r="S58923" s="8"/>
      <c r="T58923" s="8"/>
      <c r="U58923" s="8"/>
      <c r="V58923" s="8"/>
      <c r="W58923" s="8"/>
      <c r="X58923" s="8"/>
      <c r="Y58923" s="8"/>
      <c r="Z58923" s="8"/>
      <c r="AA58923" s="8"/>
    </row>
    <row r="58924" spans="1:27" x14ac:dyDescent="0.25">
      <c r="A58924" s="8"/>
      <c r="B58924" s="8"/>
      <c r="C58924" s="99"/>
      <c r="D58924" s="8"/>
      <c r="E58924" s="8"/>
      <c r="F58924" s="8"/>
      <c r="G58924" s="8"/>
      <c r="H58924" s="8"/>
      <c r="I58924" s="102"/>
      <c r="J58924" s="8"/>
      <c r="K58924" s="8"/>
      <c r="L58924" s="8"/>
      <c r="M58924" s="8"/>
      <c r="N58924" s="8"/>
      <c r="O58924" s="8"/>
      <c r="P58924" s="8"/>
      <c r="Q58924" s="8"/>
      <c r="R58924" s="103"/>
      <c r="S58924" s="8"/>
      <c r="T58924" s="8"/>
      <c r="U58924" s="8"/>
      <c r="V58924" s="8"/>
      <c r="W58924" s="8"/>
      <c r="X58924" s="8"/>
      <c r="Y58924" s="8"/>
      <c r="Z58924" s="8"/>
      <c r="AA58924" s="8"/>
    </row>
    <row r="58925" spans="1:27" x14ac:dyDescent="0.25">
      <c r="A58925" s="8"/>
      <c r="B58925" s="8"/>
      <c r="C58925" s="99"/>
      <c r="D58925" s="8"/>
      <c r="E58925" s="8"/>
      <c r="F58925" s="8"/>
      <c r="G58925" s="8"/>
      <c r="H58925" s="8"/>
      <c r="I58925" s="102"/>
      <c r="J58925" s="8"/>
      <c r="K58925" s="8"/>
      <c r="L58925" s="8"/>
      <c r="M58925" s="8"/>
      <c r="N58925" s="8"/>
      <c r="O58925" s="8"/>
      <c r="P58925" s="8"/>
      <c r="Q58925" s="8"/>
      <c r="R58925" s="103"/>
      <c r="S58925" s="8"/>
      <c r="T58925" s="8"/>
      <c r="U58925" s="8"/>
      <c r="V58925" s="8"/>
      <c r="W58925" s="8"/>
      <c r="X58925" s="8"/>
      <c r="Y58925" s="8"/>
      <c r="Z58925" s="8"/>
      <c r="AA58925" s="8"/>
    </row>
    <row r="58926" spans="1:27" x14ac:dyDescent="0.25">
      <c r="A58926" s="8"/>
      <c r="B58926" s="8"/>
      <c r="C58926" s="99"/>
      <c r="D58926" s="8"/>
      <c r="E58926" s="8"/>
      <c r="F58926" s="8"/>
      <c r="G58926" s="8"/>
      <c r="H58926" s="8"/>
      <c r="I58926" s="102"/>
      <c r="J58926" s="8"/>
      <c r="K58926" s="8"/>
      <c r="L58926" s="8"/>
      <c r="M58926" s="8"/>
      <c r="N58926" s="8"/>
      <c r="O58926" s="8"/>
      <c r="P58926" s="8"/>
      <c r="Q58926" s="8"/>
      <c r="R58926" s="103"/>
      <c r="S58926" s="8"/>
      <c r="T58926" s="8"/>
      <c r="U58926" s="8"/>
      <c r="V58926" s="8"/>
      <c r="W58926" s="8"/>
      <c r="X58926" s="8"/>
      <c r="Y58926" s="8"/>
      <c r="Z58926" s="8"/>
      <c r="AA58926" s="8"/>
    </row>
    <row r="58927" spans="1:27" x14ac:dyDescent="0.25">
      <c r="A58927" s="8"/>
      <c r="B58927" s="8"/>
      <c r="C58927" s="99"/>
      <c r="D58927" s="8"/>
      <c r="E58927" s="8"/>
      <c r="F58927" s="8"/>
      <c r="G58927" s="8"/>
      <c r="H58927" s="8"/>
      <c r="I58927" s="102"/>
      <c r="J58927" s="8"/>
      <c r="K58927" s="8"/>
      <c r="L58927" s="8"/>
      <c r="M58927" s="8"/>
      <c r="N58927" s="8"/>
      <c r="O58927" s="8"/>
      <c r="P58927" s="8"/>
      <c r="Q58927" s="8"/>
      <c r="R58927" s="103"/>
      <c r="S58927" s="8"/>
      <c r="T58927" s="8"/>
      <c r="U58927" s="8"/>
      <c r="V58927" s="8"/>
      <c r="W58927" s="8"/>
      <c r="X58927" s="8"/>
      <c r="Y58927" s="8"/>
      <c r="Z58927" s="8"/>
      <c r="AA58927" s="8"/>
    </row>
    <row r="58928" spans="1:27" x14ac:dyDescent="0.25">
      <c r="A58928" s="8"/>
      <c r="B58928" s="8"/>
      <c r="C58928" s="99"/>
      <c r="D58928" s="8"/>
      <c r="E58928" s="8"/>
      <c r="F58928" s="8"/>
      <c r="G58928" s="8"/>
      <c r="H58928" s="8"/>
      <c r="I58928" s="102"/>
      <c r="J58928" s="8"/>
      <c r="K58928" s="8"/>
      <c r="L58928" s="8"/>
      <c r="M58928" s="8"/>
      <c r="N58928" s="8"/>
      <c r="O58928" s="8"/>
      <c r="P58928" s="8"/>
      <c r="Q58928" s="8"/>
      <c r="R58928" s="103"/>
      <c r="S58928" s="8"/>
      <c r="T58928" s="8"/>
      <c r="U58928" s="8"/>
      <c r="V58928" s="8"/>
      <c r="W58928" s="8"/>
      <c r="X58928" s="8"/>
      <c r="Y58928" s="8"/>
      <c r="Z58928" s="8"/>
      <c r="AA58928" s="8"/>
    </row>
    <row r="58929" spans="1:27" x14ac:dyDescent="0.25">
      <c r="A58929" s="8"/>
      <c r="B58929" s="8"/>
      <c r="C58929" s="99"/>
      <c r="D58929" s="8"/>
      <c r="E58929" s="8"/>
      <c r="F58929" s="8"/>
      <c r="G58929" s="8"/>
      <c r="H58929" s="8"/>
      <c r="I58929" s="102"/>
      <c r="J58929" s="8"/>
      <c r="K58929" s="8"/>
      <c r="L58929" s="8"/>
      <c r="M58929" s="8"/>
      <c r="N58929" s="8"/>
      <c r="O58929" s="8"/>
      <c r="P58929" s="8"/>
      <c r="Q58929" s="8"/>
      <c r="R58929" s="103"/>
      <c r="S58929" s="8"/>
      <c r="T58929" s="8"/>
      <c r="U58929" s="8"/>
      <c r="V58929" s="8"/>
      <c r="W58929" s="8"/>
      <c r="X58929" s="8"/>
      <c r="Y58929" s="8"/>
      <c r="Z58929" s="8"/>
      <c r="AA58929" s="8"/>
    </row>
    <row r="58930" spans="1:27" x14ac:dyDescent="0.25">
      <c r="A58930" s="8"/>
      <c r="B58930" s="8"/>
      <c r="C58930" s="99"/>
      <c r="D58930" s="8"/>
      <c r="E58930" s="8"/>
      <c r="F58930" s="8"/>
      <c r="G58930" s="8"/>
      <c r="H58930" s="8"/>
      <c r="I58930" s="102"/>
      <c r="J58930" s="8"/>
      <c r="K58930" s="8"/>
      <c r="L58930" s="8"/>
      <c r="M58930" s="8"/>
      <c r="N58930" s="8"/>
      <c r="O58930" s="8"/>
      <c r="P58930" s="8"/>
      <c r="Q58930" s="8"/>
      <c r="R58930" s="103"/>
      <c r="S58930" s="8"/>
      <c r="T58930" s="8"/>
      <c r="U58930" s="8"/>
      <c r="V58930" s="8"/>
      <c r="W58930" s="8"/>
      <c r="X58930" s="8"/>
      <c r="Y58930" s="8"/>
      <c r="Z58930" s="8"/>
      <c r="AA58930" s="8"/>
    </row>
    <row r="58931" spans="1:27" x14ac:dyDescent="0.25">
      <c r="A58931" s="8"/>
      <c r="B58931" s="8"/>
      <c r="C58931" s="99"/>
      <c r="D58931" s="8"/>
      <c r="E58931" s="8"/>
      <c r="F58931" s="8"/>
      <c r="G58931" s="8"/>
      <c r="H58931" s="8"/>
      <c r="I58931" s="102"/>
      <c r="J58931" s="8"/>
      <c r="K58931" s="8"/>
      <c r="L58931" s="8"/>
      <c r="M58931" s="8"/>
      <c r="N58931" s="8"/>
      <c r="O58931" s="8"/>
      <c r="P58931" s="8"/>
      <c r="Q58931" s="8"/>
      <c r="R58931" s="103"/>
      <c r="S58931" s="8"/>
      <c r="T58931" s="8"/>
      <c r="U58931" s="8"/>
      <c r="V58931" s="8"/>
      <c r="W58931" s="8"/>
      <c r="X58931" s="8"/>
      <c r="Y58931" s="8"/>
      <c r="Z58931" s="8"/>
      <c r="AA58931" s="8"/>
    </row>
    <row r="58932" spans="1:27" x14ac:dyDescent="0.25">
      <c r="A58932" s="8"/>
      <c r="B58932" s="8"/>
      <c r="C58932" s="99"/>
      <c r="D58932" s="8"/>
      <c r="E58932" s="8"/>
      <c r="F58932" s="8"/>
      <c r="G58932" s="8"/>
      <c r="H58932" s="8"/>
      <c r="I58932" s="102"/>
      <c r="J58932" s="8"/>
      <c r="K58932" s="8"/>
      <c r="L58932" s="8"/>
      <c r="M58932" s="8"/>
      <c r="N58932" s="8"/>
      <c r="O58932" s="8"/>
      <c r="P58932" s="8"/>
      <c r="Q58932" s="8"/>
      <c r="R58932" s="103"/>
      <c r="S58932" s="8"/>
      <c r="T58932" s="8"/>
      <c r="U58932" s="8"/>
      <c r="V58932" s="8"/>
      <c r="W58932" s="8"/>
      <c r="X58932" s="8"/>
      <c r="Y58932" s="8"/>
      <c r="Z58932" s="8"/>
      <c r="AA58932" s="8"/>
    </row>
    <row r="58933" spans="1:27" x14ac:dyDescent="0.25">
      <c r="A58933" s="8"/>
      <c r="B58933" s="8"/>
      <c r="C58933" s="99"/>
      <c r="D58933" s="8"/>
      <c r="E58933" s="8"/>
      <c r="F58933" s="8"/>
      <c r="G58933" s="8"/>
      <c r="H58933" s="8"/>
      <c r="I58933" s="102"/>
      <c r="J58933" s="8"/>
      <c r="K58933" s="8"/>
      <c r="L58933" s="8"/>
      <c r="M58933" s="8"/>
      <c r="N58933" s="8"/>
      <c r="O58933" s="8"/>
      <c r="P58933" s="8"/>
      <c r="Q58933" s="8"/>
      <c r="R58933" s="103"/>
      <c r="S58933" s="8"/>
      <c r="T58933" s="8"/>
      <c r="U58933" s="8"/>
      <c r="V58933" s="8"/>
      <c r="W58933" s="8"/>
      <c r="X58933" s="8"/>
      <c r="Y58933" s="8"/>
      <c r="Z58933" s="8"/>
      <c r="AA58933" s="8"/>
    </row>
    <row r="58934" spans="1:27" x14ac:dyDescent="0.25">
      <c r="A58934" s="8"/>
      <c r="B58934" s="8"/>
      <c r="C58934" s="99"/>
      <c r="D58934" s="8"/>
      <c r="E58934" s="8"/>
      <c r="F58934" s="8"/>
      <c r="G58934" s="8"/>
      <c r="H58934" s="8"/>
      <c r="I58934" s="102"/>
      <c r="J58934" s="8"/>
      <c r="K58934" s="8"/>
      <c r="L58934" s="8"/>
      <c r="M58934" s="8"/>
      <c r="N58934" s="8"/>
      <c r="O58934" s="8"/>
      <c r="P58934" s="8"/>
      <c r="Q58934" s="8"/>
      <c r="R58934" s="103"/>
      <c r="S58934" s="8"/>
      <c r="T58934" s="8"/>
      <c r="U58934" s="8"/>
      <c r="V58934" s="8"/>
      <c r="W58934" s="8"/>
      <c r="X58934" s="8"/>
      <c r="Y58934" s="8"/>
      <c r="Z58934" s="8"/>
      <c r="AA58934" s="8"/>
    </row>
    <row r="58935" spans="1:27" x14ac:dyDescent="0.25">
      <c r="A58935" s="8"/>
      <c r="B58935" s="8"/>
      <c r="C58935" s="99"/>
      <c r="D58935" s="8"/>
      <c r="E58935" s="8"/>
      <c r="F58935" s="8"/>
      <c r="G58935" s="8"/>
      <c r="H58935" s="8"/>
      <c r="I58935" s="102"/>
      <c r="J58935" s="8"/>
      <c r="K58935" s="8"/>
      <c r="L58935" s="8"/>
      <c r="M58935" s="8"/>
      <c r="N58935" s="8"/>
      <c r="O58935" s="8"/>
      <c r="P58935" s="8"/>
      <c r="Q58935" s="8"/>
      <c r="R58935" s="103"/>
      <c r="S58935" s="8"/>
      <c r="T58935" s="8"/>
      <c r="U58935" s="8"/>
      <c r="V58935" s="8"/>
      <c r="W58935" s="8"/>
      <c r="X58935" s="8"/>
      <c r="Y58935" s="8"/>
      <c r="Z58935" s="8"/>
      <c r="AA58935" s="8"/>
    </row>
    <row r="58936" spans="1:27" x14ac:dyDescent="0.25">
      <c r="A58936" s="8"/>
      <c r="B58936" s="8"/>
      <c r="C58936" s="99"/>
      <c r="D58936" s="8"/>
      <c r="E58936" s="8"/>
      <c r="F58936" s="8"/>
      <c r="G58936" s="8"/>
      <c r="H58936" s="8"/>
      <c r="I58936" s="102"/>
      <c r="J58936" s="8"/>
      <c r="K58936" s="8"/>
      <c r="L58936" s="8"/>
      <c r="M58936" s="8"/>
      <c r="N58936" s="8"/>
      <c r="O58936" s="8"/>
      <c r="P58936" s="8"/>
      <c r="Q58936" s="8"/>
      <c r="R58936" s="103"/>
      <c r="S58936" s="8"/>
      <c r="T58936" s="8"/>
      <c r="U58936" s="8"/>
      <c r="V58936" s="8"/>
      <c r="W58936" s="8"/>
      <c r="X58936" s="8"/>
      <c r="Y58936" s="8"/>
      <c r="Z58936" s="8"/>
      <c r="AA58936" s="8"/>
    </row>
    <row r="58937" spans="1:27" x14ac:dyDescent="0.25">
      <c r="A58937" s="8"/>
      <c r="B58937" s="8"/>
      <c r="C58937" s="99"/>
      <c r="D58937" s="8"/>
      <c r="E58937" s="8"/>
      <c r="F58937" s="8"/>
      <c r="G58937" s="8"/>
      <c r="H58937" s="8"/>
      <c r="I58937" s="102"/>
      <c r="J58937" s="8"/>
      <c r="K58937" s="8"/>
      <c r="L58937" s="8"/>
      <c r="M58937" s="8"/>
      <c r="N58937" s="8"/>
      <c r="O58937" s="8"/>
      <c r="P58937" s="8"/>
      <c r="Q58937" s="8"/>
      <c r="R58937" s="103"/>
      <c r="S58937" s="8"/>
      <c r="T58937" s="8"/>
      <c r="U58937" s="8"/>
      <c r="V58937" s="8"/>
      <c r="W58937" s="8"/>
      <c r="X58937" s="8"/>
      <c r="Y58937" s="8"/>
      <c r="Z58937" s="8"/>
      <c r="AA58937" s="8"/>
    </row>
    <row r="58938" spans="1:27" x14ac:dyDescent="0.25">
      <c r="A58938" s="8"/>
      <c r="B58938" s="8"/>
      <c r="C58938" s="99"/>
      <c r="D58938" s="8"/>
      <c r="E58938" s="8"/>
      <c r="F58938" s="8"/>
      <c r="G58938" s="8"/>
      <c r="H58938" s="8"/>
      <c r="I58938" s="102"/>
      <c r="J58938" s="8"/>
      <c r="K58938" s="8"/>
      <c r="L58938" s="8"/>
      <c r="M58938" s="8"/>
      <c r="N58938" s="8"/>
      <c r="O58938" s="8"/>
      <c r="P58938" s="8"/>
      <c r="Q58938" s="8"/>
      <c r="R58938" s="103"/>
      <c r="S58938" s="8"/>
      <c r="T58938" s="8"/>
      <c r="U58938" s="8"/>
      <c r="V58938" s="8"/>
      <c r="W58938" s="8"/>
      <c r="X58938" s="8"/>
      <c r="Y58938" s="8"/>
      <c r="Z58938" s="8"/>
      <c r="AA58938" s="8"/>
    </row>
    <row r="58939" spans="1:27" x14ac:dyDescent="0.25">
      <c r="A58939" s="8"/>
      <c r="B58939" s="8"/>
      <c r="C58939" s="99"/>
      <c r="D58939" s="8"/>
      <c r="E58939" s="8"/>
      <c r="F58939" s="8"/>
      <c r="G58939" s="8"/>
      <c r="H58939" s="8"/>
      <c r="I58939" s="102"/>
      <c r="J58939" s="8"/>
      <c r="K58939" s="8"/>
      <c r="L58939" s="8"/>
      <c r="M58939" s="8"/>
      <c r="N58939" s="8"/>
      <c r="O58939" s="8"/>
      <c r="P58939" s="8"/>
      <c r="Q58939" s="8"/>
      <c r="R58939" s="103"/>
      <c r="S58939" s="8"/>
      <c r="T58939" s="8"/>
      <c r="U58939" s="8"/>
      <c r="V58939" s="8"/>
      <c r="W58939" s="8"/>
      <c r="X58939" s="8"/>
      <c r="Y58939" s="8"/>
      <c r="Z58939" s="8"/>
      <c r="AA58939" s="8"/>
    </row>
    <row r="58940" spans="1:27" x14ac:dyDescent="0.25">
      <c r="A58940" s="8"/>
      <c r="B58940" s="8"/>
      <c r="C58940" s="99"/>
      <c r="D58940" s="8"/>
      <c r="E58940" s="8"/>
      <c r="F58940" s="8"/>
      <c r="G58940" s="8"/>
      <c r="H58940" s="8"/>
      <c r="I58940" s="102"/>
      <c r="J58940" s="8"/>
      <c r="K58940" s="8"/>
      <c r="L58940" s="8"/>
      <c r="M58940" s="8"/>
      <c r="N58940" s="8"/>
      <c r="O58940" s="8"/>
      <c r="P58940" s="8"/>
      <c r="Q58940" s="8"/>
      <c r="R58940" s="103"/>
      <c r="S58940" s="8"/>
      <c r="T58940" s="8"/>
      <c r="U58940" s="8"/>
      <c r="V58940" s="8"/>
      <c r="W58940" s="8"/>
      <c r="X58940" s="8"/>
      <c r="Y58940" s="8"/>
      <c r="Z58940" s="8"/>
      <c r="AA58940" s="8"/>
    </row>
    <row r="58941" spans="1:27" x14ac:dyDescent="0.25">
      <c r="A58941" s="8"/>
      <c r="B58941" s="8"/>
      <c r="C58941" s="99"/>
      <c r="D58941" s="8"/>
      <c r="E58941" s="8"/>
      <c r="F58941" s="8"/>
      <c r="G58941" s="8"/>
      <c r="H58941" s="8"/>
      <c r="I58941" s="102"/>
      <c r="J58941" s="8"/>
      <c r="K58941" s="8"/>
      <c r="L58941" s="8"/>
      <c r="M58941" s="8"/>
      <c r="N58941" s="8"/>
      <c r="O58941" s="8"/>
      <c r="P58941" s="8"/>
      <c r="Q58941" s="8"/>
      <c r="R58941" s="103"/>
      <c r="S58941" s="8"/>
      <c r="T58941" s="8"/>
      <c r="U58941" s="8"/>
      <c r="V58941" s="8"/>
      <c r="W58941" s="8"/>
      <c r="X58941" s="8"/>
      <c r="Y58941" s="8"/>
      <c r="Z58941" s="8"/>
      <c r="AA58941" s="8"/>
    </row>
    <row r="58942" spans="1:27" x14ac:dyDescent="0.25">
      <c r="A58942" s="8"/>
      <c r="B58942" s="8"/>
      <c r="C58942" s="99"/>
      <c r="D58942" s="8"/>
      <c r="E58942" s="8"/>
      <c r="F58942" s="8"/>
      <c r="G58942" s="8"/>
      <c r="H58942" s="8"/>
      <c r="I58942" s="102"/>
      <c r="J58942" s="8"/>
      <c r="K58942" s="8"/>
      <c r="L58942" s="8"/>
      <c r="M58942" s="8"/>
      <c r="N58942" s="8"/>
      <c r="O58942" s="8"/>
      <c r="P58942" s="8"/>
      <c r="Q58942" s="8"/>
      <c r="R58942" s="103"/>
      <c r="S58942" s="8"/>
      <c r="T58942" s="8"/>
      <c r="U58942" s="8"/>
      <c r="V58942" s="8"/>
      <c r="W58942" s="8"/>
      <c r="X58942" s="8"/>
      <c r="Y58942" s="8"/>
      <c r="Z58942" s="8"/>
      <c r="AA58942" s="8"/>
    </row>
    <row r="58943" spans="1:27" x14ac:dyDescent="0.25">
      <c r="A58943" s="8"/>
      <c r="B58943" s="8"/>
      <c r="C58943" s="99"/>
      <c r="D58943" s="8"/>
      <c r="E58943" s="8"/>
      <c r="F58943" s="8"/>
      <c r="G58943" s="8"/>
      <c r="H58943" s="8"/>
      <c r="I58943" s="102"/>
      <c r="J58943" s="8"/>
      <c r="K58943" s="8"/>
      <c r="L58943" s="8"/>
      <c r="M58943" s="8"/>
      <c r="N58943" s="8"/>
      <c r="O58943" s="8"/>
      <c r="P58943" s="8"/>
      <c r="Q58943" s="8"/>
      <c r="R58943" s="103"/>
      <c r="S58943" s="8"/>
      <c r="T58943" s="8"/>
      <c r="U58943" s="8"/>
      <c r="V58943" s="8"/>
      <c r="W58943" s="8"/>
      <c r="X58943" s="8"/>
      <c r="Y58943" s="8"/>
      <c r="Z58943" s="8"/>
      <c r="AA58943" s="8"/>
    </row>
    <row r="58944" spans="1:27" x14ac:dyDescent="0.25">
      <c r="A58944" s="8"/>
      <c r="B58944" s="8"/>
      <c r="C58944" s="99"/>
      <c r="D58944" s="8"/>
      <c r="E58944" s="8"/>
      <c r="F58944" s="8"/>
      <c r="G58944" s="8"/>
      <c r="H58944" s="8"/>
      <c r="I58944" s="102"/>
      <c r="J58944" s="8"/>
      <c r="K58944" s="8"/>
      <c r="L58944" s="8"/>
      <c r="M58944" s="8"/>
      <c r="N58944" s="8"/>
      <c r="O58944" s="8"/>
      <c r="P58944" s="8"/>
      <c r="Q58944" s="8"/>
      <c r="R58944" s="103"/>
      <c r="S58944" s="8"/>
      <c r="T58944" s="8"/>
      <c r="U58944" s="8"/>
      <c r="V58944" s="8"/>
      <c r="W58944" s="8"/>
      <c r="X58944" s="8"/>
      <c r="Y58944" s="8"/>
      <c r="Z58944" s="8"/>
      <c r="AA58944" s="8"/>
    </row>
    <row r="58945" spans="1:27" x14ac:dyDescent="0.25">
      <c r="A58945" s="8"/>
      <c r="B58945" s="8"/>
      <c r="C58945" s="99"/>
      <c r="D58945" s="8"/>
      <c r="E58945" s="8"/>
      <c r="F58945" s="8"/>
      <c r="G58945" s="8"/>
      <c r="H58945" s="8"/>
      <c r="I58945" s="102"/>
      <c r="J58945" s="8"/>
      <c r="K58945" s="8"/>
      <c r="L58945" s="8"/>
      <c r="M58945" s="8"/>
      <c r="N58945" s="8"/>
      <c r="O58945" s="8"/>
      <c r="P58945" s="8"/>
      <c r="Q58945" s="8"/>
      <c r="R58945" s="103"/>
      <c r="S58945" s="8"/>
      <c r="T58945" s="8"/>
      <c r="U58945" s="8"/>
      <c r="V58945" s="8"/>
      <c r="W58945" s="8"/>
      <c r="X58945" s="8"/>
      <c r="Y58945" s="8"/>
      <c r="Z58945" s="8"/>
      <c r="AA58945" s="8"/>
    </row>
    <row r="58946" spans="1:27" x14ac:dyDescent="0.25">
      <c r="A58946" s="8"/>
      <c r="B58946" s="8"/>
      <c r="C58946" s="99"/>
      <c r="D58946" s="8"/>
      <c r="E58946" s="8"/>
      <c r="F58946" s="8"/>
      <c r="G58946" s="8"/>
      <c r="H58946" s="8"/>
      <c r="I58946" s="102"/>
      <c r="J58946" s="8"/>
      <c r="K58946" s="8"/>
      <c r="L58946" s="8"/>
      <c r="M58946" s="8"/>
      <c r="N58946" s="8"/>
      <c r="O58946" s="8"/>
      <c r="P58946" s="8"/>
      <c r="Q58946" s="8"/>
      <c r="R58946" s="103"/>
      <c r="S58946" s="8"/>
      <c r="T58946" s="8"/>
      <c r="U58946" s="8"/>
      <c r="V58946" s="8"/>
      <c r="W58946" s="8"/>
      <c r="X58946" s="8"/>
      <c r="Y58946" s="8"/>
      <c r="Z58946" s="8"/>
      <c r="AA58946" s="8"/>
    </row>
    <row r="58947" spans="1:27" x14ac:dyDescent="0.25">
      <c r="A58947" s="8"/>
      <c r="B58947" s="8"/>
      <c r="C58947" s="99"/>
      <c r="D58947" s="8"/>
      <c r="E58947" s="8"/>
      <c r="F58947" s="8"/>
      <c r="G58947" s="8"/>
      <c r="H58947" s="8"/>
      <c r="I58947" s="102"/>
      <c r="J58947" s="8"/>
      <c r="K58947" s="8"/>
      <c r="L58947" s="8"/>
      <c r="M58947" s="8"/>
      <c r="N58947" s="8"/>
      <c r="O58947" s="8"/>
      <c r="P58947" s="8"/>
      <c r="Q58947" s="8"/>
      <c r="R58947" s="103"/>
      <c r="S58947" s="8"/>
      <c r="T58947" s="8"/>
      <c r="U58947" s="8"/>
      <c r="V58947" s="8"/>
      <c r="W58947" s="8"/>
      <c r="X58947" s="8"/>
      <c r="Y58947" s="8"/>
      <c r="Z58947" s="8"/>
      <c r="AA58947" s="8"/>
    </row>
    <row r="58948" spans="1:27" x14ac:dyDescent="0.25">
      <c r="A58948" s="8"/>
      <c r="B58948" s="8"/>
      <c r="C58948" s="99"/>
      <c r="D58948" s="8"/>
      <c r="E58948" s="8"/>
      <c r="F58948" s="8"/>
      <c r="G58948" s="8"/>
      <c r="H58948" s="8"/>
      <c r="I58948" s="102"/>
      <c r="J58948" s="8"/>
      <c r="K58948" s="8"/>
      <c r="L58948" s="8"/>
      <c r="M58948" s="8"/>
      <c r="N58948" s="8"/>
      <c r="O58948" s="8"/>
      <c r="P58948" s="8"/>
      <c r="Q58948" s="8"/>
      <c r="R58948" s="103"/>
      <c r="S58948" s="8"/>
      <c r="T58948" s="8"/>
      <c r="U58948" s="8"/>
      <c r="V58948" s="8"/>
      <c r="W58948" s="8"/>
      <c r="X58948" s="8"/>
      <c r="Y58948" s="8"/>
      <c r="Z58948" s="8"/>
      <c r="AA58948" s="8"/>
    </row>
    <row r="58949" spans="1:27" x14ac:dyDescent="0.25">
      <c r="A58949" s="8"/>
      <c r="B58949" s="8"/>
      <c r="C58949" s="99"/>
      <c r="D58949" s="8"/>
      <c r="E58949" s="8"/>
      <c r="F58949" s="8"/>
      <c r="G58949" s="8"/>
      <c r="H58949" s="8"/>
      <c r="I58949" s="102"/>
      <c r="J58949" s="8"/>
      <c r="K58949" s="8"/>
      <c r="L58949" s="8"/>
      <c r="M58949" s="8"/>
      <c r="N58949" s="8"/>
      <c r="O58949" s="8"/>
      <c r="P58949" s="8"/>
      <c r="Q58949" s="8"/>
      <c r="R58949" s="103"/>
      <c r="S58949" s="8"/>
      <c r="T58949" s="8"/>
      <c r="U58949" s="8"/>
      <c r="V58949" s="8"/>
      <c r="W58949" s="8"/>
      <c r="X58949" s="8"/>
      <c r="Y58949" s="8"/>
      <c r="Z58949" s="8"/>
      <c r="AA58949" s="8"/>
    </row>
    <row r="58950" spans="1:27" x14ac:dyDescent="0.25">
      <c r="A58950" s="8"/>
      <c r="B58950" s="8"/>
      <c r="C58950" s="99"/>
      <c r="D58950" s="8"/>
      <c r="E58950" s="8"/>
      <c r="F58950" s="8"/>
      <c r="G58950" s="8"/>
      <c r="H58950" s="8"/>
      <c r="I58950" s="102"/>
      <c r="J58950" s="8"/>
      <c r="K58950" s="8"/>
      <c r="L58950" s="8"/>
      <c r="M58950" s="8"/>
      <c r="N58950" s="8"/>
      <c r="O58950" s="8"/>
      <c r="P58950" s="8"/>
      <c r="Q58950" s="8"/>
      <c r="R58950" s="103"/>
      <c r="S58950" s="8"/>
      <c r="T58950" s="8"/>
      <c r="U58950" s="8"/>
      <c r="V58950" s="8"/>
      <c r="W58950" s="8"/>
      <c r="X58950" s="8"/>
      <c r="Y58950" s="8"/>
      <c r="Z58950" s="8"/>
      <c r="AA58950" s="8"/>
    </row>
    <row r="58951" spans="1:27" x14ac:dyDescent="0.25">
      <c r="A58951" s="8"/>
      <c r="B58951" s="8"/>
      <c r="C58951" s="99"/>
      <c r="D58951" s="8"/>
      <c r="E58951" s="8"/>
      <c r="F58951" s="8"/>
      <c r="G58951" s="8"/>
      <c r="H58951" s="8"/>
      <c r="I58951" s="102"/>
      <c r="J58951" s="8"/>
      <c r="K58951" s="8"/>
      <c r="L58951" s="8"/>
      <c r="M58951" s="8"/>
      <c r="N58951" s="8"/>
      <c r="O58951" s="8"/>
      <c r="P58951" s="8"/>
      <c r="Q58951" s="8"/>
      <c r="R58951" s="103"/>
      <c r="S58951" s="8"/>
      <c r="T58951" s="8"/>
      <c r="U58951" s="8"/>
      <c r="V58951" s="8"/>
      <c r="W58951" s="8"/>
      <c r="X58951" s="8"/>
      <c r="Y58951" s="8"/>
      <c r="Z58951" s="8"/>
      <c r="AA58951" s="8"/>
    </row>
    <row r="58952" spans="1:27" x14ac:dyDescent="0.25">
      <c r="A58952" s="8"/>
      <c r="B58952" s="8"/>
      <c r="C58952" s="99"/>
      <c r="D58952" s="8"/>
      <c r="E58952" s="8"/>
      <c r="F58952" s="8"/>
      <c r="G58952" s="8"/>
      <c r="H58952" s="8"/>
      <c r="I58952" s="102"/>
      <c r="J58952" s="8"/>
      <c r="K58952" s="8"/>
      <c r="L58952" s="8"/>
      <c r="M58952" s="8"/>
      <c r="N58952" s="8"/>
      <c r="O58952" s="8"/>
      <c r="P58952" s="8"/>
      <c r="Q58952" s="8"/>
      <c r="R58952" s="103"/>
      <c r="S58952" s="8"/>
      <c r="T58952" s="8"/>
      <c r="U58952" s="8"/>
      <c r="V58952" s="8"/>
      <c r="W58952" s="8"/>
      <c r="X58952" s="8"/>
      <c r="Y58952" s="8"/>
      <c r="Z58952" s="8"/>
      <c r="AA58952" s="8"/>
    </row>
    <row r="58953" spans="1:27" x14ac:dyDescent="0.25">
      <c r="A58953" s="8"/>
      <c r="B58953" s="8"/>
      <c r="C58953" s="99"/>
      <c r="D58953" s="8"/>
      <c r="E58953" s="8"/>
      <c r="F58953" s="8"/>
      <c r="G58953" s="8"/>
      <c r="H58953" s="8"/>
      <c r="I58953" s="102"/>
      <c r="J58953" s="8"/>
      <c r="K58953" s="8"/>
      <c r="L58953" s="8"/>
      <c r="M58953" s="8"/>
      <c r="N58953" s="8"/>
      <c r="O58953" s="8"/>
      <c r="P58953" s="8"/>
      <c r="Q58953" s="8"/>
      <c r="R58953" s="103"/>
      <c r="S58953" s="8"/>
      <c r="T58953" s="8"/>
      <c r="U58953" s="8"/>
      <c r="V58953" s="8"/>
      <c r="W58953" s="8"/>
      <c r="X58953" s="8"/>
      <c r="Y58953" s="8"/>
      <c r="Z58953" s="8"/>
      <c r="AA58953" s="8"/>
    </row>
    <row r="58954" spans="1:27" x14ac:dyDescent="0.25">
      <c r="A58954" s="8"/>
      <c r="B58954" s="8"/>
      <c r="C58954" s="99"/>
      <c r="D58954" s="8"/>
      <c r="E58954" s="8"/>
      <c r="F58954" s="8"/>
      <c r="G58954" s="8"/>
      <c r="H58954" s="8"/>
      <c r="I58954" s="102"/>
      <c r="J58954" s="8"/>
      <c r="K58954" s="8"/>
      <c r="L58954" s="8"/>
      <c r="M58954" s="8"/>
      <c r="N58954" s="8"/>
      <c r="O58954" s="8"/>
      <c r="P58954" s="8"/>
      <c r="Q58954" s="8"/>
      <c r="R58954" s="103"/>
      <c r="S58954" s="8"/>
      <c r="T58954" s="8"/>
      <c r="U58954" s="8"/>
      <c r="V58954" s="8"/>
      <c r="W58954" s="8"/>
      <c r="X58954" s="8"/>
      <c r="Y58954" s="8"/>
      <c r="Z58954" s="8"/>
      <c r="AA58954" s="8"/>
    </row>
    <row r="58955" spans="1:27" x14ac:dyDescent="0.25">
      <c r="A58955" s="8"/>
      <c r="B58955" s="8"/>
      <c r="C58955" s="99"/>
      <c r="D58955" s="8"/>
      <c r="E58955" s="8"/>
      <c r="F58955" s="8"/>
      <c r="G58955" s="8"/>
      <c r="H58955" s="8"/>
      <c r="I58955" s="102"/>
      <c r="J58955" s="8"/>
      <c r="K58955" s="8"/>
      <c r="L58955" s="8"/>
      <c r="M58955" s="8"/>
      <c r="N58955" s="8"/>
      <c r="O58955" s="8"/>
      <c r="P58955" s="8"/>
      <c r="Q58955" s="8"/>
      <c r="R58955" s="103"/>
      <c r="S58955" s="8"/>
      <c r="T58955" s="8"/>
      <c r="U58955" s="8"/>
      <c r="V58955" s="8"/>
      <c r="W58955" s="8"/>
      <c r="X58955" s="8"/>
      <c r="Y58955" s="8"/>
      <c r="Z58955" s="8"/>
      <c r="AA58955" s="8"/>
    </row>
    <row r="58956" spans="1:27" x14ac:dyDescent="0.25">
      <c r="A58956" s="8"/>
      <c r="B58956" s="8"/>
      <c r="C58956" s="99"/>
      <c r="D58956" s="8"/>
      <c r="E58956" s="8"/>
      <c r="F58956" s="8"/>
      <c r="G58956" s="8"/>
      <c r="H58956" s="8"/>
      <c r="I58956" s="102"/>
      <c r="J58956" s="8"/>
      <c r="K58956" s="8"/>
      <c r="L58956" s="8"/>
      <c r="M58956" s="8"/>
      <c r="N58956" s="8"/>
      <c r="O58956" s="8"/>
      <c r="P58956" s="8"/>
      <c r="Q58956" s="8"/>
      <c r="R58956" s="103"/>
      <c r="S58956" s="8"/>
      <c r="T58956" s="8"/>
      <c r="U58956" s="8"/>
      <c r="V58956" s="8"/>
      <c r="W58956" s="8"/>
      <c r="X58956" s="8"/>
      <c r="Y58956" s="8"/>
      <c r="Z58956" s="8"/>
      <c r="AA58956" s="8"/>
    </row>
    <row r="58957" spans="1:27" x14ac:dyDescent="0.25">
      <c r="A58957" s="8"/>
      <c r="B58957" s="8"/>
      <c r="C58957" s="99"/>
      <c r="D58957" s="8"/>
      <c r="E58957" s="8"/>
      <c r="F58957" s="8"/>
      <c r="G58957" s="8"/>
      <c r="H58957" s="8"/>
      <c r="I58957" s="102"/>
      <c r="J58957" s="8"/>
      <c r="K58957" s="8"/>
      <c r="L58957" s="8"/>
      <c r="M58957" s="8"/>
      <c r="N58957" s="8"/>
      <c r="O58957" s="8"/>
      <c r="P58957" s="8"/>
      <c r="Q58957" s="8"/>
      <c r="R58957" s="103"/>
      <c r="S58957" s="8"/>
      <c r="T58957" s="8"/>
      <c r="U58957" s="8"/>
      <c r="V58957" s="8"/>
      <c r="W58957" s="8"/>
      <c r="X58957" s="8"/>
      <c r="Y58957" s="8"/>
      <c r="Z58957" s="8"/>
      <c r="AA58957" s="8"/>
    </row>
    <row r="58958" spans="1:27" x14ac:dyDescent="0.25">
      <c r="A58958" s="8"/>
      <c r="B58958" s="8"/>
      <c r="C58958" s="99"/>
      <c r="D58958" s="8"/>
      <c r="E58958" s="8"/>
      <c r="F58958" s="8"/>
      <c r="G58958" s="8"/>
      <c r="H58958" s="8"/>
      <c r="I58958" s="102"/>
      <c r="J58958" s="8"/>
      <c r="K58958" s="8"/>
      <c r="L58958" s="8"/>
      <c r="M58958" s="8"/>
      <c r="N58958" s="8"/>
      <c r="O58958" s="8"/>
      <c r="P58958" s="8"/>
      <c r="Q58958" s="8"/>
      <c r="R58958" s="103"/>
      <c r="S58958" s="8"/>
      <c r="T58958" s="8"/>
      <c r="U58958" s="8"/>
      <c r="V58958" s="8"/>
      <c r="W58958" s="8"/>
      <c r="X58958" s="8"/>
      <c r="Y58958" s="8"/>
      <c r="Z58958" s="8"/>
      <c r="AA58958" s="8"/>
    </row>
    <row r="58959" spans="1:27" x14ac:dyDescent="0.25">
      <c r="A58959" s="8"/>
      <c r="B58959" s="8"/>
      <c r="C58959" s="99"/>
      <c r="D58959" s="8"/>
      <c r="E58959" s="8"/>
      <c r="F58959" s="8"/>
      <c r="G58959" s="8"/>
      <c r="H58959" s="8"/>
      <c r="I58959" s="102"/>
      <c r="J58959" s="8"/>
      <c r="K58959" s="8"/>
      <c r="L58959" s="8"/>
      <c r="M58959" s="8"/>
      <c r="N58959" s="8"/>
      <c r="O58959" s="8"/>
      <c r="P58959" s="8"/>
      <c r="Q58959" s="8"/>
      <c r="R58959" s="103"/>
      <c r="S58959" s="8"/>
      <c r="T58959" s="8"/>
      <c r="U58959" s="8"/>
      <c r="V58959" s="8"/>
      <c r="W58959" s="8"/>
      <c r="X58959" s="8"/>
      <c r="Y58959" s="8"/>
      <c r="Z58959" s="8"/>
      <c r="AA58959" s="8"/>
    </row>
    <row r="58960" spans="1:27" x14ac:dyDescent="0.25">
      <c r="A58960" s="8"/>
      <c r="B58960" s="8"/>
      <c r="C58960" s="99"/>
      <c r="D58960" s="8"/>
      <c r="E58960" s="8"/>
      <c r="F58960" s="8"/>
      <c r="G58960" s="8"/>
      <c r="H58960" s="8"/>
      <c r="I58960" s="102"/>
      <c r="J58960" s="8"/>
      <c r="K58960" s="8"/>
      <c r="L58960" s="8"/>
      <c r="M58960" s="8"/>
      <c r="N58960" s="8"/>
      <c r="O58960" s="8"/>
      <c r="P58960" s="8"/>
      <c r="Q58960" s="8"/>
      <c r="R58960" s="103"/>
      <c r="S58960" s="8"/>
      <c r="T58960" s="8"/>
      <c r="U58960" s="8"/>
      <c r="V58960" s="8"/>
      <c r="W58960" s="8"/>
      <c r="X58960" s="8"/>
      <c r="Y58960" s="8"/>
      <c r="Z58960" s="8"/>
      <c r="AA58960" s="8"/>
    </row>
    <row r="58961" spans="1:27" x14ac:dyDescent="0.25">
      <c r="A58961" s="8"/>
      <c r="B58961" s="8"/>
      <c r="C58961" s="99"/>
      <c r="D58961" s="8"/>
      <c r="E58961" s="8"/>
      <c r="F58961" s="8"/>
      <c r="G58961" s="8"/>
      <c r="H58961" s="8"/>
      <c r="I58961" s="102"/>
      <c r="J58961" s="8"/>
      <c r="K58961" s="8"/>
      <c r="L58961" s="8"/>
      <c r="M58961" s="8"/>
      <c r="N58961" s="8"/>
      <c r="O58961" s="8"/>
      <c r="P58961" s="8"/>
      <c r="Q58961" s="8"/>
      <c r="R58961" s="103"/>
      <c r="S58961" s="8"/>
      <c r="T58961" s="8"/>
      <c r="U58961" s="8"/>
      <c r="V58961" s="8"/>
      <c r="W58961" s="8"/>
      <c r="X58961" s="8"/>
      <c r="Y58961" s="8"/>
      <c r="Z58961" s="8"/>
      <c r="AA58961" s="8"/>
    </row>
    <row r="58962" spans="1:27" x14ac:dyDescent="0.25">
      <c r="A58962" s="8"/>
      <c r="B58962" s="8"/>
      <c r="C58962" s="99"/>
      <c r="D58962" s="8"/>
      <c r="E58962" s="8"/>
      <c r="F58962" s="8"/>
      <c r="G58962" s="8"/>
      <c r="H58962" s="8"/>
      <c r="I58962" s="102"/>
      <c r="J58962" s="8"/>
      <c r="K58962" s="8"/>
      <c r="L58962" s="8"/>
      <c r="M58962" s="8"/>
      <c r="N58962" s="8"/>
      <c r="O58962" s="8"/>
      <c r="P58962" s="8"/>
      <c r="Q58962" s="8"/>
      <c r="R58962" s="103"/>
      <c r="S58962" s="8"/>
      <c r="T58962" s="8"/>
      <c r="U58962" s="8"/>
      <c r="V58962" s="8"/>
      <c r="W58962" s="8"/>
      <c r="X58962" s="8"/>
      <c r="Y58962" s="8"/>
      <c r="Z58962" s="8"/>
      <c r="AA58962" s="8"/>
    </row>
    <row r="58963" spans="1:27" x14ac:dyDescent="0.25">
      <c r="A58963" s="8"/>
      <c r="B58963" s="8"/>
      <c r="C58963" s="99"/>
      <c r="D58963" s="8"/>
      <c r="E58963" s="8"/>
      <c r="F58963" s="8"/>
      <c r="G58963" s="8"/>
      <c r="H58963" s="8"/>
      <c r="I58963" s="102"/>
      <c r="J58963" s="8"/>
      <c r="K58963" s="8"/>
      <c r="L58963" s="8"/>
      <c r="M58963" s="8"/>
      <c r="N58963" s="8"/>
      <c r="O58963" s="8"/>
      <c r="P58963" s="8"/>
      <c r="Q58963" s="8"/>
      <c r="R58963" s="103"/>
      <c r="S58963" s="8"/>
      <c r="T58963" s="8"/>
      <c r="U58963" s="8"/>
      <c r="V58963" s="8"/>
      <c r="W58963" s="8"/>
      <c r="X58963" s="8"/>
      <c r="Y58963" s="8"/>
      <c r="Z58963" s="8"/>
      <c r="AA58963" s="8"/>
    </row>
    <row r="58964" spans="1:27" x14ac:dyDescent="0.25">
      <c r="A58964" s="8"/>
      <c r="B58964" s="8"/>
      <c r="C58964" s="99"/>
      <c r="D58964" s="8"/>
      <c r="E58964" s="8"/>
      <c r="F58964" s="8"/>
      <c r="G58964" s="8"/>
      <c r="H58964" s="8"/>
      <c r="I58964" s="102"/>
      <c r="J58964" s="8"/>
      <c r="K58964" s="8"/>
      <c r="L58964" s="8"/>
      <c r="M58964" s="8"/>
      <c r="N58964" s="8"/>
      <c r="O58964" s="8"/>
      <c r="P58964" s="8"/>
      <c r="Q58964" s="8"/>
      <c r="R58964" s="103"/>
      <c r="S58964" s="8"/>
      <c r="T58964" s="8"/>
      <c r="U58964" s="8"/>
      <c r="V58964" s="8"/>
      <c r="W58964" s="8"/>
      <c r="X58964" s="8"/>
      <c r="Y58964" s="8"/>
      <c r="Z58964" s="8"/>
      <c r="AA58964" s="8"/>
    </row>
    <row r="58965" spans="1:27" x14ac:dyDescent="0.25">
      <c r="A58965" s="8"/>
      <c r="B58965" s="8"/>
      <c r="C58965" s="99"/>
      <c r="D58965" s="8"/>
      <c r="E58965" s="8"/>
      <c r="F58965" s="8"/>
      <c r="G58965" s="8"/>
      <c r="H58965" s="8"/>
      <c r="I58965" s="102"/>
      <c r="J58965" s="8"/>
      <c r="K58965" s="8"/>
      <c r="L58965" s="8"/>
      <c r="M58965" s="8"/>
      <c r="N58965" s="8"/>
      <c r="O58965" s="8"/>
      <c r="P58965" s="8"/>
      <c r="Q58965" s="8"/>
      <c r="R58965" s="103"/>
      <c r="S58965" s="8"/>
      <c r="T58965" s="8"/>
      <c r="U58965" s="8"/>
      <c r="V58965" s="8"/>
      <c r="W58965" s="8"/>
      <c r="X58965" s="8"/>
      <c r="Y58965" s="8"/>
      <c r="Z58965" s="8"/>
      <c r="AA58965" s="8"/>
    </row>
    <row r="58966" spans="1:27" x14ac:dyDescent="0.25">
      <c r="A58966" s="8"/>
      <c r="B58966" s="8"/>
      <c r="C58966" s="99"/>
      <c r="D58966" s="8"/>
      <c r="E58966" s="8"/>
      <c r="F58966" s="8"/>
      <c r="G58966" s="8"/>
      <c r="H58966" s="8"/>
      <c r="I58966" s="102"/>
      <c r="J58966" s="8"/>
      <c r="K58966" s="8"/>
      <c r="L58966" s="8"/>
      <c r="M58966" s="8"/>
      <c r="N58966" s="8"/>
      <c r="O58966" s="8"/>
      <c r="P58966" s="8"/>
      <c r="Q58966" s="8"/>
      <c r="R58966" s="103"/>
      <c r="S58966" s="8"/>
      <c r="T58966" s="8"/>
      <c r="U58966" s="8"/>
      <c r="V58966" s="8"/>
      <c r="W58966" s="8"/>
      <c r="X58966" s="8"/>
      <c r="Y58966" s="8"/>
      <c r="Z58966" s="8"/>
      <c r="AA58966" s="8"/>
    </row>
    <row r="58967" spans="1:27" x14ac:dyDescent="0.25">
      <c r="A58967" s="8"/>
      <c r="B58967" s="8"/>
      <c r="C58967" s="99"/>
      <c r="D58967" s="8"/>
      <c r="E58967" s="8"/>
      <c r="F58967" s="8"/>
      <c r="G58967" s="8"/>
      <c r="H58967" s="8"/>
      <c r="I58967" s="102"/>
      <c r="J58967" s="8"/>
      <c r="K58967" s="8"/>
      <c r="L58967" s="8"/>
      <c r="M58967" s="8"/>
      <c r="N58967" s="8"/>
      <c r="O58967" s="8"/>
      <c r="P58967" s="8"/>
      <c r="Q58967" s="8"/>
      <c r="R58967" s="103"/>
      <c r="S58967" s="8"/>
      <c r="T58967" s="8"/>
      <c r="U58967" s="8"/>
      <c r="V58967" s="8"/>
      <c r="W58967" s="8"/>
      <c r="X58967" s="8"/>
      <c r="Y58967" s="8"/>
      <c r="Z58967" s="8"/>
      <c r="AA58967" s="8"/>
    </row>
    <row r="58968" spans="1:27" x14ac:dyDescent="0.25">
      <c r="A58968" s="8"/>
      <c r="B58968" s="8"/>
      <c r="C58968" s="99"/>
      <c r="D58968" s="8"/>
      <c r="E58968" s="8"/>
      <c r="F58968" s="8"/>
      <c r="G58968" s="8"/>
      <c r="H58968" s="8"/>
      <c r="I58968" s="102"/>
      <c r="J58968" s="8"/>
      <c r="K58968" s="8"/>
      <c r="L58968" s="8"/>
      <c r="M58968" s="8"/>
      <c r="N58968" s="8"/>
      <c r="O58968" s="8"/>
      <c r="P58968" s="8"/>
      <c r="Q58968" s="8"/>
      <c r="R58968" s="103"/>
      <c r="S58968" s="8"/>
      <c r="T58968" s="8"/>
      <c r="U58968" s="8"/>
      <c r="V58968" s="8"/>
      <c r="W58968" s="8"/>
      <c r="X58968" s="8"/>
      <c r="Y58968" s="8"/>
      <c r="Z58968" s="8"/>
      <c r="AA58968" s="8"/>
    </row>
    <row r="58969" spans="1:27" x14ac:dyDescent="0.25">
      <c r="A58969" s="8"/>
      <c r="B58969" s="8"/>
      <c r="C58969" s="99"/>
      <c r="D58969" s="8"/>
      <c r="E58969" s="8"/>
      <c r="F58969" s="8"/>
      <c r="G58969" s="8"/>
      <c r="H58969" s="8"/>
      <c r="I58969" s="102"/>
      <c r="J58969" s="8"/>
      <c r="K58969" s="8"/>
      <c r="L58969" s="8"/>
      <c r="M58969" s="8"/>
      <c r="N58969" s="8"/>
      <c r="O58969" s="8"/>
      <c r="P58969" s="8"/>
      <c r="Q58969" s="8"/>
      <c r="R58969" s="103"/>
      <c r="S58969" s="8"/>
      <c r="T58969" s="8"/>
      <c r="U58969" s="8"/>
      <c r="V58969" s="8"/>
      <c r="W58969" s="8"/>
      <c r="X58969" s="8"/>
      <c r="Y58969" s="8"/>
      <c r="Z58969" s="8"/>
      <c r="AA58969" s="8"/>
    </row>
    <row r="58970" spans="1:27" x14ac:dyDescent="0.25">
      <c r="A58970" s="8"/>
      <c r="B58970" s="8"/>
      <c r="C58970" s="99"/>
      <c r="D58970" s="8"/>
      <c r="E58970" s="8"/>
      <c r="F58970" s="8"/>
      <c r="G58970" s="8"/>
      <c r="H58970" s="8"/>
      <c r="I58970" s="102"/>
      <c r="J58970" s="8"/>
      <c r="K58970" s="8"/>
      <c r="L58970" s="8"/>
      <c r="M58970" s="8"/>
      <c r="N58970" s="8"/>
      <c r="O58970" s="8"/>
      <c r="P58970" s="8"/>
      <c r="Q58970" s="8"/>
      <c r="R58970" s="103"/>
      <c r="S58970" s="8"/>
      <c r="T58970" s="8"/>
      <c r="U58970" s="8"/>
      <c r="V58970" s="8"/>
      <c r="W58970" s="8"/>
      <c r="X58970" s="8"/>
      <c r="Y58970" s="8"/>
      <c r="Z58970" s="8"/>
      <c r="AA58970" s="8"/>
    </row>
    <row r="58971" spans="1:27" x14ac:dyDescent="0.25">
      <c r="A58971" s="8"/>
      <c r="B58971" s="8"/>
      <c r="C58971" s="99"/>
      <c r="D58971" s="8"/>
      <c r="E58971" s="8"/>
      <c r="F58971" s="8"/>
      <c r="G58971" s="8"/>
      <c r="H58971" s="8"/>
      <c r="I58971" s="102"/>
      <c r="J58971" s="8"/>
      <c r="K58971" s="8"/>
      <c r="L58971" s="8"/>
      <c r="M58971" s="8"/>
      <c r="N58971" s="8"/>
      <c r="O58971" s="8"/>
      <c r="P58971" s="8"/>
      <c r="Q58971" s="8"/>
      <c r="R58971" s="103"/>
      <c r="S58971" s="8"/>
      <c r="T58971" s="8"/>
      <c r="U58971" s="8"/>
      <c r="V58971" s="8"/>
      <c r="W58971" s="8"/>
      <c r="X58971" s="8"/>
      <c r="Y58971" s="8"/>
      <c r="Z58971" s="8"/>
      <c r="AA58971" s="8"/>
    </row>
    <row r="58972" spans="1:27" x14ac:dyDescent="0.25">
      <c r="A58972" s="8"/>
      <c r="B58972" s="8"/>
      <c r="C58972" s="99"/>
      <c r="D58972" s="8"/>
      <c r="E58972" s="8"/>
      <c r="F58972" s="8"/>
      <c r="G58972" s="8"/>
      <c r="H58972" s="8"/>
      <c r="I58972" s="102"/>
      <c r="J58972" s="8"/>
      <c r="K58972" s="8"/>
      <c r="L58972" s="8"/>
      <c r="M58972" s="8"/>
      <c r="N58972" s="8"/>
      <c r="O58972" s="8"/>
      <c r="P58972" s="8"/>
      <c r="Q58972" s="8"/>
      <c r="R58972" s="103"/>
      <c r="S58972" s="8"/>
      <c r="T58972" s="8"/>
      <c r="U58972" s="8"/>
      <c r="V58972" s="8"/>
      <c r="W58972" s="8"/>
      <c r="X58972" s="8"/>
      <c r="Y58972" s="8"/>
      <c r="Z58972" s="8"/>
      <c r="AA58972" s="8"/>
    </row>
    <row r="58973" spans="1:27" x14ac:dyDescent="0.25">
      <c r="A58973" s="8"/>
      <c r="B58973" s="8"/>
      <c r="C58973" s="99"/>
      <c r="D58973" s="8"/>
      <c r="E58973" s="8"/>
      <c r="F58973" s="8"/>
      <c r="G58973" s="8"/>
      <c r="H58973" s="8"/>
      <c r="I58973" s="102"/>
      <c r="J58973" s="8"/>
      <c r="K58973" s="8"/>
      <c r="L58973" s="8"/>
      <c r="M58973" s="8"/>
      <c r="N58973" s="8"/>
      <c r="O58973" s="8"/>
      <c r="P58973" s="8"/>
      <c r="Q58973" s="8"/>
      <c r="R58973" s="103"/>
      <c r="S58973" s="8"/>
      <c r="T58973" s="8"/>
      <c r="U58973" s="8"/>
      <c r="V58973" s="8"/>
      <c r="W58973" s="8"/>
      <c r="X58973" s="8"/>
      <c r="Y58973" s="8"/>
      <c r="Z58973" s="8"/>
      <c r="AA58973" s="8"/>
    </row>
    <row r="58974" spans="1:27" x14ac:dyDescent="0.25">
      <c r="A58974" s="8"/>
      <c r="B58974" s="8"/>
      <c r="C58974" s="99"/>
      <c r="D58974" s="8"/>
      <c r="E58974" s="8"/>
      <c r="F58974" s="8"/>
      <c r="G58974" s="8"/>
      <c r="H58974" s="8"/>
      <c r="I58974" s="102"/>
      <c r="J58974" s="8"/>
      <c r="K58974" s="8"/>
      <c r="L58974" s="8"/>
      <c r="M58974" s="8"/>
      <c r="N58974" s="8"/>
      <c r="O58974" s="8"/>
      <c r="P58974" s="8"/>
      <c r="Q58974" s="8"/>
      <c r="R58974" s="103"/>
      <c r="S58974" s="8"/>
      <c r="T58974" s="8"/>
      <c r="U58974" s="8"/>
      <c r="V58974" s="8"/>
      <c r="W58974" s="8"/>
      <c r="X58974" s="8"/>
      <c r="Y58974" s="8"/>
      <c r="Z58974" s="8"/>
      <c r="AA58974" s="8"/>
    </row>
    <row r="58975" spans="1:27" x14ac:dyDescent="0.25">
      <c r="A58975" s="8"/>
      <c r="B58975" s="8"/>
      <c r="C58975" s="99"/>
      <c r="D58975" s="8"/>
      <c r="E58975" s="8"/>
      <c r="F58975" s="8"/>
      <c r="G58975" s="8"/>
      <c r="H58975" s="8"/>
      <c r="I58975" s="102"/>
      <c r="J58975" s="8"/>
      <c r="K58975" s="8"/>
      <c r="L58975" s="8"/>
      <c r="M58975" s="8"/>
      <c r="N58975" s="8"/>
      <c r="O58975" s="8"/>
      <c r="P58975" s="8"/>
      <c r="Q58975" s="8"/>
      <c r="R58975" s="103"/>
      <c r="S58975" s="8"/>
      <c r="T58975" s="8"/>
      <c r="U58975" s="8"/>
      <c r="V58975" s="8"/>
      <c r="W58975" s="8"/>
      <c r="X58975" s="8"/>
      <c r="Y58975" s="8"/>
      <c r="Z58975" s="8"/>
      <c r="AA58975" s="8"/>
    </row>
    <row r="58976" spans="1:27" x14ac:dyDescent="0.25">
      <c r="A58976" s="8"/>
      <c r="B58976" s="8"/>
      <c r="C58976" s="99"/>
      <c r="D58976" s="8"/>
      <c r="E58976" s="8"/>
      <c r="F58976" s="8"/>
      <c r="G58976" s="8"/>
      <c r="H58976" s="8"/>
      <c r="I58976" s="102"/>
      <c r="J58976" s="8"/>
      <c r="K58976" s="8"/>
      <c r="L58976" s="8"/>
      <c r="M58976" s="8"/>
      <c r="N58976" s="8"/>
      <c r="O58976" s="8"/>
      <c r="P58976" s="8"/>
      <c r="Q58976" s="8"/>
      <c r="R58976" s="103"/>
      <c r="S58976" s="8"/>
      <c r="T58976" s="8"/>
      <c r="U58976" s="8"/>
      <c r="V58976" s="8"/>
      <c r="W58976" s="8"/>
      <c r="X58976" s="8"/>
      <c r="Y58976" s="8"/>
      <c r="Z58976" s="8"/>
      <c r="AA58976" s="8"/>
    </row>
    <row r="58977" spans="1:27" x14ac:dyDescent="0.25">
      <c r="A58977" s="8"/>
      <c r="B58977" s="8"/>
      <c r="C58977" s="99"/>
      <c r="D58977" s="8"/>
      <c r="E58977" s="8"/>
      <c r="F58977" s="8"/>
      <c r="G58977" s="8"/>
      <c r="H58977" s="8"/>
      <c r="I58977" s="102"/>
      <c r="J58977" s="8"/>
      <c r="K58977" s="8"/>
      <c r="L58977" s="8"/>
      <c r="M58977" s="8"/>
      <c r="N58977" s="8"/>
      <c r="O58977" s="8"/>
      <c r="P58977" s="8"/>
      <c r="Q58977" s="8"/>
      <c r="R58977" s="103"/>
      <c r="S58977" s="8"/>
      <c r="T58977" s="8"/>
      <c r="U58977" s="8"/>
      <c r="V58977" s="8"/>
      <c r="W58977" s="8"/>
      <c r="X58977" s="8"/>
      <c r="Y58977" s="8"/>
      <c r="Z58977" s="8"/>
      <c r="AA58977" s="8"/>
    </row>
    <row r="58978" spans="1:27" x14ac:dyDescent="0.25">
      <c r="A58978" s="8"/>
      <c r="B58978" s="8"/>
      <c r="C58978" s="99"/>
      <c r="D58978" s="8"/>
      <c r="E58978" s="8"/>
      <c r="F58978" s="8"/>
      <c r="G58978" s="8"/>
      <c r="H58978" s="8"/>
      <c r="I58978" s="102"/>
      <c r="J58978" s="8"/>
      <c r="K58978" s="8"/>
      <c r="L58978" s="8"/>
      <c r="M58978" s="8"/>
      <c r="N58978" s="8"/>
      <c r="O58978" s="8"/>
      <c r="P58978" s="8"/>
      <c r="Q58978" s="8"/>
      <c r="R58978" s="103"/>
      <c r="S58978" s="8"/>
      <c r="T58978" s="8"/>
      <c r="U58978" s="8"/>
      <c r="V58978" s="8"/>
      <c r="W58978" s="8"/>
      <c r="X58978" s="8"/>
      <c r="Y58978" s="8"/>
      <c r="Z58978" s="8"/>
      <c r="AA58978" s="8"/>
    </row>
    <row r="58979" spans="1:27" x14ac:dyDescent="0.25">
      <c r="A58979" s="8"/>
      <c r="B58979" s="8"/>
      <c r="C58979" s="99"/>
      <c r="D58979" s="8"/>
      <c r="E58979" s="8"/>
      <c r="F58979" s="8"/>
      <c r="G58979" s="8"/>
      <c r="H58979" s="8"/>
      <c r="I58979" s="102"/>
      <c r="J58979" s="8"/>
      <c r="K58979" s="8"/>
      <c r="L58979" s="8"/>
      <c r="M58979" s="8"/>
      <c r="N58979" s="8"/>
      <c r="O58979" s="8"/>
      <c r="P58979" s="8"/>
      <c r="Q58979" s="8"/>
      <c r="R58979" s="103"/>
      <c r="S58979" s="8"/>
      <c r="T58979" s="8"/>
      <c r="U58979" s="8"/>
      <c r="V58979" s="8"/>
      <c r="W58979" s="8"/>
      <c r="X58979" s="8"/>
      <c r="Y58979" s="8"/>
      <c r="Z58979" s="8"/>
      <c r="AA58979" s="8"/>
    </row>
    <row r="58980" spans="1:27" x14ac:dyDescent="0.25">
      <c r="A58980" s="8"/>
      <c r="B58980" s="8"/>
      <c r="C58980" s="99"/>
      <c r="D58980" s="8"/>
      <c r="E58980" s="8"/>
      <c r="F58980" s="8"/>
      <c r="G58980" s="8"/>
      <c r="H58980" s="8"/>
      <c r="I58980" s="102"/>
      <c r="J58980" s="8"/>
      <c r="K58980" s="8"/>
      <c r="L58980" s="8"/>
      <c r="M58980" s="8"/>
      <c r="N58980" s="8"/>
      <c r="O58980" s="8"/>
      <c r="P58980" s="8"/>
      <c r="Q58980" s="8"/>
      <c r="R58980" s="103"/>
      <c r="S58980" s="8"/>
      <c r="T58980" s="8"/>
      <c r="U58980" s="8"/>
      <c r="V58980" s="8"/>
      <c r="W58980" s="8"/>
      <c r="X58980" s="8"/>
      <c r="Y58980" s="8"/>
      <c r="Z58980" s="8"/>
      <c r="AA58980" s="8"/>
    </row>
    <row r="58981" spans="1:27" x14ac:dyDescent="0.25">
      <c r="A58981" s="8"/>
      <c r="B58981" s="8"/>
      <c r="C58981" s="99"/>
      <c r="D58981" s="8"/>
      <c r="E58981" s="8"/>
      <c r="F58981" s="8"/>
      <c r="G58981" s="8"/>
      <c r="H58981" s="8"/>
      <c r="I58981" s="102"/>
      <c r="J58981" s="8"/>
      <c r="K58981" s="8"/>
      <c r="L58981" s="8"/>
      <c r="M58981" s="8"/>
      <c r="N58981" s="8"/>
      <c r="O58981" s="8"/>
      <c r="P58981" s="8"/>
      <c r="Q58981" s="8"/>
      <c r="R58981" s="103"/>
      <c r="S58981" s="8"/>
      <c r="T58981" s="8"/>
      <c r="U58981" s="8"/>
      <c r="V58981" s="8"/>
      <c r="W58981" s="8"/>
      <c r="X58981" s="8"/>
      <c r="Y58981" s="8"/>
      <c r="Z58981" s="8"/>
      <c r="AA58981" s="8"/>
    </row>
    <row r="58982" spans="1:27" x14ac:dyDescent="0.25">
      <c r="A58982" s="8"/>
      <c r="B58982" s="8"/>
      <c r="C58982" s="99"/>
      <c r="D58982" s="8"/>
      <c r="E58982" s="8"/>
      <c r="F58982" s="8"/>
      <c r="G58982" s="8"/>
      <c r="H58982" s="8"/>
      <c r="I58982" s="102"/>
      <c r="J58982" s="8"/>
      <c r="K58982" s="8"/>
      <c r="L58982" s="8"/>
      <c r="M58982" s="8"/>
      <c r="N58982" s="8"/>
      <c r="O58982" s="8"/>
      <c r="P58982" s="8"/>
      <c r="Q58982" s="8"/>
      <c r="R58982" s="103"/>
      <c r="S58982" s="8"/>
      <c r="T58982" s="8"/>
      <c r="U58982" s="8"/>
      <c r="V58982" s="8"/>
      <c r="W58982" s="8"/>
      <c r="X58982" s="8"/>
      <c r="Y58982" s="8"/>
      <c r="Z58982" s="8"/>
      <c r="AA58982" s="8"/>
    </row>
    <row r="58983" spans="1:27" x14ac:dyDescent="0.25">
      <c r="A58983" s="8"/>
      <c r="B58983" s="8"/>
      <c r="C58983" s="99"/>
      <c r="D58983" s="8"/>
      <c r="E58983" s="8"/>
      <c r="F58983" s="8"/>
      <c r="G58983" s="8"/>
      <c r="H58983" s="8"/>
      <c r="I58983" s="102"/>
      <c r="J58983" s="8"/>
      <c r="K58983" s="8"/>
      <c r="L58983" s="8"/>
      <c r="M58983" s="8"/>
      <c r="N58983" s="8"/>
      <c r="O58983" s="8"/>
      <c r="P58983" s="8"/>
      <c r="Q58983" s="8"/>
      <c r="R58983" s="103"/>
      <c r="S58983" s="8"/>
      <c r="T58983" s="8"/>
      <c r="U58983" s="8"/>
      <c r="V58983" s="8"/>
      <c r="W58983" s="8"/>
      <c r="X58983" s="8"/>
      <c r="Y58983" s="8"/>
      <c r="Z58983" s="8"/>
      <c r="AA58983" s="8"/>
    </row>
    <row r="58984" spans="1:27" x14ac:dyDescent="0.25">
      <c r="A58984" s="8"/>
      <c r="B58984" s="8"/>
      <c r="C58984" s="99"/>
      <c r="D58984" s="8"/>
      <c r="E58984" s="8"/>
      <c r="F58984" s="8"/>
      <c r="G58984" s="8"/>
      <c r="H58984" s="8"/>
      <c r="I58984" s="102"/>
      <c r="J58984" s="8"/>
      <c r="K58984" s="8"/>
      <c r="L58984" s="8"/>
      <c r="M58984" s="8"/>
      <c r="N58984" s="8"/>
      <c r="O58984" s="8"/>
      <c r="P58984" s="8"/>
      <c r="Q58984" s="8"/>
      <c r="R58984" s="103"/>
      <c r="S58984" s="8"/>
      <c r="T58984" s="8"/>
      <c r="U58984" s="8"/>
      <c r="V58984" s="8"/>
      <c r="W58984" s="8"/>
      <c r="X58984" s="8"/>
      <c r="Y58984" s="8"/>
      <c r="Z58984" s="8"/>
      <c r="AA58984" s="8"/>
    </row>
    <row r="58985" spans="1:27" x14ac:dyDescent="0.25">
      <c r="A58985" s="8"/>
      <c r="B58985" s="8"/>
      <c r="C58985" s="99"/>
      <c r="D58985" s="8"/>
      <c r="E58985" s="8"/>
      <c r="F58985" s="8"/>
      <c r="G58985" s="8"/>
      <c r="H58985" s="8"/>
      <c r="I58985" s="102"/>
      <c r="J58985" s="8"/>
      <c r="K58985" s="8"/>
      <c r="L58985" s="8"/>
      <c r="M58985" s="8"/>
      <c r="N58985" s="8"/>
      <c r="O58985" s="8"/>
      <c r="P58985" s="8"/>
      <c r="Q58985" s="8"/>
      <c r="R58985" s="103"/>
      <c r="S58985" s="8"/>
      <c r="T58985" s="8"/>
      <c r="U58985" s="8"/>
      <c r="V58985" s="8"/>
      <c r="W58985" s="8"/>
      <c r="X58985" s="8"/>
      <c r="Y58985" s="8"/>
      <c r="Z58985" s="8"/>
      <c r="AA58985" s="8"/>
    </row>
    <row r="58986" spans="1:27" x14ac:dyDescent="0.25">
      <c r="A58986" s="8"/>
      <c r="B58986" s="8"/>
      <c r="C58986" s="99"/>
      <c r="D58986" s="8"/>
      <c r="E58986" s="8"/>
      <c r="F58986" s="8"/>
      <c r="G58986" s="8"/>
      <c r="H58986" s="8"/>
      <c r="I58986" s="102"/>
      <c r="J58986" s="8"/>
      <c r="K58986" s="8"/>
      <c r="L58986" s="8"/>
      <c r="M58986" s="8"/>
      <c r="N58986" s="8"/>
      <c r="O58986" s="8"/>
      <c r="P58986" s="8"/>
      <c r="Q58986" s="8"/>
      <c r="R58986" s="103"/>
      <c r="S58986" s="8"/>
      <c r="T58986" s="8"/>
      <c r="U58986" s="8"/>
      <c r="V58986" s="8"/>
      <c r="W58986" s="8"/>
      <c r="X58986" s="8"/>
      <c r="Y58986" s="8"/>
      <c r="Z58986" s="8"/>
      <c r="AA58986" s="8"/>
    </row>
    <row r="58987" spans="1:27" x14ac:dyDescent="0.25">
      <c r="A58987" s="8"/>
      <c r="B58987" s="8"/>
      <c r="C58987" s="99"/>
      <c r="D58987" s="8"/>
      <c r="E58987" s="8"/>
      <c r="F58987" s="8"/>
      <c r="G58987" s="8"/>
      <c r="H58987" s="8"/>
      <c r="I58987" s="102"/>
      <c r="J58987" s="8"/>
      <c r="K58987" s="8"/>
      <c r="L58987" s="8"/>
      <c r="M58987" s="8"/>
      <c r="N58987" s="8"/>
      <c r="O58987" s="8"/>
      <c r="P58987" s="8"/>
      <c r="Q58987" s="8"/>
      <c r="R58987" s="103"/>
      <c r="S58987" s="8"/>
      <c r="T58987" s="8"/>
      <c r="U58987" s="8"/>
      <c r="V58987" s="8"/>
      <c r="W58987" s="8"/>
      <c r="X58987" s="8"/>
      <c r="Y58987" s="8"/>
      <c r="Z58987" s="8"/>
      <c r="AA58987" s="8"/>
    </row>
    <row r="58988" spans="1:27" x14ac:dyDescent="0.25">
      <c r="A58988" s="8"/>
      <c r="B58988" s="8"/>
      <c r="C58988" s="99"/>
      <c r="D58988" s="8"/>
      <c r="E58988" s="8"/>
      <c r="F58988" s="8"/>
      <c r="G58988" s="8"/>
      <c r="H58988" s="8"/>
      <c r="I58988" s="102"/>
      <c r="J58988" s="8"/>
      <c r="K58988" s="8"/>
      <c r="L58988" s="8"/>
      <c r="M58988" s="8"/>
      <c r="N58988" s="8"/>
      <c r="O58988" s="8"/>
      <c r="P58988" s="8"/>
      <c r="Q58988" s="8"/>
      <c r="R58988" s="103"/>
      <c r="S58988" s="8"/>
      <c r="T58988" s="8"/>
      <c r="U58988" s="8"/>
      <c r="V58988" s="8"/>
      <c r="W58988" s="8"/>
      <c r="X58988" s="8"/>
      <c r="Y58988" s="8"/>
      <c r="Z58988" s="8"/>
      <c r="AA58988" s="8"/>
    </row>
    <row r="58989" spans="1:27" x14ac:dyDescent="0.25">
      <c r="A58989" s="8"/>
      <c r="B58989" s="8"/>
      <c r="C58989" s="99"/>
      <c r="D58989" s="8"/>
      <c r="E58989" s="8"/>
      <c r="F58989" s="8"/>
      <c r="G58989" s="8"/>
      <c r="H58989" s="8"/>
      <c r="I58989" s="102"/>
      <c r="J58989" s="8"/>
      <c r="K58989" s="8"/>
      <c r="L58989" s="8"/>
      <c r="M58989" s="8"/>
      <c r="N58989" s="8"/>
      <c r="O58989" s="8"/>
      <c r="P58989" s="8"/>
      <c r="Q58989" s="8"/>
      <c r="R58989" s="103"/>
      <c r="S58989" s="8"/>
      <c r="T58989" s="8"/>
      <c r="U58989" s="8"/>
      <c r="V58989" s="8"/>
      <c r="W58989" s="8"/>
      <c r="X58989" s="8"/>
      <c r="Y58989" s="8"/>
      <c r="Z58989" s="8"/>
      <c r="AA58989" s="8"/>
    </row>
    <row r="58990" spans="1:27" x14ac:dyDescent="0.25">
      <c r="A58990" s="8"/>
      <c r="B58990" s="8"/>
      <c r="C58990" s="99"/>
      <c r="D58990" s="8"/>
      <c r="E58990" s="8"/>
      <c r="F58990" s="8"/>
      <c r="G58990" s="8"/>
      <c r="H58990" s="8"/>
      <c r="I58990" s="102"/>
      <c r="J58990" s="8"/>
      <c r="K58990" s="8"/>
      <c r="L58990" s="8"/>
      <c r="M58990" s="8"/>
      <c r="N58990" s="8"/>
      <c r="O58990" s="8"/>
      <c r="P58990" s="8"/>
      <c r="Q58990" s="8"/>
      <c r="R58990" s="103"/>
      <c r="S58990" s="8"/>
      <c r="T58990" s="8"/>
      <c r="U58990" s="8"/>
      <c r="V58990" s="8"/>
      <c r="W58990" s="8"/>
      <c r="X58990" s="8"/>
      <c r="Y58990" s="8"/>
      <c r="Z58990" s="8"/>
      <c r="AA58990" s="8"/>
    </row>
    <row r="58991" spans="1:27" x14ac:dyDescent="0.25">
      <c r="A58991" s="8"/>
      <c r="B58991" s="8"/>
      <c r="C58991" s="99"/>
      <c r="D58991" s="8"/>
      <c r="E58991" s="8"/>
      <c r="F58991" s="8"/>
      <c r="G58991" s="8"/>
      <c r="H58991" s="8"/>
      <c r="I58991" s="102"/>
      <c r="J58991" s="8"/>
      <c r="K58991" s="8"/>
      <c r="L58991" s="8"/>
      <c r="M58991" s="8"/>
      <c r="N58991" s="8"/>
      <c r="O58991" s="8"/>
      <c r="P58991" s="8"/>
      <c r="Q58991" s="8"/>
      <c r="R58991" s="103"/>
      <c r="S58991" s="8"/>
      <c r="T58991" s="8"/>
      <c r="U58991" s="8"/>
      <c r="V58991" s="8"/>
      <c r="W58991" s="8"/>
      <c r="X58991" s="8"/>
      <c r="Y58991" s="8"/>
      <c r="Z58991" s="8"/>
      <c r="AA58991" s="8"/>
    </row>
    <row r="58992" spans="1:27" x14ac:dyDescent="0.25">
      <c r="A58992" s="8"/>
      <c r="B58992" s="8"/>
      <c r="C58992" s="99"/>
      <c r="D58992" s="8"/>
      <c r="E58992" s="8"/>
      <c r="F58992" s="8"/>
      <c r="G58992" s="8"/>
      <c r="H58992" s="8"/>
      <c r="I58992" s="102"/>
      <c r="J58992" s="8"/>
      <c r="K58992" s="8"/>
      <c r="L58992" s="8"/>
      <c r="M58992" s="8"/>
      <c r="N58992" s="8"/>
      <c r="O58992" s="8"/>
      <c r="P58992" s="8"/>
      <c r="Q58992" s="8"/>
      <c r="R58992" s="103"/>
      <c r="S58992" s="8"/>
      <c r="T58992" s="8"/>
      <c r="U58992" s="8"/>
      <c r="V58992" s="8"/>
      <c r="W58992" s="8"/>
      <c r="X58992" s="8"/>
      <c r="Y58992" s="8"/>
      <c r="Z58992" s="8"/>
      <c r="AA58992" s="8"/>
    </row>
    <row r="58993" spans="1:27" x14ac:dyDescent="0.25">
      <c r="A58993" s="8"/>
      <c r="B58993" s="8"/>
      <c r="C58993" s="99"/>
      <c r="D58993" s="8"/>
      <c r="E58993" s="8"/>
      <c r="F58993" s="8"/>
      <c r="G58993" s="8"/>
      <c r="H58993" s="8"/>
      <c r="I58993" s="102"/>
      <c r="J58993" s="8"/>
      <c r="K58993" s="8"/>
      <c r="L58993" s="8"/>
      <c r="M58993" s="8"/>
      <c r="N58993" s="8"/>
      <c r="O58993" s="8"/>
      <c r="P58993" s="8"/>
      <c r="Q58993" s="8"/>
      <c r="R58993" s="103"/>
      <c r="S58993" s="8"/>
      <c r="T58993" s="8"/>
      <c r="U58993" s="8"/>
      <c r="V58993" s="8"/>
      <c r="W58993" s="8"/>
      <c r="X58993" s="8"/>
      <c r="Y58993" s="8"/>
      <c r="Z58993" s="8"/>
      <c r="AA58993" s="8"/>
    </row>
    <row r="58994" spans="1:27" x14ac:dyDescent="0.25">
      <c r="A58994" s="8"/>
      <c r="B58994" s="8"/>
      <c r="C58994" s="99"/>
      <c r="D58994" s="8"/>
      <c r="E58994" s="8"/>
      <c r="F58994" s="8"/>
      <c r="G58994" s="8"/>
      <c r="H58994" s="8"/>
      <c r="I58994" s="102"/>
      <c r="J58994" s="8"/>
      <c r="K58994" s="8"/>
      <c r="L58994" s="8"/>
      <c r="M58994" s="8"/>
      <c r="N58994" s="8"/>
      <c r="O58994" s="8"/>
      <c r="P58994" s="8"/>
      <c r="Q58994" s="8"/>
      <c r="R58994" s="103"/>
      <c r="S58994" s="8"/>
      <c r="T58994" s="8"/>
      <c r="U58994" s="8"/>
      <c r="V58994" s="8"/>
      <c r="W58994" s="8"/>
      <c r="X58994" s="8"/>
      <c r="Y58994" s="8"/>
      <c r="Z58994" s="8"/>
      <c r="AA58994" s="8"/>
    </row>
    <row r="58995" spans="1:27" x14ac:dyDescent="0.25">
      <c r="A58995" s="8"/>
      <c r="B58995" s="8"/>
      <c r="C58995" s="99"/>
      <c r="D58995" s="8"/>
      <c r="E58995" s="8"/>
      <c r="F58995" s="8"/>
      <c r="G58995" s="8"/>
      <c r="H58995" s="8"/>
      <c r="I58995" s="102"/>
      <c r="J58995" s="8"/>
      <c r="K58995" s="8"/>
      <c r="L58995" s="8"/>
      <c r="M58995" s="8"/>
      <c r="N58995" s="8"/>
      <c r="O58995" s="8"/>
      <c r="P58995" s="8"/>
      <c r="Q58995" s="8"/>
      <c r="R58995" s="103"/>
      <c r="S58995" s="8"/>
      <c r="T58995" s="8"/>
      <c r="U58995" s="8"/>
      <c r="V58995" s="8"/>
      <c r="W58995" s="8"/>
      <c r="X58995" s="8"/>
      <c r="Y58995" s="8"/>
      <c r="Z58995" s="8"/>
      <c r="AA58995" s="8"/>
    </row>
    <row r="58996" spans="1:27" x14ac:dyDescent="0.25">
      <c r="A58996" s="8"/>
      <c r="B58996" s="8"/>
      <c r="C58996" s="99"/>
      <c r="D58996" s="8"/>
      <c r="E58996" s="8"/>
      <c r="F58996" s="8"/>
      <c r="G58996" s="8"/>
      <c r="H58996" s="8"/>
      <c r="I58996" s="102"/>
      <c r="J58996" s="8"/>
      <c r="K58996" s="8"/>
      <c r="L58996" s="8"/>
      <c r="M58996" s="8"/>
      <c r="N58996" s="8"/>
      <c r="O58996" s="8"/>
      <c r="P58996" s="8"/>
      <c r="Q58996" s="8"/>
      <c r="R58996" s="103"/>
      <c r="S58996" s="8"/>
      <c r="T58996" s="8"/>
      <c r="U58996" s="8"/>
      <c r="V58996" s="8"/>
      <c r="W58996" s="8"/>
      <c r="X58996" s="8"/>
      <c r="Y58996" s="8"/>
      <c r="Z58996" s="8"/>
      <c r="AA58996" s="8"/>
    </row>
    <row r="58997" spans="1:27" x14ac:dyDescent="0.25">
      <c r="A58997" s="8"/>
      <c r="B58997" s="8"/>
      <c r="C58997" s="99"/>
      <c r="D58997" s="8"/>
      <c r="E58997" s="8"/>
      <c r="F58997" s="8"/>
      <c r="G58997" s="8"/>
      <c r="H58997" s="8"/>
      <c r="I58997" s="102"/>
      <c r="J58997" s="8"/>
      <c r="K58997" s="8"/>
      <c r="L58997" s="8"/>
      <c r="M58997" s="8"/>
      <c r="N58997" s="8"/>
      <c r="O58997" s="8"/>
      <c r="P58997" s="8"/>
      <c r="Q58997" s="8"/>
      <c r="R58997" s="103"/>
      <c r="S58997" s="8"/>
      <c r="T58997" s="8"/>
      <c r="U58997" s="8"/>
      <c r="V58997" s="8"/>
      <c r="W58997" s="8"/>
      <c r="X58997" s="8"/>
      <c r="Y58997" s="8"/>
      <c r="Z58997" s="8"/>
      <c r="AA58997" s="8"/>
    </row>
    <row r="58998" spans="1:27" x14ac:dyDescent="0.25">
      <c r="A58998" s="8"/>
      <c r="B58998" s="8"/>
      <c r="C58998" s="99"/>
      <c r="D58998" s="8"/>
      <c r="E58998" s="8"/>
      <c r="F58998" s="8"/>
      <c r="G58998" s="8"/>
      <c r="H58998" s="8"/>
      <c r="I58998" s="102"/>
      <c r="J58998" s="8"/>
      <c r="K58998" s="8"/>
      <c r="L58998" s="8"/>
      <c r="M58998" s="8"/>
      <c r="N58998" s="8"/>
      <c r="O58998" s="8"/>
      <c r="P58998" s="8"/>
      <c r="Q58998" s="8"/>
      <c r="R58998" s="103"/>
      <c r="S58998" s="8"/>
      <c r="T58998" s="8"/>
      <c r="U58998" s="8"/>
      <c r="V58998" s="8"/>
      <c r="W58998" s="8"/>
      <c r="X58998" s="8"/>
      <c r="Y58998" s="8"/>
      <c r="Z58998" s="8"/>
      <c r="AA58998" s="8"/>
    </row>
    <row r="58999" spans="1:27" x14ac:dyDescent="0.25">
      <c r="A58999" s="8"/>
      <c r="B58999" s="8"/>
      <c r="C58999" s="99"/>
      <c r="D58999" s="8"/>
      <c r="E58999" s="8"/>
      <c r="F58999" s="8"/>
      <c r="G58999" s="8"/>
      <c r="H58999" s="8"/>
      <c r="I58999" s="102"/>
      <c r="J58999" s="8"/>
      <c r="K58999" s="8"/>
      <c r="L58999" s="8"/>
      <c r="M58999" s="8"/>
      <c r="N58999" s="8"/>
      <c r="O58999" s="8"/>
      <c r="P58999" s="8"/>
      <c r="Q58999" s="8"/>
      <c r="R58999" s="103"/>
      <c r="S58999" s="8"/>
      <c r="T58999" s="8"/>
      <c r="U58999" s="8"/>
      <c r="V58999" s="8"/>
      <c r="W58999" s="8"/>
      <c r="X58999" s="8"/>
      <c r="Y58999" s="8"/>
      <c r="Z58999" s="8"/>
      <c r="AA58999" s="8"/>
    </row>
    <row r="59000" spans="1:27" x14ac:dyDescent="0.25">
      <c r="A59000" s="8"/>
      <c r="B59000" s="8"/>
      <c r="C59000" s="99"/>
      <c r="D59000" s="8"/>
      <c r="E59000" s="8"/>
      <c r="F59000" s="8"/>
      <c r="G59000" s="8"/>
      <c r="H59000" s="8"/>
      <c r="I59000" s="102"/>
      <c r="J59000" s="8"/>
      <c r="K59000" s="8"/>
      <c r="L59000" s="8"/>
      <c r="M59000" s="8"/>
      <c r="N59000" s="8"/>
      <c r="O59000" s="8"/>
      <c r="P59000" s="8"/>
      <c r="Q59000" s="8"/>
      <c r="R59000" s="103"/>
      <c r="S59000" s="8"/>
      <c r="T59000" s="8"/>
      <c r="U59000" s="8"/>
      <c r="V59000" s="8"/>
      <c r="W59000" s="8"/>
      <c r="X59000" s="8"/>
      <c r="Y59000" s="8"/>
      <c r="Z59000" s="8"/>
      <c r="AA59000" s="8"/>
    </row>
    <row r="59001" spans="1:27" x14ac:dyDescent="0.25">
      <c r="A59001" s="8"/>
      <c r="B59001" s="8"/>
      <c r="C59001" s="99"/>
      <c r="D59001" s="8"/>
      <c r="E59001" s="8"/>
      <c r="F59001" s="8"/>
      <c r="G59001" s="8"/>
      <c r="H59001" s="8"/>
      <c r="I59001" s="102"/>
      <c r="J59001" s="8"/>
      <c r="K59001" s="8"/>
      <c r="L59001" s="8"/>
      <c r="M59001" s="8"/>
      <c r="N59001" s="8"/>
      <c r="O59001" s="8"/>
      <c r="P59001" s="8"/>
      <c r="Q59001" s="8"/>
      <c r="R59001" s="103"/>
      <c r="S59001" s="8"/>
      <c r="T59001" s="8"/>
      <c r="U59001" s="8"/>
      <c r="V59001" s="8"/>
      <c r="W59001" s="8"/>
      <c r="X59001" s="8"/>
      <c r="Y59001" s="8"/>
      <c r="Z59001" s="8"/>
      <c r="AA59001" s="8"/>
    </row>
    <row r="59002" spans="1:27" x14ac:dyDescent="0.25">
      <c r="A59002" s="8"/>
      <c r="B59002" s="8"/>
      <c r="C59002" s="99"/>
      <c r="D59002" s="8"/>
      <c r="E59002" s="8"/>
      <c r="F59002" s="8"/>
      <c r="G59002" s="8"/>
      <c r="H59002" s="8"/>
      <c r="I59002" s="102"/>
      <c r="J59002" s="8"/>
      <c r="K59002" s="8"/>
      <c r="L59002" s="8"/>
      <c r="M59002" s="8"/>
      <c r="N59002" s="8"/>
      <c r="O59002" s="8"/>
      <c r="P59002" s="8"/>
      <c r="Q59002" s="8"/>
      <c r="R59002" s="103"/>
      <c r="S59002" s="8"/>
      <c r="T59002" s="8"/>
      <c r="U59002" s="8"/>
      <c r="V59002" s="8"/>
      <c r="W59002" s="8"/>
      <c r="X59002" s="8"/>
      <c r="Y59002" s="8"/>
      <c r="Z59002" s="8"/>
      <c r="AA59002" s="8"/>
    </row>
    <row r="59003" spans="1:27" x14ac:dyDescent="0.25">
      <c r="A59003" s="8"/>
      <c r="B59003" s="8"/>
      <c r="C59003" s="99"/>
      <c r="D59003" s="8"/>
      <c r="E59003" s="8"/>
      <c r="F59003" s="8"/>
      <c r="G59003" s="8"/>
      <c r="H59003" s="8"/>
      <c r="I59003" s="102"/>
      <c r="J59003" s="8"/>
      <c r="K59003" s="8"/>
      <c r="L59003" s="8"/>
      <c r="M59003" s="8"/>
      <c r="N59003" s="8"/>
      <c r="O59003" s="8"/>
      <c r="P59003" s="8"/>
      <c r="Q59003" s="8"/>
      <c r="R59003" s="103"/>
      <c r="S59003" s="8"/>
      <c r="T59003" s="8"/>
      <c r="U59003" s="8"/>
      <c r="V59003" s="8"/>
      <c r="W59003" s="8"/>
      <c r="X59003" s="8"/>
      <c r="Y59003" s="8"/>
      <c r="Z59003" s="8"/>
      <c r="AA59003" s="8"/>
    </row>
    <row r="59004" spans="1:27" x14ac:dyDescent="0.25">
      <c r="A59004" s="8"/>
      <c r="B59004" s="8"/>
      <c r="C59004" s="99"/>
      <c r="D59004" s="8"/>
      <c r="E59004" s="8"/>
      <c r="F59004" s="8"/>
      <c r="G59004" s="8"/>
      <c r="H59004" s="8"/>
      <c r="I59004" s="102"/>
      <c r="J59004" s="8"/>
      <c r="K59004" s="8"/>
      <c r="L59004" s="8"/>
      <c r="M59004" s="8"/>
      <c r="N59004" s="8"/>
      <c r="O59004" s="8"/>
      <c r="P59004" s="8"/>
      <c r="Q59004" s="8"/>
      <c r="R59004" s="103"/>
      <c r="S59004" s="8"/>
      <c r="T59004" s="8"/>
      <c r="U59004" s="8"/>
      <c r="V59004" s="8"/>
      <c r="W59004" s="8"/>
      <c r="X59004" s="8"/>
      <c r="Y59004" s="8"/>
      <c r="Z59004" s="8"/>
      <c r="AA59004" s="8"/>
    </row>
    <row r="59005" spans="1:27" x14ac:dyDescent="0.25">
      <c r="A59005" s="8"/>
      <c r="B59005" s="8"/>
      <c r="C59005" s="99"/>
      <c r="D59005" s="8"/>
      <c r="E59005" s="8"/>
      <c r="F59005" s="8"/>
      <c r="G59005" s="8"/>
      <c r="H59005" s="8"/>
      <c r="I59005" s="102"/>
      <c r="J59005" s="8"/>
      <c r="K59005" s="8"/>
      <c r="L59005" s="8"/>
      <c r="M59005" s="8"/>
      <c r="N59005" s="8"/>
      <c r="O59005" s="8"/>
      <c r="P59005" s="8"/>
      <c r="Q59005" s="8"/>
      <c r="R59005" s="103"/>
      <c r="S59005" s="8"/>
      <c r="T59005" s="8"/>
      <c r="U59005" s="8"/>
      <c r="V59005" s="8"/>
      <c r="W59005" s="8"/>
      <c r="X59005" s="8"/>
      <c r="Y59005" s="8"/>
      <c r="Z59005" s="8"/>
      <c r="AA59005" s="8"/>
    </row>
    <row r="59006" spans="1:27" x14ac:dyDescent="0.25">
      <c r="A59006" s="8"/>
      <c r="B59006" s="8"/>
      <c r="C59006" s="99"/>
      <c r="D59006" s="8"/>
      <c r="E59006" s="8"/>
      <c r="F59006" s="8"/>
      <c r="G59006" s="8"/>
      <c r="H59006" s="8"/>
      <c r="I59006" s="102"/>
      <c r="J59006" s="8"/>
      <c r="K59006" s="8"/>
      <c r="L59006" s="8"/>
      <c r="M59006" s="8"/>
      <c r="N59006" s="8"/>
      <c r="O59006" s="8"/>
      <c r="P59006" s="8"/>
      <c r="Q59006" s="8"/>
      <c r="R59006" s="103"/>
      <c r="S59006" s="8"/>
      <c r="T59006" s="8"/>
      <c r="U59006" s="8"/>
      <c r="V59006" s="8"/>
      <c r="W59006" s="8"/>
      <c r="X59006" s="8"/>
      <c r="Y59006" s="8"/>
      <c r="Z59006" s="8"/>
      <c r="AA59006" s="8"/>
    </row>
    <row r="59007" spans="1:27" x14ac:dyDescent="0.25">
      <c r="A59007" s="8"/>
      <c r="B59007" s="8"/>
      <c r="C59007" s="99"/>
      <c r="D59007" s="8"/>
      <c r="E59007" s="8"/>
      <c r="F59007" s="8"/>
      <c r="G59007" s="8"/>
      <c r="H59007" s="8"/>
      <c r="I59007" s="102"/>
      <c r="J59007" s="8"/>
      <c r="K59007" s="8"/>
      <c r="L59007" s="8"/>
      <c r="M59007" s="8"/>
      <c r="N59007" s="8"/>
      <c r="O59007" s="8"/>
      <c r="P59007" s="8"/>
      <c r="Q59007" s="8"/>
      <c r="R59007" s="103"/>
      <c r="S59007" s="8"/>
      <c r="T59007" s="8"/>
      <c r="U59007" s="8"/>
      <c r="V59007" s="8"/>
      <c r="W59007" s="8"/>
      <c r="X59007" s="8"/>
      <c r="Y59007" s="8"/>
      <c r="Z59007" s="8"/>
      <c r="AA59007" s="8"/>
    </row>
    <row r="59008" spans="1:27" x14ac:dyDescent="0.25">
      <c r="A59008" s="8"/>
      <c r="B59008" s="8"/>
      <c r="C59008" s="99"/>
      <c r="D59008" s="8"/>
      <c r="E59008" s="8"/>
      <c r="F59008" s="8"/>
      <c r="G59008" s="8"/>
      <c r="H59008" s="8"/>
      <c r="I59008" s="102"/>
      <c r="J59008" s="8"/>
      <c r="K59008" s="8"/>
      <c r="L59008" s="8"/>
      <c r="M59008" s="8"/>
      <c r="N59008" s="8"/>
      <c r="O59008" s="8"/>
      <c r="P59008" s="8"/>
      <c r="Q59008" s="8"/>
      <c r="R59008" s="103"/>
      <c r="S59008" s="8"/>
      <c r="T59008" s="8"/>
      <c r="U59008" s="8"/>
      <c r="V59008" s="8"/>
      <c r="W59008" s="8"/>
      <c r="X59008" s="8"/>
      <c r="Y59008" s="8"/>
      <c r="Z59008" s="8"/>
      <c r="AA59008" s="8"/>
    </row>
    <row r="59009" spans="1:27" x14ac:dyDescent="0.25">
      <c r="A59009" s="8"/>
      <c r="B59009" s="8"/>
      <c r="C59009" s="99"/>
      <c r="D59009" s="8"/>
      <c r="E59009" s="8"/>
      <c r="F59009" s="8"/>
      <c r="G59009" s="8"/>
      <c r="H59009" s="8"/>
      <c r="I59009" s="102"/>
      <c r="J59009" s="8"/>
      <c r="K59009" s="8"/>
      <c r="L59009" s="8"/>
      <c r="M59009" s="8"/>
      <c r="N59009" s="8"/>
      <c r="O59009" s="8"/>
      <c r="P59009" s="8"/>
      <c r="Q59009" s="8"/>
      <c r="R59009" s="103"/>
      <c r="S59009" s="8"/>
      <c r="T59009" s="8"/>
      <c r="U59009" s="8"/>
      <c r="V59009" s="8"/>
      <c r="W59009" s="8"/>
      <c r="X59009" s="8"/>
      <c r="Y59009" s="8"/>
      <c r="Z59009" s="8"/>
      <c r="AA59009" s="8"/>
    </row>
    <row r="59010" spans="1:27" x14ac:dyDescent="0.25">
      <c r="A59010" s="8"/>
      <c r="B59010" s="8"/>
      <c r="C59010" s="99"/>
      <c r="D59010" s="8"/>
      <c r="E59010" s="8"/>
      <c r="F59010" s="8"/>
      <c r="G59010" s="8"/>
      <c r="H59010" s="8"/>
      <c r="I59010" s="102"/>
      <c r="J59010" s="8"/>
      <c r="K59010" s="8"/>
      <c r="L59010" s="8"/>
      <c r="M59010" s="8"/>
      <c r="N59010" s="8"/>
      <c r="O59010" s="8"/>
      <c r="P59010" s="8"/>
      <c r="Q59010" s="8"/>
      <c r="R59010" s="103"/>
      <c r="S59010" s="8"/>
      <c r="T59010" s="8"/>
      <c r="U59010" s="8"/>
      <c r="V59010" s="8"/>
      <c r="W59010" s="8"/>
      <c r="X59010" s="8"/>
      <c r="Y59010" s="8"/>
      <c r="Z59010" s="8"/>
      <c r="AA59010" s="8"/>
    </row>
    <row r="59011" spans="1:27" x14ac:dyDescent="0.25">
      <c r="A59011" s="8"/>
      <c r="B59011" s="8"/>
      <c r="C59011" s="99"/>
      <c r="D59011" s="8"/>
      <c r="E59011" s="8"/>
      <c r="F59011" s="8"/>
      <c r="G59011" s="8"/>
      <c r="H59011" s="8"/>
      <c r="I59011" s="102"/>
      <c r="J59011" s="8"/>
      <c r="K59011" s="8"/>
      <c r="L59011" s="8"/>
      <c r="M59011" s="8"/>
      <c r="N59011" s="8"/>
      <c r="O59011" s="8"/>
      <c r="P59011" s="8"/>
      <c r="Q59011" s="8"/>
      <c r="R59011" s="103"/>
      <c r="S59011" s="8"/>
      <c r="T59011" s="8"/>
      <c r="U59011" s="8"/>
      <c r="V59011" s="8"/>
      <c r="W59011" s="8"/>
      <c r="X59011" s="8"/>
      <c r="Y59011" s="8"/>
      <c r="Z59011" s="8"/>
      <c r="AA59011" s="8"/>
    </row>
    <row r="59012" spans="1:27" x14ac:dyDescent="0.25">
      <c r="A59012" s="8"/>
      <c r="B59012" s="8"/>
      <c r="C59012" s="99"/>
      <c r="D59012" s="8"/>
      <c r="E59012" s="8"/>
      <c r="F59012" s="8"/>
      <c r="G59012" s="8"/>
      <c r="H59012" s="8"/>
      <c r="I59012" s="102"/>
      <c r="J59012" s="8"/>
      <c r="K59012" s="8"/>
      <c r="L59012" s="8"/>
      <c r="M59012" s="8"/>
      <c r="N59012" s="8"/>
      <c r="O59012" s="8"/>
      <c r="P59012" s="8"/>
      <c r="Q59012" s="8"/>
      <c r="R59012" s="103"/>
      <c r="S59012" s="8"/>
      <c r="T59012" s="8"/>
      <c r="U59012" s="8"/>
      <c r="V59012" s="8"/>
      <c r="W59012" s="8"/>
      <c r="X59012" s="8"/>
      <c r="Y59012" s="8"/>
      <c r="Z59012" s="8"/>
      <c r="AA59012" s="8"/>
    </row>
    <row r="59013" spans="1:27" x14ac:dyDescent="0.25">
      <c r="A59013" s="8"/>
      <c r="B59013" s="8"/>
      <c r="C59013" s="99"/>
      <c r="D59013" s="8"/>
      <c r="E59013" s="8"/>
      <c r="F59013" s="8"/>
      <c r="G59013" s="8"/>
      <c r="H59013" s="8"/>
      <c r="I59013" s="102"/>
      <c r="J59013" s="8"/>
      <c r="K59013" s="8"/>
      <c r="L59013" s="8"/>
      <c r="M59013" s="8"/>
      <c r="N59013" s="8"/>
      <c r="O59013" s="8"/>
      <c r="P59013" s="8"/>
      <c r="Q59013" s="8"/>
      <c r="R59013" s="103"/>
      <c r="S59013" s="8"/>
      <c r="T59013" s="8"/>
      <c r="U59013" s="8"/>
      <c r="V59013" s="8"/>
      <c r="W59013" s="8"/>
      <c r="X59013" s="8"/>
      <c r="Y59013" s="8"/>
      <c r="Z59013" s="8"/>
      <c r="AA59013" s="8"/>
    </row>
    <row r="59014" spans="1:27" x14ac:dyDescent="0.25">
      <c r="A59014" s="8"/>
      <c r="B59014" s="8"/>
      <c r="C59014" s="99"/>
      <c r="D59014" s="8"/>
      <c r="E59014" s="8"/>
      <c r="F59014" s="8"/>
      <c r="G59014" s="8"/>
      <c r="H59014" s="8"/>
      <c r="I59014" s="102"/>
      <c r="J59014" s="8"/>
      <c r="K59014" s="8"/>
      <c r="L59014" s="8"/>
      <c r="M59014" s="8"/>
      <c r="N59014" s="8"/>
      <c r="O59014" s="8"/>
      <c r="P59014" s="8"/>
      <c r="Q59014" s="8"/>
      <c r="R59014" s="103"/>
      <c r="S59014" s="8"/>
      <c r="T59014" s="8"/>
      <c r="U59014" s="8"/>
      <c r="V59014" s="8"/>
      <c r="W59014" s="8"/>
      <c r="X59014" s="8"/>
      <c r="Y59014" s="8"/>
      <c r="Z59014" s="8"/>
      <c r="AA59014" s="8"/>
    </row>
    <row r="59015" spans="1:27" x14ac:dyDescent="0.25">
      <c r="A59015" s="8"/>
      <c r="B59015" s="8"/>
      <c r="C59015" s="99"/>
      <c r="D59015" s="8"/>
      <c r="E59015" s="8"/>
      <c r="F59015" s="8"/>
      <c r="G59015" s="8"/>
      <c r="H59015" s="8"/>
      <c r="I59015" s="102"/>
      <c r="J59015" s="8"/>
      <c r="K59015" s="8"/>
      <c r="L59015" s="8"/>
      <c r="M59015" s="8"/>
      <c r="N59015" s="8"/>
      <c r="O59015" s="8"/>
      <c r="P59015" s="8"/>
      <c r="Q59015" s="8"/>
      <c r="R59015" s="103"/>
      <c r="S59015" s="8"/>
      <c r="T59015" s="8"/>
      <c r="U59015" s="8"/>
      <c r="V59015" s="8"/>
      <c r="W59015" s="8"/>
      <c r="X59015" s="8"/>
      <c r="Y59015" s="8"/>
      <c r="Z59015" s="8"/>
      <c r="AA59015" s="8"/>
    </row>
    <row r="59016" spans="1:27" x14ac:dyDescent="0.25">
      <c r="A59016" s="8"/>
      <c r="B59016" s="8"/>
      <c r="C59016" s="99"/>
      <c r="D59016" s="8"/>
      <c r="E59016" s="8"/>
      <c r="F59016" s="8"/>
      <c r="G59016" s="8"/>
      <c r="H59016" s="8"/>
      <c r="I59016" s="102"/>
      <c r="J59016" s="8"/>
      <c r="K59016" s="8"/>
      <c r="L59016" s="8"/>
      <c r="M59016" s="8"/>
      <c r="N59016" s="8"/>
      <c r="O59016" s="8"/>
      <c r="P59016" s="8"/>
      <c r="Q59016" s="8"/>
      <c r="R59016" s="103"/>
      <c r="S59016" s="8"/>
      <c r="T59016" s="8"/>
      <c r="U59016" s="8"/>
      <c r="V59016" s="8"/>
      <c r="W59016" s="8"/>
      <c r="X59016" s="8"/>
      <c r="Y59016" s="8"/>
      <c r="Z59016" s="8"/>
      <c r="AA59016" s="8"/>
    </row>
    <row r="59017" spans="1:27" x14ac:dyDescent="0.25">
      <c r="A59017" s="8"/>
      <c r="B59017" s="8"/>
      <c r="C59017" s="99"/>
      <c r="D59017" s="8"/>
      <c r="E59017" s="8"/>
      <c r="F59017" s="8"/>
      <c r="G59017" s="8"/>
      <c r="H59017" s="8"/>
      <c r="I59017" s="102"/>
      <c r="J59017" s="8"/>
      <c r="K59017" s="8"/>
      <c r="L59017" s="8"/>
      <c r="M59017" s="8"/>
      <c r="N59017" s="8"/>
      <c r="O59017" s="8"/>
      <c r="P59017" s="8"/>
      <c r="Q59017" s="8"/>
      <c r="R59017" s="103"/>
      <c r="S59017" s="8"/>
      <c r="T59017" s="8"/>
      <c r="U59017" s="8"/>
      <c r="V59017" s="8"/>
      <c r="W59017" s="8"/>
      <c r="X59017" s="8"/>
      <c r="Y59017" s="8"/>
      <c r="Z59017" s="8"/>
      <c r="AA59017" s="8"/>
    </row>
    <row r="59018" spans="1:27" x14ac:dyDescent="0.25">
      <c r="A59018" s="8"/>
      <c r="B59018" s="8"/>
      <c r="C59018" s="99"/>
      <c r="D59018" s="8"/>
      <c r="E59018" s="8"/>
      <c r="F59018" s="8"/>
      <c r="G59018" s="8"/>
      <c r="H59018" s="8"/>
      <c r="I59018" s="102"/>
      <c r="J59018" s="8"/>
      <c r="K59018" s="8"/>
      <c r="L59018" s="8"/>
      <c r="M59018" s="8"/>
      <c r="N59018" s="8"/>
      <c r="O59018" s="8"/>
      <c r="P59018" s="8"/>
      <c r="Q59018" s="8"/>
      <c r="R59018" s="103"/>
      <c r="S59018" s="8"/>
      <c r="T59018" s="8"/>
      <c r="U59018" s="8"/>
      <c r="V59018" s="8"/>
      <c r="W59018" s="8"/>
      <c r="X59018" s="8"/>
      <c r="Y59018" s="8"/>
      <c r="Z59018" s="8"/>
      <c r="AA59018" s="8"/>
    </row>
    <row r="59019" spans="1:27" x14ac:dyDescent="0.25">
      <c r="A59019" s="8"/>
      <c r="B59019" s="8"/>
      <c r="C59019" s="99"/>
      <c r="D59019" s="8"/>
      <c r="E59019" s="8"/>
      <c r="F59019" s="8"/>
      <c r="G59019" s="8"/>
      <c r="H59019" s="8"/>
      <c r="I59019" s="102"/>
      <c r="J59019" s="8"/>
      <c r="K59019" s="8"/>
      <c r="L59019" s="8"/>
      <c r="M59019" s="8"/>
      <c r="N59019" s="8"/>
      <c r="O59019" s="8"/>
      <c r="P59019" s="8"/>
      <c r="Q59019" s="8"/>
      <c r="R59019" s="103"/>
      <c r="S59019" s="8"/>
      <c r="T59019" s="8"/>
      <c r="U59019" s="8"/>
      <c r="V59019" s="8"/>
      <c r="W59019" s="8"/>
      <c r="X59019" s="8"/>
      <c r="Y59019" s="8"/>
      <c r="Z59019" s="8"/>
      <c r="AA59019" s="8"/>
    </row>
    <row r="59020" spans="1:27" x14ac:dyDescent="0.25">
      <c r="A59020" s="8"/>
      <c r="B59020" s="8"/>
      <c r="C59020" s="99"/>
      <c r="D59020" s="8"/>
      <c r="E59020" s="8"/>
      <c r="F59020" s="8"/>
      <c r="G59020" s="8"/>
      <c r="H59020" s="8"/>
      <c r="I59020" s="102"/>
      <c r="J59020" s="8"/>
      <c r="K59020" s="8"/>
      <c r="L59020" s="8"/>
      <c r="M59020" s="8"/>
      <c r="N59020" s="8"/>
      <c r="O59020" s="8"/>
      <c r="P59020" s="8"/>
      <c r="Q59020" s="8"/>
      <c r="R59020" s="103"/>
      <c r="S59020" s="8"/>
      <c r="T59020" s="8"/>
      <c r="U59020" s="8"/>
      <c r="V59020" s="8"/>
      <c r="W59020" s="8"/>
      <c r="X59020" s="8"/>
      <c r="Y59020" s="8"/>
      <c r="Z59020" s="8"/>
      <c r="AA59020" s="8"/>
    </row>
    <row r="59021" spans="1:27" x14ac:dyDescent="0.25">
      <c r="A59021" s="8"/>
      <c r="B59021" s="8"/>
      <c r="C59021" s="99"/>
      <c r="D59021" s="8"/>
      <c r="E59021" s="8"/>
      <c r="F59021" s="8"/>
      <c r="G59021" s="8"/>
      <c r="H59021" s="8"/>
      <c r="I59021" s="102"/>
      <c r="J59021" s="8"/>
      <c r="K59021" s="8"/>
      <c r="L59021" s="8"/>
      <c r="M59021" s="8"/>
      <c r="N59021" s="8"/>
      <c r="O59021" s="8"/>
      <c r="P59021" s="8"/>
      <c r="Q59021" s="8"/>
      <c r="R59021" s="103"/>
      <c r="S59021" s="8"/>
      <c r="T59021" s="8"/>
      <c r="U59021" s="8"/>
      <c r="V59021" s="8"/>
      <c r="W59021" s="8"/>
      <c r="X59021" s="8"/>
      <c r="Y59021" s="8"/>
      <c r="Z59021" s="8"/>
      <c r="AA59021" s="8"/>
    </row>
    <row r="59022" spans="1:27" x14ac:dyDescent="0.25">
      <c r="A59022" s="8"/>
      <c r="B59022" s="8"/>
      <c r="C59022" s="99"/>
      <c r="D59022" s="8"/>
      <c r="E59022" s="8"/>
      <c r="F59022" s="8"/>
      <c r="G59022" s="8"/>
      <c r="H59022" s="8"/>
      <c r="I59022" s="102"/>
      <c r="J59022" s="8"/>
      <c r="K59022" s="8"/>
      <c r="L59022" s="8"/>
      <c r="M59022" s="8"/>
      <c r="N59022" s="8"/>
      <c r="O59022" s="8"/>
      <c r="P59022" s="8"/>
      <c r="Q59022" s="8"/>
      <c r="R59022" s="103"/>
      <c r="S59022" s="8"/>
      <c r="T59022" s="8"/>
      <c r="U59022" s="8"/>
      <c r="V59022" s="8"/>
      <c r="W59022" s="8"/>
      <c r="X59022" s="8"/>
      <c r="Y59022" s="8"/>
      <c r="Z59022" s="8"/>
      <c r="AA59022" s="8"/>
    </row>
    <row r="59023" spans="1:27" x14ac:dyDescent="0.25">
      <c r="A59023" s="8"/>
      <c r="B59023" s="8"/>
      <c r="C59023" s="99"/>
      <c r="D59023" s="8"/>
      <c r="E59023" s="8"/>
      <c r="F59023" s="8"/>
      <c r="G59023" s="8"/>
      <c r="H59023" s="8"/>
      <c r="I59023" s="102"/>
      <c r="J59023" s="8"/>
      <c r="K59023" s="8"/>
      <c r="L59023" s="8"/>
      <c r="M59023" s="8"/>
      <c r="N59023" s="8"/>
      <c r="O59023" s="8"/>
      <c r="P59023" s="8"/>
      <c r="Q59023" s="8"/>
      <c r="R59023" s="103"/>
      <c r="S59023" s="8"/>
      <c r="T59023" s="8"/>
      <c r="U59023" s="8"/>
      <c r="V59023" s="8"/>
      <c r="W59023" s="8"/>
      <c r="X59023" s="8"/>
      <c r="Y59023" s="8"/>
      <c r="Z59023" s="8"/>
      <c r="AA59023" s="8"/>
    </row>
    <row r="59024" spans="1:27" x14ac:dyDescent="0.25">
      <c r="A59024" s="8"/>
      <c r="B59024" s="8"/>
      <c r="C59024" s="99"/>
      <c r="D59024" s="8"/>
      <c r="E59024" s="8"/>
      <c r="F59024" s="8"/>
      <c r="G59024" s="8"/>
      <c r="H59024" s="8"/>
      <c r="I59024" s="102"/>
      <c r="J59024" s="8"/>
      <c r="K59024" s="8"/>
      <c r="L59024" s="8"/>
      <c r="M59024" s="8"/>
      <c r="N59024" s="8"/>
      <c r="O59024" s="8"/>
      <c r="P59024" s="8"/>
      <c r="Q59024" s="8"/>
      <c r="R59024" s="103"/>
      <c r="S59024" s="8"/>
      <c r="T59024" s="8"/>
      <c r="U59024" s="8"/>
      <c r="V59024" s="8"/>
      <c r="W59024" s="8"/>
      <c r="X59024" s="8"/>
      <c r="Y59024" s="8"/>
      <c r="Z59024" s="8"/>
      <c r="AA59024" s="8"/>
    </row>
    <row r="59025" spans="1:27" x14ac:dyDescent="0.25">
      <c r="A59025" s="8"/>
      <c r="B59025" s="8"/>
      <c r="C59025" s="99"/>
      <c r="D59025" s="8"/>
      <c r="E59025" s="8"/>
      <c r="F59025" s="8"/>
      <c r="G59025" s="8"/>
      <c r="H59025" s="8"/>
      <c r="I59025" s="102"/>
      <c r="J59025" s="8"/>
      <c r="K59025" s="8"/>
      <c r="L59025" s="8"/>
      <c r="M59025" s="8"/>
      <c r="N59025" s="8"/>
      <c r="O59025" s="8"/>
      <c r="P59025" s="8"/>
      <c r="Q59025" s="8"/>
      <c r="R59025" s="103"/>
      <c r="S59025" s="8"/>
      <c r="T59025" s="8"/>
      <c r="U59025" s="8"/>
      <c r="V59025" s="8"/>
      <c r="W59025" s="8"/>
      <c r="X59025" s="8"/>
      <c r="Y59025" s="8"/>
      <c r="Z59025" s="8"/>
      <c r="AA59025" s="8"/>
    </row>
    <row r="59026" spans="1:27" x14ac:dyDescent="0.25">
      <c r="A59026" s="8"/>
      <c r="B59026" s="8"/>
      <c r="C59026" s="99"/>
      <c r="D59026" s="8"/>
      <c r="E59026" s="8"/>
      <c r="F59026" s="8"/>
      <c r="G59026" s="8"/>
      <c r="H59026" s="8"/>
      <c r="I59026" s="102"/>
      <c r="J59026" s="8"/>
      <c r="K59026" s="8"/>
      <c r="L59026" s="8"/>
      <c r="M59026" s="8"/>
      <c r="N59026" s="8"/>
      <c r="O59026" s="8"/>
      <c r="P59026" s="8"/>
      <c r="Q59026" s="8"/>
      <c r="R59026" s="103"/>
      <c r="S59026" s="8"/>
      <c r="T59026" s="8"/>
      <c r="U59026" s="8"/>
      <c r="V59026" s="8"/>
      <c r="W59026" s="8"/>
      <c r="X59026" s="8"/>
      <c r="Y59026" s="8"/>
      <c r="Z59026" s="8"/>
      <c r="AA59026" s="8"/>
    </row>
    <row r="59027" spans="1:27" x14ac:dyDescent="0.25">
      <c r="A59027" s="8"/>
      <c r="B59027" s="8"/>
      <c r="C59027" s="99"/>
      <c r="D59027" s="8"/>
      <c r="E59027" s="8"/>
      <c r="F59027" s="8"/>
      <c r="G59027" s="8"/>
      <c r="H59027" s="8"/>
      <c r="I59027" s="102"/>
      <c r="J59027" s="8"/>
      <c r="K59027" s="8"/>
      <c r="L59027" s="8"/>
      <c r="M59027" s="8"/>
      <c r="N59027" s="8"/>
      <c r="O59027" s="8"/>
      <c r="P59027" s="8"/>
      <c r="Q59027" s="8"/>
      <c r="R59027" s="103"/>
      <c r="S59027" s="8"/>
      <c r="T59027" s="8"/>
      <c r="U59027" s="8"/>
      <c r="V59027" s="8"/>
      <c r="W59027" s="8"/>
      <c r="X59027" s="8"/>
      <c r="Y59027" s="8"/>
      <c r="Z59027" s="8"/>
      <c r="AA59027" s="8"/>
    </row>
    <row r="59028" spans="1:27" x14ac:dyDescent="0.25">
      <c r="A59028" s="8"/>
      <c r="B59028" s="8"/>
      <c r="C59028" s="99"/>
      <c r="D59028" s="8"/>
      <c r="E59028" s="8"/>
      <c r="F59028" s="8"/>
      <c r="G59028" s="8"/>
      <c r="H59028" s="8"/>
      <c r="I59028" s="102"/>
      <c r="J59028" s="8"/>
      <c r="K59028" s="8"/>
      <c r="L59028" s="8"/>
      <c r="M59028" s="8"/>
      <c r="N59028" s="8"/>
      <c r="O59028" s="8"/>
      <c r="P59028" s="8"/>
      <c r="Q59028" s="8"/>
      <c r="R59028" s="103"/>
      <c r="S59028" s="8"/>
      <c r="T59028" s="8"/>
      <c r="U59028" s="8"/>
      <c r="V59028" s="8"/>
      <c r="W59028" s="8"/>
      <c r="X59028" s="8"/>
      <c r="Y59028" s="8"/>
      <c r="Z59028" s="8"/>
      <c r="AA59028" s="8"/>
    </row>
    <row r="59029" spans="1:27" x14ac:dyDescent="0.25">
      <c r="A59029" s="8"/>
      <c r="B59029" s="8"/>
      <c r="C59029" s="99"/>
      <c r="D59029" s="8"/>
      <c r="E59029" s="8"/>
      <c r="F59029" s="8"/>
      <c r="G59029" s="8"/>
      <c r="H59029" s="8"/>
      <c r="I59029" s="102"/>
      <c r="J59029" s="8"/>
      <c r="K59029" s="8"/>
      <c r="L59029" s="8"/>
      <c r="M59029" s="8"/>
      <c r="N59029" s="8"/>
      <c r="O59029" s="8"/>
      <c r="P59029" s="8"/>
      <c r="Q59029" s="8"/>
      <c r="R59029" s="103"/>
      <c r="S59029" s="8"/>
      <c r="T59029" s="8"/>
      <c r="U59029" s="8"/>
      <c r="V59029" s="8"/>
      <c r="W59029" s="8"/>
      <c r="X59029" s="8"/>
      <c r="Y59029" s="8"/>
      <c r="Z59029" s="8"/>
      <c r="AA59029" s="8"/>
    </row>
    <row r="59030" spans="1:27" x14ac:dyDescent="0.25">
      <c r="A59030" s="8"/>
      <c r="B59030" s="8"/>
      <c r="C59030" s="99"/>
      <c r="D59030" s="8"/>
      <c r="E59030" s="8"/>
      <c r="F59030" s="8"/>
      <c r="G59030" s="8"/>
      <c r="H59030" s="8"/>
      <c r="I59030" s="102"/>
      <c r="J59030" s="8"/>
      <c r="K59030" s="8"/>
      <c r="L59030" s="8"/>
      <c r="M59030" s="8"/>
      <c r="N59030" s="8"/>
      <c r="O59030" s="8"/>
      <c r="P59030" s="8"/>
      <c r="Q59030" s="8"/>
      <c r="R59030" s="103"/>
      <c r="S59030" s="8"/>
      <c r="T59030" s="8"/>
      <c r="U59030" s="8"/>
      <c r="V59030" s="8"/>
      <c r="W59030" s="8"/>
      <c r="X59030" s="8"/>
      <c r="Y59030" s="8"/>
      <c r="Z59030" s="8"/>
      <c r="AA59030" s="8"/>
    </row>
    <row r="59031" spans="1:27" x14ac:dyDescent="0.25">
      <c r="A59031" s="8"/>
      <c r="B59031" s="8"/>
      <c r="C59031" s="99"/>
      <c r="D59031" s="8"/>
      <c r="E59031" s="8"/>
      <c r="F59031" s="8"/>
      <c r="G59031" s="8"/>
      <c r="H59031" s="8"/>
      <c r="I59031" s="102"/>
      <c r="J59031" s="8"/>
      <c r="K59031" s="8"/>
      <c r="L59031" s="8"/>
      <c r="M59031" s="8"/>
      <c r="N59031" s="8"/>
      <c r="O59031" s="8"/>
      <c r="P59031" s="8"/>
      <c r="Q59031" s="8"/>
      <c r="R59031" s="103"/>
      <c r="S59031" s="8"/>
      <c r="T59031" s="8"/>
      <c r="U59031" s="8"/>
      <c r="V59031" s="8"/>
      <c r="W59031" s="8"/>
      <c r="X59031" s="8"/>
      <c r="Y59031" s="8"/>
      <c r="Z59031" s="8"/>
      <c r="AA59031" s="8"/>
    </row>
    <row r="59032" spans="1:27" x14ac:dyDescent="0.25">
      <c r="A59032" s="8"/>
      <c r="B59032" s="8"/>
      <c r="C59032" s="99"/>
      <c r="D59032" s="8"/>
      <c r="E59032" s="8"/>
      <c r="F59032" s="8"/>
      <c r="G59032" s="8"/>
      <c r="H59032" s="8"/>
      <c r="I59032" s="102"/>
      <c r="J59032" s="8"/>
      <c r="K59032" s="8"/>
      <c r="L59032" s="8"/>
      <c r="M59032" s="8"/>
      <c r="N59032" s="8"/>
      <c r="O59032" s="8"/>
      <c r="P59032" s="8"/>
      <c r="Q59032" s="8"/>
      <c r="R59032" s="103"/>
      <c r="S59032" s="8"/>
      <c r="T59032" s="8"/>
      <c r="U59032" s="8"/>
      <c r="V59032" s="8"/>
      <c r="W59032" s="8"/>
      <c r="X59032" s="8"/>
      <c r="Y59032" s="8"/>
      <c r="Z59032" s="8"/>
      <c r="AA59032" s="8"/>
    </row>
    <row r="59033" spans="1:27" x14ac:dyDescent="0.25">
      <c r="A59033" s="8"/>
      <c r="B59033" s="8"/>
      <c r="C59033" s="99"/>
      <c r="D59033" s="8"/>
      <c r="E59033" s="8"/>
      <c r="F59033" s="8"/>
      <c r="G59033" s="8"/>
      <c r="H59033" s="8"/>
      <c r="I59033" s="102"/>
      <c r="J59033" s="8"/>
      <c r="K59033" s="8"/>
      <c r="L59033" s="8"/>
      <c r="M59033" s="8"/>
      <c r="N59033" s="8"/>
      <c r="O59033" s="8"/>
      <c r="P59033" s="8"/>
      <c r="Q59033" s="8"/>
      <c r="R59033" s="103"/>
      <c r="S59033" s="8"/>
      <c r="T59033" s="8"/>
      <c r="U59033" s="8"/>
      <c r="V59033" s="8"/>
      <c r="W59033" s="8"/>
      <c r="X59033" s="8"/>
      <c r="Y59033" s="8"/>
      <c r="Z59033" s="8"/>
      <c r="AA59033" s="8"/>
    </row>
    <row r="59034" spans="1:27" x14ac:dyDescent="0.25">
      <c r="A59034" s="8"/>
      <c r="B59034" s="8"/>
      <c r="C59034" s="99"/>
      <c r="D59034" s="8"/>
      <c r="E59034" s="8"/>
      <c r="F59034" s="8"/>
      <c r="G59034" s="8"/>
      <c r="H59034" s="8"/>
      <c r="I59034" s="102"/>
      <c r="J59034" s="8"/>
      <c r="K59034" s="8"/>
      <c r="L59034" s="8"/>
      <c r="M59034" s="8"/>
      <c r="N59034" s="8"/>
      <c r="O59034" s="8"/>
      <c r="P59034" s="8"/>
      <c r="Q59034" s="8"/>
      <c r="R59034" s="103"/>
      <c r="S59034" s="8"/>
      <c r="T59034" s="8"/>
      <c r="U59034" s="8"/>
      <c r="V59034" s="8"/>
      <c r="W59034" s="8"/>
      <c r="X59034" s="8"/>
      <c r="Y59034" s="8"/>
      <c r="Z59034" s="8"/>
      <c r="AA59034" s="8"/>
    </row>
    <row r="59035" spans="1:27" x14ac:dyDescent="0.25">
      <c r="A59035" s="8"/>
      <c r="B59035" s="8"/>
      <c r="C59035" s="99"/>
      <c r="D59035" s="8"/>
      <c r="E59035" s="8"/>
      <c r="F59035" s="8"/>
      <c r="G59035" s="8"/>
      <c r="H59035" s="8"/>
      <c r="I59035" s="102"/>
      <c r="J59035" s="8"/>
      <c r="K59035" s="8"/>
      <c r="L59035" s="8"/>
      <c r="M59035" s="8"/>
      <c r="N59035" s="8"/>
      <c r="O59035" s="8"/>
      <c r="P59035" s="8"/>
      <c r="Q59035" s="8"/>
      <c r="R59035" s="103"/>
      <c r="S59035" s="8"/>
      <c r="T59035" s="8"/>
      <c r="U59035" s="8"/>
      <c r="V59035" s="8"/>
      <c r="W59035" s="8"/>
      <c r="X59035" s="8"/>
      <c r="Y59035" s="8"/>
      <c r="Z59035" s="8"/>
      <c r="AA59035" s="8"/>
    </row>
    <row r="59036" spans="1:27" x14ac:dyDescent="0.25">
      <c r="A59036" s="8"/>
      <c r="B59036" s="8"/>
      <c r="C59036" s="99"/>
      <c r="D59036" s="8"/>
      <c r="E59036" s="8"/>
      <c r="F59036" s="8"/>
      <c r="G59036" s="8"/>
      <c r="H59036" s="8"/>
      <c r="I59036" s="102"/>
      <c r="J59036" s="8"/>
      <c r="K59036" s="8"/>
      <c r="L59036" s="8"/>
      <c r="M59036" s="8"/>
      <c r="N59036" s="8"/>
      <c r="O59036" s="8"/>
      <c r="P59036" s="8"/>
      <c r="Q59036" s="8"/>
      <c r="R59036" s="103"/>
      <c r="S59036" s="8"/>
      <c r="T59036" s="8"/>
      <c r="U59036" s="8"/>
      <c r="V59036" s="8"/>
      <c r="W59036" s="8"/>
      <c r="X59036" s="8"/>
      <c r="Y59036" s="8"/>
      <c r="Z59036" s="8"/>
      <c r="AA59036" s="8"/>
    </row>
    <row r="59037" spans="1:27" x14ac:dyDescent="0.25">
      <c r="A59037" s="8"/>
      <c r="B59037" s="8"/>
      <c r="C59037" s="99"/>
      <c r="D59037" s="8"/>
      <c r="E59037" s="8"/>
      <c r="F59037" s="8"/>
      <c r="G59037" s="8"/>
      <c r="H59037" s="8"/>
      <c r="I59037" s="102"/>
      <c r="J59037" s="8"/>
      <c r="K59037" s="8"/>
      <c r="L59037" s="8"/>
      <c r="M59037" s="8"/>
      <c r="N59037" s="8"/>
      <c r="O59037" s="8"/>
      <c r="P59037" s="8"/>
      <c r="Q59037" s="8"/>
      <c r="R59037" s="103"/>
      <c r="S59037" s="8"/>
      <c r="T59037" s="8"/>
      <c r="U59037" s="8"/>
      <c r="V59037" s="8"/>
      <c r="W59037" s="8"/>
      <c r="X59037" s="8"/>
      <c r="Y59037" s="8"/>
      <c r="Z59037" s="8"/>
      <c r="AA59037" s="8"/>
    </row>
    <row r="59038" spans="1:27" x14ac:dyDescent="0.25">
      <c r="A59038" s="8"/>
      <c r="B59038" s="8"/>
      <c r="C59038" s="99"/>
      <c r="D59038" s="8"/>
      <c r="E59038" s="8"/>
      <c r="F59038" s="8"/>
      <c r="G59038" s="8"/>
      <c r="H59038" s="8"/>
      <c r="I59038" s="102"/>
      <c r="J59038" s="8"/>
      <c r="K59038" s="8"/>
      <c r="L59038" s="8"/>
      <c r="M59038" s="8"/>
      <c r="N59038" s="8"/>
      <c r="O59038" s="8"/>
      <c r="P59038" s="8"/>
      <c r="Q59038" s="8"/>
      <c r="R59038" s="103"/>
      <c r="S59038" s="8"/>
      <c r="T59038" s="8"/>
      <c r="U59038" s="8"/>
      <c r="V59038" s="8"/>
      <c r="W59038" s="8"/>
      <c r="X59038" s="8"/>
      <c r="Y59038" s="8"/>
      <c r="Z59038" s="8"/>
      <c r="AA59038" s="8"/>
    </row>
    <row r="59039" spans="1:27" x14ac:dyDescent="0.25">
      <c r="A59039" s="8"/>
      <c r="B59039" s="8"/>
      <c r="C59039" s="99"/>
      <c r="D59039" s="8"/>
      <c r="E59039" s="8"/>
      <c r="F59039" s="8"/>
      <c r="G59039" s="8"/>
      <c r="H59039" s="8"/>
      <c r="I59039" s="102"/>
      <c r="J59039" s="8"/>
      <c r="K59039" s="8"/>
      <c r="L59039" s="8"/>
      <c r="M59039" s="8"/>
      <c r="N59039" s="8"/>
      <c r="O59039" s="8"/>
      <c r="P59039" s="8"/>
      <c r="Q59039" s="8"/>
      <c r="R59039" s="103"/>
      <c r="S59039" s="8"/>
      <c r="T59039" s="8"/>
      <c r="U59039" s="8"/>
      <c r="V59039" s="8"/>
      <c r="W59039" s="8"/>
      <c r="X59039" s="8"/>
      <c r="Y59039" s="8"/>
      <c r="Z59039" s="8"/>
      <c r="AA59039" s="8"/>
    </row>
    <row r="59040" spans="1:27" x14ac:dyDescent="0.25">
      <c r="A59040" s="8"/>
      <c r="B59040" s="8"/>
      <c r="C59040" s="99"/>
      <c r="D59040" s="8"/>
      <c r="E59040" s="8"/>
      <c r="F59040" s="8"/>
      <c r="G59040" s="8"/>
      <c r="H59040" s="8"/>
      <c r="I59040" s="102"/>
      <c r="J59040" s="8"/>
      <c r="K59040" s="8"/>
      <c r="L59040" s="8"/>
      <c r="M59040" s="8"/>
      <c r="N59040" s="8"/>
      <c r="O59040" s="8"/>
      <c r="P59040" s="8"/>
      <c r="Q59040" s="8"/>
      <c r="R59040" s="103"/>
      <c r="S59040" s="8"/>
      <c r="T59040" s="8"/>
      <c r="U59040" s="8"/>
      <c r="V59040" s="8"/>
      <c r="W59040" s="8"/>
      <c r="X59040" s="8"/>
      <c r="Y59040" s="8"/>
      <c r="Z59040" s="8"/>
      <c r="AA59040" s="8"/>
    </row>
    <row r="59041" spans="1:27" x14ac:dyDescent="0.25">
      <c r="A59041" s="8"/>
      <c r="B59041" s="8"/>
      <c r="C59041" s="99"/>
      <c r="D59041" s="8"/>
      <c r="E59041" s="8"/>
      <c r="F59041" s="8"/>
      <c r="G59041" s="8"/>
      <c r="H59041" s="8"/>
      <c r="I59041" s="102"/>
      <c r="J59041" s="8"/>
      <c r="K59041" s="8"/>
      <c r="L59041" s="8"/>
      <c r="M59041" s="8"/>
      <c r="N59041" s="8"/>
      <c r="O59041" s="8"/>
      <c r="P59041" s="8"/>
      <c r="Q59041" s="8"/>
      <c r="R59041" s="103"/>
      <c r="S59041" s="8"/>
      <c r="T59041" s="8"/>
      <c r="U59041" s="8"/>
      <c r="V59041" s="8"/>
      <c r="W59041" s="8"/>
      <c r="X59041" s="8"/>
      <c r="Y59041" s="8"/>
      <c r="Z59041" s="8"/>
      <c r="AA59041" s="8"/>
    </row>
    <row r="59042" spans="1:27" x14ac:dyDescent="0.25">
      <c r="A59042" s="8"/>
      <c r="B59042" s="8"/>
      <c r="C59042" s="99"/>
      <c r="D59042" s="8"/>
      <c r="E59042" s="8"/>
      <c r="F59042" s="8"/>
      <c r="G59042" s="8"/>
      <c r="H59042" s="8"/>
      <c r="I59042" s="102"/>
      <c r="J59042" s="8"/>
      <c r="K59042" s="8"/>
      <c r="L59042" s="8"/>
      <c r="M59042" s="8"/>
      <c r="N59042" s="8"/>
      <c r="O59042" s="8"/>
      <c r="P59042" s="8"/>
      <c r="Q59042" s="8"/>
      <c r="R59042" s="103"/>
      <c r="S59042" s="8"/>
      <c r="T59042" s="8"/>
      <c r="U59042" s="8"/>
      <c r="V59042" s="8"/>
      <c r="W59042" s="8"/>
      <c r="X59042" s="8"/>
      <c r="Y59042" s="8"/>
      <c r="Z59042" s="8"/>
      <c r="AA59042" s="8"/>
    </row>
    <row r="59043" spans="1:27" x14ac:dyDescent="0.25">
      <c r="A59043" s="8"/>
      <c r="B59043" s="8"/>
      <c r="C59043" s="99"/>
      <c r="D59043" s="8"/>
      <c r="E59043" s="8"/>
      <c r="F59043" s="8"/>
      <c r="G59043" s="8"/>
      <c r="H59043" s="8"/>
      <c r="I59043" s="102"/>
      <c r="J59043" s="8"/>
      <c r="K59043" s="8"/>
      <c r="L59043" s="8"/>
      <c r="M59043" s="8"/>
      <c r="N59043" s="8"/>
      <c r="O59043" s="8"/>
      <c r="P59043" s="8"/>
      <c r="Q59043" s="8"/>
      <c r="R59043" s="103"/>
      <c r="S59043" s="8"/>
      <c r="T59043" s="8"/>
      <c r="U59043" s="8"/>
      <c r="V59043" s="8"/>
      <c r="W59043" s="8"/>
      <c r="X59043" s="8"/>
      <c r="Y59043" s="8"/>
      <c r="Z59043" s="8"/>
      <c r="AA59043" s="8"/>
    </row>
    <row r="59044" spans="1:27" x14ac:dyDescent="0.25">
      <c r="A59044" s="8"/>
      <c r="B59044" s="8"/>
      <c r="C59044" s="99"/>
      <c r="D59044" s="8"/>
      <c r="E59044" s="8"/>
      <c r="F59044" s="8"/>
      <c r="G59044" s="8"/>
      <c r="H59044" s="8"/>
      <c r="I59044" s="102"/>
      <c r="J59044" s="8"/>
      <c r="K59044" s="8"/>
      <c r="L59044" s="8"/>
      <c r="M59044" s="8"/>
      <c r="N59044" s="8"/>
      <c r="O59044" s="8"/>
      <c r="P59044" s="8"/>
      <c r="Q59044" s="8"/>
      <c r="R59044" s="103"/>
      <c r="S59044" s="8"/>
      <c r="T59044" s="8"/>
      <c r="U59044" s="8"/>
      <c r="V59044" s="8"/>
      <c r="W59044" s="8"/>
      <c r="X59044" s="8"/>
      <c r="Y59044" s="8"/>
      <c r="Z59044" s="8"/>
      <c r="AA59044" s="8"/>
    </row>
    <row r="59045" spans="1:27" x14ac:dyDescent="0.25">
      <c r="A59045" s="8"/>
      <c r="B59045" s="8"/>
      <c r="C59045" s="99"/>
      <c r="D59045" s="8"/>
      <c r="E59045" s="8"/>
      <c r="F59045" s="8"/>
      <c r="G59045" s="8"/>
      <c r="H59045" s="8"/>
      <c r="I59045" s="102"/>
      <c r="J59045" s="8"/>
      <c r="K59045" s="8"/>
      <c r="L59045" s="8"/>
      <c r="M59045" s="8"/>
      <c r="N59045" s="8"/>
      <c r="O59045" s="8"/>
      <c r="P59045" s="8"/>
      <c r="Q59045" s="8"/>
      <c r="R59045" s="103"/>
      <c r="S59045" s="8"/>
      <c r="T59045" s="8"/>
      <c r="U59045" s="8"/>
      <c r="V59045" s="8"/>
      <c r="W59045" s="8"/>
      <c r="X59045" s="8"/>
      <c r="Y59045" s="8"/>
      <c r="Z59045" s="8"/>
      <c r="AA59045" s="8"/>
    </row>
    <row r="59046" spans="1:27" x14ac:dyDescent="0.25">
      <c r="A59046" s="8"/>
      <c r="B59046" s="8"/>
      <c r="C59046" s="99"/>
      <c r="D59046" s="8"/>
      <c r="E59046" s="8"/>
      <c r="F59046" s="8"/>
      <c r="G59046" s="8"/>
      <c r="H59046" s="8"/>
      <c r="I59046" s="102"/>
      <c r="J59046" s="8"/>
      <c r="K59046" s="8"/>
      <c r="L59046" s="8"/>
      <c r="M59046" s="8"/>
      <c r="N59046" s="8"/>
      <c r="O59046" s="8"/>
      <c r="P59046" s="8"/>
      <c r="Q59046" s="8"/>
      <c r="R59046" s="103"/>
      <c r="S59046" s="8"/>
      <c r="T59046" s="8"/>
      <c r="U59046" s="8"/>
      <c r="V59046" s="8"/>
      <c r="W59046" s="8"/>
      <c r="X59046" s="8"/>
      <c r="Y59046" s="8"/>
      <c r="Z59046" s="8"/>
      <c r="AA59046" s="8"/>
    </row>
    <row r="59047" spans="1:27" x14ac:dyDescent="0.25">
      <c r="A59047" s="8"/>
      <c r="B59047" s="8"/>
      <c r="C59047" s="99"/>
      <c r="D59047" s="8"/>
      <c r="E59047" s="8"/>
      <c r="F59047" s="8"/>
      <c r="G59047" s="8"/>
      <c r="H59047" s="8"/>
      <c r="I59047" s="102"/>
      <c r="J59047" s="8"/>
      <c r="K59047" s="8"/>
      <c r="L59047" s="8"/>
      <c r="M59047" s="8"/>
      <c r="N59047" s="8"/>
      <c r="O59047" s="8"/>
      <c r="P59047" s="8"/>
      <c r="Q59047" s="8"/>
      <c r="R59047" s="103"/>
      <c r="S59047" s="8"/>
      <c r="T59047" s="8"/>
      <c r="U59047" s="8"/>
      <c r="V59047" s="8"/>
      <c r="W59047" s="8"/>
      <c r="X59047" s="8"/>
      <c r="Y59047" s="8"/>
      <c r="Z59047" s="8"/>
      <c r="AA59047" s="8"/>
    </row>
    <row r="59048" spans="1:27" x14ac:dyDescent="0.25">
      <c r="A59048" s="8"/>
      <c r="B59048" s="8"/>
      <c r="C59048" s="99"/>
      <c r="D59048" s="8"/>
      <c r="E59048" s="8"/>
      <c r="F59048" s="8"/>
      <c r="G59048" s="8"/>
      <c r="H59048" s="8"/>
      <c r="I59048" s="102"/>
      <c r="J59048" s="8"/>
      <c r="K59048" s="8"/>
      <c r="L59048" s="8"/>
      <c r="M59048" s="8"/>
      <c r="N59048" s="8"/>
      <c r="O59048" s="8"/>
      <c r="P59048" s="8"/>
      <c r="Q59048" s="8"/>
      <c r="R59048" s="103"/>
      <c r="S59048" s="8"/>
      <c r="T59048" s="8"/>
      <c r="U59048" s="8"/>
      <c r="V59048" s="8"/>
      <c r="W59048" s="8"/>
      <c r="X59048" s="8"/>
      <c r="Y59048" s="8"/>
      <c r="Z59048" s="8"/>
      <c r="AA59048" s="8"/>
    </row>
    <row r="59049" spans="1:27" x14ac:dyDescent="0.25">
      <c r="A59049" s="8"/>
      <c r="B59049" s="8"/>
      <c r="C59049" s="99"/>
      <c r="D59049" s="8"/>
      <c r="E59049" s="8"/>
      <c r="F59049" s="8"/>
      <c r="G59049" s="8"/>
      <c r="H59049" s="8"/>
      <c r="I59049" s="102"/>
      <c r="J59049" s="8"/>
      <c r="K59049" s="8"/>
      <c r="L59049" s="8"/>
      <c r="M59049" s="8"/>
      <c r="N59049" s="8"/>
      <c r="O59049" s="8"/>
      <c r="P59049" s="8"/>
      <c r="Q59049" s="8"/>
      <c r="R59049" s="103"/>
      <c r="S59049" s="8"/>
      <c r="T59049" s="8"/>
      <c r="U59049" s="8"/>
      <c r="V59049" s="8"/>
      <c r="W59049" s="8"/>
      <c r="X59049" s="8"/>
      <c r="Y59049" s="8"/>
      <c r="Z59049" s="8"/>
      <c r="AA59049" s="8"/>
    </row>
    <row r="59050" spans="1:27" x14ac:dyDescent="0.25">
      <c r="A59050" s="8"/>
      <c r="B59050" s="8"/>
      <c r="C59050" s="99"/>
      <c r="D59050" s="8"/>
      <c r="E59050" s="8"/>
      <c r="F59050" s="8"/>
      <c r="G59050" s="8"/>
      <c r="H59050" s="8"/>
      <c r="I59050" s="102"/>
      <c r="J59050" s="8"/>
      <c r="K59050" s="8"/>
      <c r="L59050" s="8"/>
      <c r="M59050" s="8"/>
      <c r="N59050" s="8"/>
      <c r="O59050" s="8"/>
      <c r="P59050" s="8"/>
      <c r="Q59050" s="8"/>
      <c r="R59050" s="103"/>
      <c r="S59050" s="8"/>
      <c r="T59050" s="8"/>
      <c r="U59050" s="8"/>
      <c r="V59050" s="8"/>
      <c r="W59050" s="8"/>
      <c r="X59050" s="8"/>
      <c r="Y59050" s="8"/>
      <c r="Z59050" s="8"/>
      <c r="AA59050" s="8"/>
    </row>
    <row r="59051" spans="1:27" x14ac:dyDescent="0.25">
      <c r="A59051" s="8"/>
      <c r="B59051" s="8"/>
      <c r="C59051" s="99"/>
      <c r="D59051" s="8"/>
      <c r="E59051" s="8"/>
      <c r="F59051" s="8"/>
      <c r="G59051" s="8"/>
      <c r="H59051" s="8"/>
      <c r="I59051" s="102"/>
      <c r="J59051" s="8"/>
      <c r="K59051" s="8"/>
      <c r="L59051" s="8"/>
      <c r="M59051" s="8"/>
      <c r="N59051" s="8"/>
      <c r="O59051" s="8"/>
      <c r="P59051" s="8"/>
      <c r="Q59051" s="8"/>
      <c r="R59051" s="103"/>
      <c r="S59051" s="8"/>
      <c r="T59051" s="8"/>
      <c r="U59051" s="8"/>
      <c r="V59051" s="8"/>
      <c r="W59051" s="8"/>
      <c r="X59051" s="8"/>
      <c r="Y59051" s="8"/>
      <c r="Z59051" s="8"/>
      <c r="AA59051" s="8"/>
    </row>
    <row r="59052" spans="1:27" x14ac:dyDescent="0.25">
      <c r="A59052" s="8"/>
      <c r="B59052" s="8"/>
      <c r="C59052" s="99"/>
      <c r="D59052" s="8"/>
      <c r="E59052" s="8"/>
      <c r="F59052" s="8"/>
      <c r="G59052" s="8"/>
      <c r="H59052" s="8"/>
      <c r="I59052" s="102"/>
      <c r="J59052" s="8"/>
      <c r="K59052" s="8"/>
      <c r="L59052" s="8"/>
      <c r="M59052" s="8"/>
      <c r="N59052" s="8"/>
      <c r="O59052" s="8"/>
      <c r="P59052" s="8"/>
      <c r="Q59052" s="8"/>
      <c r="R59052" s="103"/>
      <c r="S59052" s="8"/>
      <c r="T59052" s="8"/>
      <c r="U59052" s="8"/>
      <c r="V59052" s="8"/>
      <c r="W59052" s="8"/>
      <c r="X59052" s="8"/>
      <c r="Y59052" s="8"/>
      <c r="Z59052" s="8"/>
      <c r="AA59052" s="8"/>
    </row>
    <row r="59053" spans="1:27" x14ac:dyDescent="0.25">
      <c r="A59053" s="8"/>
      <c r="B59053" s="8"/>
      <c r="C59053" s="99"/>
      <c r="D59053" s="8"/>
      <c r="E59053" s="8"/>
      <c r="F59053" s="8"/>
      <c r="G59053" s="8"/>
      <c r="H59053" s="8"/>
      <c r="I59053" s="102"/>
      <c r="J59053" s="8"/>
      <c r="K59053" s="8"/>
      <c r="L59053" s="8"/>
      <c r="M59053" s="8"/>
      <c r="N59053" s="8"/>
      <c r="O59053" s="8"/>
      <c r="P59053" s="8"/>
      <c r="Q59053" s="8"/>
      <c r="R59053" s="103"/>
      <c r="S59053" s="8"/>
      <c r="T59053" s="8"/>
      <c r="U59053" s="8"/>
      <c r="V59053" s="8"/>
      <c r="W59053" s="8"/>
      <c r="X59053" s="8"/>
      <c r="Y59053" s="8"/>
      <c r="Z59053" s="8"/>
      <c r="AA59053" s="8"/>
    </row>
    <row r="59054" spans="1:27" x14ac:dyDescent="0.25">
      <c r="A59054" s="8"/>
      <c r="B59054" s="8"/>
      <c r="C59054" s="99"/>
      <c r="D59054" s="8"/>
      <c r="E59054" s="8"/>
      <c r="F59054" s="8"/>
      <c r="G59054" s="8"/>
      <c r="H59054" s="8"/>
      <c r="I59054" s="102"/>
      <c r="J59054" s="8"/>
      <c r="K59054" s="8"/>
      <c r="L59054" s="8"/>
      <c r="M59054" s="8"/>
      <c r="N59054" s="8"/>
      <c r="O59054" s="8"/>
      <c r="P59054" s="8"/>
      <c r="Q59054" s="8"/>
      <c r="R59054" s="103"/>
      <c r="S59054" s="8"/>
      <c r="T59054" s="8"/>
      <c r="U59054" s="8"/>
      <c r="V59054" s="8"/>
      <c r="W59054" s="8"/>
      <c r="X59054" s="8"/>
      <c r="Y59054" s="8"/>
      <c r="Z59054" s="8"/>
      <c r="AA59054" s="8"/>
    </row>
    <row r="59055" spans="1:27" x14ac:dyDescent="0.25">
      <c r="A59055" s="8"/>
      <c r="B59055" s="8"/>
      <c r="C59055" s="99"/>
      <c r="D59055" s="8"/>
      <c r="E59055" s="8"/>
      <c r="F59055" s="8"/>
      <c r="G59055" s="8"/>
      <c r="H59055" s="8"/>
      <c r="I59055" s="102"/>
      <c r="J59055" s="8"/>
      <c r="K59055" s="8"/>
      <c r="L59055" s="8"/>
      <c r="M59055" s="8"/>
      <c r="N59055" s="8"/>
      <c r="O59055" s="8"/>
      <c r="P59055" s="8"/>
      <c r="Q59055" s="8"/>
      <c r="R59055" s="103"/>
      <c r="S59055" s="8"/>
      <c r="T59055" s="8"/>
      <c r="U59055" s="8"/>
      <c r="V59055" s="8"/>
      <c r="W59055" s="8"/>
      <c r="X59055" s="8"/>
      <c r="Y59055" s="8"/>
      <c r="Z59055" s="8"/>
      <c r="AA59055" s="8"/>
    </row>
    <row r="59056" spans="1:27" x14ac:dyDescent="0.25">
      <c r="A59056" s="8"/>
      <c r="B59056" s="8"/>
      <c r="C59056" s="99"/>
      <c r="D59056" s="8"/>
      <c r="E59056" s="8"/>
      <c r="F59056" s="8"/>
      <c r="G59056" s="8"/>
      <c r="H59056" s="8"/>
      <c r="I59056" s="102"/>
      <c r="J59056" s="8"/>
      <c r="K59056" s="8"/>
      <c r="L59056" s="8"/>
      <c r="M59056" s="8"/>
      <c r="N59056" s="8"/>
      <c r="O59056" s="8"/>
      <c r="P59056" s="8"/>
      <c r="Q59056" s="8"/>
      <c r="R59056" s="103"/>
      <c r="S59056" s="8"/>
      <c r="T59056" s="8"/>
      <c r="U59056" s="8"/>
      <c r="V59056" s="8"/>
      <c r="W59056" s="8"/>
      <c r="X59056" s="8"/>
      <c r="Y59056" s="8"/>
      <c r="Z59056" s="8"/>
      <c r="AA59056" s="8"/>
    </row>
    <row r="59057" spans="1:27" x14ac:dyDescent="0.25">
      <c r="A59057" s="8"/>
      <c r="B59057" s="8"/>
      <c r="C59057" s="99"/>
      <c r="D59057" s="8"/>
      <c r="E59057" s="8"/>
      <c r="F59057" s="8"/>
      <c r="G59057" s="8"/>
      <c r="H59057" s="8"/>
      <c r="I59057" s="102"/>
      <c r="J59057" s="8"/>
      <c r="K59057" s="8"/>
      <c r="L59057" s="8"/>
      <c r="M59057" s="8"/>
      <c r="N59057" s="8"/>
      <c r="O59057" s="8"/>
      <c r="P59057" s="8"/>
      <c r="Q59057" s="8"/>
      <c r="R59057" s="103"/>
      <c r="S59057" s="8"/>
      <c r="T59057" s="8"/>
      <c r="U59057" s="8"/>
      <c r="V59057" s="8"/>
      <c r="W59057" s="8"/>
      <c r="X59057" s="8"/>
      <c r="Y59057" s="8"/>
      <c r="Z59057" s="8"/>
      <c r="AA59057" s="8"/>
    </row>
    <row r="59058" spans="1:27" x14ac:dyDescent="0.25">
      <c r="A59058" s="8"/>
      <c r="B59058" s="8"/>
      <c r="C59058" s="99"/>
      <c r="D59058" s="8"/>
      <c r="E59058" s="8"/>
      <c r="F59058" s="8"/>
      <c r="G59058" s="8"/>
      <c r="H59058" s="8"/>
      <c r="I59058" s="102"/>
      <c r="J59058" s="8"/>
      <c r="K59058" s="8"/>
      <c r="L59058" s="8"/>
      <c r="M59058" s="8"/>
      <c r="N59058" s="8"/>
      <c r="O59058" s="8"/>
      <c r="P59058" s="8"/>
      <c r="Q59058" s="8"/>
      <c r="R59058" s="103"/>
      <c r="S59058" s="8"/>
      <c r="T59058" s="8"/>
      <c r="U59058" s="8"/>
      <c r="V59058" s="8"/>
      <c r="W59058" s="8"/>
      <c r="X59058" s="8"/>
      <c r="Y59058" s="8"/>
      <c r="Z59058" s="8"/>
      <c r="AA59058" s="8"/>
    </row>
    <row r="59059" spans="1:27" x14ac:dyDescent="0.25">
      <c r="A59059" s="8"/>
      <c r="B59059" s="8"/>
      <c r="C59059" s="99"/>
      <c r="D59059" s="8"/>
      <c r="E59059" s="8"/>
      <c r="F59059" s="8"/>
      <c r="G59059" s="8"/>
      <c r="H59059" s="8"/>
      <c r="I59059" s="102"/>
      <c r="J59059" s="8"/>
      <c r="K59059" s="8"/>
      <c r="L59059" s="8"/>
      <c r="M59059" s="8"/>
      <c r="N59059" s="8"/>
      <c r="O59059" s="8"/>
      <c r="P59059" s="8"/>
      <c r="Q59059" s="8"/>
      <c r="R59059" s="103"/>
      <c r="S59059" s="8"/>
      <c r="T59059" s="8"/>
      <c r="U59059" s="8"/>
      <c r="V59059" s="8"/>
      <c r="W59059" s="8"/>
      <c r="X59059" s="8"/>
      <c r="Y59059" s="8"/>
      <c r="Z59059" s="8"/>
      <c r="AA59059" s="8"/>
    </row>
    <row r="59060" spans="1:27" x14ac:dyDescent="0.25">
      <c r="A59060" s="8"/>
      <c r="B59060" s="8"/>
      <c r="C59060" s="99"/>
      <c r="D59060" s="8"/>
      <c r="E59060" s="8"/>
      <c r="F59060" s="8"/>
      <c r="G59060" s="8"/>
      <c r="H59060" s="8"/>
      <c r="I59060" s="102"/>
      <c r="J59060" s="8"/>
      <c r="K59060" s="8"/>
      <c r="L59060" s="8"/>
      <c r="M59060" s="8"/>
      <c r="N59060" s="8"/>
      <c r="O59060" s="8"/>
      <c r="P59060" s="8"/>
      <c r="Q59060" s="8"/>
      <c r="R59060" s="103"/>
      <c r="S59060" s="8"/>
      <c r="T59060" s="8"/>
      <c r="U59060" s="8"/>
      <c r="V59060" s="8"/>
      <c r="W59060" s="8"/>
      <c r="X59060" s="8"/>
      <c r="Y59060" s="8"/>
      <c r="Z59060" s="8"/>
      <c r="AA59060" s="8"/>
    </row>
    <row r="59061" spans="1:27" x14ac:dyDescent="0.25">
      <c r="A59061" s="8"/>
      <c r="B59061" s="8"/>
      <c r="C59061" s="99"/>
      <c r="D59061" s="8"/>
      <c r="E59061" s="8"/>
      <c r="F59061" s="8"/>
      <c r="G59061" s="8"/>
      <c r="H59061" s="8"/>
      <c r="I59061" s="102"/>
      <c r="J59061" s="8"/>
      <c r="K59061" s="8"/>
      <c r="L59061" s="8"/>
      <c r="M59061" s="8"/>
      <c r="N59061" s="8"/>
      <c r="O59061" s="8"/>
      <c r="P59061" s="8"/>
      <c r="Q59061" s="8"/>
      <c r="R59061" s="103"/>
      <c r="S59061" s="8"/>
      <c r="T59061" s="8"/>
      <c r="U59061" s="8"/>
      <c r="V59061" s="8"/>
      <c r="W59061" s="8"/>
      <c r="X59061" s="8"/>
      <c r="Y59061" s="8"/>
      <c r="Z59061" s="8"/>
      <c r="AA59061" s="8"/>
    </row>
    <row r="59062" spans="1:27" x14ac:dyDescent="0.25">
      <c r="A59062" s="8"/>
      <c r="B59062" s="8"/>
      <c r="C59062" s="99"/>
      <c r="D59062" s="8"/>
      <c r="E59062" s="8"/>
      <c r="F59062" s="8"/>
      <c r="G59062" s="8"/>
      <c r="H59062" s="8"/>
      <c r="I59062" s="102"/>
      <c r="J59062" s="8"/>
      <c r="K59062" s="8"/>
      <c r="L59062" s="8"/>
      <c r="M59062" s="8"/>
      <c r="N59062" s="8"/>
      <c r="O59062" s="8"/>
      <c r="P59062" s="8"/>
      <c r="Q59062" s="8"/>
      <c r="R59062" s="103"/>
      <c r="S59062" s="8"/>
      <c r="T59062" s="8"/>
      <c r="U59062" s="8"/>
      <c r="V59062" s="8"/>
      <c r="W59062" s="8"/>
      <c r="X59062" s="8"/>
      <c r="Y59062" s="8"/>
      <c r="Z59062" s="8"/>
      <c r="AA59062" s="8"/>
    </row>
    <row r="59063" spans="1:27" x14ac:dyDescent="0.25">
      <c r="A59063" s="8"/>
      <c r="B59063" s="8"/>
      <c r="C59063" s="99"/>
      <c r="D59063" s="8"/>
      <c r="E59063" s="8"/>
      <c r="F59063" s="8"/>
      <c r="G59063" s="8"/>
      <c r="H59063" s="8"/>
      <c r="I59063" s="102"/>
      <c r="J59063" s="8"/>
      <c r="K59063" s="8"/>
      <c r="L59063" s="8"/>
      <c r="M59063" s="8"/>
      <c r="N59063" s="8"/>
      <c r="O59063" s="8"/>
      <c r="P59063" s="8"/>
      <c r="Q59063" s="8"/>
      <c r="R59063" s="103"/>
      <c r="S59063" s="8"/>
      <c r="T59063" s="8"/>
      <c r="U59063" s="8"/>
      <c r="V59063" s="8"/>
      <c r="W59063" s="8"/>
      <c r="X59063" s="8"/>
      <c r="Y59063" s="8"/>
      <c r="Z59063" s="8"/>
      <c r="AA59063" s="8"/>
    </row>
    <row r="59064" spans="1:27" x14ac:dyDescent="0.25">
      <c r="A59064" s="8"/>
      <c r="B59064" s="8"/>
      <c r="C59064" s="99"/>
      <c r="D59064" s="8"/>
      <c r="E59064" s="8"/>
      <c r="F59064" s="8"/>
      <c r="G59064" s="8"/>
      <c r="H59064" s="8"/>
      <c r="I59064" s="102"/>
      <c r="J59064" s="8"/>
      <c r="K59064" s="8"/>
      <c r="L59064" s="8"/>
      <c r="M59064" s="8"/>
      <c r="N59064" s="8"/>
      <c r="O59064" s="8"/>
      <c r="P59064" s="8"/>
      <c r="Q59064" s="8"/>
      <c r="R59064" s="103"/>
      <c r="S59064" s="8"/>
      <c r="T59064" s="8"/>
      <c r="U59064" s="8"/>
      <c r="V59064" s="8"/>
      <c r="W59064" s="8"/>
      <c r="X59064" s="8"/>
      <c r="Y59064" s="8"/>
      <c r="Z59064" s="8"/>
      <c r="AA59064" s="8"/>
    </row>
    <row r="59065" spans="1:27" x14ac:dyDescent="0.25">
      <c r="A59065" s="8"/>
      <c r="B59065" s="8"/>
      <c r="C59065" s="99"/>
      <c r="D59065" s="8"/>
      <c r="E59065" s="8"/>
      <c r="F59065" s="8"/>
      <c r="G59065" s="8"/>
      <c r="H59065" s="8"/>
      <c r="I59065" s="102"/>
      <c r="J59065" s="8"/>
      <c r="K59065" s="8"/>
      <c r="L59065" s="8"/>
      <c r="M59065" s="8"/>
      <c r="N59065" s="8"/>
      <c r="O59065" s="8"/>
      <c r="P59065" s="8"/>
      <c r="Q59065" s="8"/>
      <c r="R59065" s="103"/>
      <c r="S59065" s="8"/>
      <c r="T59065" s="8"/>
      <c r="U59065" s="8"/>
      <c r="V59065" s="8"/>
      <c r="W59065" s="8"/>
      <c r="X59065" s="8"/>
      <c r="Y59065" s="8"/>
      <c r="Z59065" s="8"/>
      <c r="AA59065" s="8"/>
    </row>
    <row r="59066" spans="1:27" x14ac:dyDescent="0.25">
      <c r="A59066" s="8"/>
      <c r="B59066" s="8"/>
      <c r="C59066" s="99"/>
      <c r="D59066" s="8"/>
      <c r="E59066" s="8"/>
      <c r="F59066" s="8"/>
      <c r="G59066" s="8"/>
      <c r="H59066" s="8"/>
      <c r="I59066" s="102"/>
      <c r="J59066" s="8"/>
      <c r="K59066" s="8"/>
      <c r="L59066" s="8"/>
      <c r="M59066" s="8"/>
      <c r="N59066" s="8"/>
      <c r="O59066" s="8"/>
      <c r="P59066" s="8"/>
      <c r="Q59066" s="8"/>
      <c r="R59066" s="103"/>
      <c r="S59066" s="8"/>
      <c r="T59066" s="8"/>
      <c r="U59066" s="8"/>
      <c r="V59066" s="8"/>
      <c r="W59066" s="8"/>
      <c r="X59066" s="8"/>
      <c r="Y59066" s="8"/>
      <c r="Z59066" s="8"/>
      <c r="AA59066" s="8"/>
    </row>
    <row r="59067" spans="1:27" x14ac:dyDescent="0.25">
      <c r="A59067" s="8"/>
      <c r="B59067" s="8"/>
      <c r="C59067" s="99"/>
      <c r="D59067" s="8"/>
      <c r="E59067" s="8"/>
      <c r="F59067" s="8"/>
      <c r="G59067" s="8"/>
      <c r="H59067" s="8"/>
      <c r="I59067" s="102"/>
      <c r="J59067" s="8"/>
      <c r="K59067" s="8"/>
      <c r="L59067" s="8"/>
      <c r="M59067" s="8"/>
      <c r="N59067" s="8"/>
      <c r="O59067" s="8"/>
      <c r="P59067" s="8"/>
      <c r="Q59067" s="8"/>
      <c r="R59067" s="103"/>
      <c r="S59067" s="8"/>
      <c r="T59067" s="8"/>
      <c r="U59067" s="8"/>
      <c r="V59067" s="8"/>
      <c r="W59067" s="8"/>
      <c r="X59067" s="8"/>
      <c r="Y59067" s="8"/>
      <c r="Z59067" s="8"/>
      <c r="AA59067" s="8"/>
    </row>
    <row r="59068" spans="1:27" x14ac:dyDescent="0.25">
      <c r="A59068" s="8"/>
      <c r="B59068" s="8"/>
      <c r="C59068" s="99"/>
      <c r="D59068" s="8"/>
      <c r="E59068" s="8"/>
      <c r="F59068" s="8"/>
      <c r="G59068" s="8"/>
      <c r="H59068" s="8"/>
      <c r="I59068" s="102"/>
      <c r="J59068" s="8"/>
      <c r="K59068" s="8"/>
      <c r="L59068" s="8"/>
      <c r="M59068" s="8"/>
      <c r="N59068" s="8"/>
      <c r="O59068" s="8"/>
      <c r="P59068" s="8"/>
      <c r="Q59068" s="8"/>
      <c r="R59068" s="103"/>
      <c r="S59068" s="8"/>
      <c r="T59068" s="8"/>
      <c r="U59068" s="8"/>
      <c r="V59068" s="8"/>
      <c r="W59068" s="8"/>
      <c r="X59068" s="8"/>
      <c r="Y59068" s="8"/>
      <c r="Z59068" s="8"/>
      <c r="AA59068" s="8"/>
    </row>
    <row r="59069" spans="1:27" x14ac:dyDescent="0.25">
      <c r="A59069" s="8"/>
      <c r="B59069" s="8"/>
      <c r="C59069" s="99"/>
      <c r="D59069" s="8"/>
      <c r="E59069" s="8"/>
      <c r="F59069" s="8"/>
      <c r="G59069" s="8"/>
      <c r="H59069" s="8"/>
      <c r="I59069" s="102"/>
      <c r="J59069" s="8"/>
      <c r="K59069" s="8"/>
      <c r="L59069" s="8"/>
      <c r="M59069" s="8"/>
      <c r="N59069" s="8"/>
      <c r="O59069" s="8"/>
      <c r="P59069" s="8"/>
      <c r="Q59069" s="8"/>
      <c r="R59069" s="103"/>
      <c r="S59069" s="8"/>
      <c r="T59069" s="8"/>
      <c r="U59069" s="8"/>
      <c r="V59069" s="8"/>
      <c r="W59069" s="8"/>
      <c r="X59069" s="8"/>
      <c r="Y59069" s="8"/>
      <c r="Z59069" s="8"/>
      <c r="AA59069" s="8"/>
    </row>
    <row r="59070" spans="1:27" x14ac:dyDescent="0.25">
      <c r="A59070" s="8"/>
      <c r="B59070" s="8"/>
      <c r="C59070" s="99"/>
      <c r="D59070" s="8"/>
      <c r="E59070" s="8"/>
      <c r="F59070" s="8"/>
      <c r="G59070" s="8"/>
      <c r="H59070" s="8"/>
      <c r="I59070" s="102"/>
      <c r="J59070" s="8"/>
      <c r="K59070" s="8"/>
      <c r="L59070" s="8"/>
      <c r="M59070" s="8"/>
      <c r="N59070" s="8"/>
      <c r="O59070" s="8"/>
      <c r="P59070" s="8"/>
      <c r="Q59070" s="8"/>
      <c r="R59070" s="103"/>
      <c r="S59070" s="8"/>
      <c r="T59070" s="8"/>
      <c r="U59070" s="8"/>
      <c r="V59070" s="8"/>
      <c r="W59070" s="8"/>
      <c r="X59070" s="8"/>
      <c r="Y59070" s="8"/>
      <c r="Z59070" s="8"/>
      <c r="AA59070" s="8"/>
    </row>
    <row r="59071" spans="1:27" x14ac:dyDescent="0.25">
      <c r="A59071" s="8"/>
      <c r="B59071" s="8"/>
      <c r="C59071" s="99"/>
      <c r="D59071" s="8"/>
      <c r="E59071" s="8"/>
      <c r="F59071" s="8"/>
      <c r="G59071" s="8"/>
      <c r="H59071" s="8"/>
      <c r="I59071" s="102"/>
      <c r="J59071" s="8"/>
      <c r="K59071" s="8"/>
      <c r="L59071" s="8"/>
      <c r="M59071" s="8"/>
      <c r="N59071" s="8"/>
      <c r="O59071" s="8"/>
      <c r="P59071" s="8"/>
      <c r="Q59071" s="8"/>
      <c r="R59071" s="103"/>
      <c r="S59071" s="8"/>
      <c r="T59071" s="8"/>
      <c r="U59071" s="8"/>
      <c r="V59071" s="8"/>
      <c r="W59071" s="8"/>
      <c r="X59071" s="8"/>
      <c r="Y59071" s="8"/>
      <c r="Z59071" s="8"/>
      <c r="AA59071" s="8"/>
    </row>
    <row r="59072" spans="1:27" x14ac:dyDescent="0.25">
      <c r="A59072" s="8"/>
      <c r="B59072" s="8"/>
      <c r="C59072" s="99"/>
      <c r="D59072" s="8"/>
      <c r="E59072" s="8"/>
      <c r="F59072" s="8"/>
      <c r="G59072" s="8"/>
      <c r="H59072" s="8"/>
      <c r="I59072" s="102"/>
      <c r="J59072" s="8"/>
      <c r="K59072" s="8"/>
      <c r="L59072" s="8"/>
      <c r="M59072" s="8"/>
      <c r="N59072" s="8"/>
      <c r="O59072" s="8"/>
      <c r="P59072" s="8"/>
      <c r="Q59072" s="8"/>
      <c r="R59072" s="103"/>
      <c r="S59072" s="8"/>
      <c r="T59072" s="8"/>
      <c r="U59072" s="8"/>
      <c r="V59072" s="8"/>
      <c r="W59072" s="8"/>
      <c r="X59072" s="8"/>
      <c r="Y59072" s="8"/>
      <c r="Z59072" s="8"/>
      <c r="AA59072" s="8"/>
    </row>
    <row r="59073" spans="1:27" x14ac:dyDescent="0.25">
      <c r="A59073" s="8"/>
      <c r="B59073" s="8"/>
      <c r="C59073" s="99"/>
      <c r="D59073" s="8"/>
      <c r="E59073" s="8"/>
      <c r="F59073" s="8"/>
      <c r="G59073" s="8"/>
      <c r="H59073" s="8"/>
      <c r="I59073" s="102"/>
      <c r="J59073" s="8"/>
      <c r="K59073" s="8"/>
      <c r="L59073" s="8"/>
      <c r="M59073" s="8"/>
      <c r="N59073" s="8"/>
      <c r="O59073" s="8"/>
      <c r="P59073" s="8"/>
      <c r="Q59073" s="8"/>
      <c r="R59073" s="103"/>
      <c r="S59073" s="8"/>
      <c r="T59073" s="8"/>
      <c r="U59073" s="8"/>
      <c r="V59073" s="8"/>
      <c r="W59073" s="8"/>
      <c r="X59073" s="8"/>
      <c r="Y59073" s="8"/>
      <c r="Z59073" s="8"/>
      <c r="AA59073" s="8"/>
    </row>
    <row r="59074" spans="1:27" x14ac:dyDescent="0.25">
      <c r="A59074" s="8"/>
      <c r="B59074" s="8"/>
      <c r="C59074" s="99"/>
      <c r="D59074" s="8"/>
      <c r="E59074" s="8"/>
      <c r="F59074" s="8"/>
      <c r="G59074" s="8"/>
      <c r="H59074" s="8"/>
      <c r="I59074" s="102"/>
      <c r="J59074" s="8"/>
      <c r="K59074" s="8"/>
      <c r="L59074" s="8"/>
      <c r="M59074" s="8"/>
      <c r="N59074" s="8"/>
      <c r="O59074" s="8"/>
      <c r="P59074" s="8"/>
      <c r="Q59074" s="8"/>
      <c r="R59074" s="103"/>
      <c r="S59074" s="8"/>
      <c r="T59074" s="8"/>
      <c r="U59074" s="8"/>
      <c r="V59074" s="8"/>
      <c r="W59074" s="8"/>
      <c r="X59074" s="8"/>
      <c r="Y59074" s="8"/>
      <c r="Z59074" s="8"/>
      <c r="AA59074" s="8"/>
    </row>
    <row r="59075" spans="1:27" x14ac:dyDescent="0.25">
      <c r="A59075" s="8"/>
      <c r="B59075" s="8"/>
      <c r="C59075" s="99"/>
      <c r="D59075" s="8"/>
      <c r="E59075" s="8"/>
      <c r="F59075" s="8"/>
      <c r="G59075" s="8"/>
      <c r="H59075" s="8"/>
      <c r="I59075" s="102"/>
      <c r="J59075" s="8"/>
      <c r="K59075" s="8"/>
      <c r="L59075" s="8"/>
      <c r="M59075" s="8"/>
      <c r="N59075" s="8"/>
      <c r="O59075" s="8"/>
      <c r="P59075" s="8"/>
      <c r="Q59075" s="8"/>
      <c r="R59075" s="103"/>
      <c r="S59075" s="8"/>
      <c r="T59075" s="8"/>
      <c r="U59075" s="8"/>
      <c r="V59075" s="8"/>
      <c r="W59075" s="8"/>
      <c r="X59075" s="8"/>
      <c r="Y59075" s="8"/>
      <c r="Z59075" s="8"/>
      <c r="AA59075" s="8"/>
    </row>
    <row r="59076" spans="1:27" x14ac:dyDescent="0.25">
      <c r="A59076" s="8"/>
      <c r="B59076" s="8"/>
      <c r="C59076" s="99"/>
      <c r="D59076" s="8"/>
      <c r="E59076" s="8"/>
      <c r="F59076" s="8"/>
      <c r="G59076" s="8"/>
      <c r="H59076" s="8"/>
      <c r="I59076" s="102"/>
      <c r="J59076" s="8"/>
      <c r="K59076" s="8"/>
      <c r="L59076" s="8"/>
      <c r="M59076" s="8"/>
      <c r="N59076" s="8"/>
      <c r="O59076" s="8"/>
      <c r="P59076" s="8"/>
      <c r="Q59076" s="8"/>
      <c r="R59076" s="103"/>
      <c r="S59076" s="8"/>
      <c r="T59076" s="8"/>
      <c r="U59076" s="8"/>
      <c r="V59076" s="8"/>
      <c r="W59076" s="8"/>
      <c r="X59076" s="8"/>
      <c r="Y59076" s="8"/>
      <c r="Z59076" s="8"/>
      <c r="AA59076" s="8"/>
    </row>
    <row r="59077" spans="1:27" x14ac:dyDescent="0.25">
      <c r="A59077" s="8"/>
      <c r="B59077" s="8"/>
      <c r="C59077" s="99"/>
      <c r="D59077" s="8"/>
      <c r="E59077" s="8"/>
      <c r="F59077" s="8"/>
      <c r="G59077" s="8"/>
      <c r="H59077" s="8"/>
      <c r="I59077" s="102"/>
      <c r="J59077" s="8"/>
      <c r="K59077" s="8"/>
      <c r="L59077" s="8"/>
      <c r="M59077" s="8"/>
      <c r="N59077" s="8"/>
      <c r="O59077" s="8"/>
      <c r="P59077" s="8"/>
      <c r="Q59077" s="8"/>
      <c r="R59077" s="103"/>
      <c r="S59077" s="8"/>
      <c r="T59077" s="8"/>
      <c r="U59077" s="8"/>
      <c r="V59077" s="8"/>
      <c r="W59077" s="8"/>
      <c r="X59077" s="8"/>
      <c r="Y59077" s="8"/>
      <c r="Z59077" s="8"/>
      <c r="AA59077" s="8"/>
    </row>
    <row r="59078" spans="1:27" x14ac:dyDescent="0.25">
      <c r="A59078" s="8"/>
      <c r="B59078" s="8"/>
      <c r="C59078" s="99"/>
      <c r="D59078" s="8"/>
      <c r="E59078" s="8"/>
      <c r="F59078" s="8"/>
      <c r="G59078" s="8"/>
      <c r="H59078" s="8"/>
      <c r="I59078" s="102"/>
      <c r="J59078" s="8"/>
      <c r="K59078" s="8"/>
      <c r="L59078" s="8"/>
      <c r="M59078" s="8"/>
      <c r="N59078" s="8"/>
      <c r="O59078" s="8"/>
      <c r="P59078" s="8"/>
      <c r="Q59078" s="8"/>
      <c r="R59078" s="103"/>
      <c r="S59078" s="8"/>
      <c r="T59078" s="8"/>
      <c r="U59078" s="8"/>
      <c r="V59078" s="8"/>
      <c r="W59078" s="8"/>
      <c r="X59078" s="8"/>
      <c r="Y59078" s="8"/>
      <c r="Z59078" s="8"/>
      <c r="AA59078" s="8"/>
    </row>
    <row r="59079" spans="1:27" x14ac:dyDescent="0.25">
      <c r="A59079" s="8"/>
      <c r="B59079" s="8"/>
      <c r="C59079" s="99"/>
      <c r="D59079" s="8"/>
      <c r="E59079" s="8"/>
      <c r="F59079" s="8"/>
      <c r="G59079" s="8"/>
      <c r="H59079" s="8"/>
      <c r="I59079" s="102"/>
      <c r="J59079" s="8"/>
      <c r="K59079" s="8"/>
      <c r="L59079" s="8"/>
      <c r="M59079" s="8"/>
      <c r="N59079" s="8"/>
      <c r="O59079" s="8"/>
      <c r="P59079" s="8"/>
      <c r="Q59079" s="8"/>
      <c r="R59079" s="103"/>
      <c r="S59079" s="8"/>
      <c r="T59079" s="8"/>
      <c r="U59079" s="8"/>
      <c r="V59079" s="8"/>
      <c r="W59079" s="8"/>
      <c r="X59079" s="8"/>
      <c r="Y59079" s="8"/>
      <c r="Z59079" s="8"/>
      <c r="AA59079" s="8"/>
    </row>
    <row r="59080" spans="1:27" x14ac:dyDescent="0.25">
      <c r="A59080" s="8"/>
      <c r="B59080" s="8"/>
      <c r="C59080" s="99"/>
      <c r="D59080" s="8"/>
      <c r="E59080" s="8"/>
      <c r="F59080" s="8"/>
      <c r="G59080" s="8"/>
      <c r="H59080" s="8"/>
      <c r="I59080" s="102"/>
      <c r="J59080" s="8"/>
      <c r="K59080" s="8"/>
      <c r="L59080" s="8"/>
      <c r="M59080" s="8"/>
      <c r="N59080" s="8"/>
      <c r="O59080" s="8"/>
      <c r="P59080" s="8"/>
      <c r="Q59080" s="8"/>
      <c r="R59080" s="103"/>
      <c r="S59080" s="8"/>
      <c r="T59080" s="8"/>
      <c r="U59080" s="8"/>
      <c r="V59080" s="8"/>
      <c r="W59080" s="8"/>
      <c r="X59080" s="8"/>
      <c r="Y59080" s="8"/>
      <c r="Z59080" s="8"/>
      <c r="AA59080" s="8"/>
    </row>
    <row r="59081" spans="1:27" x14ac:dyDescent="0.25">
      <c r="A59081" s="8"/>
      <c r="B59081" s="8"/>
      <c r="C59081" s="99"/>
      <c r="D59081" s="8"/>
      <c r="E59081" s="8"/>
      <c r="F59081" s="8"/>
      <c r="G59081" s="8"/>
      <c r="H59081" s="8"/>
      <c r="I59081" s="102"/>
      <c r="J59081" s="8"/>
      <c r="K59081" s="8"/>
      <c r="L59081" s="8"/>
      <c r="M59081" s="8"/>
      <c r="N59081" s="8"/>
      <c r="O59081" s="8"/>
      <c r="P59081" s="8"/>
      <c r="Q59081" s="8"/>
      <c r="R59081" s="103"/>
      <c r="S59081" s="8"/>
      <c r="T59081" s="8"/>
      <c r="U59081" s="8"/>
      <c r="V59081" s="8"/>
      <c r="W59081" s="8"/>
      <c r="X59081" s="8"/>
      <c r="Y59081" s="8"/>
      <c r="Z59081" s="8"/>
      <c r="AA59081" s="8"/>
    </row>
    <row r="59082" spans="1:27" x14ac:dyDescent="0.25">
      <c r="A59082" s="8"/>
      <c r="B59082" s="8"/>
      <c r="C59082" s="99"/>
      <c r="D59082" s="8"/>
      <c r="E59082" s="8"/>
      <c r="F59082" s="8"/>
      <c r="G59082" s="8"/>
      <c r="H59082" s="8"/>
      <c r="I59082" s="102"/>
      <c r="J59082" s="8"/>
      <c r="K59082" s="8"/>
      <c r="L59082" s="8"/>
      <c r="M59082" s="8"/>
      <c r="N59082" s="8"/>
      <c r="O59082" s="8"/>
      <c r="P59082" s="8"/>
      <c r="Q59082" s="8"/>
      <c r="R59082" s="103"/>
      <c r="S59082" s="8"/>
      <c r="T59082" s="8"/>
      <c r="U59082" s="8"/>
      <c r="V59082" s="8"/>
      <c r="W59082" s="8"/>
      <c r="X59082" s="8"/>
      <c r="Y59082" s="8"/>
      <c r="Z59082" s="8"/>
      <c r="AA59082" s="8"/>
    </row>
    <row r="59083" spans="1:27" x14ac:dyDescent="0.25">
      <c r="A59083" s="8"/>
      <c r="B59083" s="8"/>
      <c r="C59083" s="99"/>
      <c r="D59083" s="8"/>
      <c r="E59083" s="8"/>
      <c r="F59083" s="8"/>
      <c r="G59083" s="8"/>
      <c r="H59083" s="8"/>
      <c r="I59083" s="102"/>
      <c r="J59083" s="8"/>
      <c r="K59083" s="8"/>
      <c r="L59083" s="8"/>
      <c r="M59083" s="8"/>
      <c r="N59083" s="8"/>
      <c r="O59083" s="8"/>
      <c r="P59083" s="8"/>
      <c r="Q59083" s="8"/>
      <c r="R59083" s="103"/>
      <c r="S59083" s="8"/>
      <c r="T59083" s="8"/>
      <c r="U59083" s="8"/>
      <c r="V59083" s="8"/>
      <c r="W59083" s="8"/>
      <c r="X59083" s="8"/>
      <c r="Y59083" s="8"/>
      <c r="Z59083" s="8"/>
      <c r="AA59083" s="8"/>
    </row>
    <row r="59084" spans="1:27" x14ac:dyDescent="0.25">
      <c r="A59084" s="8"/>
      <c r="B59084" s="8"/>
      <c r="C59084" s="99"/>
      <c r="D59084" s="8"/>
      <c r="E59084" s="8"/>
      <c r="F59084" s="8"/>
      <c r="G59084" s="8"/>
      <c r="H59084" s="8"/>
      <c r="I59084" s="102"/>
      <c r="J59084" s="8"/>
      <c r="K59084" s="8"/>
      <c r="L59084" s="8"/>
      <c r="M59084" s="8"/>
      <c r="N59084" s="8"/>
      <c r="O59084" s="8"/>
      <c r="P59084" s="8"/>
      <c r="Q59084" s="8"/>
      <c r="R59084" s="103"/>
      <c r="S59084" s="8"/>
      <c r="T59084" s="8"/>
      <c r="U59084" s="8"/>
      <c r="V59084" s="8"/>
      <c r="W59084" s="8"/>
      <c r="X59084" s="8"/>
      <c r="Y59084" s="8"/>
      <c r="Z59084" s="8"/>
      <c r="AA59084" s="8"/>
    </row>
    <row r="59085" spans="1:27" x14ac:dyDescent="0.25">
      <c r="A59085" s="8"/>
      <c r="B59085" s="8"/>
      <c r="C59085" s="99"/>
      <c r="D59085" s="8"/>
      <c r="E59085" s="8"/>
      <c r="F59085" s="8"/>
      <c r="G59085" s="8"/>
      <c r="H59085" s="8"/>
      <c r="I59085" s="102"/>
      <c r="J59085" s="8"/>
      <c r="K59085" s="8"/>
      <c r="L59085" s="8"/>
      <c r="M59085" s="8"/>
      <c r="N59085" s="8"/>
      <c r="O59085" s="8"/>
      <c r="P59085" s="8"/>
      <c r="Q59085" s="8"/>
      <c r="R59085" s="103"/>
      <c r="S59085" s="8"/>
      <c r="T59085" s="8"/>
      <c r="U59085" s="8"/>
      <c r="V59085" s="8"/>
      <c r="W59085" s="8"/>
      <c r="X59085" s="8"/>
      <c r="Y59085" s="8"/>
      <c r="Z59085" s="8"/>
      <c r="AA59085" s="8"/>
    </row>
    <row r="59086" spans="1:27" x14ac:dyDescent="0.25">
      <c r="A59086" s="8"/>
      <c r="B59086" s="8"/>
      <c r="C59086" s="99"/>
      <c r="D59086" s="8"/>
      <c r="E59086" s="8"/>
      <c r="F59086" s="8"/>
      <c r="G59086" s="8"/>
      <c r="H59086" s="8"/>
      <c r="I59086" s="102"/>
      <c r="J59086" s="8"/>
      <c r="K59086" s="8"/>
      <c r="L59086" s="8"/>
      <c r="M59086" s="8"/>
      <c r="N59086" s="8"/>
      <c r="O59086" s="8"/>
      <c r="P59086" s="8"/>
      <c r="Q59086" s="8"/>
      <c r="R59086" s="103"/>
      <c r="S59086" s="8"/>
      <c r="T59086" s="8"/>
      <c r="U59086" s="8"/>
      <c r="V59086" s="8"/>
      <c r="W59086" s="8"/>
      <c r="X59086" s="8"/>
      <c r="Y59086" s="8"/>
      <c r="Z59086" s="8"/>
      <c r="AA59086" s="8"/>
    </row>
    <row r="59087" spans="1:27" x14ac:dyDescent="0.25">
      <c r="A59087" s="8"/>
      <c r="B59087" s="8"/>
      <c r="C59087" s="99"/>
      <c r="D59087" s="8"/>
      <c r="E59087" s="8"/>
      <c r="F59087" s="8"/>
      <c r="G59087" s="8"/>
      <c r="H59087" s="8"/>
      <c r="I59087" s="102"/>
      <c r="J59087" s="8"/>
      <c r="K59087" s="8"/>
      <c r="L59087" s="8"/>
      <c r="M59087" s="8"/>
      <c r="N59087" s="8"/>
      <c r="O59087" s="8"/>
      <c r="P59087" s="8"/>
      <c r="Q59087" s="8"/>
      <c r="R59087" s="103"/>
      <c r="S59087" s="8"/>
      <c r="T59087" s="8"/>
      <c r="U59087" s="8"/>
      <c r="V59087" s="8"/>
      <c r="W59087" s="8"/>
      <c r="X59087" s="8"/>
      <c r="Y59087" s="8"/>
      <c r="Z59087" s="8"/>
      <c r="AA59087" s="8"/>
    </row>
    <row r="59088" spans="1:27" x14ac:dyDescent="0.25">
      <c r="A59088" s="8"/>
      <c r="B59088" s="8"/>
      <c r="C59088" s="99"/>
      <c r="D59088" s="8"/>
      <c r="E59088" s="8"/>
      <c r="F59088" s="8"/>
      <c r="G59088" s="8"/>
      <c r="H59088" s="8"/>
      <c r="I59088" s="102"/>
      <c r="J59088" s="8"/>
      <c r="K59088" s="8"/>
      <c r="L59088" s="8"/>
      <c r="M59088" s="8"/>
      <c r="N59088" s="8"/>
      <c r="O59088" s="8"/>
      <c r="P59088" s="8"/>
      <c r="Q59088" s="8"/>
      <c r="R59088" s="103"/>
      <c r="S59088" s="8"/>
      <c r="T59088" s="8"/>
      <c r="U59088" s="8"/>
      <c r="V59088" s="8"/>
      <c r="W59088" s="8"/>
      <c r="X59088" s="8"/>
      <c r="Y59088" s="8"/>
      <c r="Z59088" s="8"/>
      <c r="AA59088" s="8"/>
    </row>
    <row r="59089" spans="1:27" x14ac:dyDescent="0.25">
      <c r="A59089" s="8"/>
      <c r="B59089" s="8"/>
      <c r="C59089" s="99"/>
      <c r="D59089" s="8"/>
      <c r="E59089" s="8"/>
      <c r="F59089" s="8"/>
      <c r="G59089" s="8"/>
      <c r="H59089" s="8"/>
      <c r="I59089" s="102"/>
      <c r="J59089" s="8"/>
      <c r="K59089" s="8"/>
      <c r="L59089" s="8"/>
      <c r="M59089" s="8"/>
      <c r="N59089" s="8"/>
      <c r="O59089" s="8"/>
      <c r="P59089" s="8"/>
      <c r="Q59089" s="8"/>
      <c r="R59089" s="103"/>
      <c r="S59089" s="8"/>
      <c r="T59089" s="8"/>
      <c r="U59089" s="8"/>
      <c r="V59089" s="8"/>
      <c r="W59089" s="8"/>
      <c r="X59089" s="8"/>
      <c r="Y59089" s="8"/>
      <c r="Z59089" s="8"/>
      <c r="AA59089" s="8"/>
    </row>
    <row r="59090" spans="1:27" x14ac:dyDescent="0.25">
      <c r="A59090" s="8"/>
      <c r="B59090" s="8"/>
      <c r="C59090" s="99"/>
      <c r="D59090" s="8"/>
      <c r="E59090" s="8"/>
      <c r="F59090" s="8"/>
      <c r="G59090" s="8"/>
      <c r="H59090" s="8"/>
      <c r="I59090" s="102"/>
      <c r="J59090" s="8"/>
      <c r="K59090" s="8"/>
      <c r="L59090" s="8"/>
      <c r="M59090" s="8"/>
      <c r="N59090" s="8"/>
      <c r="O59090" s="8"/>
      <c r="P59090" s="8"/>
      <c r="Q59090" s="8"/>
      <c r="R59090" s="103"/>
      <c r="S59090" s="8"/>
      <c r="T59090" s="8"/>
      <c r="U59090" s="8"/>
      <c r="V59090" s="8"/>
      <c r="W59090" s="8"/>
      <c r="X59090" s="8"/>
      <c r="Y59090" s="8"/>
      <c r="Z59090" s="8"/>
      <c r="AA59090" s="8"/>
    </row>
    <row r="59091" spans="1:27" x14ac:dyDescent="0.25">
      <c r="A59091" s="8"/>
      <c r="B59091" s="8"/>
      <c r="C59091" s="99"/>
      <c r="D59091" s="8"/>
      <c r="E59091" s="8"/>
      <c r="F59091" s="8"/>
      <c r="G59091" s="8"/>
      <c r="H59091" s="8"/>
      <c r="I59091" s="102"/>
      <c r="J59091" s="8"/>
      <c r="K59091" s="8"/>
      <c r="L59091" s="8"/>
      <c r="M59091" s="8"/>
      <c r="N59091" s="8"/>
      <c r="O59091" s="8"/>
      <c r="P59091" s="8"/>
      <c r="Q59091" s="8"/>
      <c r="R59091" s="103"/>
      <c r="S59091" s="8"/>
      <c r="T59091" s="8"/>
      <c r="U59091" s="8"/>
      <c r="V59091" s="8"/>
      <c r="W59091" s="8"/>
      <c r="X59091" s="8"/>
      <c r="Y59091" s="8"/>
      <c r="Z59091" s="8"/>
      <c r="AA59091" s="8"/>
    </row>
    <row r="59092" spans="1:27" x14ac:dyDescent="0.25">
      <c r="A59092" s="8"/>
      <c r="B59092" s="8"/>
      <c r="C59092" s="99"/>
      <c r="D59092" s="8"/>
      <c r="E59092" s="8"/>
      <c r="F59092" s="8"/>
      <c r="G59092" s="8"/>
      <c r="H59092" s="8"/>
      <c r="I59092" s="102"/>
      <c r="J59092" s="8"/>
      <c r="K59092" s="8"/>
      <c r="L59092" s="8"/>
      <c r="M59092" s="8"/>
      <c r="N59092" s="8"/>
      <c r="O59092" s="8"/>
      <c r="P59092" s="8"/>
      <c r="Q59092" s="8"/>
      <c r="R59092" s="103"/>
      <c r="S59092" s="8"/>
      <c r="T59092" s="8"/>
      <c r="U59092" s="8"/>
      <c r="V59092" s="8"/>
      <c r="W59092" s="8"/>
      <c r="X59092" s="8"/>
      <c r="Y59092" s="8"/>
      <c r="Z59092" s="8"/>
      <c r="AA59092" s="8"/>
    </row>
    <row r="59093" spans="1:27" x14ac:dyDescent="0.25">
      <c r="A59093" s="8"/>
      <c r="B59093" s="8"/>
      <c r="C59093" s="99"/>
      <c r="D59093" s="8"/>
      <c r="E59093" s="8"/>
      <c r="F59093" s="8"/>
      <c r="G59093" s="8"/>
      <c r="H59093" s="8"/>
      <c r="I59093" s="102"/>
      <c r="J59093" s="8"/>
      <c r="K59093" s="8"/>
      <c r="L59093" s="8"/>
      <c r="M59093" s="8"/>
      <c r="N59093" s="8"/>
      <c r="O59093" s="8"/>
      <c r="P59093" s="8"/>
      <c r="Q59093" s="8"/>
      <c r="R59093" s="103"/>
      <c r="S59093" s="8"/>
      <c r="T59093" s="8"/>
      <c r="U59093" s="8"/>
      <c r="V59093" s="8"/>
      <c r="W59093" s="8"/>
      <c r="X59093" s="8"/>
      <c r="Y59093" s="8"/>
      <c r="Z59093" s="8"/>
      <c r="AA59093" s="8"/>
    </row>
    <row r="59094" spans="1:27" x14ac:dyDescent="0.25">
      <c r="A59094" s="8"/>
      <c r="B59094" s="8"/>
      <c r="C59094" s="99"/>
      <c r="D59094" s="8"/>
      <c r="E59094" s="8"/>
      <c r="F59094" s="8"/>
      <c r="G59094" s="8"/>
      <c r="H59094" s="8"/>
      <c r="I59094" s="102"/>
      <c r="J59094" s="8"/>
      <c r="K59094" s="8"/>
      <c r="L59094" s="8"/>
      <c r="M59094" s="8"/>
      <c r="N59094" s="8"/>
      <c r="O59094" s="8"/>
      <c r="P59094" s="8"/>
      <c r="Q59094" s="8"/>
      <c r="R59094" s="103"/>
      <c r="S59094" s="8"/>
      <c r="T59094" s="8"/>
      <c r="U59094" s="8"/>
      <c r="V59094" s="8"/>
      <c r="W59094" s="8"/>
      <c r="X59094" s="8"/>
      <c r="Y59094" s="8"/>
      <c r="Z59094" s="8"/>
      <c r="AA59094" s="8"/>
    </row>
    <row r="59095" spans="1:27" x14ac:dyDescent="0.25">
      <c r="A59095" s="8"/>
      <c r="B59095" s="8"/>
      <c r="C59095" s="99"/>
      <c r="D59095" s="8"/>
      <c r="E59095" s="8"/>
      <c r="F59095" s="8"/>
      <c r="G59095" s="8"/>
      <c r="H59095" s="8"/>
      <c r="I59095" s="102"/>
      <c r="J59095" s="8"/>
      <c r="K59095" s="8"/>
      <c r="L59095" s="8"/>
      <c r="M59095" s="8"/>
      <c r="N59095" s="8"/>
      <c r="O59095" s="8"/>
      <c r="P59095" s="8"/>
      <c r="Q59095" s="8"/>
      <c r="R59095" s="103"/>
      <c r="S59095" s="8"/>
      <c r="T59095" s="8"/>
      <c r="U59095" s="8"/>
      <c r="V59095" s="8"/>
      <c r="W59095" s="8"/>
      <c r="X59095" s="8"/>
      <c r="Y59095" s="8"/>
      <c r="Z59095" s="8"/>
      <c r="AA59095" s="8"/>
    </row>
    <row r="59096" spans="1:27" x14ac:dyDescent="0.25">
      <c r="A59096" s="8"/>
      <c r="B59096" s="8"/>
      <c r="C59096" s="99"/>
      <c r="D59096" s="8"/>
      <c r="E59096" s="8"/>
      <c r="F59096" s="8"/>
      <c r="G59096" s="8"/>
      <c r="H59096" s="8"/>
      <c r="I59096" s="102"/>
      <c r="J59096" s="8"/>
      <c r="K59096" s="8"/>
      <c r="L59096" s="8"/>
      <c r="M59096" s="8"/>
      <c r="N59096" s="8"/>
      <c r="O59096" s="8"/>
      <c r="P59096" s="8"/>
      <c r="Q59096" s="8"/>
      <c r="R59096" s="103"/>
      <c r="S59096" s="8"/>
      <c r="T59096" s="8"/>
      <c r="U59096" s="8"/>
      <c r="V59096" s="8"/>
      <c r="W59096" s="8"/>
      <c r="X59096" s="8"/>
      <c r="Y59096" s="8"/>
      <c r="Z59096" s="8"/>
      <c r="AA59096" s="8"/>
    </row>
    <row r="59097" spans="1:27" x14ac:dyDescent="0.25">
      <c r="A59097" s="8"/>
      <c r="B59097" s="8"/>
      <c r="C59097" s="99"/>
      <c r="D59097" s="8"/>
      <c r="E59097" s="8"/>
      <c r="F59097" s="8"/>
      <c r="G59097" s="8"/>
      <c r="H59097" s="8"/>
      <c r="I59097" s="102"/>
      <c r="J59097" s="8"/>
      <c r="K59097" s="8"/>
      <c r="L59097" s="8"/>
      <c r="M59097" s="8"/>
      <c r="N59097" s="8"/>
      <c r="O59097" s="8"/>
      <c r="P59097" s="8"/>
      <c r="Q59097" s="8"/>
      <c r="R59097" s="103"/>
      <c r="S59097" s="8"/>
      <c r="T59097" s="8"/>
      <c r="U59097" s="8"/>
      <c r="V59097" s="8"/>
      <c r="W59097" s="8"/>
      <c r="X59097" s="8"/>
      <c r="Y59097" s="8"/>
      <c r="Z59097" s="8"/>
      <c r="AA59097" s="8"/>
    </row>
    <row r="59098" spans="1:27" x14ac:dyDescent="0.25">
      <c r="A59098" s="8"/>
      <c r="B59098" s="8"/>
      <c r="C59098" s="99"/>
      <c r="D59098" s="8"/>
      <c r="E59098" s="8"/>
      <c r="F59098" s="8"/>
      <c r="G59098" s="8"/>
      <c r="H59098" s="8"/>
      <c r="I59098" s="102"/>
      <c r="J59098" s="8"/>
      <c r="K59098" s="8"/>
      <c r="L59098" s="8"/>
      <c r="M59098" s="8"/>
      <c r="N59098" s="8"/>
      <c r="O59098" s="8"/>
      <c r="P59098" s="8"/>
      <c r="Q59098" s="8"/>
      <c r="R59098" s="103"/>
      <c r="S59098" s="8"/>
      <c r="T59098" s="8"/>
      <c r="U59098" s="8"/>
      <c r="V59098" s="8"/>
      <c r="W59098" s="8"/>
      <c r="X59098" s="8"/>
      <c r="Y59098" s="8"/>
      <c r="Z59098" s="8"/>
      <c r="AA59098" s="8"/>
    </row>
    <row r="59099" spans="1:27" x14ac:dyDescent="0.25">
      <c r="A59099" s="8"/>
      <c r="B59099" s="8"/>
      <c r="C59099" s="99"/>
      <c r="D59099" s="8"/>
      <c r="E59099" s="8"/>
      <c r="F59099" s="8"/>
      <c r="G59099" s="8"/>
      <c r="H59099" s="8"/>
      <c r="I59099" s="102"/>
      <c r="J59099" s="8"/>
      <c r="K59099" s="8"/>
      <c r="L59099" s="8"/>
      <c r="M59099" s="8"/>
      <c r="N59099" s="8"/>
      <c r="O59099" s="8"/>
      <c r="P59099" s="8"/>
      <c r="Q59099" s="8"/>
      <c r="R59099" s="103"/>
      <c r="S59099" s="8"/>
      <c r="T59099" s="8"/>
      <c r="U59099" s="8"/>
      <c r="V59099" s="8"/>
      <c r="W59099" s="8"/>
      <c r="X59099" s="8"/>
      <c r="Y59099" s="8"/>
      <c r="Z59099" s="8"/>
      <c r="AA59099" s="8"/>
    </row>
    <row r="59100" spans="1:27" x14ac:dyDescent="0.25">
      <c r="A59100" s="8"/>
      <c r="B59100" s="8"/>
      <c r="C59100" s="99"/>
      <c r="D59100" s="8"/>
      <c r="E59100" s="8"/>
      <c r="F59100" s="8"/>
      <c r="G59100" s="8"/>
      <c r="H59100" s="8"/>
      <c r="I59100" s="102"/>
      <c r="J59100" s="8"/>
      <c r="K59100" s="8"/>
      <c r="L59100" s="8"/>
      <c r="M59100" s="8"/>
      <c r="N59100" s="8"/>
      <c r="O59100" s="8"/>
      <c r="P59100" s="8"/>
      <c r="Q59100" s="8"/>
      <c r="R59100" s="103"/>
      <c r="S59100" s="8"/>
      <c r="T59100" s="8"/>
      <c r="U59100" s="8"/>
      <c r="V59100" s="8"/>
      <c r="W59100" s="8"/>
      <c r="X59100" s="8"/>
      <c r="Y59100" s="8"/>
      <c r="Z59100" s="8"/>
      <c r="AA59100" s="8"/>
    </row>
    <row r="59101" spans="1:27" x14ac:dyDescent="0.25">
      <c r="A59101" s="8"/>
      <c r="B59101" s="8"/>
      <c r="C59101" s="99"/>
      <c r="D59101" s="8"/>
      <c r="E59101" s="8"/>
      <c r="F59101" s="8"/>
      <c r="G59101" s="8"/>
      <c r="H59101" s="8"/>
      <c r="I59101" s="102"/>
      <c r="J59101" s="8"/>
      <c r="K59101" s="8"/>
      <c r="L59101" s="8"/>
      <c r="M59101" s="8"/>
      <c r="N59101" s="8"/>
      <c r="O59101" s="8"/>
      <c r="P59101" s="8"/>
      <c r="Q59101" s="8"/>
      <c r="R59101" s="103"/>
      <c r="S59101" s="8"/>
      <c r="T59101" s="8"/>
      <c r="U59101" s="8"/>
      <c r="V59101" s="8"/>
      <c r="W59101" s="8"/>
      <c r="X59101" s="8"/>
      <c r="Y59101" s="8"/>
      <c r="Z59101" s="8"/>
      <c r="AA59101" s="8"/>
    </row>
    <row r="59102" spans="1:27" x14ac:dyDescent="0.25">
      <c r="A59102" s="8"/>
      <c r="B59102" s="8"/>
      <c r="C59102" s="99"/>
      <c r="D59102" s="8"/>
      <c r="E59102" s="8"/>
      <c r="F59102" s="8"/>
      <c r="G59102" s="8"/>
      <c r="H59102" s="8"/>
      <c r="I59102" s="102"/>
      <c r="J59102" s="8"/>
      <c r="K59102" s="8"/>
      <c r="L59102" s="8"/>
      <c r="M59102" s="8"/>
      <c r="N59102" s="8"/>
      <c r="O59102" s="8"/>
      <c r="P59102" s="8"/>
      <c r="Q59102" s="8"/>
      <c r="R59102" s="103"/>
      <c r="S59102" s="8"/>
      <c r="T59102" s="8"/>
      <c r="U59102" s="8"/>
      <c r="V59102" s="8"/>
      <c r="W59102" s="8"/>
      <c r="X59102" s="8"/>
      <c r="Y59102" s="8"/>
      <c r="Z59102" s="8"/>
      <c r="AA59102" s="8"/>
    </row>
    <row r="59103" spans="1:27" x14ac:dyDescent="0.25">
      <c r="A59103" s="8"/>
      <c r="B59103" s="8"/>
      <c r="C59103" s="99"/>
      <c r="D59103" s="8"/>
      <c r="E59103" s="8"/>
      <c r="F59103" s="8"/>
      <c r="G59103" s="8"/>
      <c r="H59103" s="8"/>
      <c r="I59103" s="102"/>
      <c r="J59103" s="8"/>
      <c r="K59103" s="8"/>
      <c r="L59103" s="8"/>
      <c r="M59103" s="8"/>
      <c r="N59103" s="8"/>
      <c r="O59103" s="8"/>
      <c r="P59103" s="8"/>
      <c r="Q59103" s="8"/>
      <c r="R59103" s="103"/>
      <c r="S59103" s="8"/>
      <c r="T59103" s="8"/>
      <c r="U59103" s="8"/>
      <c r="V59103" s="8"/>
      <c r="W59103" s="8"/>
      <c r="X59103" s="8"/>
      <c r="Y59103" s="8"/>
      <c r="Z59103" s="8"/>
      <c r="AA59103" s="8"/>
    </row>
    <row r="59104" spans="1:27" x14ac:dyDescent="0.25">
      <c r="A59104" s="8"/>
      <c r="B59104" s="8"/>
      <c r="C59104" s="99"/>
      <c r="D59104" s="8"/>
      <c r="E59104" s="8"/>
      <c r="F59104" s="8"/>
      <c r="G59104" s="8"/>
      <c r="H59104" s="8"/>
      <c r="I59104" s="102"/>
      <c r="J59104" s="8"/>
      <c r="K59104" s="8"/>
      <c r="L59104" s="8"/>
      <c r="M59104" s="8"/>
      <c r="N59104" s="8"/>
      <c r="O59104" s="8"/>
      <c r="P59104" s="8"/>
      <c r="Q59104" s="8"/>
      <c r="R59104" s="103"/>
      <c r="S59104" s="8"/>
      <c r="T59104" s="8"/>
      <c r="U59104" s="8"/>
      <c r="V59104" s="8"/>
      <c r="W59104" s="8"/>
      <c r="X59104" s="8"/>
      <c r="Y59104" s="8"/>
      <c r="Z59104" s="8"/>
      <c r="AA59104" s="8"/>
    </row>
    <row r="59105" spans="1:27" x14ac:dyDescent="0.25">
      <c r="A59105" s="8"/>
      <c r="B59105" s="8"/>
      <c r="C59105" s="99"/>
      <c r="D59105" s="8"/>
      <c r="E59105" s="8"/>
      <c r="F59105" s="8"/>
      <c r="G59105" s="8"/>
      <c r="H59105" s="8"/>
      <c r="I59105" s="102"/>
      <c r="J59105" s="8"/>
      <c r="K59105" s="8"/>
      <c r="L59105" s="8"/>
      <c r="M59105" s="8"/>
      <c r="N59105" s="8"/>
      <c r="O59105" s="8"/>
      <c r="P59105" s="8"/>
      <c r="Q59105" s="8"/>
      <c r="R59105" s="103"/>
      <c r="S59105" s="8"/>
      <c r="T59105" s="8"/>
      <c r="U59105" s="8"/>
      <c r="V59105" s="8"/>
      <c r="W59105" s="8"/>
      <c r="X59105" s="8"/>
      <c r="Y59105" s="8"/>
      <c r="Z59105" s="8"/>
      <c r="AA59105" s="8"/>
    </row>
    <row r="59106" spans="1:27" x14ac:dyDescent="0.25">
      <c r="A59106" s="8"/>
      <c r="B59106" s="8"/>
      <c r="C59106" s="99"/>
      <c r="D59106" s="8"/>
      <c r="E59106" s="8"/>
      <c r="F59106" s="8"/>
      <c r="G59106" s="8"/>
      <c r="H59106" s="8"/>
      <c r="I59106" s="102"/>
      <c r="J59106" s="8"/>
      <c r="K59106" s="8"/>
      <c r="L59106" s="8"/>
      <c r="M59106" s="8"/>
      <c r="N59106" s="8"/>
      <c r="O59106" s="8"/>
      <c r="P59106" s="8"/>
      <c r="Q59106" s="8"/>
      <c r="R59106" s="103"/>
      <c r="S59106" s="8"/>
      <c r="T59106" s="8"/>
      <c r="U59106" s="8"/>
      <c r="V59106" s="8"/>
      <c r="W59106" s="8"/>
      <c r="X59106" s="8"/>
      <c r="Y59106" s="8"/>
      <c r="Z59106" s="8"/>
      <c r="AA59106" s="8"/>
    </row>
    <row r="59107" spans="1:27" x14ac:dyDescent="0.25">
      <c r="A59107" s="8"/>
      <c r="B59107" s="8"/>
      <c r="C59107" s="99"/>
      <c r="D59107" s="8"/>
      <c r="E59107" s="8"/>
      <c r="F59107" s="8"/>
      <c r="G59107" s="8"/>
      <c r="H59107" s="8"/>
      <c r="I59107" s="102"/>
      <c r="J59107" s="8"/>
      <c r="K59107" s="8"/>
      <c r="L59107" s="8"/>
      <c r="M59107" s="8"/>
      <c r="N59107" s="8"/>
      <c r="O59107" s="8"/>
      <c r="P59107" s="8"/>
      <c r="Q59107" s="8"/>
      <c r="R59107" s="103"/>
      <c r="S59107" s="8"/>
      <c r="T59107" s="8"/>
      <c r="U59107" s="8"/>
      <c r="V59107" s="8"/>
      <c r="W59107" s="8"/>
      <c r="X59107" s="8"/>
      <c r="Y59107" s="8"/>
      <c r="Z59107" s="8"/>
      <c r="AA59107" s="8"/>
    </row>
    <row r="59108" spans="1:27" x14ac:dyDescent="0.25">
      <c r="A59108" s="8"/>
      <c r="B59108" s="8"/>
      <c r="C59108" s="99"/>
      <c r="D59108" s="8"/>
      <c r="E59108" s="8"/>
      <c r="F59108" s="8"/>
      <c r="G59108" s="8"/>
      <c r="H59108" s="8"/>
      <c r="I59108" s="102"/>
      <c r="J59108" s="8"/>
      <c r="K59108" s="8"/>
      <c r="L59108" s="8"/>
      <c r="M59108" s="8"/>
      <c r="N59108" s="8"/>
      <c r="O59108" s="8"/>
      <c r="P59108" s="8"/>
      <c r="Q59108" s="8"/>
      <c r="R59108" s="103"/>
      <c r="S59108" s="8"/>
      <c r="T59108" s="8"/>
      <c r="U59108" s="8"/>
      <c r="V59108" s="8"/>
      <c r="W59108" s="8"/>
      <c r="X59108" s="8"/>
      <c r="Y59108" s="8"/>
      <c r="Z59108" s="8"/>
      <c r="AA59108" s="8"/>
    </row>
    <row r="59109" spans="1:27" x14ac:dyDescent="0.25">
      <c r="A59109" s="8"/>
      <c r="B59109" s="8"/>
      <c r="C59109" s="99"/>
      <c r="D59109" s="8"/>
      <c r="E59109" s="8"/>
      <c r="F59109" s="8"/>
      <c r="G59109" s="8"/>
      <c r="H59109" s="8"/>
      <c r="I59109" s="102"/>
      <c r="J59109" s="8"/>
      <c r="K59109" s="8"/>
      <c r="L59109" s="8"/>
      <c r="M59109" s="8"/>
      <c r="N59109" s="8"/>
      <c r="O59109" s="8"/>
      <c r="P59109" s="8"/>
      <c r="Q59109" s="8"/>
      <c r="R59109" s="103"/>
      <c r="S59109" s="8"/>
      <c r="T59109" s="8"/>
      <c r="U59109" s="8"/>
      <c r="V59109" s="8"/>
      <c r="W59109" s="8"/>
      <c r="X59109" s="8"/>
      <c r="Y59109" s="8"/>
      <c r="Z59109" s="8"/>
      <c r="AA59109" s="8"/>
    </row>
    <row r="59110" spans="1:27" x14ac:dyDescent="0.25">
      <c r="A59110" s="8"/>
      <c r="B59110" s="8"/>
      <c r="C59110" s="99"/>
      <c r="D59110" s="8"/>
      <c r="E59110" s="8"/>
      <c r="F59110" s="8"/>
      <c r="G59110" s="8"/>
      <c r="H59110" s="8"/>
      <c r="I59110" s="102"/>
      <c r="J59110" s="8"/>
      <c r="K59110" s="8"/>
      <c r="L59110" s="8"/>
      <c r="M59110" s="8"/>
      <c r="N59110" s="8"/>
      <c r="O59110" s="8"/>
      <c r="P59110" s="8"/>
      <c r="Q59110" s="8"/>
      <c r="R59110" s="103"/>
      <c r="S59110" s="8"/>
      <c r="T59110" s="8"/>
      <c r="U59110" s="8"/>
      <c r="V59110" s="8"/>
      <c r="W59110" s="8"/>
      <c r="X59110" s="8"/>
      <c r="Y59110" s="8"/>
      <c r="Z59110" s="8"/>
      <c r="AA59110" s="8"/>
    </row>
    <row r="59111" spans="1:27" x14ac:dyDescent="0.25">
      <c r="A59111" s="8"/>
      <c r="B59111" s="8"/>
      <c r="C59111" s="99"/>
      <c r="D59111" s="8"/>
      <c r="E59111" s="8"/>
      <c r="F59111" s="8"/>
      <c r="G59111" s="8"/>
      <c r="H59111" s="8"/>
      <c r="I59111" s="102"/>
      <c r="J59111" s="8"/>
      <c r="K59111" s="8"/>
      <c r="L59111" s="8"/>
      <c r="M59111" s="8"/>
      <c r="N59111" s="8"/>
      <c r="O59111" s="8"/>
      <c r="P59111" s="8"/>
      <c r="Q59111" s="8"/>
      <c r="R59111" s="103"/>
      <c r="S59111" s="8"/>
      <c r="T59111" s="8"/>
      <c r="U59111" s="8"/>
      <c r="V59111" s="8"/>
      <c r="W59111" s="8"/>
      <c r="X59111" s="8"/>
      <c r="Y59111" s="8"/>
      <c r="Z59111" s="8"/>
      <c r="AA59111" s="8"/>
    </row>
    <row r="59112" spans="1:27" x14ac:dyDescent="0.25">
      <c r="A59112" s="8"/>
      <c r="B59112" s="8"/>
      <c r="C59112" s="99"/>
      <c r="D59112" s="8"/>
      <c r="E59112" s="8"/>
      <c r="F59112" s="8"/>
      <c r="G59112" s="8"/>
      <c r="H59112" s="8"/>
      <c r="I59112" s="102"/>
      <c r="J59112" s="8"/>
      <c r="K59112" s="8"/>
      <c r="L59112" s="8"/>
      <c r="M59112" s="8"/>
      <c r="N59112" s="8"/>
      <c r="O59112" s="8"/>
      <c r="P59112" s="8"/>
      <c r="Q59112" s="8"/>
      <c r="R59112" s="103"/>
      <c r="S59112" s="8"/>
      <c r="T59112" s="8"/>
      <c r="U59112" s="8"/>
      <c r="V59112" s="8"/>
      <c r="W59112" s="8"/>
      <c r="X59112" s="8"/>
      <c r="Y59112" s="8"/>
      <c r="Z59112" s="8"/>
      <c r="AA59112" s="8"/>
    </row>
    <row r="59113" spans="1:27" x14ac:dyDescent="0.25">
      <c r="A59113" s="8"/>
      <c r="B59113" s="8"/>
      <c r="C59113" s="99"/>
      <c r="D59113" s="8"/>
      <c r="E59113" s="8"/>
      <c r="F59113" s="8"/>
      <c r="G59113" s="8"/>
      <c r="H59113" s="8"/>
      <c r="I59113" s="102"/>
      <c r="J59113" s="8"/>
      <c r="K59113" s="8"/>
      <c r="L59113" s="8"/>
      <c r="M59113" s="8"/>
      <c r="N59113" s="8"/>
      <c r="O59113" s="8"/>
      <c r="P59113" s="8"/>
      <c r="Q59113" s="8"/>
      <c r="R59113" s="103"/>
      <c r="S59113" s="8"/>
      <c r="T59113" s="8"/>
      <c r="U59113" s="8"/>
      <c r="V59113" s="8"/>
      <c r="W59113" s="8"/>
      <c r="X59113" s="8"/>
      <c r="Y59113" s="8"/>
      <c r="Z59113" s="8"/>
      <c r="AA59113" s="8"/>
    </row>
    <row r="59114" spans="1:27" x14ac:dyDescent="0.25">
      <c r="A59114" s="8"/>
      <c r="B59114" s="8"/>
      <c r="C59114" s="99"/>
      <c r="D59114" s="8"/>
      <c r="E59114" s="8"/>
      <c r="F59114" s="8"/>
      <c r="G59114" s="8"/>
      <c r="H59114" s="8"/>
      <c r="I59114" s="102"/>
      <c r="J59114" s="8"/>
      <c r="K59114" s="8"/>
      <c r="L59114" s="8"/>
      <c r="M59114" s="8"/>
      <c r="N59114" s="8"/>
      <c r="O59114" s="8"/>
      <c r="P59114" s="8"/>
      <c r="Q59114" s="8"/>
      <c r="R59114" s="103"/>
      <c r="S59114" s="8"/>
      <c r="T59114" s="8"/>
      <c r="U59114" s="8"/>
      <c r="V59114" s="8"/>
      <c r="W59114" s="8"/>
      <c r="X59114" s="8"/>
      <c r="Y59114" s="8"/>
      <c r="Z59114" s="8"/>
      <c r="AA59114" s="8"/>
    </row>
    <row r="59115" spans="1:27" x14ac:dyDescent="0.25">
      <c r="A59115" s="8"/>
      <c r="B59115" s="8"/>
      <c r="C59115" s="99"/>
      <c r="D59115" s="8"/>
      <c r="E59115" s="8"/>
      <c r="F59115" s="8"/>
      <c r="G59115" s="8"/>
      <c r="H59115" s="8"/>
      <c r="I59115" s="102"/>
      <c r="J59115" s="8"/>
      <c r="K59115" s="8"/>
      <c r="L59115" s="8"/>
      <c r="M59115" s="8"/>
      <c r="N59115" s="8"/>
      <c r="O59115" s="8"/>
      <c r="P59115" s="8"/>
      <c r="Q59115" s="8"/>
      <c r="R59115" s="103"/>
      <c r="S59115" s="8"/>
      <c r="T59115" s="8"/>
      <c r="U59115" s="8"/>
      <c r="V59115" s="8"/>
      <c r="W59115" s="8"/>
      <c r="X59115" s="8"/>
      <c r="Y59115" s="8"/>
      <c r="Z59115" s="8"/>
      <c r="AA59115" s="8"/>
    </row>
    <row r="59116" spans="1:27" x14ac:dyDescent="0.25">
      <c r="A59116" s="8"/>
      <c r="B59116" s="8"/>
      <c r="C59116" s="99"/>
      <c r="D59116" s="8"/>
      <c r="E59116" s="8"/>
      <c r="F59116" s="8"/>
      <c r="G59116" s="8"/>
      <c r="H59116" s="8"/>
      <c r="I59116" s="102"/>
      <c r="J59116" s="8"/>
      <c r="K59116" s="8"/>
      <c r="L59116" s="8"/>
      <c r="M59116" s="8"/>
      <c r="N59116" s="8"/>
      <c r="O59116" s="8"/>
      <c r="P59116" s="8"/>
      <c r="Q59116" s="8"/>
      <c r="R59116" s="103"/>
      <c r="S59116" s="8"/>
      <c r="T59116" s="8"/>
      <c r="U59116" s="8"/>
      <c r="V59116" s="8"/>
      <c r="W59116" s="8"/>
      <c r="X59116" s="8"/>
      <c r="Y59116" s="8"/>
      <c r="Z59116" s="8"/>
      <c r="AA59116" s="8"/>
    </row>
    <row r="59117" spans="1:27" x14ac:dyDescent="0.25">
      <c r="A59117" s="8"/>
      <c r="B59117" s="8"/>
      <c r="C59117" s="99"/>
      <c r="D59117" s="8"/>
      <c r="E59117" s="8"/>
      <c r="F59117" s="8"/>
      <c r="G59117" s="8"/>
      <c r="H59117" s="8"/>
      <c r="I59117" s="102"/>
      <c r="J59117" s="8"/>
      <c r="K59117" s="8"/>
      <c r="L59117" s="8"/>
      <c r="M59117" s="8"/>
      <c r="N59117" s="8"/>
      <c r="O59117" s="8"/>
      <c r="P59117" s="8"/>
      <c r="Q59117" s="8"/>
      <c r="R59117" s="103"/>
      <c r="S59117" s="8"/>
      <c r="T59117" s="8"/>
      <c r="U59117" s="8"/>
      <c r="V59117" s="8"/>
      <c r="W59117" s="8"/>
      <c r="X59117" s="8"/>
      <c r="Y59117" s="8"/>
      <c r="Z59117" s="8"/>
      <c r="AA59117" s="8"/>
    </row>
    <row r="59118" spans="1:27" x14ac:dyDescent="0.25">
      <c r="A59118" s="8"/>
      <c r="B59118" s="8"/>
      <c r="C59118" s="99"/>
      <c r="D59118" s="8"/>
      <c r="E59118" s="8"/>
      <c r="F59118" s="8"/>
      <c r="G59118" s="8"/>
      <c r="H59118" s="8"/>
      <c r="I59118" s="102"/>
      <c r="J59118" s="8"/>
      <c r="K59118" s="8"/>
      <c r="L59118" s="8"/>
      <c r="M59118" s="8"/>
      <c r="N59118" s="8"/>
      <c r="O59118" s="8"/>
      <c r="P59118" s="8"/>
      <c r="Q59118" s="8"/>
      <c r="R59118" s="103"/>
      <c r="S59118" s="8"/>
      <c r="T59118" s="8"/>
      <c r="U59118" s="8"/>
      <c r="V59118" s="8"/>
      <c r="W59118" s="8"/>
      <c r="X59118" s="8"/>
      <c r="Y59118" s="8"/>
      <c r="Z59118" s="8"/>
      <c r="AA59118" s="8"/>
    </row>
    <row r="59119" spans="1:27" x14ac:dyDescent="0.25">
      <c r="A59119" s="8"/>
      <c r="B59119" s="8"/>
      <c r="C59119" s="99"/>
      <c r="D59119" s="8"/>
      <c r="E59119" s="8"/>
      <c r="F59119" s="8"/>
      <c r="G59119" s="8"/>
      <c r="H59119" s="8"/>
      <c r="I59119" s="102"/>
      <c r="J59119" s="8"/>
      <c r="K59119" s="8"/>
      <c r="L59119" s="8"/>
      <c r="M59119" s="8"/>
      <c r="N59119" s="8"/>
      <c r="O59119" s="8"/>
      <c r="P59119" s="8"/>
      <c r="Q59119" s="8"/>
      <c r="R59119" s="103"/>
      <c r="S59119" s="8"/>
      <c r="T59119" s="8"/>
      <c r="U59119" s="8"/>
      <c r="V59119" s="8"/>
      <c r="W59119" s="8"/>
      <c r="X59119" s="8"/>
      <c r="Y59119" s="8"/>
      <c r="Z59119" s="8"/>
      <c r="AA59119" s="8"/>
    </row>
    <row r="59120" spans="1:27" x14ac:dyDescent="0.25">
      <c r="A59120" s="8"/>
      <c r="B59120" s="8"/>
      <c r="C59120" s="99"/>
      <c r="D59120" s="8"/>
      <c r="E59120" s="8"/>
      <c r="F59120" s="8"/>
      <c r="G59120" s="8"/>
      <c r="H59120" s="8"/>
      <c r="I59120" s="102"/>
      <c r="J59120" s="8"/>
      <c r="K59120" s="8"/>
      <c r="L59120" s="8"/>
      <c r="M59120" s="8"/>
      <c r="N59120" s="8"/>
      <c r="O59120" s="8"/>
      <c r="P59120" s="8"/>
      <c r="Q59120" s="8"/>
      <c r="R59120" s="103"/>
      <c r="S59120" s="8"/>
      <c r="T59120" s="8"/>
      <c r="U59120" s="8"/>
      <c r="V59120" s="8"/>
      <c r="W59120" s="8"/>
      <c r="X59120" s="8"/>
      <c r="Y59120" s="8"/>
      <c r="Z59120" s="8"/>
      <c r="AA59120" s="8"/>
    </row>
    <row r="59121" spans="1:27" x14ac:dyDescent="0.25">
      <c r="A59121" s="8"/>
      <c r="B59121" s="8"/>
      <c r="C59121" s="99"/>
      <c r="D59121" s="8"/>
      <c r="E59121" s="8"/>
      <c r="F59121" s="8"/>
      <c r="G59121" s="8"/>
      <c r="H59121" s="8"/>
      <c r="I59121" s="102"/>
      <c r="J59121" s="8"/>
      <c r="K59121" s="8"/>
      <c r="L59121" s="8"/>
      <c r="M59121" s="8"/>
      <c r="N59121" s="8"/>
      <c r="O59121" s="8"/>
      <c r="P59121" s="8"/>
      <c r="Q59121" s="8"/>
      <c r="R59121" s="103"/>
      <c r="S59121" s="8"/>
      <c r="T59121" s="8"/>
      <c r="U59121" s="8"/>
      <c r="V59121" s="8"/>
      <c r="W59121" s="8"/>
      <c r="X59121" s="8"/>
      <c r="Y59121" s="8"/>
      <c r="Z59121" s="8"/>
      <c r="AA59121" s="8"/>
    </row>
    <row r="59122" spans="1:27" x14ac:dyDescent="0.25">
      <c r="A59122" s="8"/>
      <c r="B59122" s="8"/>
      <c r="C59122" s="99"/>
      <c r="D59122" s="8"/>
      <c r="E59122" s="8"/>
      <c r="F59122" s="8"/>
      <c r="G59122" s="8"/>
      <c r="H59122" s="8"/>
      <c r="I59122" s="102"/>
      <c r="J59122" s="8"/>
      <c r="K59122" s="8"/>
      <c r="L59122" s="8"/>
      <c r="M59122" s="8"/>
      <c r="N59122" s="8"/>
      <c r="O59122" s="8"/>
      <c r="P59122" s="8"/>
      <c r="Q59122" s="8"/>
      <c r="R59122" s="103"/>
      <c r="S59122" s="8"/>
      <c r="T59122" s="8"/>
      <c r="U59122" s="8"/>
      <c r="V59122" s="8"/>
      <c r="W59122" s="8"/>
      <c r="X59122" s="8"/>
      <c r="Y59122" s="8"/>
      <c r="Z59122" s="8"/>
      <c r="AA59122" s="8"/>
    </row>
    <row r="59123" spans="1:27" x14ac:dyDescent="0.25">
      <c r="A59123" s="8"/>
      <c r="B59123" s="8"/>
      <c r="C59123" s="99"/>
      <c r="D59123" s="8"/>
      <c r="E59123" s="8"/>
      <c r="F59123" s="8"/>
      <c r="G59123" s="8"/>
      <c r="H59123" s="8"/>
      <c r="I59123" s="102"/>
      <c r="J59123" s="8"/>
      <c r="K59123" s="8"/>
      <c r="L59123" s="8"/>
      <c r="M59123" s="8"/>
      <c r="N59123" s="8"/>
      <c r="O59123" s="8"/>
      <c r="P59123" s="8"/>
      <c r="Q59123" s="8"/>
      <c r="R59123" s="103"/>
      <c r="S59123" s="8"/>
      <c r="T59123" s="8"/>
      <c r="U59123" s="8"/>
      <c r="V59123" s="8"/>
      <c r="W59123" s="8"/>
      <c r="X59123" s="8"/>
      <c r="Y59123" s="8"/>
      <c r="Z59123" s="8"/>
      <c r="AA59123" s="8"/>
    </row>
    <row r="59124" spans="1:27" x14ac:dyDescent="0.25">
      <c r="A59124" s="8"/>
      <c r="B59124" s="8"/>
      <c r="C59124" s="99"/>
      <c r="D59124" s="8"/>
      <c r="E59124" s="8"/>
      <c r="F59124" s="8"/>
      <c r="G59124" s="8"/>
      <c r="H59124" s="8"/>
      <c r="I59124" s="102"/>
      <c r="J59124" s="8"/>
      <c r="K59124" s="8"/>
      <c r="L59124" s="8"/>
      <c r="M59124" s="8"/>
      <c r="N59124" s="8"/>
      <c r="O59124" s="8"/>
      <c r="P59124" s="8"/>
      <c r="Q59124" s="8"/>
      <c r="R59124" s="103"/>
      <c r="S59124" s="8"/>
      <c r="T59124" s="8"/>
      <c r="U59124" s="8"/>
      <c r="V59124" s="8"/>
      <c r="W59124" s="8"/>
      <c r="X59124" s="8"/>
      <c r="Y59124" s="8"/>
      <c r="Z59124" s="8"/>
      <c r="AA59124" s="8"/>
    </row>
    <row r="59125" spans="1:27" x14ac:dyDescent="0.25">
      <c r="A59125" s="8"/>
      <c r="B59125" s="8"/>
      <c r="C59125" s="99"/>
      <c r="D59125" s="8"/>
      <c r="E59125" s="8"/>
      <c r="F59125" s="8"/>
      <c r="G59125" s="8"/>
      <c r="H59125" s="8"/>
      <c r="I59125" s="102"/>
      <c r="J59125" s="8"/>
      <c r="K59125" s="8"/>
      <c r="L59125" s="8"/>
      <c r="M59125" s="8"/>
      <c r="N59125" s="8"/>
      <c r="O59125" s="8"/>
      <c r="P59125" s="8"/>
      <c r="Q59125" s="8"/>
      <c r="R59125" s="103"/>
      <c r="S59125" s="8"/>
      <c r="T59125" s="8"/>
      <c r="U59125" s="8"/>
      <c r="V59125" s="8"/>
      <c r="W59125" s="8"/>
      <c r="X59125" s="8"/>
      <c r="Y59125" s="8"/>
      <c r="Z59125" s="8"/>
      <c r="AA59125" s="8"/>
    </row>
    <row r="59126" spans="1:27" x14ac:dyDescent="0.25">
      <c r="A59126" s="8"/>
      <c r="B59126" s="8"/>
      <c r="C59126" s="99"/>
      <c r="D59126" s="8"/>
      <c r="E59126" s="8"/>
      <c r="F59126" s="8"/>
      <c r="G59126" s="8"/>
      <c r="H59126" s="8"/>
      <c r="I59126" s="102"/>
      <c r="J59126" s="8"/>
      <c r="K59126" s="8"/>
      <c r="L59126" s="8"/>
      <c r="M59126" s="8"/>
      <c r="N59126" s="8"/>
      <c r="O59126" s="8"/>
      <c r="P59126" s="8"/>
      <c r="Q59126" s="8"/>
      <c r="R59126" s="103"/>
      <c r="S59126" s="8"/>
      <c r="T59126" s="8"/>
      <c r="U59126" s="8"/>
      <c r="V59126" s="8"/>
      <c r="W59126" s="8"/>
      <c r="X59126" s="8"/>
      <c r="Y59126" s="8"/>
      <c r="Z59126" s="8"/>
      <c r="AA59126" s="8"/>
    </row>
    <row r="59127" spans="1:27" x14ac:dyDescent="0.25">
      <c r="A59127" s="8"/>
      <c r="B59127" s="8"/>
      <c r="C59127" s="99"/>
      <c r="D59127" s="8"/>
      <c r="E59127" s="8"/>
      <c r="F59127" s="8"/>
      <c r="G59127" s="8"/>
      <c r="H59127" s="8"/>
      <c r="I59127" s="102"/>
      <c r="J59127" s="8"/>
      <c r="K59127" s="8"/>
      <c r="L59127" s="8"/>
      <c r="M59127" s="8"/>
      <c r="N59127" s="8"/>
      <c r="O59127" s="8"/>
      <c r="P59127" s="8"/>
      <c r="Q59127" s="8"/>
      <c r="R59127" s="103"/>
      <c r="S59127" s="8"/>
      <c r="T59127" s="8"/>
      <c r="U59127" s="8"/>
      <c r="V59127" s="8"/>
      <c r="W59127" s="8"/>
      <c r="X59127" s="8"/>
      <c r="Y59127" s="8"/>
      <c r="Z59127" s="8"/>
      <c r="AA59127" s="8"/>
    </row>
    <row r="59128" spans="1:27" x14ac:dyDescent="0.25">
      <c r="A59128" s="8"/>
      <c r="B59128" s="8"/>
      <c r="C59128" s="99"/>
      <c r="D59128" s="8"/>
      <c r="E59128" s="8"/>
      <c r="F59128" s="8"/>
      <c r="G59128" s="8"/>
      <c r="H59128" s="8"/>
      <c r="I59128" s="102"/>
      <c r="J59128" s="8"/>
      <c r="K59128" s="8"/>
      <c r="L59128" s="8"/>
      <c r="M59128" s="8"/>
      <c r="N59128" s="8"/>
      <c r="O59128" s="8"/>
      <c r="P59128" s="8"/>
      <c r="Q59128" s="8"/>
      <c r="R59128" s="103"/>
      <c r="S59128" s="8"/>
      <c r="T59128" s="8"/>
      <c r="U59128" s="8"/>
      <c r="V59128" s="8"/>
      <c r="W59128" s="8"/>
      <c r="X59128" s="8"/>
      <c r="Y59128" s="8"/>
      <c r="Z59128" s="8"/>
      <c r="AA59128" s="8"/>
    </row>
    <row r="59129" spans="1:27" x14ac:dyDescent="0.25">
      <c r="A59129" s="8"/>
      <c r="B59129" s="8"/>
      <c r="C59129" s="99"/>
      <c r="D59129" s="8"/>
      <c r="E59129" s="8"/>
      <c r="F59129" s="8"/>
      <c r="G59129" s="8"/>
      <c r="H59129" s="8"/>
      <c r="I59129" s="102"/>
      <c r="J59129" s="8"/>
      <c r="K59129" s="8"/>
      <c r="L59129" s="8"/>
      <c r="M59129" s="8"/>
      <c r="N59129" s="8"/>
      <c r="O59129" s="8"/>
      <c r="P59129" s="8"/>
      <c r="Q59129" s="8"/>
      <c r="R59129" s="103"/>
      <c r="S59129" s="8"/>
      <c r="T59129" s="8"/>
      <c r="U59129" s="8"/>
      <c r="V59129" s="8"/>
      <c r="W59129" s="8"/>
      <c r="X59129" s="8"/>
      <c r="Y59129" s="8"/>
      <c r="Z59129" s="8"/>
      <c r="AA59129" s="8"/>
    </row>
    <row r="59130" spans="1:27" x14ac:dyDescent="0.25">
      <c r="A59130" s="8"/>
      <c r="B59130" s="8"/>
      <c r="C59130" s="99"/>
      <c r="D59130" s="8"/>
      <c r="E59130" s="8"/>
      <c r="F59130" s="8"/>
      <c r="G59130" s="8"/>
      <c r="H59130" s="8"/>
      <c r="I59130" s="102"/>
      <c r="J59130" s="8"/>
      <c r="K59130" s="8"/>
      <c r="L59130" s="8"/>
      <c r="M59130" s="8"/>
      <c r="N59130" s="8"/>
      <c r="O59130" s="8"/>
      <c r="P59130" s="8"/>
      <c r="Q59130" s="8"/>
      <c r="R59130" s="103"/>
      <c r="S59130" s="8"/>
      <c r="T59130" s="8"/>
      <c r="U59130" s="8"/>
      <c r="V59130" s="8"/>
      <c r="W59130" s="8"/>
      <c r="X59130" s="8"/>
      <c r="Y59130" s="8"/>
      <c r="Z59130" s="8"/>
      <c r="AA59130" s="8"/>
    </row>
    <row r="59131" spans="1:27" x14ac:dyDescent="0.25">
      <c r="A59131" s="8"/>
      <c r="B59131" s="8"/>
      <c r="C59131" s="99"/>
      <c r="D59131" s="8"/>
      <c r="E59131" s="8"/>
      <c r="F59131" s="8"/>
      <c r="G59131" s="8"/>
      <c r="H59131" s="8"/>
      <c r="I59131" s="102"/>
      <c r="J59131" s="8"/>
      <c r="K59131" s="8"/>
      <c r="L59131" s="8"/>
      <c r="M59131" s="8"/>
      <c r="N59131" s="8"/>
      <c r="O59131" s="8"/>
      <c r="P59131" s="8"/>
      <c r="Q59131" s="8"/>
      <c r="R59131" s="103"/>
      <c r="S59131" s="8"/>
      <c r="T59131" s="8"/>
      <c r="U59131" s="8"/>
      <c r="V59131" s="8"/>
      <c r="W59131" s="8"/>
      <c r="X59131" s="8"/>
      <c r="Y59131" s="8"/>
      <c r="Z59131" s="8"/>
      <c r="AA59131" s="8"/>
    </row>
    <row r="59132" spans="1:27" x14ac:dyDescent="0.25">
      <c r="A59132" s="8"/>
      <c r="B59132" s="8"/>
      <c r="C59132" s="99"/>
      <c r="D59132" s="8"/>
      <c r="E59132" s="8"/>
      <c r="F59132" s="8"/>
      <c r="G59132" s="8"/>
      <c r="H59132" s="8"/>
      <c r="I59132" s="102"/>
      <c r="J59132" s="8"/>
      <c r="K59132" s="8"/>
      <c r="L59132" s="8"/>
      <c r="M59132" s="8"/>
      <c r="N59132" s="8"/>
      <c r="O59132" s="8"/>
      <c r="P59132" s="8"/>
      <c r="Q59132" s="8"/>
      <c r="R59132" s="103"/>
      <c r="S59132" s="8"/>
      <c r="T59132" s="8"/>
      <c r="U59132" s="8"/>
      <c r="V59132" s="8"/>
      <c r="W59132" s="8"/>
      <c r="X59132" s="8"/>
      <c r="Y59132" s="8"/>
      <c r="Z59132" s="8"/>
      <c r="AA59132" s="8"/>
    </row>
    <row r="59133" spans="1:27" x14ac:dyDescent="0.25">
      <c r="A59133" s="8"/>
      <c r="B59133" s="8"/>
      <c r="C59133" s="99"/>
      <c r="D59133" s="8"/>
      <c r="E59133" s="8"/>
      <c r="F59133" s="8"/>
      <c r="G59133" s="8"/>
      <c r="H59133" s="8"/>
      <c r="I59133" s="102"/>
      <c r="J59133" s="8"/>
      <c r="K59133" s="8"/>
      <c r="L59133" s="8"/>
      <c r="M59133" s="8"/>
      <c r="N59133" s="8"/>
      <c r="O59133" s="8"/>
      <c r="P59133" s="8"/>
      <c r="Q59133" s="8"/>
      <c r="R59133" s="103"/>
      <c r="S59133" s="8"/>
      <c r="T59133" s="8"/>
      <c r="U59133" s="8"/>
      <c r="V59133" s="8"/>
      <c r="W59133" s="8"/>
      <c r="X59133" s="8"/>
      <c r="Y59133" s="8"/>
      <c r="Z59133" s="8"/>
      <c r="AA59133" s="8"/>
    </row>
    <row r="59134" spans="1:27" x14ac:dyDescent="0.25">
      <c r="A59134" s="8"/>
      <c r="B59134" s="8"/>
      <c r="C59134" s="99"/>
      <c r="D59134" s="8"/>
      <c r="E59134" s="8"/>
      <c r="F59134" s="8"/>
      <c r="G59134" s="8"/>
      <c r="H59134" s="8"/>
      <c r="I59134" s="102"/>
      <c r="J59134" s="8"/>
      <c r="K59134" s="8"/>
      <c r="L59134" s="8"/>
      <c r="M59134" s="8"/>
      <c r="N59134" s="8"/>
      <c r="O59134" s="8"/>
      <c r="P59134" s="8"/>
      <c r="Q59134" s="8"/>
      <c r="R59134" s="103"/>
      <c r="S59134" s="8"/>
      <c r="T59134" s="8"/>
      <c r="U59134" s="8"/>
      <c r="V59134" s="8"/>
      <c r="W59134" s="8"/>
      <c r="X59134" s="8"/>
      <c r="Y59134" s="8"/>
      <c r="Z59134" s="8"/>
      <c r="AA59134" s="8"/>
    </row>
    <row r="59135" spans="1:27" x14ac:dyDescent="0.25">
      <c r="A59135" s="8"/>
      <c r="B59135" s="8"/>
      <c r="C59135" s="99"/>
      <c r="D59135" s="8"/>
      <c r="E59135" s="8"/>
      <c r="F59135" s="8"/>
      <c r="G59135" s="8"/>
      <c r="H59135" s="8"/>
      <c r="I59135" s="102"/>
      <c r="J59135" s="8"/>
      <c r="K59135" s="8"/>
      <c r="L59135" s="8"/>
      <c r="M59135" s="8"/>
      <c r="N59135" s="8"/>
      <c r="O59135" s="8"/>
      <c r="P59135" s="8"/>
      <c r="Q59135" s="8"/>
      <c r="R59135" s="103"/>
      <c r="S59135" s="8"/>
      <c r="T59135" s="8"/>
      <c r="U59135" s="8"/>
      <c r="V59135" s="8"/>
      <c r="W59135" s="8"/>
      <c r="X59135" s="8"/>
      <c r="Y59135" s="8"/>
      <c r="Z59135" s="8"/>
      <c r="AA59135" s="8"/>
    </row>
    <row r="59136" spans="1:27" x14ac:dyDescent="0.25">
      <c r="A59136" s="8"/>
      <c r="B59136" s="8"/>
      <c r="C59136" s="99"/>
      <c r="D59136" s="8"/>
      <c r="E59136" s="8"/>
      <c r="F59136" s="8"/>
      <c r="G59136" s="8"/>
      <c r="H59136" s="8"/>
      <c r="I59136" s="102"/>
      <c r="J59136" s="8"/>
      <c r="K59136" s="8"/>
      <c r="L59136" s="8"/>
      <c r="M59136" s="8"/>
      <c r="N59136" s="8"/>
      <c r="O59136" s="8"/>
      <c r="P59136" s="8"/>
      <c r="Q59136" s="8"/>
      <c r="R59136" s="103"/>
      <c r="S59136" s="8"/>
      <c r="T59136" s="8"/>
      <c r="U59136" s="8"/>
      <c r="V59136" s="8"/>
      <c r="W59136" s="8"/>
      <c r="X59136" s="8"/>
      <c r="Y59136" s="8"/>
      <c r="Z59136" s="8"/>
      <c r="AA59136" s="8"/>
    </row>
    <row r="59137" spans="1:27" x14ac:dyDescent="0.25">
      <c r="A59137" s="8"/>
      <c r="B59137" s="8"/>
      <c r="C59137" s="99"/>
      <c r="D59137" s="8"/>
      <c r="E59137" s="8"/>
      <c r="F59137" s="8"/>
      <c r="G59137" s="8"/>
      <c r="H59137" s="8"/>
      <c r="I59137" s="102"/>
      <c r="J59137" s="8"/>
      <c r="K59137" s="8"/>
      <c r="L59137" s="8"/>
      <c r="M59137" s="8"/>
      <c r="N59137" s="8"/>
      <c r="O59137" s="8"/>
      <c r="P59137" s="8"/>
      <c r="Q59137" s="8"/>
      <c r="R59137" s="103"/>
      <c r="S59137" s="8"/>
      <c r="T59137" s="8"/>
      <c r="U59137" s="8"/>
      <c r="V59137" s="8"/>
      <c r="W59137" s="8"/>
      <c r="X59137" s="8"/>
      <c r="Y59137" s="8"/>
      <c r="Z59137" s="8"/>
      <c r="AA59137" s="8"/>
    </row>
    <row r="59138" spans="1:27" x14ac:dyDescent="0.25">
      <c r="A59138" s="8"/>
      <c r="B59138" s="8"/>
      <c r="C59138" s="99"/>
      <c r="D59138" s="8"/>
      <c r="E59138" s="8"/>
      <c r="F59138" s="8"/>
      <c r="G59138" s="8"/>
      <c r="H59138" s="8"/>
      <c r="I59138" s="102"/>
      <c r="J59138" s="8"/>
      <c r="K59138" s="8"/>
      <c r="L59138" s="8"/>
      <c r="M59138" s="8"/>
      <c r="N59138" s="8"/>
      <c r="O59138" s="8"/>
      <c r="P59138" s="8"/>
      <c r="Q59138" s="8"/>
      <c r="R59138" s="103"/>
      <c r="S59138" s="8"/>
      <c r="T59138" s="8"/>
      <c r="U59138" s="8"/>
      <c r="V59138" s="8"/>
      <c r="W59138" s="8"/>
      <c r="X59138" s="8"/>
      <c r="Y59138" s="8"/>
      <c r="Z59138" s="8"/>
      <c r="AA59138" s="8"/>
    </row>
    <row r="59139" spans="1:27" x14ac:dyDescent="0.25">
      <c r="A59139" s="8"/>
      <c r="B59139" s="8"/>
      <c r="C59139" s="99"/>
      <c r="D59139" s="8"/>
      <c r="E59139" s="8"/>
      <c r="F59139" s="8"/>
      <c r="G59139" s="8"/>
      <c r="H59139" s="8"/>
      <c r="I59139" s="102"/>
      <c r="J59139" s="8"/>
      <c r="K59139" s="8"/>
      <c r="L59139" s="8"/>
      <c r="M59139" s="8"/>
      <c r="N59139" s="8"/>
      <c r="O59139" s="8"/>
      <c r="P59139" s="8"/>
      <c r="Q59139" s="8"/>
      <c r="R59139" s="103"/>
      <c r="S59139" s="8"/>
      <c r="T59139" s="8"/>
      <c r="U59139" s="8"/>
      <c r="V59139" s="8"/>
      <c r="W59139" s="8"/>
      <c r="X59139" s="8"/>
      <c r="Y59139" s="8"/>
      <c r="Z59139" s="8"/>
      <c r="AA59139" s="8"/>
    </row>
    <row r="59140" spans="1:27" x14ac:dyDescent="0.25">
      <c r="A59140" s="8"/>
      <c r="B59140" s="8"/>
      <c r="C59140" s="99"/>
      <c r="D59140" s="8"/>
      <c r="E59140" s="8"/>
      <c r="F59140" s="8"/>
      <c r="G59140" s="8"/>
      <c r="H59140" s="8"/>
      <c r="I59140" s="102"/>
      <c r="J59140" s="8"/>
      <c r="K59140" s="8"/>
      <c r="L59140" s="8"/>
      <c r="M59140" s="8"/>
      <c r="N59140" s="8"/>
      <c r="O59140" s="8"/>
      <c r="P59140" s="8"/>
      <c r="Q59140" s="8"/>
      <c r="R59140" s="103"/>
      <c r="S59140" s="8"/>
      <c r="T59140" s="8"/>
      <c r="U59140" s="8"/>
      <c r="V59140" s="8"/>
      <c r="W59140" s="8"/>
      <c r="X59140" s="8"/>
      <c r="Y59140" s="8"/>
      <c r="Z59140" s="8"/>
      <c r="AA59140" s="8"/>
    </row>
    <row r="59141" spans="1:27" x14ac:dyDescent="0.25">
      <c r="A59141" s="8"/>
      <c r="B59141" s="8"/>
      <c r="C59141" s="99"/>
      <c r="D59141" s="8"/>
      <c r="E59141" s="8"/>
      <c r="F59141" s="8"/>
      <c r="G59141" s="8"/>
      <c r="H59141" s="8"/>
      <c r="I59141" s="102"/>
      <c r="J59141" s="8"/>
      <c r="K59141" s="8"/>
      <c r="L59141" s="8"/>
      <c r="M59141" s="8"/>
      <c r="N59141" s="8"/>
      <c r="O59141" s="8"/>
      <c r="P59141" s="8"/>
      <c r="Q59141" s="8"/>
      <c r="R59141" s="103"/>
      <c r="S59141" s="8"/>
      <c r="T59141" s="8"/>
      <c r="U59141" s="8"/>
      <c r="V59141" s="8"/>
      <c r="W59141" s="8"/>
      <c r="X59141" s="8"/>
      <c r="Y59141" s="8"/>
      <c r="Z59141" s="8"/>
      <c r="AA59141" s="8"/>
    </row>
    <row r="59142" spans="1:27" x14ac:dyDescent="0.25">
      <c r="A59142" s="8"/>
      <c r="B59142" s="8"/>
      <c r="C59142" s="99"/>
      <c r="D59142" s="8"/>
      <c r="E59142" s="8"/>
      <c r="F59142" s="8"/>
      <c r="G59142" s="8"/>
      <c r="H59142" s="8"/>
      <c r="I59142" s="102"/>
      <c r="J59142" s="8"/>
      <c r="K59142" s="8"/>
      <c r="L59142" s="8"/>
      <c r="M59142" s="8"/>
      <c r="N59142" s="8"/>
      <c r="O59142" s="8"/>
      <c r="P59142" s="8"/>
      <c r="Q59142" s="8"/>
      <c r="R59142" s="103"/>
      <c r="S59142" s="8"/>
      <c r="T59142" s="8"/>
      <c r="U59142" s="8"/>
      <c r="V59142" s="8"/>
      <c r="W59142" s="8"/>
      <c r="X59142" s="8"/>
      <c r="Y59142" s="8"/>
      <c r="Z59142" s="8"/>
      <c r="AA59142" s="8"/>
    </row>
    <row r="59143" spans="1:27" x14ac:dyDescent="0.25">
      <c r="A59143" s="8"/>
      <c r="B59143" s="8"/>
      <c r="C59143" s="99"/>
      <c r="D59143" s="8"/>
      <c r="E59143" s="8"/>
      <c r="F59143" s="8"/>
      <c r="G59143" s="8"/>
      <c r="H59143" s="8"/>
      <c r="I59143" s="102"/>
      <c r="J59143" s="8"/>
      <c r="K59143" s="8"/>
      <c r="L59143" s="8"/>
      <c r="M59143" s="8"/>
      <c r="N59143" s="8"/>
      <c r="O59143" s="8"/>
      <c r="P59143" s="8"/>
      <c r="Q59143" s="8"/>
      <c r="R59143" s="103"/>
      <c r="S59143" s="8"/>
      <c r="T59143" s="8"/>
      <c r="U59143" s="8"/>
      <c r="V59143" s="8"/>
      <c r="W59143" s="8"/>
      <c r="X59143" s="8"/>
      <c r="Y59143" s="8"/>
      <c r="Z59143" s="8"/>
      <c r="AA59143" s="8"/>
    </row>
    <row r="59144" spans="1:27" x14ac:dyDescent="0.25">
      <c r="A59144" s="8"/>
      <c r="B59144" s="8"/>
      <c r="C59144" s="99"/>
      <c r="D59144" s="8"/>
      <c r="E59144" s="8"/>
      <c r="F59144" s="8"/>
      <c r="G59144" s="8"/>
      <c r="H59144" s="8"/>
      <c r="I59144" s="102"/>
      <c r="J59144" s="8"/>
      <c r="K59144" s="8"/>
      <c r="L59144" s="8"/>
      <c r="M59144" s="8"/>
      <c r="N59144" s="8"/>
      <c r="O59144" s="8"/>
      <c r="P59144" s="8"/>
      <c r="Q59144" s="8"/>
      <c r="R59144" s="103"/>
      <c r="S59144" s="8"/>
      <c r="T59144" s="8"/>
      <c r="U59144" s="8"/>
      <c r="V59144" s="8"/>
      <c r="W59144" s="8"/>
      <c r="X59144" s="8"/>
      <c r="Y59144" s="8"/>
      <c r="Z59144" s="8"/>
      <c r="AA59144" s="8"/>
    </row>
    <row r="59145" spans="1:27" x14ac:dyDescent="0.25">
      <c r="A59145" s="8"/>
      <c r="B59145" s="8"/>
      <c r="C59145" s="99"/>
      <c r="D59145" s="8"/>
      <c r="E59145" s="8"/>
      <c r="F59145" s="8"/>
      <c r="G59145" s="8"/>
      <c r="H59145" s="8"/>
      <c r="I59145" s="102"/>
      <c r="J59145" s="8"/>
      <c r="K59145" s="8"/>
      <c r="L59145" s="8"/>
      <c r="M59145" s="8"/>
      <c r="N59145" s="8"/>
      <c r="O59145" s="8"/>
      <c r="P59145" s="8"/>
      <c r="Q59145" s="8"/>
      <c r="R59145" s="103"/>
      <c r="S59145" s="8"/>
      <c r="T59145" s="8"/>
      <c r="U59145" s="8"/>
      <c r="V59145" s="8"/>
      <c r="W59145" s="8"/>
      <c r="X59145" s="8"/>
      <c r="Y59145" s="8"/>
      <c r="Z59145" s="8"/>
      <c r="AA59145" s="8"/>
    </row>
    <row r="59146" spans="1:27" x14ac:dyDescent="0.25">
      <c r="A59146" s="8"/>
      <c r="B59146" s="8"/>
      <c r="C59146" s="99"/>
      <c r="D59146" s="8"/>
      <c r="E59146" s="8"/>
      <c r="F59146" s="8"/>
      <c r="G59146" s="8"/>
      <c r="H59146" s="8"/>
      <c r="I59146" s="102"/>
      <c r="J59146" s="8"/>
      <c r="K59146" s="8"/>
      <c r="L59146" s="8"/>
      <c r="M59146" s="8"/>
      <c r="N59146" s="8"/>
      <c r="O59146" s="8"/>
      <c r="P59146" s="8"/>
      <c r="Q59146" s="8"/>
      <c r="R59146" s="103"/>
      <c r="S59146" s="8"/>
      <c r="T59146" s="8"/>
      <c r="U59146" s="8"/>
      <c r="V59146" s="8"/>
      <c r="W59146" s="8"/>
      <c r="X59146" s="8"/>
      <c r="Y59146" s="8"/>
      <c r="Z59146" s="8"/>
      <c r="AA59146" s="8"/>
    </row>
    <row r="59147" spans="1:27" x14ac:dyDescent="0.25">
      <c r="A59147" s="8"/>
      <c r="B59147" s="8"/>
      <c r="C59147" s="99"/>
      <c r="D59147" s="8"/>
      <c r="E59147" s="8"/>
      <c r="F59147" s="8"/>
      <c r="G59147" s="8"/>
      <c r="H59147" s="8"/>
      <c r="I59147" s="102"/>
      <c r="J59147" s="8"/>
      <c r="K59147" s="8"/>
      <c r="L59147" s="8"/>
      <c r="M59147" s="8"/>
      <c r="N59147" s="8"/>
      <c r="O59147" s="8"/>
      <c r="P59147" s="8"/>
      <c r="Q59147" s="8"/>
      <c r="R59147" s="103"/>
      <c r="S59147" s="8"/>
      <c r="T59147" s="8"/>
      <c r="U59147" s="8"/>
      <c r="V59147" s="8"/>
      <c r="W59147" s="8"/>
      <c r="X59147" s="8"/>
      <c r="Y59147" s="8"/>
      <c r="Z59147" s="8"/>
      <c r="AA59147" s="8"/>
    </row>
    <row r="59148" spans="1:27" x14ac:dyDescent="0.25">
      <c r="A59148" s="8"/>
      <c r="B59148" s="8"/>
      <c r="C59148" s="99"/>
      <c r="D59148" s="8"/>
      <c r="E59148" s="8"/>
      <c r="F59148" s="8"/>
      <c r="G59148" s="8"/>
      <c r="H59148" s="8"/>
      <c r="I59148" s="102"/>
      <c r="J59148" s="8"/>
      <c r="K59148" s="8"/>
      <c r="L59148" s="8"/>
      <c r="M59148" s="8"/>
      <c r="N59148" s="8"/>
      <c r="O59148" s="8"/>
      <c r="P59148" s="8"/>
      <c r="Q59148" s="8"/>
      <c r="R59148" s="103"/>
      <c r="S59148" s="8"/>
      <c r="T59148" s="8"/>
      <c r="U59148" s="8"/>
      <c r="V59148" s="8"/>
      <c r="W59148" s="8"/>
      <c r="X59148" s="8"/>
      <c r="Y59148" s="8"/>
      <c r="Z59148" s="8"/>
      <c r="AA59148" s="8"/>
    </row>
    <row r="59149" spans="1:27" x14ac:dyDescent="0.25">
      <c r="A59149" s="8"/>
      <c r="B59149" s="8"/>
      <c r="C59149" s="99"/>
      <c r="D59149" s="8"/>
      <c r="E59149" s="8"/>
      <c r="F59149" s="8"/>
      <c r="G59149" s="8"/>
      <c r="H59149" s="8"/>
      <c r="I59149" s="102"/>
      <c r="J59149" s="8"/>
      <c r="K59149" s="8"/>
      <c r="L59149" s="8"/>
      <c r="M59149" s="8"/>
      <c r="N59149" s="8"/>
      <c r="O59149" s="8"/>
      <c r="P59149" s="8"/>
      <c r="Q59149" s="8"/>
      <c r="R59149" s="103"/>
      <c r="S59149" s="8"/>
      <c r="T59149" s="8"/>
      <c r="U59149" s="8"/>
      <c r="V59149" s="8"/>
      <c r="W59149" s="8"/>
      <c r="X59149" s="8"/>
      <c r="Y59149" s="8"/>
      <c r="Z59149" s="8"/>
      <c r="AA59149" s="8"/>
    </row>
    <row r="59150" spans="1:27" x14ac:dyDescent="0.25">
      <c r="A59150" s="8"/>
      <c r="B59150" s="8"/>
      <c r="C59150" s="99"/>
      <c r="D59150" s="8"/>
      <c r="E59150" s="8"/>
      <c r="F59150" s="8"/>
      <c r="G59150" s="8"/>
      <c r="H59150" s="8"/>
      <c r="I59150" s="102"/>
      <c r="J59150" s="8"/>
      <c r="K59150" s="8"/>
      <c r="L59150" s="8"/>
      <c r="M59150" s="8"/>
      <c r="N59150" s="8"/>
      <c r="O59150" s="8"/>
      <c r="P59150" s="8"/>
      <c r="Q59150" s="8"/>
      <c r="R59150" s="103"/>
      <c r="S59150" s="8"/>
      <c r="T59150" s="8"/>
      <c r="U59150" s="8"/>
      <c r="V59150" s="8"/>
      <c r="W59150" s="8"/>
      <c r="X59150" s="8"/>
      <c r="Y59150" s="8"/>
      <c r="Z59150" s="8"/>
      <c r="AA59150" s="8"/>
    </row>
    <row r="59151" spans="1:27" x14ac:dyDescent="0.25">
      <c r="A59151" s="8"/>
      <c r="B59151" s="8"/>
      <c r="C59151" s="99"/>
      <c r="D59151" s="8"/>
      <c r="E59151" s="8"/>
      <c r="F59151" s="8"/>
      <c r="G59151" s="8"/>
      <c r="H59151" s="8"/>
      <c r="I59151" s="102"/>
      <c r="J59151" s="8"/>
      <c r="K59151" s="8"/>
      <c r="L59151" s="8"/>
      <c r="M59151" s="8"/>
      <c r="N59151" s="8"/>
      <c r="O59151" s="8"/>
      <c r="P59151" s="8"/>
      <c r="Q59151" s="8"/>
      <c r="R59151" s="103"/>
      <c r="S59151" s="8"/>
      <c r="T59151" s="8"/>
      <c r="U59151" s="8"/>
      <c r="V59151" s="8"/>
      <c r="W59151" s="8"/>
      <c r="X59151" s="8"/>
      <c r="Y59151" s="8"/>
      <c r="Z59151" s="8"/>
      <c r="AA59151" s="8"/>
    </row>
    <row r="59152" spans="1:27" x14ac:dyDescent="0.25">
      <c r="A59152" s="8"/>
      <c r="B59152" s="8"/>
      <c r="C59152" s="99"/>
      <c r="D59152" s="8"/>
      <c r="E59152" s="8"/>
      <c r="F59152" s="8"/>
      <c r="G59152" s="8"/>
      <c r="H59152" s="8"/>
      <c r="I59152" s="102"/>
      <c r="J59152" s="8"/>
      <c r="K59152" s="8"/>
      <c r="L59152" s="8"/>
      <c r="M59152" s="8"/>
      <c r="N59152" s="8"/>
      <c r="O59152" s="8"/>
      <c r="P59152" s="8"/>
      <c r="Q59152" s="8"/>
      <c r="R59152" s="103"/>
      <c r="S59152" s="8"/>
      <c r="T59152" s="8"/>
      <c r="U59152" s="8"/>
      <c r="V59152" s="8"/>
      <c r="W59152" s="8"/>
      <c r="X59152" s="8"/>
      <c r="Y59152" s="8"/>
      <c r="Z59152" s="8"/>
      <c r="AA59152" s="8"/>
    </row>
    <row r="59153" spans="1:27" x14ac:dyDescent="0.25">
      <c r="A59153" s="8"/>
      <c r="B59153" s="8"/>
      <c r="C59153" s="99"/>
      <c r="D59153" s="8"/>
      <c r="E59153" s="8"/>
      <c r="F59153" s="8"/>
      <c r="G59153" s="8"/>
      <c r="H59153" s="8"/>
      <c r="I59153" s="102"/>
      <c r="J59153" s="8"/>
      <c r="K59153" s="8"/>
      <c r="L59153" s="8"/>
      <c r="M59153" s="8"/>
      <c r="N59153" s="8"/>
      <c r="O59153" s="8"/>
      <c r="P59153" s="8"/>
      <c r="Q59153" s="8"/>
      <c r="R59153" s="103"/>
      <c r="S59153" s="8"/>
      <c r="T59153" s="8"/>
      <c r="U59153" s="8"/>
      <c r="V59153" s="8"/>
      <c r="W59153" s="8"/>
      <c r="X59153" s="8"/>
      <c r="Y59153" s="8"/>
      <c r="Z59153" s="8"/>
      <c r="AA59153" s="8"/>
    </row>
    <row r="59154" spans="1:27" x14ac:dyDescent="0.25">
      <c r="A59154" s="8"/>
      <c r="B59154" s="8"/>
      <c r="C59154" s="99"/>
      <c r="D59154" s="8"/>
      <c r="E59154" s="8"/>
      <c r="F59154" s="8"/>
      <c r="G59154" s="8"/>
      <c r="H59154" s="8"/>
      <c r="I59154" s="102"/>
      <c r="J59154" s="8"/>
      <c r="K59154" s="8"/>
      <c r="L59154" s="8"/>
      <c r="M59154" s="8"/>
      <c r="N59154" s="8"/>
      <c r="O59154" s="8"/>
      <c r="P59154" s="8"/>
      <c r="Q59154" s="8"/>
      <c r="R59154" s="103"/>
      <c r="S59154" s="8"/>
      <c r="T59154" s="8"/>
      <c r="U59154" s="8"/>
      <c r="V59154" s="8"/>
      <c r="W59154" s="8"/>
      <c r="X59154" s="8"/>
      <c r="Y59154" s="8"/>
      <c r="Z59154" s="8"/>
      <c r="AA59154" s="8"/>
    </row>
    <row r="59155" spans="1:27" x14ac:dyDescent="0.25">
      <c r="A59155" s="8"/>
      <c r="B59155" s="8"/>
      <c r="C59155" s="99"/>
      <c r="D59155" s="8"/>
      <c r="E59155" s="8"/>
      <c r="F59155" s="8"/>
      <c r="G59155" s="8"/>
      <c r="H59155" s="8"/>
      <c r="I59155" s="102"/>
      <c r="J59155" s="8"/>
      <c r="K59155" s="8"/>
      <c r="L59155" s="8"/>
      <c r="M59155" s="8"/>
      <c r="N59155" s="8"/>
      <c r="O59155" s="8"/>
      <c r="P59155" s="8"/>
      <c r="Q59155" s="8"/>
      <c r="R59155" s="103"/>
      <c r="S59155" s="8"/>
      <c r="T59155" s="8"/>
      <c r="U59155" s="8"/>
      <c r="V59155" s="8"/>
      <c r="W59155" s="8"/>
      <c r="X59155" s="8"/>
      <c r="Y59155" s="8"/>
      <c r="Z59155" s="8"/>
      <c r="AA59155" s="8"/>
    </row>
    <row r="59156" spans="1:27" x14ac:dyDescent="0.25">
      <c r="A59156" s="8"/>
      <c r="B59156" s="8"/>
      <c r="C59156" s="99"/>
      <c r="D59156" s="8"/>
      <c r="E59156" s="8"/>
      <c r="F59156" s="8"/>
      <c r="G59156" s="8"/>
      <c r="H59156" s="8"/>
      <c r="I59156" s="102"/>
      <c r="J59156" s="8"/>
      <c r="K59156" s="8"/>
      <c r="L59156" s="8"/>
      <c r="M59156" s="8"/>
      <c r="N59156" s="8"/>
      <c r="O59156" s="8"/>
      <c r="P59156" s="8"/>
      <c r="Q59156" s="8"/>
      <c r="R59156" s="103"/>
      <c r="S59156" s="8"/>
      <c r="T59156" s="8"/>
      <c r="U59156" s="8"/>
      <c r="V59156" s="8"/>
      <c r="W59156" s="8"/>
      <c r="X59156" s="8"/>
      <c r="Y59156" s="8"/>
      <c r="Z59156" s="8"/>
      <c r="AA59156" s="8"/>
    </row>
    <row r="59157" spans="1:27" x14ac:dyDescent="0.25">
      <c r="A59157" s="8"/>
      <c r="B59157" s="8"/>
      <c r="C59157" s="99"/>
      <c r="D59157" s="8"/>
      <c r="E59157" s="8"/>
      <c r="F59157" s="8"/>
      <c r="G59157" s="8"/>
      <c r="H59157" s="8"/>
      <c r="I59157" s="102"/>
      <c r="J59157" s="8"/>
      <c r="K59157" s="8"/>
      <c r="L59157" s="8"/>
      <c r="M59157" s="8"/>
      <c r="N59157" s="8"/>
      <c r="O59157" s="8"/>
      <c r="P59157" s="8"/>
      <c r="Q59157" s="8"/>
      <c r="R59157" s="103"/>
      <c r="S59157" s="8"/>
      <c r="T59157" s="8"/>
      <c r="U59157" s="8"/>
      <c r="V59157" s="8"/>
      <c r="W59157" s="8"/>
      <c r="X59157" s="8"/>
      <c r="Y59157" s="8"/>
      <c r="Z59157" s="8"/>
      <c r="AA59157" s="8"/>
    </row>
    <row r="59158" spans="1:27" x14ac:dyDescent="0.25">
      <c r="A59158" s="8"/>
      <c r="B59158" s="8"/>
      <c r="C59158" s="99"/>
      <c r="D59158" s="8"/>
      <c r="E59158" s="8"/>
      <c r="F59158" s="8"/>
      <c r="G59158" s="8"/>
      <c r="H59158" s="8"/>
      <c r="I59158" s="102"/>
      <c r="J59158" s="8"/>
      <c r="K59158" s="8"/>
      <c r="L59158" s="8"/>
      <c r="M59158" s="8"/>
      <c r="N59158" s="8"/>
      <c r="O59158" s="8"/>
      <c r="P59158" s="8"/>
      <c r="Q59158" s="8"/>
      <c r="R59158" s="103"/>
      <c r="S59158" s="8"/>
      <c r="T59158" s="8"/>
      <c r="U59158" s="8"/>
      <c r="V59158" s="8"/>
      <c r="W59158" s="8"/>
      <c r="X59158" s="8"/>
      <c r="Y59158" s="8"/>
      <c r="Z59158" s="8"/>
      <c r="AA59158" s="8"/>
    </row>
    <row r="59159" spans="1:27" x14ac:dyDescent="0.25">
      <c r="A59159" s="8"/>
      <c r="B59159" s="8"/>
      <c r="C59159" s="99"/>
      <c r="D59159" s="8"/>
      <c r="E59159" s="8"/>
      <c r="F59159" s="8"/>
      <c r="G59159" s="8"/>
      <c r="H59159" s="8"/>
      <c r="I59159" s="102"/>
      <c r="J59159" s="8"/>
      <c r="K59159" s="8"/>
      <c r="L59159" s="8"/>
      <c r="M59159" s="8"/>
      <c r="N59159" s="8"/>
      <c r="O59159" s="8"/>
      <c r="P59159" s="8"/>
      <c r="Q59159" s="8"/>
      <c r="R59159" s="103"/>
      <c r="S59159" s="8"/>
      <c r="T59159" s="8"/>
      <c r="U59159" s="8"/>
      <c r="V59159" s="8"/>
      <c r="W59159" s="8"/>
      <c r="X59159" s="8"/>
      <c r="Y59159" s="8"/>
      <c r="Z59159" s="8"/>
      <c r="AA59159" s="8"/>
    </row>
    <row r="59160" spans="1:27" x14ac:dyDescent="0.25">
      <c r="A59160" s="8"/>
      <c r="B59160" s="8"/>
      <c r="C59160" s="99"/>
      <c r="D59160" s="8"/>
      <c r="E59160" s="8"/>
      <c r="F59160" s="8"/>
      <c r="G59160" s="8"/>
      <c r="H59160" s="8"/>
      <c r="I59160" s="102"/>
      <c r="J59160" s="8"/>
      <c r="K59160" s="8"/>
      <c r="L59160" s="8"/>
      <c r="M59160" s="8"/>
      <c r="N59160" s="8"/>
      <c r="O59160" s="8"/>
      <c r="P59160" s="8"/>
      <c r="Q59160" s="8"/>
      <c r="R59160" s="103"/>
      <c r="S59160" s="8"/>
      <c r="T59160" s="8"/>
      <c r="U59160" s="8"/>
      <c r="V59160" s="8"/>
      <c r="W59160" s="8"/>
      <c r="X59160" s="8"/>
      <c r="Y59160" s="8"/>
      <c r="Z59160" s="8"/>
      <c r="AA59160" s="8"/>
    </row>
    <row r="59161" spans="1:27" x14ac:dyDescent="0.25">
      <c r="A59161" s="8"/>
      <c r="B59161" s="8"/>
      <c r="C59161" s="99"/>
      <c r="D59161" s="8"/>
      <c r="E59161" s="8"/>
      <c r="F59161" s="8"/>
      <c r="G59161" s="8"/>
      <c r="H59161" s="8"/>
      <c r="I59161" s="102"/>
      <c r="J59161" s="8"/>
      <c r="K59161" s="8"/>
      <c r="L59161" s="8"/>
      <c r="M59161" s="8"/>
      <c r="N59161" s="8"/>
      <c r="O59161" s="8"/>
      <c r="P59161" s="8"/>
      <c r="Q59161" s="8"/>
      <c r="R59161" s="103"/>
      <c r="S59161" s="8"/>
      <c r="T59161" s="8"/>
      <c r="U59161" s="8"/>
      <c r="V59161" s="8"/>
      <c r="W59161" s="8"/>
      <c r="X59161" s="8"/>
      <c r="Y59161" s="8"/>
      <c r="Z59161" s="8"/>
      <c r="AA59161" s="8"/>
    </row>
    <row r="59162" spans="1:27" x14ac:dyDescent="0.25">
      <c r="A59162" s="8"/>
      <c r="B59162" s="8"/>
      <c r="C59162" s="99"/>
      <c r="D59162" s="8"/>
      <c r="E59162" s="8"/>
      <c r="F59162" s="8"/>
      <c r="G59162" s="8"/>
      <c r="H59162" s="8"/>
      <c r="I59162" s="102"/>
      <c r="J59162" s="8"/>
      <c r="K59162" s="8"/>
      <c r="L59162" s="8"/>
      <c r="M59162" s="8"/>
      <c r="N59162" s="8"/>
      <c r="O59162" s="8"/>
      <c r="P59162" s="8"/>
      <c r="Q59162" s="8"/>
      <c r="R59162" s="103"/>
      <c r="S59162" s="8"/>
      <c r="T59162" s="8"/>
      <c r="U59162" s="8"/>
      <c r="V59162" s="8"/>
      <c r="W59162" s="8"/>
      <c r="X59162" s="8"/>
      <c r="Y59162" s="8"/>
      <c r="Z59162" s="8"/>
      <c r="AA59162" s="8"/>
    </row>
    <row r="59163" spans="1:27" x14ac:dyDescent="0.25">
      <c r="A59163" s="8"/>
      <c r="B59163" s="8"/>
      <c r="C59163" s="99"/>
      <c r="D59163" s="8"/>
      <c r="E59163" s="8"/>
      <c r="F59163" s="8"/>
      <c r="G59163" s="8"/>
      <c r="H59163" s="8"/>
      <c r="I59163" s="102"/>
      <c r="J59163" s="8"/>
      <c r="K59163" s="8"/>
      <c r="L59163" s="8"/>
      <c r="M59163" s="8"/>
      <c r="N59163" s="8"/>
      <c r="O59163" s="8"/>
      <c r="P59163" s="8"/>
      <c r="Q59163" s="8"/>
      <c r="R59163" s="103"/>
      <c r="S59163" s="8"/>
      <c r="T59163" s="8"/>
      <c r="U59163" s="8"/>
      <c r="V59163" s="8"/>
      <c r="W59163" s="8"/>
      <c r="X59163" s="8"/>
      <c r="Y59163" s="8"/>
      <c r="Z59163" s="8"/>
      <c r="AA59163" s="8"/>
    </row>
    <row r="59164" spans="1:27" x14ac:dyDescent="0.25">
      <c r="A59164" s="8"/>
      <c r="B59164" s="8"/>
      <c r="C59164" s="99"/>
      <c r="D59164" s="8"/>
      <c r="E59164" s="8"/>
      <c r="F59164" s="8"/>
      <c r="G59164" s="8"/>
      <c r="H59164" s="8"/>
      <c r="I59164" s="102"/>
      <c r="J59164" s="8"/>
      <c r="K59164" s="8"/>
      <c r="L59164" s="8"/>
      <c r="M59164" s="8"/>
      <c r="N59164" s="8"/>
      <c r="O59164" s="8"/>
      <c r="P59164" s="8"/>
      <c r="Q59164" s="8"/>
      <c r="R59164" s="103"/>
      <c r="S59164" s="8"/>
      <c r="T59164" s="8"/>
      <c r="U59164" s="8"/>
      <c r="V59164" s="8"/>
      <c r="W59164" s="8"/>
      <c r="X59164" s="8"/>
      <c r="Y59164" s="8"/>
      <c r="Z59164" s="8"/>
      <c r="AA59164" s="8"/>
    </row>
    <row r="59165" spans="1:27" x14ac:dyDescent="0.25">
      <c r="A59165" s="8"/>
      <c r="B59165" s="8"/>
      <c r="C59165" s="99"/>
      <c r="D59165" s="8"/>
      <c r="E59165" s="8"/>
      <c r="F59165" s="8"/>
      <c r="G59165" s="8"/>
      <c r="H59165" s="8"/>
      <c r="I59165" s="102"/>
      <c r="J59165" s="8"/>
      <c r="K59165" s="8"/>
      <c r="L59165" s="8"/>
      <c r="M59165" s="8"/>
      <c r="N59165" s="8"/>
      <c r="O59165" s="8"/>
      <c r="P59165" s="8"/>
      <c r="Q59165" s="8"/>
      <c r="R59165" s="103"/>
      <c r="S59165" s="8"/>
      <c r="T59165" s="8"/>
      <c r="U59165" s="8"/>
      <c r="V59165" s="8"/>
      <c r="W59165" s="8"/>
      <c r="X59165" s="8"/>
      <c r="Y59165" s="8"/>
      <c r="Z59165" s="8"/>
      <c r="AA59165" s="8"/>
    </row>
    <row r="59166" spans="1:27" x14ac:dyDescent="0.25">
      <c r="A59166" s="8"/>
      <c r="B59166" s="8"/>
      <c r="C59166" s="99"/>
      <c r="D59166" s="8"/>
      <c r="E59166" s="8"/>
      <c r="F59166" s="8"/>
      <c r="G59166" s="8"/>
      <c r="H59166" s="8"/>
      <c r="I59166" s="102"/>
      <c r="J59166" s="8"/>
      <c r="K59166" s="8"/>
      <c r="L59166" s="8"/>
      <c r="M59166" s="8"/>
      <c r="N59166" s="8"/>
      <c r="O59166" s="8"/>
      <c r="P59166" s="8"/>
      <c r="Q59166" s="8"/>
      <c r="R59166" s="103"/>
      <c r="S59166" s="8"/>
      <c r="T59166" s="8"/>
      <c r="U59166" s="8"/>
      <c r="V59166" s="8"/>
      <c r="W59166" s="8"/>
      <c r="X59166" s="8"/>
      <c r="Y59166" s="8"/>
      <c r="Z59166" s="8"/>
      <c r="AA59166" s="8"/>
    </row>
    <row r="59167" spans="1:27" x14ac:dyDescent="0.25">
      <c r="A59167" s="8"/>
      <c r="B59167" s="8"/>
      <c r="C59167" s="99"/>
      <c r="D59167" s="8"/>
      <c r="E59167" s="8"/>
      <c r="F59167" s="8"/>
      <c r="G59167" s="8"/>
      <c r="H59167" s="8"/>
      <c r="I59167" s="102"/>
      <c r="J59167" s="8"/>
      <c r="K59167" s="8"/>
      <c r="L59167" s="8"/>
      <c r="M59167" s="8"/>
      <c r="N59167" s="8"/>
      <c r="O59167" s="8"/>
      <c r="P59167" s="8"/>
      <c r="Q59167" s="8"/>
      <c r="R59167" s="103"/>
      <c r="S59167" s="8"/>
      <c r="T59167" s="8"/>
      <c r="U59167" s="8"/>
      <c r="V59167" s="8"/>
      <c r="W59167" s="8"/>
      <c r="X59167" s="8"/>
      <c r="Y59167" s="8"/>
      <c r="Z59167" s="8"/>
      <c r="AA59167" s="8"/>
    </row>
    <row r="59168" spans="1:27" x14ac:dyDescent="0.25">
      <c r="A59168" s="8"/>
      <c r="B59168" s="8"/>
      <c r="C59168" s="99"/>
      <c r="D59168" s="8"/>
      <c r="E59168" s="8"/>
      <c r="F59168" s="8"/>
      <c r="G59168" s="8"/>
      <c r="H59168" s="8"/>
      <c r="I59168" s="102"/>
      <c r="J59168" s="8"/>
      <c r="K59168" s="8"/>
      <c r="L59168" s="8"/>
      <c r="M59168" s="8"/>
      <c r="N59168" s="8"/>
      <c r="O59168" s="8"/>
      <c r="P59168" s="8"/>
      <c r="Q59168" s="8"/>
      <c r="R59168" s="103"/>
      <c r="S59168" s="8"/>
      <c r="T59168" s="8"/>
      <c r="U59168" s="8"/>
      <c r="V59168" s="8"/>
      <c r="W59168" s="8"/>
      <c r="X59168" s="8"/>
      <c r="Y59168" s="8"/>
      <c r="Z59168" s="8"/>
      <c r="AA59168" s="8"/>
    </row>
    <row r="59169" spans="1:27" x14ac:dyDescent="0.25">
      <c r="A59169" s="8"/>
      <c r="B59169" s="8"/>
      <c r="C59169" s="99"/>
      <c r="D59169" s="8"/>
      <c r="E59169" s="8"/>
      <c r="F59169" s="8"/>
      <c r="G59169" s="8"/>
      <c r="H59169" s="8"/>
      <c r="I59169" s="102"/>
      <c r="J59169" s="8"/>
      <c r="K59169" s="8"/>
      <c r="L59169" s="8"/>
      <c r="M59169" s="8"/>
      <c r="N59169" s="8"/>
      <c r="O59169" s="8"/>
      <c r="P59169" s="8"/>
      <c r="Q59169" s="8"/>
      <c r="R59169" s="103"/>
      <c r="S59169" s="8"/>
      <c r="T59169" s="8"/>
      <c r="U59169" s="8"/>
      <c r="V59169" s="8"/>
      <c r="W59169" s="8"/>
      <c r="X59169" s="8"/>
      <c r="Y59169" s="8"/>
      <c r="Z59169" s="8"/>
      <c r="AA59169" s="8"/>
    </row>
    <row r="59170" spans="1:27" x14ac:dyDescent="0.25">
      <c r="A59170" s="8"/>
      <c r="B59170" s="8"/>
      <c r="C59170" s="99"/>
      <c r="D59170" s="8"/>
      <c r="E59170" s="8"/>
      <c r="F59170" s="8"/>
      <c r="G59170" s="8"/>
      <c r="H59170" s="8"/>
      <c r="I59170" s="102"/>
      <c r="J59170" s="8"/>
      <c r="K59170" s="8"/>
      <c r="L59170" s="8"/>
      <c r="M59170" s="8"/>
      <c r="N59170" s="8"/>
      <c r="O59170" s="8"/>
      <c r="P59170" s="8"/>
      <c r="Q59170" s="8"/>
      <c r="R59170" s="103"/>
      <c r="S59170" s="8"/>
      <c r="T59170" s="8"/>
      <c r="U59170" s="8"/>
      <c r="V59170" s="8"/>
      <c r="W59170" s="8"/>
      <c r="X59170" s="8"/>
      <c r="Y59170" s="8"/>
      <c r="Z59170" s="8"/>
      <c r="AA59170" s="8"/>
    </row>
    <row r="59171" spans="1:27" x14ac:dyDescent="0.25">
      <c r="A59171" s="8"/>
      <c r="B59171" s="8"/>
      <c r="C59171" s="99"/>
      <c r="D59171" s="8"/>
      <c r="E59171" s="8"/>
      <c r="F59171" s="8"/>
      <c r="G59171" s="8"/>
      <c r="H59171" s="8"/>
      <c r="I59171" s="102"/>
      <c r="J59171" s="8"/>
      <c r="K59171" s="8"/>
      <c r="L59171" s="8"/>
      <c r="M59171" s="8"/>
      <c r="N59171" s="8"/>
      <c r="O59171" s="8"/>
      <c r="P59171" s="8"/>
      <c r="Q59171" s="8"/>
      <c r="R59171" s="103"/>
      <c r="S59171" s="8"/>
      <c r="T59171" s="8"/>
      <c r="U59171" s="8"/>
      <c r="V59171" s="8"/>
      <c r="W59171" s="8"/>
      <c r="X59171" s="8"/>
      <c r="Y59171" s="8"/>
      <c r="Z59171" s="8"/>
      <c r="AA59171" s="8"/>
    </row>
    <row r="59172" spans="1:27" x14ac:dyDescent="0.25">
      <c r="A59172" s="8"/>
      <c r="B59172" s="8"/>
      <c r="C59172" s="99"/>
      <c r="D59172" s="8"/>
      <c r="E59172" s="8"/>
      <c r="F59172" s="8"/>
      <c r="G59172" s="8"/>
      <c r="H59172" s="8"/>
      <c r="I59172" s="102"/>
      <c r="J59172" s="8"/>
      <c r="K59172" s="8"/>
      <c r="L59172" s="8"/>
      <c r="M59172" s="8"/>
      <c r="N59172" s="8"/>
      <c r="O59172" s="8"/>
      <c r="P59172" s="8"/>
      <c r="Q59172" s="8"/>
      <c r="R59172" s="103"/>
      <c r="S59172" s="8"/>
      <c r="T59172" s="8"/>
      <c r="U59172" s="8"/>
      <c r="V59172" s="8"/>
      <c r="W59172" s="8"/>
      <c r="X59172" s="8"/>
      <c r="Y59172" s="8"/>
      <c r="Z59172" s="8"/>
      <c r="AA59172" s="8"/>
    </row>
    <row r="59173" spans="1:27" x14ac:dyDescent="0.25">
      <c r="A59173" s="8"/>
      <c r="B59173" s="8"/>
      <c r="C59173" s="99"/>
      <c r="D59173" s="8"/>
      <c r="E59173" s="8"/>
      <c r="F59173" s="8"/>
      <c r="G59173" s="8"/>
      <c r="H59173" s="8"/>
      <c r="I59173" s="102"/>
      <c r="J59173" s="8"/>
      <c r="K59173" s="8"/>
      <c r="L59173" s="8"/>
      <c r="M59173" s="8"/>
      <c r="N59173" s="8"/>
      <c r="O59173" s="8"/>
      <c r="P59173" s="8"/>
      <c r="Q59173" s="8"/>
      <c r="R59173" s="103"/>
      <c r="S59173" s="8"/>
      <c r="T59173" s="8"/>
      <c r="U59173" s="8"/>
      <c r="V59173" s="8"/>
      <c r="W59173" s="8"/>
      <c r="X59173" s="8"/>
      <c r="Y59173" s="8"/>
      <c r="Z59173" s="8"/>
      <c r="AA59173" s="8"/>
    </row>
    <row r="59174" spans="1:27" x14ac:dyDescent="0.25">
      <c r="A59174" s="8"/>
      <c r="B59174" s="8"/>
      <c r="C59174" s="99"/>
      <c r="D59174" s="8"/>
      <c r="E59174" s="8"/>
      <c r="F59174" s="8"/>
      <c r="G59174" s="8"/>
      <c r="H59174" s="8"/>
      <c r="I59174" s="102"/>
      <c r="J59174" s="8"/>
      <c r="K59174" s="8"/>
      <c r="L59174" s="8"/>
      <c r="M59174" s="8"/>
      <c r="N59174" s="8"/>
      <c r="O59174" s="8"/>
      <c r="P59174" s="8"/>
      <c r="Q59174" s="8"/>
      <c r="R59174" s="103"/>
      <c r="S59174" s="8"/>
      <c r="T59174" s="8"/>
      <c r="U59174" s="8"/>
      <c r="V59174" s="8"/>
      <c r="W59174" s="8"/>
      <c r="X59174" s="8"/>
      <c r="Y59174" s="8"/>
      <c r="Z59174" s="8"/>
      <c r="AA59174" s="8"/>
    </row>
    <row r="59175" spans="1:27" x14ac:dyDescent="0.25">
      <c r="A59175" s="8"/>
      <c r="B59175" s="8"/>
      <c r="C59175" s="99"/>
      <c r="D59175" s="8"/>
      <c r="E59175" s="8"/>
      <c r="F59175" s="8"/>
      <c r="G59175" s="8"/>
      <c r="H59175" s="8"/>
      <c r="I59175" s="102"/>
      <c r="J59175" s="8"/>
      <c r="K59175" s="8"/>
      <c r="L59175" s="8"/>
      <c r="M59175" s="8"/>
      <c r="N59175" s="8"/>
      <c r="O59175" s="8"/>
      <c r="P59175" s="8"/>
      <c r="Q59175" s="8"/>
      <c r="R59175" s="103"/>
      <c r="S59175" s="8"/>
      <c r="T59175" s="8"/>
      <c r="U59175" s="8"/>
      <c r="V59175" s="8"/>
      <c r="W59175" s="8"/>
      <c r="X59175" s="8"/>
      <c r="Y59175" s="8"/>
      <c r="Z59175" s="8"/>
      <c r="AA59175" s="8"/>
    </row>
    <row r="59176" spans="1:27" x14ac:dyDescent="0.25">
      <c r="A59176" s="8"/>
      <c r="B59176" s="8"/>
      <c r="C59176" s="99"/>
      <c r="D59176" s="8"/>
      <c r="E59176" s="8"/>
      <c r="F59176" s="8"/>
      <c r="G59176" s="8"/>
      <c r="H59176" s="8"/>
      <c r="I59176" s="102"/>
      <c r="J59176" s="8"/>
      <c r="K59176" s="8"/>
      <c r="L59176" s="8"/>
      <c r="M59176" s="8"/>
      <c r="N59176" s="8"/>
      <c r="O59176" s="8"/>
      <c r="P59176" s="8"/>
      <c r="Q59176" s="8"/>
      <c r="R59176" s="103"/>
      <c r="S59176" s="8"/>
      <c r="T59176" s="8"/>
      <c r="U59176" s="8"/>
      <c r="V59176" s="8"/>
      <c r="W59176" s="8"/>
      <c r="X59176" s="8"/>
      <c r="Y59176" s="8"/>
      <c r="Z59176" s="8"/>
      <c r="AA59176" s="8"/>
    </row>
    <row r="59177" spans="1:27" x14ac:dyDescent="0.25">
      <c r="A59177" s="8"/>
      <c r="B59177" s="8"/>
      <c r="C59177" s="99"/>
      <c r="D59177" s="8"/>
      <c r="E59177" s="8"/>
      <c r="F59177" s="8"/>
      <c r="G59177" s="8"/>
      <c r="H59177" s="8"/>
      <c r="I59177" s="102"/>
      <c r="J59177" s="8"/>
      <c r="K59177" s="8"/>
      <c r="L59177" s="8"/>
      <c r="M59177" s="8"/>
      <c r="N59177" s="8"/>
      <c r="O59177" s="8"/>
      <c r="P59177" s="8"/>
      <c r="Q59177" s="8"/>
      <c r="R59177" s="103"/>
      <c r="S59177" s="8"/>
      <c r="T59177" s="8"/>
      <c r="U59177" s="8"/>
      <c r="V59177" s="8"/>
      <c r="W59177" s="8"/>
      <c r="X59177" s="8"/>
      <c r="Y59177" s="8"/>
      <c r="Z59177" s="8"/>
      <c r="AA59177" s="8"/>
    </row>
    <row r="59178" spans="1:27" x14ac:dyDescent="0.25">
      <c r="A59178" s="8"/>
      <c r="B59178" s="8"/>
      <c r="C59178" s="99"/>
      <c r="D59178" s="8"/>
      <c r="E59178" s="8"/>
      <c r="F59178" s="8"/>
      <c r="G59178" s="8"/>
      <c r="H59178" s="8"/>
      <c r="I59178" s="102"/>
      <c r="J59178" s="8"/>
      <c r="K59178" s="8"/>
      <c r="L59178" s="8"/>
      <c r="M59178" s="8"/>
      <c r="N59178" s="8"/>
      <c r="O59178" s="8"/>
      <c r="P59178" s="8"/>
      <c r="Q59178" s="8"/>
      <c r="R59178" s="103"/>
      <c r="S59178" s="8"/>
      <c r="T59178" s="8"/>
      <c r="U59178" s="8"/>
      <c r="V59178" s="8"/>
      <c r="W59178" s="8"/>
      <c r="X59178" s="8"/>
      <c r="Y59178" s="8"/>
      <c r="Z59178" s="8"/>
      <c r="AA59178" s="8"/>
    </row>
    <row r="59179" spans="1:27" x14ac:dyDescent="0.25">
      <c r="A59179" s="8"/>
      <c r="B59179" s="8"/>
      <c r="C59179" s="99"/>
      <c r="D59179" s="8"/>
      <c r="E59179" s="8"/>
      <c r="F59179" s="8"/>
      <c r="G59179" s="8"/>
      <c r="H59179" s="8"/>
      <c r="I59179" s="102"/>
      <c r="J59179" s="8"/>
      <c r="K59179" s="8"/>
      <c r="L59179" s="8"/>
      <c r="M59179" s="8"/>
      <c r="N59179" s="8"/>
      <c r="O59179" s="8"/>
      <c r="P59179" s="8"/>
      <c r="Q59179" s="8"/>
      <c r="R59179" s="103"/>
      <c r="S59179" s="8"/>
      <c r="T59179" s="8"/>
      <c r="U59179" s="8"/>
      <c r="V59179" s="8"/>
      <c r="W59179" s="8"/>
      <c r="X59179" s="8"/>
      <c r="Y59179" s="8"/>
      <c r="Z59179" s="8"/>
      <c r="AA59179" s="8"/>
    </row>
    <row r="59180" spans="1:27" x14ac:dyDescent="0.25">
      <c r="A59180" s="8"/>
      <c r="B59180" s="8"/>
      <c r="C59180" s="99"/>
      <c r="D59180" s="8"/>
      <c r="E59180" s="8"/>
      <c r="F59180" s="8"/>
      <c r="G59180" s="8"/>
      <c r="H59180" s="8"/>
      <c r="I59180" s="102"/>
      <c r="J59180" s="8"/>
      <c r="K59180" s="8"/>
      <c r="L59180" s="8"/>
      <c r="M59180" s="8"/>
      <c r="N59180" s="8"/>
      <c r="O59180" s="8"/>
      <c r="P59180" s="8"/>
      <c r="Q59180" s="8"/>
      <c r="R59180" s="103"/>
      <c r="S59180" s="8"/>
      <c r="T59180" s="8"/>
      <c r="U59180" s="8"/>
      <c r="V59180" s="8"/>
      <c r="W59180" s="8"/>
      <c r="X59180" s="8"/>
      <c r="Y59180" s="8"/>
      <c r="Z59180" s="8"/>
      <c r="AA59180" s="8"/>
    </row>
    <row r="59181" spans="1:27" x14ac:dyDescent="0.25">
      <c r="A59181" s="8"/>
      <c r="B59181" s="8"/>
      <c r="C59181" s="99"/>
      <c r="D59181" s="8"/>
      <c r="E59181" s="8"/>
      <c r="F59181" s="8"/>
      <c r="G59181" s="8"/>
      <c r="H59181" s="8"/>
      <c r="I59181" s="102"/>
      <c r="J59181" s="8"/>
      <c r="K59181" s="8"/>
      <c r="L59181" s="8"/>
      <c r="M59181" s="8"/>
      <c r="N59181" s="8"/>
      <c r="O59181" s="8"/>
      <c r="P59181" s="8"/>
      <c r="Q59181" s="8"/>
      <c r="R59181" s="103"/>
      <c r="S59181" s="8"/>
      <c r="T59181" s="8"/>
      <c r="U59181" s="8"/>
      <c r="V59181" s="8"/>
      <c r="W59181" s="8"/>
      <c r="X59181" s="8"/>
      <c r="Y59181" s="8"/>
      <c r="Z59181" s="8"/>
      <c r="AA59181" s="8"/>
    </row>
    <row r="59182" spans="1:27" x14ac:dyDescent="0.25">
      <c r="A59182" s="8"/>
      <c r="B59182" s="8"/>
      <c r="C59182" s="99"/>
      <c r="D59182" s="8"/>
      <c r="E59182" s="8"/>
      <c r="F59182" s="8"/>
      <c r="G59182" s="8"/>
      <c r="H59182" s="8"/>
      <c r="I59182" s="102"/>
      <c r="J59182" s="8"/>
      <c r="K59182" s="8"/>
      <c r="L59182" s="8"/>
      <c r="M59182" s="8"/>
      <c r="N59182" s="8"/>
      <c r="O59182" s="8"/>
      <c r="P59182" s="8"/>
      <c r="Q59182" s="8"/>
      <c r="R59182" s="103"/>
      <c r="S59182" s="8"/>
      <c r="T59182" s="8"/>
      <c r="U59182" s="8"/>
      <c r="V59182" s="8"/>
      <c r="W59182" s="8"/>
      <c r="X59182" s="8"/>
      <c r="Y59182" s="8"/>
      <c r="Z59182" s="8"/>
      <c r="AA59182" s="8"/>
    </row>
    <row r="59183" spans="1:27" x14ac:dyDescent="0.25">
      <c r="A59183" s="8"/>
      <c r="B59183" s="8"/>
      <c r="C59183" s="99"/>
      <c r="D59183" s="8"/>
      <c r="E59183" s="8"/>
      <c r="F59183" s="8"/>
      <c r="G59183" s="8"/>
      <c r="H59183" s="8"/>
      <c r="I59183" s="102"/>
      <c r="J59183" s="8"/>
      <c r="K59183" s="8"/>
      <c r="L59183" s="8"/>
      <c r="M59183" s="8"/>
      <c r="N59183" s="8"/>
      <c r="O59183" s="8"/>
      <c r="P59183" s="8"/>
      <c r="Q59183" s="8"/>
      <c r="R59183" s="103"/>
      <c r="S59183" s="8"/>
      <c r="T59183" s="8"/>
      <c r="U59183" s="8"/>
      <c r="V59183" s="8"/>
      <c r="W59183" s="8"/>
      <c r="X59183" s="8"/>
      <c r="Y59183" s="8"/>
      <c r="Z59183" s="8"/>
      <c r="AA59183" s="8"/>
    </row>
    <row r="59184" spans="1:27" x14ac:dyDescent="0.25">
      <c r="A59184" s="8"/>
      <c r="B59184" s="8"/>
      <c r="C59184" s="99"/>
      <c r="D59184" s="8"/>
      <c r="E59184" s="8"/>
      <c r="F59184" s="8"/>
      <c r="G59184" s="8"/>
      <c r="H59184" s="8"/>
      <c r="I59184" s="102"/>
      <c r="J59184" s="8"/>
      <c r="K59184" s="8"/>
      <c r="L59184" s="8"/>
      <c r="M59184" s="8"/>
      <c r="N59184" s="8"/>
      <c r="O59184" s="8"/>
      <c r="P59184" s="8"/>
      <c r="Q59184" s="8"/>
      <c r="R59184" s="103"/>
      <c r="S59184" s="8"/>
      <c r="T59184" s="8"/>
      <c r="U59184" s="8"/>
      <c r="V59184" s="8"/>
      <c r="W59184" s="8"/>
      <c r="X59184" s="8"/>
      <c r="Y59184" s="8"/>
      <c r="Z59184" s="8"/>
      <c r="AA59184" s="8"/>
    </row>
    <row r="59185" spans="1:27" x14ac:dyDescent="0.25">
      <c r="A59185" s="8"/>
      <c r="B59185" s="8"/>
      <c r="C59185" s="99"/>
      <c r="D59185" s="8"/>
      <c r="E59185" s="8"/>
      <c r="F59185" s="8"/>
      <c r="G59185" s="8"/>
      <c r="H59185" s="8"/>
      <c r="I59185" s="102"/>
      <c r="J59185" s="8"/>
      <c r="K59185" s="8"/>
      <c r="L59185" s="8"/>
      <c r="M59185" s="8"/>
      <c r="N59185" s="8"/>
      <c r="O59185" s="8"/>
      <c r="P59185" s="8"/>
      <c r="Q59185" s="8"/>
      <c r="R59185" s="103"/>
      <c r="S59185" s="8"/>
      <c r="T59185" s="8"/>
      <c r="U59185" s="8"/>
      <c r="V59185" s="8"/>
      <c r="W59185" s="8"/>
      <c r="X59185" s="8"/>
      <c r="Y59185" s="8"/>
      <c r="Z59185" s="8"/>
      <c r="AA59185" s="8"/>
    </row>
    <row r="59186" spans="1:27" x14ac:dyDescent="0.25">
      <c r="A59186" s="8"/>
      <c r="B59186" s="8"/>
      <c r="C59186" s="99"/>
      <c r="D59186" s="8"/>
      <c r="E59186" s="8"/>
      <c r="F59186" s="8"/>
      <c r="G59186" s="8"/>
      <c r="H59186" s="8"/>
      <c r="I59186" s="102"/>
      <c r="J59186" s="8"/>
      <c r="K59186" s="8"/>
      <c r="L59186" s="8"/>
      <c r="M59186" s="8"/>
      <c r="N59186" s="8"/>
      <c r="O59186" s="8"/>
      <c r="P59186" s="8"/>
      <c r="Q59186" s="8"/>
      <c r="R59186" s="103"/>
      <c r="S59186" s="8"/>
      <c r="T59186" s="8"/>
      <c r="U59186" s="8"/>
      <c r="V59186" s="8"/>
      <c r="W59186" s="8"/>
      <c r="X59186" s="8"/>
      <c r="Y59186" s="8"/>
      <c r="Z59186" s="8"/>
      <c r="AA59186" s="8"/>
    </row>
    <row r="59187" spans="1:27" x14ac:dyDescent="0.25">
      <c r="A59187" s="8"/>
      <c r="B59187" s="8"/>
      <c r="C59187" s="99"/>
      <c r="D59187" s="8"/>
      <c r="E59187" s="8"/>
      <c r="F59187" s="8"/>
      <c r="G59187" s="8"/>
      <c r="H59187" s="8"/>
      <c r="I59187" s="102"/>
      <c r="J59187" s="8"/>
      <c r="K59187" s="8"/>
      <c r="L59187" s="8"/>
      <c r="M59187" s="8"/>
      <c r="N59187" s="8"/>
      <c r="O59187" s="8"/>
      <c r="P59187" s="8"/>
      <c r="Q59187" s="8"/>
      <c r="R59187" s="103"/>
      <c r="S59187" s="8"/>
      <c r="T59187" s="8"/>
      <c r="U59187" s="8"/>
      <c r="V59187" s="8"/>
      <c r="W59187" s="8"/>
      <c r="X59187" s="8"/>
      <c r="Y59187" s="8"/>
      <c r="Z59187" s="8"/>
      <c r="AA59187" s="8"/>
    </row>
    <row r="59188" spans="1:27" x14ac:dyDescent="0.25">
      <c r="A59188" s="8"/>
      <c r="B59188" s="8"/>
      <c r="C59188" s="99"/>
      <c r="D59188" s="8"/>
      <c r="E59188" s="8"/>
      <c r="F59188" s="8"/>
      <c r="G59188" s="8"/>
      <c r="H59188" s="8"/>
      <c r="I59188" s="102"/>
      <c r="J59188" s="8"/>
      <c r="K59188" s="8"/>
      <c r="L59188" s="8"/>
      <c r="M59188" s="8"/>
      <c r="N59188" s="8"/>
      <c r="O59188" s="8"/>
      <c r="P59188" s="8"/>
      <c r="Q59188" s="8"/>
      <c r="R59188" s="103"/>
      <c r="S59188" s="8"/>
      <c r="T59188" s="8"/>
      <c r="U59188" s="8"/>
      <c r="V59188" s="8"/>
      <c r="W59188" s="8"/>
      <c r="X59188" s="8"/>
      <c r="Y59188" s="8"/>
      <c r="Z59188" s="8"/>
      <c r="AA59188" s="8"/>
    </row>
    <row r="59189" spans="1:27" x14ac:dyDescent="0.25">
      <c r="A59189" s="8"/>
      <c r="B59189" s="8"/>
      <c r="C59189" s="99"/>
      <c r="D59189" s="8"/>
      <c r="E59189" s="8"/>
      <c r="F59189" s="8"/>
      <c r="G59189" s="8"/>
      <c r="H59189" s="8"/>
      <c r="I59189" s="102"/>
      <c r="J59189" s="8"/>
      <c r="K59189" s="8"/>
      <c r="L59189" s="8"/>
      <c r="M59189" s="8"/>
      <c r="N59189" s="8"/>
      <c r="O59189" s="8"/>
      <c r="P59189" s="8"/>
      <c r="Q59189" s="8"/>
      <c r="R59189" s="103"/>
      <c r="S59189" s="8"/>
      <c r="T59189" s="8"/>
      <c r="U59189" s="8"/>
      <c r="V59189" s="8"/>
      <c r="W59189" s="8"/>
      <c r="X59189" s="8"/>
      <c r="Y59189" s="8"/>
      <c r="Z59189" s="8"/>
      <c r="AA59189" s="8"/>
    </row>
    <row r="59190" spans="1:27" x14ac:dyDescent="0.25">
      <c r="A59190" s="8"/>
      <c r="B59190" s="8"/>
      <c r="C59190" s="99"/>
      <c r="D59190" s="8"/>
      <c r="E59190" s="8"/>
      <c r="F59190" s="8"/>
      <c r="G59190" s="8"/>
      <c r="H59190" s="8"/>
      <c r="I59190" s="102"/>
      <c r="J59190" s="8"/>
      <c r="K59190" s="8"/>
      <c r="L59190" s="8"/>
      <c r="M59190" s="8"/>
      <c r="N59190" s="8"/>
      <c r="O59190" s="8"/>
      <c r="P59190" s="8"/>
      <c r="Q59190" s="8"/>
      <c r="R59190" s="103"/>
      <c r="S59190" s="8"/>
      <c r="T59190" s="8"/>
      <c r="U59190" s="8"/>
      <c r="V59190" s="8"/>
      <c r="W59190" s="8"/>
      <c r="X59190" s="8"/>
      <c r="Y59190" s="8"/>
      <c r="Z59190" s="8"/>
      <c r="AA59190" s="8"/>
    </row>
    <row r="59191" spans="1:27" x14ac:dyDescent="0.25">
      <c r="A59191" s="8"/>
      <c r="B59191" s="8"/>
      <c r="C59191" s="99"/>
      <c r="D59191" s="8"/>
      <c r="E59191" s="8"/>
      <c r="F59191" s="8"/>
      <c r="G59191" s="8"/>
      <c r="H59191" s="8"/>
      <c r="I59191" s="102"/>
      <c r="J59191" s="8"/>
      <c r="K59191" s="8"/>
      <c r="L59191" s="8"/>
      <c r="M59191" s="8"/>
      <c r="N59191" s="8"/>
      <c r="O59191" s="8"/>
      <c r="P59191" s="8"/>
      <c r="Q59191" s="8"/>
      <c r="R59191" s="103"/>
      <c r="S59191" s="8"/>
      <c r="T59191" s="8"/>
      <c r="U59191" s="8"/>
      <c r="V59191" s="8"/>
      <c r="W59191" s="8"/>
      <c r="X59191" s="8"/>
      <c r="Y59191" s="8"/>
      <c r="Z59191" s="8"/>
      <c r="AA59191" s="8"/>
    </row>
    <row r="59192" spans="1:27" x14ac:dyDescent="0.25">
      <c r="A59192" s="8"/>
      <c r="B59192" s="8"/>
      <c r="C59192" s="99"/>
      <c r="D59192" s="8"/>
      <c r="E59192" s="8"/>
      <c r="F59192" s="8"/>
      <c r="G59192" s="8"/>
      <c r="H59192" s="8"/>
      <c r="I59192" s="102"/>
      <c r="J59192" s="8"/>
      <c r="K59192" s="8"/>
      <c r="L59192" s="8"/>
      <c r="M59192" s="8"/>
      <c r="N59192" s="8"/>
      <c r="O59192" s="8"/>
      <c r="P59192" s="8"/>
      <c r="Q59192" s="8"/>
      <c r="R59192" s="103"/>
      <c r="S59192" s="8"/>
      <c r="T59192" s="8"/>
      <c r="U59192" s="8"/>
      <c r="V59192" s="8"/>
      <c r="W59192" s="8"/>
      <c r="X59192" s="8"/>
      <c r="Y59192" s="8"/>
      <c r="Z59192" s="8"/>
      <c r="AA59192" s="8"/>
    </row>
    <row r="59193" spans="1:27" x14ac:dyDescent="0.25">
      <c r="A59193" s="8"/>
      <c r="B59193" s="8"/>
      <c r="C59193" s="99"/>
      <c r="D59193" s="8"/>
      <c r="E59193" s="8"/>
      <c r="F59193" s="8"/>
      <c r="G59193" s="8"/>
      <c r="H59193" s="8"/>
      <c r="I59193" s="102"/>
      <c r="J59193" s="8"/>
      <c r="K59193" s="8"/>
      <c r="L59193" s="8"/>
      <c r="M59193" s="8"/>
      <c r="N59193" s="8"/>
      <c r="O59193" s="8"/>
      <c r="P59193" s="8"/>
      <c r="Q59193" s="8"/>
      <c r="R59193" s="103"/>
      <c r="S59193" s="8"/>
      <c r="T59193" s="8"/>
      <c r="U59193" s="8"/>
      <c r="V59193" s="8"/>
      <c r="W59193" s="8"/>
      <c r="X59193" s="8"/>
      <c r="Y59193" s="8"/>
      <c r="Z59193" s="8"/>
      <c r="AA59193" s="8"/>
    </row>
    <row r="59194" spans="1:27" x14ac:dyDescent="0.25">
      <c r="A59194" s="8"/>
      <c r="B59194" s="8"/>
      <c r="C59194" s="99"/>
      <c r="D59194" s="8"/>
      <c r="E59194" s="8"/>
      <c r="F59194" s="8"/>
      <c r="G59194" s="8"/>
      <c r="H59194" s="8"/>
      <c r="I59194" s="102"/>
      <c r="J59194" s="8"/>
      <c r="K59194" s="8"/>
      <c r="L59194" s="8"/>
      <c r="M59194" s="8"/>
      <c r="N59194" s="8"/>
      <c r="O59194" s="8"/>
      <c r="P59194" s="8"/>
      <c r="Q59194" s="8"/>
      <c r="R59194" s="103"/>
      <c r="S59194" s="8"/>
      <c r="T59194" s="8"/>
      <c r="U59194" s="8"/>
      <c r="V59194" s="8"/>
      <c r="W59194" s="8"/>
      <c r="X59194" s="8"/>
      <c r="Y59194" s="8"/>
      <c r="Z59194" s="8"/>
      <c r="AA59194" s="8"/>
    </row>
    <row r="59195" spans="1:27" x14ac:dyDescent="0.25">
      <c r="A59195" s="8"/>
      <c r="B59195" s="8"/>
      <c r="C59195" s="99"/>
      <c r="D59195" s="8"/>
      <c r="E59195" s="8"/>
      <c r="F59195" s="8"/>
      <c r="G59195" s="8"/>
      <c r="H59195" s="8"/>
      <c r="I59195" s="102"/>
      <c r="J59195" s="8"/>
      <c r="K59195" s="8"/>
      <c r="L59195" s="8"/>
      <c r="M59195" s="8"/>
      <c r="N59195" s="8"/>
      <c r="O59195" s="8"/>
      <c r="P59195" s="8"/>
      <c r="Q59195" s="8"/>
      <c r="R59195" s="103"/>
      <c r="S59195" s="8"/>
      <c r="T59195" s="8"/>
      <c r="U59195" s="8"/>
      <c r="V59195" s="8"/>
      <c r="W59195" s="8"/>
      <c r="X59195" s="8"/>
      <c r="Y59195" s="8"/>
      <c r="Z59195" s="8"/>
      <c r="AA59195" s="8"/>
    </row>
    <row r="59196" spans="1:27" x14ac:dyDescent="0.25">
      <c r="A59196" s="8"/>
      <c r="B59196" s="8"/>
      <c r="C59196" s="99"/>
      <c r="D59196" s="8"/>
      <c r="E59196" s="8"/>
      <c r="F59196" s="8"/>
      <c r="G59196" s="8"/>
      <c r="H59196" s="8"/>
      <c r="I59196" s="102"/>
      <c r="J59196" s="8"/>
      <c r="K59196" s="8"/>
      <c r="L59196" s="8"/>
      <c r="M59196" s="8"/>
      <c r="N59196" s="8"/>
      <c r="O59196" s="8"/>
      <c r="P59196" s="8"/>
      <c r="Q59196" s="8"/>
      <c r="R59196" s="103"/>
      <c r="S59196" s="8"/>
      <c r="T59196" s="8"/>
      <c r="U59196" s="8"/>
      <c r="V59196" s="8"/>
      <c r="W59196" s="8"/>
      <c r="X59196" s="8"/>
      <c r="Y59196" s="8"/>
      <c r="Z59196" s="8"/>
      <c r="AA59196" s="8"/>
    </row>
    <row r="59197" spans="1:27" x14ac:dyDescent="0.25">
      <c r="A59197" s="8"/>
      <c r="B59197" s="8"/>
      <c r="C59197" s="99"/>
      <c r="D59197" s="8"/>
      <c r="E59197" s="8"/>
      <c r="F59197" s="8"/>
      <c r="G59197" s="8"/>
      <c r="H59197" s="8"/>
      <c r="I59197" s="102"/>
      <c r="J59197" s="8"/>
      <c r="K59197" s="8"/>
      <c r="L59197" s="8"/>
      <c r="M59197" s="8"/>
      <c r="N59197" s="8"/>
      <c r="O59197" s="8"/>
      <c r="P59197" s="8"/>
      <c r="Q59197" s="8"/>
      <c r="R59197" s="103"/>
      <c r="S59197" s="8"/>
      <c r="T59197" s="8"/>
      <c r="U59197" s="8"/>
      <c r="V59197" s="8"/>
      <c r="W59197" s="8"/>
      <c r="X59197" s="8"/>
      <c r="Y59197" s="8"/>
      <c r="Z59197" s="8"/>
      <c r="AA59197" s="8"/>
    </row>
    <row r="59198" spans="1:27" x14ac:dyDescent="0.25">
      <c r="A59198" s="8"/>
      <c r="B59198" s="8"/>
      <c r="C59198" s="99"/>
      <c r="D59198" s="8"/>
      <c r="E59198" s="8"/>
      <c r="F59198" s="8"/>
      <c r="G59198" s="8"/>
      <c r="H59198" s="8"/>
      <c r="I59198" s="102"/>
      <c r="J59198" s="8"/>
      <c r="K59198" s="8"/>
      <c r="L59198" s="8"/>
      <c r="M59198" s="8"/>
      <c r="N59198" s="8"/>
      <c r="O59198" s="8"/>
      <c r="P59198" s="8"/>
      <c r="Q59198" s="8"/>
      <c r="R59198" s="103"/>
      <c r="S59198" s="8"/>
      <c r="T59198" s="8"/>
      <c r="U59198" s="8"/>
      <c r="V59198" s="8"/>
      <c r="W59198" s="8"/>
      <c r="X59198" s="8"/>
      <c r="Y59198" s="8"/>
      <c r="Z59198" s="8"/>
      <c r="AA59198" s="8"/>
    </row>
    <row r="59199" spans="1:27" x14ac:dyDescent="0.25">
      <c r="A59199" s="8"/>
      <c r="B59199" s="8"/>
      <c r="C59199" s="99"/>
      <c r="D59199" s="8"/>
      <c r="E59199" s="8"/>
      <c r="F59199" s="8"/>
      <c r="G59199" s="8"/>
      <c r="H59199" s="8"/>
      <c r="I59199" s="102"/>
      <c r="J59199" s="8"/>
      <c r="K59199" s="8"/>
      <c r="L59199" s="8"/>
      <c r="M59199" s="8"/>
      <c r="N59199" s="8"/>
      <c r="O59199" s="8"/>
      <c r="P59199" s="8"/>
      <c r="Q59199" s="8"/>
      <c r="R59199" s="103"/>
      <c r="S59199" s="8"/>
      <c r="T59199" s="8"/>
      <c r="U59199" s="8"/>
      <c r="V59199" s="8"/>
      <c r="W59199" s="8"/>
      <c r="X59199" s="8"/>
      <c r="Y59199" s="8"/>
      <c r="Z59199" s="8"/>
      <c r="AA59199" s="8"/>
    </row>
    <row r="59200" spans="1:27" x14ac:dyDescent="0.25">
      <c r="A59200" s="8"/>
      <c r="B59200" s="8"/>
      <c r="C59200" s="99"/>
      <c r="D59200" s="8"/>
      <c r="E59200" s="8"/>
      <c r="F59200" s="8"/>
      <c r="G59200" s="8"/>
      <c r="H59200" s="8"/>
      <c r="I59200" s="102"/>
      <c r="J59200" s="8"/>
      <c r="K59200" s="8"/>
      <c r="L59200" s="8"/>
      <c r="M59200" s="8"/>
      <c r="N59200" s="8"/>
      <c r="O59200" s="8"/>
      <c r="P59200" s="8"/>
      <c r="Q59200" s="8"/>
      <c r="R59200" s="103"/>
      <c r="S59200" s="8"/>
      <c r="T59200" s="8"/>
      <c r="U59200" s="8"/>
      <c r="V59200" s="8"/>
      <c r="W59200" s="8"/>
      <c r="X59200" s="8"/>
      <c r="Y59200" s="8"/>
      <c r="Z59200" s="8"/>
      <c r="AA59200" s="8"/>
    </row>
    <row r="59201" spans="1:27" x14ac:dyDescent="0.25">
      <c r="A59201" s="8"/>
      <c r="B59201" s="8"/>
      <c r="C59201" s="99"/>
      <c r="D59201" s="8"/>
      <c r="E59201" s="8"/>
      <c r="F59201" s="8"/>
      <c r="G59201" s="8"/>
      <c r="H59201" s="8"/>
      <c r="I59201" s="102"/>
      <c r="J59201" s="8"/>
      <c r="K59201" s="8"/>
      <c r="L59201" s="8"/>
      <c r="M59201" s="8"/>
      <c r="N59201" s="8"/>
      <c r="O59201" s="8"/>
      <c r="P59201" s="8"/>
      <c r="Q59201" s="8"/>
      <c r="R59201" s="103"/>
      <c r="S59201" s="8"/>
      <c r="T59201" s="8"/>
      <c r="U59201" s="8"/>
      <c r="V59201" s="8"/>
      <c r="W59201" s="8"/>
      <c r="X59201" s="8"/>
      <c r="Y59201" s="8"/>
      <c r="Z59201" s="8"/>
      <c r="AA59201" s="8"/>
    </row>
    <row r="59202" spans="1:27" x14ac:dyDescent="0.25">
      <c r="A59202" s="8"/>
      <c r="B59202" s="8"/>
      <c r="C59202" s="99"/>
      <c r="D59202" s="8"/>
      <c r="E59202" s="8"/>
      <c r="F59202" s="8"/>
      <c r="G59202" s="8"/>
      <c r="H59202" s="8"/>
      <c r="I59202" s="102"/>
      <c r="J59202" s="8"/>
      <c r="K59202" s="8"/>
      <c r="L59202" s="8"/>
      <c r="M59202" s="8"/>
      <c r="N59202" s="8"/>
      <c r="O59202" s="8"/>
      <c r="P59202" s="8"/>
      <c r="Q59202" s="8"/>
      <c r="R59202" s="103"/>
      <c r="S59202" s="8"/>
      <c r="T59202" s="8"/>
      <c r="U59202" s="8"/>
      <c r="V59202" s="8"/>
      <c r="W59202" s="8"/>
      <c r="X59202" s="8"/>
      <c r="Y59202" s="8"/>
      <c r="Z59202" s="8"/>
      <c r="AA59202" s="8"/>
    </row>
    <row r="59203" spans="1:27" x14ac:dyDescent="0.25">
      <c r="A59203" s="8"/>
      <c r="B59203" s="8"/>
      <c r="C59203" s="99"/>
      <c r="D59203" s="8"/>
      <c r="E59203" s="8"/>
      <c r="F59203" s="8"/>
      <c r="G59203" s="8"/>
      <c r="H59203" s="8"/>
      <c r="I59203" s="102"/>
      <c r="J59203" s="8"/>
      <c r="K59203" s="8"/>
      <c r="L59203" s="8"/>
      <c r="M59203" s="8"/>
      <c r="N59203" s="8"/>
      <c r="O59203" s="8"/>
      <c r="P59203" s="8"/>
      <c r="Q59203" s="8"/>
      <c r="R59203" s="103"/>
      <c r="S59203" s="8"/>
      <c r="T59203" s="8"/>
      <c r="U59203" s="8"/>
      <c r="V59203" s="8"/>
      <c r="W59203" s="8"/>
      <c r="X59203" s="8"/>
      <c r="Y59203" s="8"/>
      <c r="Z59203" s="8"/>
      <c r="AA59203" s="8"/>
    </row>
    <row r="59204" spans="1:27" x14ac:dyDescent="0.25">
      <c r="A59204" s="8"/>
      <c r="B59204" s="8"/>
      <c r="C59204" s="99"/>
      <c r="D59204" s="8"/>
      <c r="E59204" s="8"/>
      <c r="F59204" s="8"/>
      <c r="G59204" s="8"/>
      <c r="H59204" s="8"/>
      <c r="I59204" s="102"/>
      <c r="J59204" s="8"/>
      <c r="K59204" s="8"/>
      <c r="L59204" s="8"/>
      <c r="M59204" s="8"/>
      <c r="N59204" s="8"/>
      <c r="O59204" s="8"/>
      <c r="P59204" s="8"/>
      <c r="Q59204" s="8"/>
      <c r="R59204" s="103"/>
      <c r="S59204" s="8"/>
      <c r="T59204" s="8"/>
      <c r="U59204" s="8"/>
      <c r="V59204" s="8"/>
      <c r="W59204" s="8"/>
      <c r="X59204" s="8"/>
      <c r="Y59204" s="8"/>
      <c r="Z59204" s="8"/>
      <c r="AA59204" s="8"/>
    </row>
    <row r="59205" spans="1:27" x14ac:dyDescent="0.25">
      <c r="A59205" s="8"/>
      <c r="B59205" s="8"/>
      <c r="C59205" s="99"/>
      <c r="D59205" s="8"/>
      <c r="E59205" s="8"/>
      <c r="F59205" s="8"/>
      <c r="G59205" s="8"/>
      <c r="H59205" s="8"/>
      <c r="I59205" s="102"/>
      <c r="J59205" s="8"/>
      <c r="K59205" s="8"/>
      <c r="L59205" s="8"/>
      <c r="M59205" s="8"/>
      <c r="N59205" s="8"/>
      <c r="O59205" s="8"/>
      <c r="P59205" s="8"/>
      <c r="Q59205" s="8"/>
      <c r="R59205" s="103"/>
      <c r="S59205" s="8"/>
      <c r="T59205" s="8"/>
      <c r="U59205" s="8"/>
      <c r="V59205" s="8"/>
      <c r="W59205" s="8"/>
      <c r="X59205" s="8"/>
      <c r="Y59205" s="8"/>
      <c r="Z59205" s="8"/>
      <c r="AA59205" s="8"/>
    </row>
    <row r="59206" spans="1:27" x14ac:dyDescent="0.25">
      <c r="A59206" s="8"/>
      <c r="B59206" s="8"/>
      <c r="C59206" s="99"/>
      <c r="D59206" s="8"/>
      <c r="E59206" s="8"/>
      <c r="F59206" s="8"/>
      <c r="G59206" s="8"/>
      <c r="H59206" s="8"/>
      <c r="I59206" s="102"/>
      <c r="J59206" s="8"/>
      <c r="K59206" s="8"/>
      <c r="L59206" s="8"/>
      <c r="M59206" s="8"/>
      <c r="N59206" s="8"/>
      <c r="O59206" s="8"/>
      <c r="P59206" s="8"/>
      <c r="Q59206" s="8"/>
      <c r="R59206" s="103"/>
      <c r="S59206" s="8"/>
      <c r="T59206" s="8"/>
      <c r="U59206" s="8"/>
      <c r="V59206" s="8"/>
      <c r="W59206" s="8"/>
      <c r="X59206" s="8"/>
      <c r="Y59206" s="8"/>
      <c r="Z59206" s="8"/>
      <c r="AA59206" s="8"/>
    </row>
    <row r="59207" spans="1:27" x14ac:dyDescent="0.25">
      <c r="A59207" s="8"/>
      <c r="B59207" s="8"/>
      <c r="C59207" s="99"/>
      <c r="D59207" s="8"/>
      <c r="E59207" s="8"/>
      <c r="F59207" s="8"/>
      <c r="G59207" s="8"/>
      <c r="H59207" s="8"/>
      <c r="I59207" s="102"/>
      <c r="J59207" s="8"/>
      <c r="K59207" s="8"/>
      <c r="L59207" s="8"/>
      <c r="M59207" s="8"/>
      <c r="N59207" s="8"/>
      <c r="O59207" s="8"/>
      <c r="P59207" s="8"/>
      <c r="Q59207" s="8"/>
      <c r="R59207" s="103"/>
      <c r="S59207" s="8"/>
      <c r="T59207" s="8"/>
      <c r="U59207" s="8"/>
      <c r="V59207" s="8"/>
      <c r="W59207" s="8"/>
      <c r="X59207" s="8"/>
      <c r="Y59207" s="8"/>
      <c r="Z59207" s="8"/>
      <c r="AA59207" s="8"/>
    </row>
    <row r="59208" spans="1:27" x14ac:dyDescent="0.25">
      <c r="A59208" s="8"/>
      <c r="B59208" s="8"/>
      <c r="C59208" s="99"/>
      <c r="D59208" s="8"/>
      <c r="E59208" s="8"/>
      <c r="F59208" s="8"/>
      <c r="G59208" s="8"/>
      <c r="H59208" s="8"/>
      <c r="I59208" s="102"/>
      <c r="J59208" s="8"/>
      <c r="K59208" s="8"/>
      <c r="L59208" s="8"/>
      <c r="M59208" s="8"/>
      <c r="N59208" s="8"/>
      <c r="O59208" s="8"/>
      <c r="P59208" s="8"/>
      <c r="Q59208" s="8"/>
      <c r="R59208" s="103"/>
      <c r="S59208" s="8"/>
      <c r="T59208" s="8"/>
      <c r="U59208" s="8"/>
      <c r="V59208" s="8"/>
      <c r="W59208" s="8"/>
      <c r="X59208" s="8"/>
      <c r="Y59208" s="8"/>
      <c r="Z59208" s="8"/>
      <c r="AA59208" s="8"/>
    </row>
    <row r="59209" spans="1:27" x14ac:dyDescent="0.25">
      <c r="A59209" s="8"/>
      <c r="B59209" s="8"/>
      <c r="C59209" s="99"/>
      <c r="D59209" s="8"/>
      <c r="E59209" s="8"/>
      <c r="F59209" s="8"/>
      <c r="G59209" s="8"/>
      <c r="H59209" s="8"/>
      <c r="I59209" s="102"/>
      <c r="J59209" s="8"/>
      <c r="K59209" s="8"/>
      <c r="L59209" s="8"/>
      <c r="M59209" s="8"/>
      <c r="N59209" s="8"/>
      <c r="O59209" s="8"/>
      <c r="P59209" s="8"/>
      <c r="Q59209" s="8"/>
      <c r="R59209" s="103"/>
      <c r="S59209" s="8"/>
      <c r="T59209" s="8"/>
      <c r="U59209" s="8"/>
      <c r="V59209" s="8"/>
      <c r="W59209" s="8"/>
      <c r="X59209" s="8"/>
      <c r="Y59209" s="8"/>
      <c r="Z59209" s="8"/>
      <c r="AA59209" s="8"/>
    </row>
    <row r="59210" spans="1:27" x14ac:dyDescent="0.25">
      <c r="A59210" s="8"/>
      <c r="B59210" s="8"/>
      <c r="C59210" s="99"/>
      <c r="D59210" s="8"/>
      <c r="E59210" s="8"/>
      <c r="F59210" s="8"/>
      <c r="G59210" s="8"/>
      <c r="H59210" s="8"/>
      <c r="I59210" s="102"/>
      <c r="J59210" s="8"/>
      <c r="K59210" s="8"/>
      <c r="L59210" s="8"/>
      <c r="M59210" s="8"/>
      <c r="N59210" s="8"/>
      <c r="O59210" s="8"/>
      <c r="P59210" s="8"/>
      <c r="Q59210" s="8"/>
      <c r="R59210" s="103"/>
      <c r="S59210" s="8"/>
      <c r="T59210" s="8"/>
      <c r="U59210" s="8"/>
      <c r="V59210" s="8"/>
      <c r="W59210" s="8"/>
      <c r="X59210" s="8"/>
      <c r="Y59210" s="8"/>
      <c r="Z59210" s="8"/>
      <c r="AA59210" s="8"/>
    </row>
    <row r="59211" spans="1:27" x14ac:dyDescent="0.25">
      <c r="A59211" s="8"/>
      <c r="B59211" s="8"/>
      <c r="C59211" s="99"/>
      <c r="D59211" s="8"/>
      <c r="E59211" s="8"/>
      <c r="F59211" s="8"/>
      <c r="G59211" s="8"/>
      <c r="H59211" s="8"/>
      <c r="I59211" s="102"/>
      <c r="J59211" s="8"/>
      <c r="K59211" s="8"/>
      <c r="L59211" s="8"/>
      <c r="M59211" s="8"/>
      <c r="N59211" s="8"/>
      <c r="O59211" s="8"/>
      <c r="P59211" s="8"/>
      <c r="Q59211" s="8"/>
      <c r="R59211" s="103"/>
      <c r="S59211" s="8"/>
      <c r="T59211" s="8"/>
      <c r="U59211" s="8"/>
      <c r="V59211" s="8"/>
      <c r="W59211" s="8"/>
      <c r="X59211" s="8"/>
      <c r="Y59211" s="8"/>
      <c r="Z59211" s="8"/>
      <c r="AA59211" s="8"/>
    </row>
    <row r="59212" spans="1:27" x14ac:dyDescent="0.25">
      <c r="A59212" s="8"/>
      <c r="B59212" s="8"/>
      <c r="C59212" s="99"/>
      <c r="D59212" s="8"/>
      <c r="E59212" s="8"/>
      <c r="F59212" s="8"/>
      <c r="G59212" s="8"/>
      <c r="H59212" s="8"/>
      <c r="I59212" s="102"/>
      <c r="J59212" s="8"/>
      <c r="K59212" s="8"/>
      <c r="L59212" s="8"/>
      <c r="M59212" s="8"/>
      <c r="N59212" s="8"/>
      <c r="O59212" s="8"/>
      <c r="P59212" s="8"/>
      <c r="Q59212" s="8"/>
      <c r="R59212" s="103"/>
      <c r="S59212" s="8"/>
      <c r="T59212" s="8"/>
      <c r="U59212" s="8"/>
      <c r="V59212" s="8"/>
      <c r="W59212" s="8"/>
      <c r="X59212" s="8"/>
      <c r="Y59212" s="8"/>
      <c r="Z59212" s="8"/>
      <c r="AA59212" s="8"/>
    </row>
    <row r="59213" spans="1:27" x14ac:dyDescent="0.25">
      <c r="A59213" s="8"/>
      <c r="B59213" s="8"/>
      <c r="C59213" s="99"/>
      <c r="D59213" s="8"/>
      <c r="E59213" s="8"/>
      <c r="F59213" s="8"/>
      <c r="G59213" s="8"/>
      <c r="H59213" s="8"/>
      <c r="I59213" s="102"/>
      <c r="J59213" s="8"/>
      <c r="K59213" s="8"/>
      <c r="L59213" s="8"/>
      <c r="M59213" s="8"/>
      <c r="N59213" s="8"/>
      <c r="O59213" s="8"/>
      <c r="P59213" s="8"/>
      <c r="Q59213" s="8"/>
      <c r="R59213" s="103"/>
      <c r="S59213" s="8"/>
      <c r="T59213" s="8"/>
      <c r="U59213" s="8"/>
      <c r="V59213" s="8"/>
      <c r="W59213" s="8"/>
      <c r="X59213" s="8"/>
      <c r="Y59213" s="8"/>
      <c r="Z59213" s="8"/>
      <c r="AA59213" s="8"/>
    </row>
    <row r="59214" spans="1:27" x14ac:dyDescent="0.25">
      <c r="A59214" s="8"/>
      <c r="B59214" s="8"/>
      <c r="C59214" s="99"/>
      <c r="D59214" s="8"/>
      <c r="E59214" s="8"/>
      <c r="F59214" s="8"/>
      <c r="G59214" s="8"/>
      <c r="H59214" s="8"/>
      <c r="I59214" s="102"/>
      <c r="J59214" s="8"/>
      <c r="K59214" s="8"/>
      <c r="L59214" s="8"/>
      <c r="M59214" s="8"/>
      <c r="N59214" s="8"/>
      <c r="O59214" s="8"/>
      <c r="P59214" s="8"/>
      <c r="Q59214" s="8"/>
      <c r="R59214" s="103"/>
      <c r="S59214" s="8"/>
      <c r="T59214" s="8"/>
      <c r="U59214" s="8"/>
      <c r="V59214" s="8"/>
      <c r="W59214" s="8"/>
      <c r="X59214" s="8"/>
      <c r="Y59214" s="8"/>
      <c r="Z59214" s="8"/>
      <c r="AA59214" s="8"/>
    </row>
    <row r="59215" spans="1:27" x14ac:dyDescent="0.25">
      <c r="A59215" s="8"/>
      <c r="B59215" s="8"/>
      <c r="C59215" s="99"/>
      <c r="D59215" s="8"/>
      <c r="E59215" s="8"/>
      <c r="F59215" s="8"/>
      <c r="G59215" s="8"/>
      <c r="H59215" s="8"/>
      <c r="I59215" s="102"/>
      <c r="J59215" s="8"/>
      <c r="K59215" s="8"/>
      <c r="L59215" s="8"/>
      <c r="M59215" s="8"/>
      <c r="N59215" s="8"/>
      <c r="O59215" s="8"/>
      <c r="P59215" s="8"/>
      <c r="Q59215" s="8"/>
      <c r="R59215" s="103"/>
      <c r="S59215" s="8"/>
      <c r="T59215" s="8"/>
      <c r="U59215" s="8"/>
      <c r="V59215" s="8"/>
      <c r="W59215" s="8"/>
      <c r="X59215" s="8"/>
      <c r="Y59215" s="8"/>
      <c r="Z59215" s="8"/>
      <c r="AA59215" s="8"/>
    </row>
    <row r="59216" spans="1:27" x14ac:dyDescent="0.25">
      <c r="A59216" s="8"/>
      <c r="B59216" s="8"/>
      <c r="C59216" s="99"/>
      <c r="D59216" s="8"/>
      <c r="E59216" s="8"/>
      <c r="F59216" s="8"/>
      <c r="G59216" s="8"/>
      <c r="H59216" s="8"/>
      <c r="I59216" s="102"/>
      <c r="J59216" s="8"/>
      <c r="K59216" s="8"/>
      <c r="L59216" s="8"/>
      <c r="M59216" s="8"/>
      <c r="N59216" s="8"/>
      <c r="O59216" s="8"/>
      <c r="P59216" s="8"/>
      <c r="Q59216" s="8"/>
      <c r="R59216" s="103"/>
      <c r="S59216" s="8"/>
      <c r="T59216" s="8"/>
      <c r="U59216" s="8"/>
      <c r="V59216" s="8"/>
      <c r="W59216" s="8"/>
      <c r="X59216" s="8"/>
      <c r="Y59216" s="8"/>
      <c r="Z59216" s="8"/>
      <c r="AA59216" s="8"/>
    </row>
    <row r="59217" spans="1:27" x14ac:dyDescent="0.25">
      <c r="A59217" s="8"/>
      <c r="B59217" s="8"/>
      <c r="C59217" s="99"/>
      <c r="D59217" s="8"/>
      <c r="E59217" s="8"/>
      <c r="F59217" s="8"/>
      <c r="G59217" s="8"/>
      <c r="H59217" s="8"/>
      <c r="I59217" s="102"/>
      <c r="J59217" s="8"/>
      <c r="K59217" s="8"/>
      <c r="L59217" s="8"/>
      <c r="M59217" s="8"/>
      <c r="N59217" s="8"/>
      <c r="O59217" s="8"/>
      <c r="P59217" s="8"/>
      <c r="Q59217" s="8"/>
      <c r="R59217" s="103"/>
      <c r="S59217" s="8"/>
      <c r="T59217" s="8"/>
      <c r="U59217" s="8"/>
      <c r="V59217" s="8"/>
      <c r="W59217" s="8"/>
      <c r="X59217" s="8"/>
      <c r="Y59217" s="8"/>
      <c r="Z59217" s="8"/>
      <c r="AA59217" s="8"/>
    </row>
    <row r="59218" spans="1:27" x14ac:dyDescent="0.25">
      <c r="A59218" s="8"/>
      <c r="B59218" s="8"/>
      <c r="C59218" s="99"/>
      <c r="D59218" s="8"/>
      <c r="E59218" s="8"/>
      <c r="F59218" s="8"/>
      <c r="G59218" s="8"/>
      <c r="H59218" s="8"/>
      <c r="I59218" s="102"/>
      <c r="J59218" s="8"/>
      <c r="K59218" s="8"/>
      <c r="L59218" s="8"/>
      <c r="M59218" s="8"/>
      <c r="N59218" s="8"/>
      <c r="O59218" s="8"/>
      <c r="P59218" s="8"/>
      <c r="Q59218" s="8"/>
      <c r="R59218" s="103"/>
      <c r="S59218" s="8"/>
      <c r="T59218" s="8"/>
      <c r="U59218" s="8"/>
      <c r="V59218" s="8"/>
      <c r="W59218" s="8"/>
      <c r="X59218" s="8"/>
      <c r="Y59218" s="8"/>
      <c r="Z59218" s="8"/>
      <c r="AA59218" s="8"/>
    </row>
    <row r="59219" spans="1:27" x14ac:dyDescent="0.25">
      <c r="A59219" s="8"/>
      <c r="B59219" s="8"/>
      <c r="C59219" s="99"/>
      <c r="D59219" s="8"/>
      <c r="E59219" s="8"/>
      <c r="F59219" s="8"/>
      <c r="G59219" s="8"/>
      <c r="H59219" s="8"/>
      <c r="I59219" s="102"/>
      <c r="J59219" s="8"/>
      <c r="K59219" s="8"/>
      <c r="L59219" s="8"/>
      <c r="M59219" s="8"/>
      <c r="N59219" s="8"/>
      <c r="O59219" s="8"/>
      <c r="P59219" s="8"/>
      <c r="Q59219" s="8"/>
      <c r="R59219" s="103"/>
      <c r="S59219" s="8"/>
      <c r="T59219" s="8"/>
      <c r="U59219" s="8"/>
      <c r="V59219" s="8"/>
      <c r="W59219" s="8"/>
      <c r="X59219" s="8"/>
      <c r="Y59219" s="8"/>
      <c r="Z59219" s="8"/>
      <c r="AA59219" s="8"/>
    </row>
    <row r="59220" spans="1:27" x14ac:dyDescent="0.25">
      <c r="A59220" s="8"/>
      <c r="B59220" s="8"/>
      <c r="C59220" s="99"/>
      <c r="D59220" s="8"/>
      <c r="E59220" s="8"/>
      <c r="F59220" s="8"/>
      <c r="G59220" s="8"/>
      <c r="H59220" s="8"/>
      <c r="I59220" s="102"/>
      <c r="J59220" s="8"/>
      <c r="K59220" s="8"/>
      <c r="L59220" s="8"/>
      <c r="M59220" s="8"/>
      <c r="N59220" s="8"/>
      <c r="O59220" s="8"/>
      <c r="P59220" s="8"/>
      <c r="Q59220" s="8"/>
      <c r="R59220" s="103"/>
      <c r="S59220" s="8"/>
      <c r="T59220" s="8"/>
      <c r="U59220" s="8"/>
      <c r="V59220" s="8"/>
      <c r="W59220" s="8"/>
      <c r="X59220" s="8"/>
      <c r="Y59220" s="8"/>
      <c r="Z59220" s="8"/>
      <c r="AA59220" s="8"/>
    </row>
    <row r="59221" spans="1:27" x14ac:dyDescent="0.25">
      <c r="A59221" s="8"/>
      <c r="B59221" s="8"/>
      <c r="C59221" s="99"/>
      <c r="D59221" s="8"/>
      <c r="E59221" s="8"/>
      <c r="F59221" s="8"/>
      <c r="G59221" s="8"/>
      <c r="H59221" s="8"/>
      <c r="I59221" s="102"/>
      <c r="J59221" s="8"/>
      <c r="K59221" s="8"/>
      <c r="L59221" s="8"/>
      <c r="M59221" s="8"/>
      <c r="N59221" s="8"/>
      <c r="O59221" s="8"/>
      <c r="P59221" s="8"/>
      <c r="Q59221" s="8"/>
      <c r="R59221" s="103"/>
      <c r="S59221" s="8"/>
      <c r="T59221" s="8"/>
      <c r="U59221" s="8"/>
      <c r="V59221" s="8"/>
      <c r="W59221" s="8"/>
      <c r="X59221" s="8"/>
      <c r="Y59221" s="8"/>
      <c r="Z59221" s="8"/>
      <c r="AA59221" s="8"/>
    </row>
    <row r="59222" spans="1:27" x14ac:dyDescent="0.25">
      <c r="A59222" s="8"/>
      <c r="B59222" s="8"/>
      <c r="C59222" s="99"/>
      <c r="D59222" s="8"/>
      <c r="E59222" s="8"/>
      <c r="F59222" s="8"/>
      <c r="G59222" s="8"/>
      <c r="H59222" s="8"/>
      <c r="I59222" s="102"/>
      <c r="J59222" s="8"/>
      <c r="K59222" s="8"/>
      <c r="L59222" s="8"/>
      <c r="M59222" s="8"/>
      <c r="N59222" s="8"/>
      <c r="O59222" s="8"/>
      <c r="P59222" s="8"/>
      <c r="Q59222" s="8"/>
      <c r="R59222" s="103"/>
      <c r="S59222" s="8"/>
      <c r="T59222" s="8"/>
      <c r="U59222" s="8"/>
      <c r="V59222" s="8"/>
      <c r="W59222" s="8"/>
      <c r="X59222" s="8"/>
      <c r="Y59222" s="8"/>
      <c r="Z59222" s="8"/>
      <c r="AA59222" s="8"/>
    </row>
    <row r="59223" spans="1:27" x14ac:dyDescent="0.25">
      <c r="A59223" s="8"/>
      <c r="B59223" s="8"/>
      <c r="C59223" s="99"/>
      <c r="D59223" s="8"/>
      <c r="E59223" s="8"/>
      <c r="F59223" s="8"/>
      <c r="G59223" s="8"/>
      <c r="H59223" s="8"/>
      <c r="I59223" s="102"/>
      <c r="J59223" s="8"/>
      <c r="K59223" s="8"/>
      <c r="L59223" s="8"/>
      <c r="M59223" s="8"/>
      <c r="N59223" s="8"/>
      <c r="O59223" s="8"/>
      <c r="P59223" s="8"/>
      <c r="Q59223" s="8"/>
      <c r="R59223" s="103"/>
      <c r="S59223" s="8"/>
      <c r="T59223" s="8"/>
      <c r="U59223" s="8"/>
      <c r="V59223" s="8"/>
      <c r="W59223" s="8"/>
      <c r="X59223" s="8"/>
      <c r="Y59223" s="8"/>
      <c r="Z59223" s="8"/>
      <c r="AA59223" s="8"/>
    </row>
    <row r="59224" spans="1:27" x14ac:dyDescent="0.25">
      <c r="A59224" s="8"/>
      <c r="B59224" s="8"/>
      <c r="C59224" s="99"/>
      <c r="D59224" s="8"/>
      <c r="E59224" s="8"/>
      <c r="F59224" s="8"/>
      <c r="G59224" s="8"/>
      <c r="H59224" s="8"/>
      <c r="I59224" s="102"/>
      <c r="J59224" s="8"/>
      <c r="K59224" s="8"/>
      <c r="L59224" s="8"/>
      <c r="M59224" s="8"/>
      <c r="N59224" s="8"/>
      <c r="O59224" s="8"/>
      <c r="P59224" s="8"/>
      <c r="Q59224" s="8"/>
      <c r="R59224" s="103"/>
      <c r="S59224" s="8"/>
      <c r="T59224" s="8"/>
      <c r="U59224" s="8"/>
      <c r="V59224" s="8"/>
      <c r="W59224" s="8"/>
      <c r="X59224" s="8"/>
      <c r="Y59224" s="8"/>
      <c r="Z59224" s="8"/>
      <c r="AA59224" s="8"/>
    </row>
    <row r="59225" spans="1:27" x14ac:dyDescent="0.25">
      <c r="A59225" s="8"/>
      <c r="B59225" s="8"/>
      <c r="C59225" s="99"/>
      <c r="D59225" s="8"/>
      <c r="E59225" s="8"/>
      <c r="F59225" s="8"/>
      <c r="G59225" s="8"/>
      <c r="H59225" s="8"/>
      <c r="I59225" s="102"/>
      <c r="J59225" s="8"/>
      <c r="K59225" s="8"/>
      <c r="L59225" s="8"/>
      <c r="M59225" s="8"/>
      <c r="N59225" s="8"/>
      <c r="O59225" s="8"/>
      <c r="P59225" s="8"/>
      <c r="Q59225" s="8"/>
      <c r="R59225" s="103"/>
      <c r="S59225" s="8"/>
      <c r="T59225" s="8"/>
      <c r="U59225" s="8"/>
      <c r="V59225" s="8"/>
      <c r="W59225" s="8"/>
      <c r="X59225" s="8"/>
      <c r="Y59225" s="8"/>
      <c r="Z59225" s="8"/>
      <c r="AA59225" s="8"/>
    </row>
    <row r="59226" spans="1:27" x14ac:dyDescent="0.25">
      <c r="A59226" s="8"/>
      <c r="B59226" s="8"/>
      <c r="C59226" s="99"/>
      <c r="D59226" s="8"/>
      <c r="E59226" s="8"/>
      <c r="F59226" s="8"/>
      <c r="G59226" s="8"/>
      <c r="H59226" s="8"/>
      <c r="I59226" s="102"/>
      <c r="J59226" s="8"/>
      <c r="K59226" s="8"/>
      <c r="L59226" s="8"/>
      <c r="M59226" s="8"/>
      <c r="N59226" s="8"/>
      <c r="O59226" s="8"/>
      <c r="P59226" s="8"/>
      <c r="Q59226" s="8"/>
      <c r="R59226" s="103"/>
      <c r="S59226" s="8"/>
      <c r="T59226" s="8"/>
      <c r="U59226" s="8"/>
      <c r="V59226" s="8"/>
      <c r="W59226" s="8"/>
      <c r="X59226" s="8"/>
      <c r="Y59226" s="8"/>
      <c r="Z59226" s="8"/>
      <c r="AA59226" s="8"/>
    </row>
    <row r="59227" spans="1:27" x14ac:dyDescent="0.25">
      <c r="A59227" s="8"/>
      <c r="B59227" s="8"/>
      <c r="C59227" s="99"/>
      <c r="D59227" s="8"/>
      <c r="E59227" s="8"/>
      <c r="F59227" s="8"/>
      <c r="G59227" s="8"/>
      <c r="H59227" s="8"/>
      <c r="I59227" s="102"/>
      <c r="J59227" s="8"/>
      <c r="K59227" s="8"/>
      <c r="L59227" s="8"/>
      <c r="M59227" s="8"/>
      <c r="N59227" s="8"/>
      <c r="O59227" s="8"/>
      <c r="P59227" s="8"/>
      <c r="Q59227" s="8"/>
      <c r="R59227" s="103"/>
      <c r="S59227" s="8"/>
      <c r="T59227" s="8"/>
      <c r="U59227" s="8"/>
      <c r="V59227" s="8"/>
      <c r="W59227" s="8"/>
      <c r="X59227" s="8"/>
      <c r="Y59227" s="8"/>
      <c r="Z59227" s="8"/>
      <c r="AA59227" s="8"/>
    </row>
    <row r="59228" spans="1:27" x14ac:dyDescent="0.25">
      <c r="A59228" s="8"/>
      <c r="B59228" s="8"/>
      <c r="C59228" s="99"/>
      <c r="D59228" s="8"/>
      <c r="E59228" s="8"/>
      <c r="F59228" s="8"/>
      <c r="G59228" s="8"/>
      <c r="H59228" s="8"/>
      <c r="I59228" s="102"/>
      <c r="J59228" s="8"/>
      <c r="K59228" s="8"/>
      <c r="L59228" s="8"/>
      <c r="M59228" s="8"/>
      <c r="N59228" s="8"/>
      <c r="O59228" s="8"/>
      <c r="P59228" s="8"/>
      <c r="Q59228" s="8"/>
      <c r="R59228" s="103"/>
      <c r="S59228" s="8"/>
      <c r="T59228" s="8"/>
      <c r="U59228" s="8"/>
      <c r="V59228" s="8"/>
      <c r="W59228" s="8"/>
      <c r="X59228" s="8"/>
      <c r="Y59228" s="8"/>
      <c r="Z59228" s="8"/>
      <c r="AA59228" s="8"/>
    </row>
    <row r="59229" spans="1:27" x14ac:dyDescent="0.25">
      <c r="A59229" s="8"/>
      <c r="B59229" s="8"/>
      <c r="C59229" s="99"/>
      <c r="D59229" s="8"/>
      <c r="E59229" s="8"/>
      <c r="F59229" s="8"/>
      <c r="G59229" s="8"/>
      <c r="H59229" s="8"/>
      <c r="I59229" s="102"/>
      <c r="J59229" s="8"/>
      <c r="K59229" s="8"/>
      <c r="L59229" s="8"/>
      <c r="M59229" s="8"/>
      <c r="N59229" s="8"/>
      <c r="O59229" s="8"/>
      <c r="P59229" s="8"/>
      <c r="Q59229" s="8"/>
      <c r="R59229" s="103"/>
      <c r="S59229" s="8"/>
      <c r="T59229" s="8"/>
      <c r="U59229" s="8"/>
      <c r="V59229" s="8"/>
      <c r="W59229" s="8"/>
      <c r="X59229" s="8"/>
      <c r="Y59229" s="8"/>
      <c r="Z59229" s="8"/>
      <c r="AA59229" s="8"/>
    </row>
    <row r="59230" spans="1:27" x14ac:dyDescent="0.25">
      <c r="A59230" s="8"/>
      <c r="B59230" s="8"/>
      <c r="C59230" s="99"/>
      <c r="D59230" s="8"/>
      <c r="E59230" s="8"/>
      <c r="F59230" s="8"/>
      <c r="G59230" s="8"/>
      <c r="H59230" s="8"/>
      <c r="I59230" s="102"/>
      <c r="J59230" s="8"/>
      <c r="K59230" s="8"/>
      <c r="L59230" s="8"/>
      <c r="M59230" s="8"/>
      <c r="N59230" s="8"/>
      <c r="O59230" s="8"/>
      <c r="P59230" s="8"/>
      <c r="Q59230" s="8"/>
      <c r="R59230" s="103"/>
      <c r="S59230" s="8"/>
      <c r="T59230" s="8"/>
      <c r="U59230" s="8"/>
      <c r="V59230" s="8"/>
      <c r="W59230" s="8"/>
      <c r="X59230" s="8"/>
      <c r="Y59230" s="8"/>
      <c r="Z59230" s="8"/>
      <c r="AA59230" s="8"/>
    </row>
    <row r="59231" spans="1:27" x14ac:dyDescent="0.25">
      <c r="A59231" s="8"/>
      <c r="B59231" s="8"/>
      <c r="C59231" s="99"/>
      <c r="D59231" s="8"/>
      <c r="E59231" s="8"/>
      <c r="F59231" s="8"/>
      <c r="G59231" s="8"/>
      <c r="H59231" s="8"/>
      <c r="I59231" s="102"/>
      <c r="J59231" s="8"/>
      <c r="K59231" s="8"/>
      <c r="L59231" s="8"/>
      <c r="M59231" s="8"/>
      <c r="N59231" s="8"/>
      <c r="O59231" s="8"/>
      <c r="P59231" s="8"/>
      <c r="Q59231" s="8"/>
      <c r="R59231" s="103"/>
      <c r="S59231" s="8"/>
      <c r="T59231" s="8"/>
      <c r="U59231" s="8"/>
      <c r="V59231" s="8"/>
      <c r="W59231" s="8"/>
      <c r="X59231" s="8"/>
      <c r="Y59231" s="8"/>
      <c r="Z59231" s="8"/>
      <c r="AA59231" s="8"/>
    </row>
    <row r="59232" spans="1:27" x14ac:dyDescent="0.25">
      <c r="A59232" s="8"/>
      <c r="B59232" s="8"/>
      <c r="C59232" s="99"/>
      <c r="D59232" s="8"/>
      <c r="E59232" s="8"/>
      <c r="F59232" s="8"/>
      <c r="G59232" s="8"/>
      <c r="H59232" s="8"/>
      <c r="I59232" s="102"/>
      <c r="J59232" s="8"/>
      <c r="K59232" s="8"/>
      <c r="L59232" s="8"/>
      <c r="M59232" s="8"/>
      <c r="N59232" s="8"/>
      <c r="O59232" s="8"/>
      <c r="P59232" s="8"/>
      <c r="Q59232" s="8"/>
      <c r="R59232" s="103"/>
      <c r="S59232" s="8"/>
      <c r="T59232" s="8"/>
      <c r="U59232" s="8"/>
      <c r="V59232" s="8"/>
      <c r="W59232" s="8"/>
      <c r="X59232" s="8"/>
      <c r="Y59232" s="8"/>
      <c r="Z59232" s="8"/>
      <c r="AA59232" s="8"/>
    </row>
    <row r="59233" spans="1:27" x14ac:dyDescent="0.25">
      <c r="A59233" s="8"/>
      <c r="B59233" s="8"/>
      <c r="C59233" s="99"/>
      <c r="D59233" s="8"/>
      <c r="E59233" s="8"/>
      <c r="F59233" s="8"/>
      <c r="G59233" s="8"/>
      <c r="H59233" s="8"/>
      <c r="I59233" s="102"/>
      <c r="J59233" s="8"/>
      <c r="K59233" s="8"/>
      <c r="L59233" s="8"/>
      <c r="M59233" s="8"/>
      <c r="N59233" s="8"/>
      <c r="O59233" s="8"/>
      <c r="P59233" s="8"/>
      <c r="Q59233" s="8"/>
      <c r="R59233" s="103"/>
      <c r="S59233" s="8"/>
      <c r="T59233" s="8"/>
      <c r="U59233" s="8"/>
      <c r="V59233" s="8"/>
      <c r="W59233" s="8"/>
      <c r="X59233" s="8"/>
      <c r="Y59233" s="8"/>
      <c r="Z59233" s="8"/>
      <c r="AA59233" s="8"/>
    </row>
    <row r="59234" spans="1:27" x14ac:dyDescent="0.25">
      <c r="A59234" s="8"/>
      <c r="B59234" s="8"/>
      <c r="C59234" s="99"/>
      <c r="D59234" s="8"/>
      <c r="E59234" s="8"/>
      <c r="F59234" s="8"/>
      <c r="G59234" s="8"/>
      <c r="H59234" s="8"/>
      <c r="I59234" s="102"/>
      <c r="J59234" s="8"/>
      <c r="K59234" s="8"/>
      <c r="L59234" s="8"/>
      <c r="M59234" s="8"/>
      <c r="N59234" s="8"/>
      <c r="O59234" s="8"/>
      <c r="P59234" s="8"/>
      <c r="Q59234" s="8"/>
      <c r="R59234" s="103"/>
      <c r="S59234" s="8"/>
      <c r="T59234" s="8"/>
      <c r="U59234" s="8"/>
      <c r="V59234" s="8"/>
      <c r="W59234" s="8"/>
      <c r="X59234" s="8"/>
      <c r="Y59234" s="8"/>
      <c r="Z59234" s="8"/>
      <c r="AA59234" s="8"/>
    </row>
    <row r="59235" spans="1:27" x14ac:dyDescent="0.25">
      <c r="A59235" s="8"/>
      <c r="B59235" s="8"/>
      <c r="C59235" s="99"/>
      <c r="D59235" s="8"/>
      <c r="E59235" s="8"/>
      <c r="F59235" s="8"/>
      <c r="G59235" s="8"/>
      <c r="H59235" s="8"/>
      <c r="I59235" s="102"/>
      <c r="J59235" s="8"/>
      <c r="K59235" s="8"/>
      <c r="L59235" s="8"/>
      <c r="M59235" s="8"/>
      <c r="N59235" s="8"/>
      <c r="O59235" s="8"/>
      <c r="P59235" s="8"/>
      <c r="Q59235" s="8"/>
      <c r="R59235" s="103"/>
      <c r="S59235" s="8"/>
      <c r="T59235" s="8"/>
      <c r="U59235" s="8"/>
      <c r="V59235" s="8"/>
      <c r="W59235" s="8"/>
      <c r="X59235" s="8"/>
      <c r="Y59235" s="8"/>
      <c r="Z59235" s="8"/>
      <c r="AA59235" s="8"/>
    </row>
    <row r="59236" spans="1:27" x14ac:dyDescent="0.25">
      <c r="A59236" s="8"/>
      <c r="B59236" s="8"/>
      <c r="C59236" s="99"/>
      <c r="D59236" s="8"/>
      <c r="E59236" s="8"/>
      <c r="F59236" s="8"/>
      <c r="G59236" s="8"/>
      <c r="H59236" s="8"/>
      <c r="I59236" s="102"/>
      <c r="J59236" s="8"/>
      <c r="K59236" s="8"/>
      <c r="L59236" s="8"/>
      <c r="M59236" s="8"/>
      <c r="N59236" s="8"/>
      <c r="O59236" s="8"/>
      <c r="P59236" s="8"/>
      <c r="Q59236" s="8"/>
      <c r="R59236" s="103"/>
      <c r="S59236" s="8"/>
      <c r="T59236" s="8"/>
      <c r="U59236" s="8"/>
      <c r="V59236" s="8"/>
      <c r="W59236" s="8"/>
      <c r="X59236" s="8"/>
      <c r="Y59236" s="8"/>
      <c r="Z59236" s="8"/>
      <c r="AA59236" s="8"/>
    </row>
    <row r="59237" spans="1:27" x14ac:dyDescent="0.25">
      <c r="A59237" s="8"/>
      <c r="B59237" s="8"/>
      <c r="C59237" s="99"/>
      <c r="D59237" s="8"/>
      <c r="E59237" s="8"/>
      <c r="F59237" s="8"/>
      <c r="G59237" s="8"/>
      <c r="H59237" s="8"/>
      <c r="I59237" s="102"/>
      <c r="J59237" s="8"/>
      <c r="K59237" s="8"/>
      <c r="L59237" s="8"/>
      <c r="M59237" s="8"/>
      <c r="N59237" s="8"/>
      <c r="O59237" s="8"/>
      <c r="P59237" s="8"/>
      <c r="Q59237" s="8"/>
      <c r="R59237" s="103"/>
      <c r="S59237" s="8"/>
      <c r="T59237" s="8"/>
      <c r="U59237" s="8"/>
      <c r="V59237" s="8"/>
      <c r="W59237" s="8"/>
      <c r="X59237" s="8"/>
      <c r="Y59237" s="8"/>
      <c r="Z59237" s="8"/>
      <c r="AA59237" s="8"/>
    </row>
    <row r="59238" spans="1:27" x14ac:dyDescent="0.25">
      <c r="A59238" s="8"/>
      <c r="B59238" s="8"/>
      <c r="C59238" s="99"/>
      <c r="D59238" s="8"/>
      <c r="E59238" s="8"/>
      <c r="F59238" s="8"/>
      <c r="G59238" s="8"/>
      <c r="H59238" s="8"/>
      <c r="I59238" s="102"/>
      <c r="J59238" s="8"/>
      <c r="K59238" s="8"/>
      <c r="L59238" s="8"/>
      <c r="M59238" s="8"/>
      <c r="N59238" s="8"/>
      <c r="O59238" s="8"/>
      <c r="P59238" s="8"/>
      <c r="Q59238" s="8"/>
      <c r="R59238" s="103"/>
      <c r="S59238" s="8"/>
      <c r="T59238" s="8"/>
      <c r="U59238" s="8"/>
      <c r="V59238" s="8"/>
      <c r="W59238" s="8"/>
      <c r="X59238" s="8"/>
      <c r="Y59238" s="8"/>
      <c r="Z59238" s="8"/>
      <c r="AA59238" s="8"/>
    </row>
    <row r="59239" spans="1:27" x14ac:dyDescent="0.25">
      <c r="A59239" s="8"/>
      <c r="B59239" s="8"/>
      <c r="C59239" s="99"/>
      <c r="D59239" s="8"/>
      <c r="E59239" s="8"/>
      <c r="F59239" s="8"/>
      <c r="G59239" s="8"/>
      <c r="H59239" s="8"/>
      <c r="I59239" s="102"/>
      <c r="J59239" s="8"/>
      <c r="K59239" s="8"/>
      <c r="L59239" s="8"/>
      <c r="M59239" s="8"/>
      <c r="N59239" s="8"/>
      <c r="O59239" s="8"/>
      <c r="P59239" s="8"/>
      <c r="Q59239" s="8"/>
      <c r="R59239" s="103"/>
      <c r="S59239" s="8"/>
      <c r="T59239" s="8"/>
      <c r="U59239" s="8"/>
      <c r="V59239" s="8"/>
      <c r="W59239" s="8"/>
      <c r="X59239" s="8"/>
      <c r="Y59239" s="8"/>
      <c r="Z59239" s="8"/>
      <c r="AA59239" s="8"/>
    </row>
    <row r="59240" spans="1:27" x14ac:dyDescent="0.25">
      <c r="A59240" s="8"/>
      <c r="B59240" s="8"/>
      <c r="C59240" s="99"/>
      <c r="D59240" s="8"/>
      <c r="E59240" s="8"/>
      <c r="F59240" s="8"/>
      <c r="G59240" s="8"/>
      <c r="H59240" s="8"/>
      <c r="I59240" s="102"/>
      <c r="J59240" s="8"/>
      <c r="K59240" s="8"/>
      <c r="L59240" s="8"/>
      <c r="M59240" s="8"/>
      <c r="N59240" s="8"/>
      <c r="O59240" s="8"/>
      <c r="P59240" s="8"/>
      <c r="Q59240" s="8"/>
      <c r="R59240" s="103"/>
      <c r="S59240" s="8"/>
      <c r="T59240" s="8"/>
      <c r="U59240" s="8"/>
      <c r="V59240" s="8"/>
      <c r="W59240" s="8"/>
      <c r="X59240" s="8"/>
      <c r="Y59240" s="8"/>
      <c r="Z59240" s="8"/>
      <c r="AA59240" s="8"/>
    </row>
    <row r="59241" spans="1:27" x14ac:dyDescent="0.25">
      <c r="A59241" s="8"/>
      <c r="B59241" s="8"/>
      <c r="C59241" s="99"/>
      <c r="D59241" s="8"/>
      <c r="E59241" s="8"/>
      <c r="F59241" s="8"/>
      <c r="G59241" s="8"/>
      <c r="H59241" s="8"/>
      <c r="I59241" s="102"/>
      <c r="J59241" s="8"/>
      <c r="K59241" s="8"/>
      <c r="L59241" s="8"/>
      <c r="M59241" s="8"/>
      <c r="N59241" s="8"/>
      <c r="O59241" s="8"/>
      <c r="P59241" s="8"/>
      <c r="Q59241" s="8"/>
      <c r="R59241" s="103"/>
      <c r="S59241" s="8"/>
      <c r="T59241" s="8"/>
      <c r="U59241" s="8"/>
      <c r="V59241" s="8"/>
      <c r="W59241" s="8"/>
      <c r="X59241" s="8"/>
      <c r="Y59241" s="8"/>
      <c r="Z59241" s="8"/>
      <c r="AA59241" s="8"/>
    </row>
    <row r="59242" spans="1:27" x14ac:dyDescent="0.25">
      <c r="A59242" s="8"/>
      <c r="B59242" s="8"/>
      <c r="C59242" s="99"/>
      <c r="D59242" s="8"/>
      <c r="E59242" s="8"/>
      <c r="F59242" s="8"/>
      <c r="G59242" s="8"/>
      <c r="H59242" s="8"/>
      <c r="I59242" s="102"/>
      <c r="J59242" s="8"/>
      <c r="K59242" s="8"/>
      <c r="L59242" s="8"/>
      <c r="M59242" s="8"/>
      <c r="N59242" s="8"/>
      <c r="O59242" s="8"/>
      <c r="P59242" s="8"/>
      <c r="Q59242" s="8"/>
      <c r="R59242" s="103"/>
      <c r="S59242" s="8"/>
      <c r="T59242" s="8"/>
      <c r="U59242" s="8"/>
      <c r="V59242" s="8"/>
      <c r="W59242" s="8"/>
      <c r="X59242" s="8"/>
      <c r="Y59242" s="8"/>
      <c r="Z59242" s="8"/>
      <c r="AA59242" s="8"/>
    </row>
    <row r="59243" spans="1:27" x14ac:dyDescent="0.25">
      <c r="A59243" s="8"/>
      <c r="B59243" s="8"/>
      <c r="C59243" s="99"/>
      <c r="D59243" s="8"/>
      <c r="E59243" s="8"/>
      <c r="F59243" s="8"/>
      <c r="G59243" s="8"/>
      <c r="H59243" s="8"/>
      <c r="I59243" s="102"/>
      <c r="J59243" s="8"/>
      <c r="K59243" s="8"/>
      <c r="L59243" s="8"/>
      <c r="M59243" s="8"/>
      <c r="N59243" s="8"/>
      <c r="O59243" s="8"/>
      <c r="P59243" s="8"/>
      <c r="Q59243" s="8"/>
      <c r="R59243" s="103"/>
      <c r="S59243" s="8"/>
      <c r="T59243" s="8"/>
      <c r="U59243" s="8"/>
      <c r="V59243" s="8"/>
      <c r="W59243" s="8"/>
      <c r="X59243" s="8"/>
      <c r="Y59243" s="8"/>
      <c r="Z59243" s="8"/>
      <c r="AA59243" s="8"/>
    </row>
    <row r="59244" spans="1:27" x14ac:dyDescent="0.25">
      <c r="A59244" s="8"/>
      <c r="B59244" s="8"/>
      <c r="C59244" s="99"/>
      <c r="D59244" s="8"/>
      <c r="E59244" s="8"/>
      <c r="F59244" s="8"/>
      <c r="G59244" s="8"/>
      <c r="H59244" s="8"/>
      <c r="I59244" s="102"/>
      <c r="J59244" s="8"/>
      <c r="K59244" s="8"/>
      <c r="L59244" s="8"/>
      <c r="M59244" s="8"/>
      <c r="N59244" s="8"/>
      <c r="O59244" s="8"/>
      <c r="P59244" s="8"/>
      <c r="Q59244" s="8"/>
      <c r="R59244" s="103"/>
      <c r="S59244" s="8"/>
      <c r="T59244" s="8"/>
      <c r="U59244" s="8"/>
      <c r="V59244" s="8"/>
      <c r="W59244" s="8"/>
      <c r="X59244" s="8"/>
      <c r="Y59244" s="8"/>
      <c r="Z59244" s="8"/>
      <c r="AA59244" s="8"/>
    </row>
    <row r="59245" spans="1:27" x14ac:dyDescent="0.25">
      <c r="A59245" s="8"/>
      <c r="B59245" s="8"/>
      <c r="C59245" s="99"/>
      <c r="D59245" s="8"/>
      <c r="E59245" s="8"/>
      <c r="F59245" s="8"/>
      <c r="G59245" s="8"/>
      <c r="H59245" s="8"/>
      <c r="I59245" s="102"/>
      <c r="J59245" s="8"/>
      <c r="K59245" s="8"/>
      <c r="L59245" s="8"/>
      <c r="M59245" s="8"/>
      <c r="N59245" s="8"/>
      <c r="O59245" s="8"/>
      <c r="P59245" s="8"/>
      <c r="Q59245" s="8"/>
      <c r="R59245" s="103"/>
      <c r="S59245" s="8"/>
      <c r="T59245" s="8"/>
      <c r="U59245" s="8"/>
      <c r="V59245" s="8"/>
      <c r="W59245" s="8"/>
      <c r="X59245" s="8"/>
      <c r="Y59245" s="8"/>
      <c r="Z59245" s="8"/>
      <c r="AA59245" s="8"/>
    </row>
    <row r="59246" spans="1:27" x14ac:dyDescent="0.25">
      <c r="A59246" s="8"/>
      <c r="B59246" s="8"/>
      <c r="C59246" s="99"/>
      <c r="D59246" s="8"/>
      <c r="E59246" s="8"/>
      <c r="F59246" s="8"/>
      <c r="G59246" s="8"/>
      <c r="H59246" s="8"/>
      <c r="I59246" s="102"/>
      <c r="J59246" s="8"/>
      <c r="K59246" s="8"/>
      <c r="L59246" s="8"/>
      <c r="M59246" s="8"/>
      <c r="N59246" s="8"/>
      <c r="O59246" s="8"/>
      <c r="P59246" s="8"/>
      <c r="Q59246" s="8"/>
      <c r="R59246" s="103"/>
      <c r="S59246" s="8"/>
      <c r="T59246" s="8"/>
      <c r="U59246" s="8"/>
      <c r="V59246" s="8"/>
      <c r="W59246" s="8"/>
      <c r="X59246" s="8"/>
      <c r="Y59246" s="8"/>
      <c r="Z59246" s="8"/>
      <c r="AA59246" s="8"/>
    </row>
    <row r="59247" spans="1:27" x14ac:dyDescent="0.25">
      <c r="A59247" s="8"/>
      <c r="B59247" s="8"/>
      <c r="C59247" s="99"/>
      <c r="D59247" s="8"/>
      <c r="E59247" s="8"/>
      <c r="F59247" s="8"/>
      <c r="G59247" s="8"/>
      <c r="H59247" s="8"/>
      <c r="I59247" s="102"/>
      <c r="J59247" s="8"/>
      <c r="K59247" s="8"/>
      <c r="L59247" s="8"/>
      <c r="M59247" s="8"/>
      <c r="N59247" s="8"/>
      <c r="O59247" s="8"/>
      <c r="P59247" s="8"/>
      <c r="Q59247" s="8"/>
      <c r="R59247" s="103"/>
      <c r="S59247" s="8"/>
      <c r="T59247" s="8"/>
      <c r="U59247" s="8"/>
      <c r="V59247" s="8"/>
      <c r="W59247" s="8"/>
      <c r="X59247" s="8"/>
      <c r="Y59247" s="8"/>
      <c r="Z59247" s="8"/>
      <c r="AA59247" s="8"/>
    </row>
    <row r="59248" spans="1:27" x14ac:dyDescent="0.25">
      <c r="A59248" s="8"/>
      <c r="B59248" s="8"/>
      <c r="C59248" s="99"/>
      <c r="D59248" s="8"/>
      <c r="E59248" s="8"/>
      <c r="F59248" s="8"/>
      <c r="G59248" s="8"/>
      <c r="H59248" s="8"/>
      <c r="I59248" s="102"/>
      <c r="J59248" s="8"/>
      <c r="K59248" s="8"/>
      <c r="L59248" s="8"/>
      <c r="M59248" s="8"/>
      <c r="N59248" s="8"/>
      <c r="O59248" s="8"/>
      <c r="P59248" s="8"/>
      <c r="Q59248" s="8"/>
      <c r="R59248" s="103"/>
      <c r="S59248" s="8"/>
      <c r="T59248" s="8"/>
      <c r="U59248" s="8"/>
      <c r="V59248" s="8"/>
      <c r="W59248" s="8"/>
      <c r="X59248" s="8"/>
      <c r="Y59248" s="8"/>
      <c r="Z59248" s="8"/>
      <c r="AA59248" s="8"/>
    </row>
    <row r="59249" spans="1:27" x14ac:dyDescent="0.25">
      <c r="A59249" s="8"/>
      <c r="B59249" s="8"/>
      <c r="C59249" s="99"/>
      <c r="D59249" s="8"/>
      <c r="E59249" s="8"/>
      <c r="F59249" s="8"/>
      <c r="G59249" s="8"/>
      <c r="H59249" s="8"/>
      <c r="I59249" s="102"/>
      <c r="J59249" s="8"/>
      <c r="K59249" s="8"/>
      <c r="L59249" s="8"/>
      <c r="M59249" s="8"/>
      <c r="N59249" s="8"/>
      <c r="O59249" s="8"/>
      <c r="P59249" s="8"/>
      <c r="Q59249" s="8"/>
      <c r="R59249" s="103"/>
      <c r="S59249" s="8"/>
      <c r="T59249" s="8"/>
      <c r="U59249" s="8"/>
      <c r="V59249" s="8"/>
      <c r="W59249" s="8"/>
      <c r="X59249" s="8"/>
      <c r="Y59249" s="8"/>
      <c r="Z59249" s="8"/>
      <c r="AA59249" s="8"/>
    </row>
    <row r="59250" spans="1:27" x14ac:dyDescent="0.25">
      <c r="A59250" s="8"/>
      <c r="B59250" s="8"/>
      <c r="C59250" s="99"/>
      <c r="D59250" s="8"/>
      <c r="E59250" s="8"/>
      <c r="F59250" s="8"/>
      <c r="G59250" s="8"/>
      <c r="H59250" s="8"/>
      <c r="I59250" s="102"/>
      <c r="J59250" s="8"/>
      <c r="K59250" s="8"/>
      <c r="L59250" s="8"/>
      <c r="M59250" s="8"/>
      <c r="N59250" s="8"/>
      <c r="O59250" s="8"/>
      <c r="P59250" s="8"/>
      <c r="Q59250" s="8"/>
      <c r="R59250" s="103"/>
      <c r="S59250" s="8"/>
      <c r="T59250" s="8"/>
      <c r="U59250" s="8"/>
      <c r="V59250" s="8"/>
      <c r="W59250" s="8"/>
      <c r="X59250" s="8"/>
      <c r="Y59250" s="8"/>
      <c r="Z59250" s="8"/>
      <c r="AA59250" s="8"/>
    </row>
    <row r="59251" spans="1:27" x14ac:dyDescent="0.25">
      <c r="A59251" s="8"/>
      <c r="B59251" s="8"/>
      <c r="C59251" s="99"/>
      <c r="D59251" s="8"/>
      <c r="E59251" s="8"/>
      <c r="F59251" s="8"/>
      <c r="G59251" s="8"/>
      <c r="H59251" s="8"/>
      <c r="I59251" s="102"/>
      <c r="J59251" s="8"/>
      <c r="K59251" s="8"/>
      <c r="L59251" s="8"/>
      <c r="M59251" s="8"/>
      <c r="N59251" s="8"/>
      <c r="O59251" s="8"/>
      <c r="P59251" s="8"/>
      <c r="Q59251" s="8"/>
      <c r="R59251" s="103"/>
      <c r="S59251" s="8"/>
      <c r="T59251" s="8"/>
      <c r="U59251" s="8"/>
      <c r="V59251" s="8"/>
      <c r="W59251" s="8"/>
      <c r="X59251" s="8"/>
      <c r="Y59251" s="8"/>
      <c r="Z59251" s="8"/>
      <c r="AA59251" s="8"/>
    </row>
    <row r="59252" spans="1:27" x14ac:dyDescent="0.25">
      <c r="A59252" s="8"/>
      <c r="B59252" s="8"/>
      <c r="C59252" s="99"/>
      <c r="D59252" s="8"/>
      <c r="E59252" s="8"/>
      <c r="F59252" s="8"/>
      <c r="G59252" s="8"/>
      <c r="H59252" s="8"/>
      <c r="I59252" s="102"/>
      <c r="J59252" s="8"/>
      <c r="K59252" s="8"/>
      <c r="L59252" s="8"/>
      <c r="M59252" s="8"/>
      <c r="N59252" s="8"/>
      <c r="O59252" s="8"/>
      <c r="P59252" s="8"/>
      <c r="Q59252" s="8"/>
      <c r="R59252" s="103"/>
      <c r="S59252" s="8"/>
      <c r="T59252" s="8"/>
      <c r="U59252" s="8"/>
      <c r="V59252" s="8"/>
      <c r="W59252" s="8"/>
      <c r="X59252" s="8"/>
      <c r="Y59252" s="8"/>
      <c r="Z59252" s="8"/>
      <c r="AA59252" s="8"/>
    </row>
    <row r="59253" spans="1:27" x14ac:dyDescent="0.25">
      <c r="A59253" s="8"/>
      <c r="B59253" s="8"/>
      <c r="C59253" s="99"/>
      <c r="D59253" s="8"/>
      <c r="E59253" s="8"/>
      <c r="F59253" s="8"/>
      <c r="G59253" s="8"/>
      <c r="H59253" s="8"/>
      <c r="I59253" s="102"/>
      <c r="J59253" s="8"/>
      <c r="K59253" s="8"/>
      <c r="L59253" s="8"/>
      <c r="M59253" s="8"/>
      <c r="N59253" s="8"/>
      <c r="O59253" s="8"/>
      <c r="P59253" s="8"/>
      <c r="Q59253" s="8"/>
      <c r="R59253" s="103"/>
      <c r="S59253" s="8"/>
      <c r="T59253" s="8"/>
      <c r="U59253" s="8"/>
      <c r="V59253" s="8"/>
      <c r="W59253" s="8"/>
      <c r="X59253" s="8"/>
      <c r="Y59253" s="8"/>
      <c r="Z59253" s="8"/>
      <c r="AA59253" s="8"/>
    </row>
    <row r="59254" spans="1:27" x14ac:dyDescent="0.25">
      <c r="A59254" s="8"/>
      <c r="B59254" s="8"/>
      <c r="C59254" s="99"/>
      <c r="D59254" s="8"/>
      <c r="E59254" s="8"/>
      <c r="F59254" s="8"/>
      <c r="G59254" s="8"/>
      <c r="H59254" s="8"/>
      <c r="I59254" s="102"/>
      <c r="J59254" s="8"/>
      <c r="K59254" s="8"/>
      <c r="L59254" s="8"/>
      <c r="M59254" s="8"/>
      <c r="N59254" s="8"/>
      <c r="O59254" s="8"/>
      <c r="P59254" s="8"/>
      <c r="Q59254" s="8"/>
      <c r="R59254" s="103"/>
      <c r="S59254" s="8"/>
      <c r="T59254" s="8"/>
      <c r="U59254" s="8"/>
      <c r="V59254" s="8"/>
      <c r="W59254" s="8"/>
      <c r="X59254" s="8"/>
      <c r="Y59254" s="8"/>
      <c r="Z59254" s="8"/>
      <c r="AA59254" s="8"/>
    </row>
    <row r="59255" spans="1:27" x14ac:dyDescent="0.25">
      <c r="A59255" s="8"/>
      <c r="B59255" s="8"/>
      <c r="C59255" s="99"/>
      <c r="D59255" s="8"/>
      <c r="E59255" s="8"/>
      <c r="F59255" s="8"/>
      <c r="G59255" s="8"/>
      <c r="H59255" s="8"/>
      <c r="I59255" s="102"/>
      <c r="J59255" s="8"/>
      <c r="K59255" s="8"/>
      <c r="L59255" s="8"/>
      <c r="M59255" s="8"/>
      <c r="N59255" s="8"/>
      <c r="O59255" s="8"/>
      <c r="P59255" s="8"/>
      <c r="Q59255" s="8"/>
      <c r="R59255" s="103"/>
      <c r="S59255" s="8"/>
      <c r="T59255" s="8"/>
      <c r="U59255" s="8"/>
      <c r="V59255" s="8"/>
      <c r="W59255" s="8"/>
      <c r="X59255" s="8"/>
      <c r="Y59255" s="8"/>
      <c r="Z59255" s="8"/>
      <c r="AA59255" s="8"/>
    </row>
    <row r="59256" spans="1:27" x14ac:dyDescent="0.25">
      <c r="A59256" s="8"/>
      <c r="B59256" s="8"/>
      <c r="C59256" s="99"/>
      <c r="D59256" s="8"/>
      <c r="E59256" s="8"/>
      <c r="F59256" s="8"/>
      <c r="G59256" s="8"/>
      <c r="H59256" s="8"/>
      <c r="I59256" s="102"/>
      <c r="J59256" s="8"/>
      <c r="K59256" s="8"/>
      <c r="L59256" s="8"/>
      <c r="M59256" s="8"/>
      <c r="N59256" s="8"/>
      <c r="O59256" s="8"/>
      <c r="P59256" s="8"/>
      <c r="Q59256" s="8"/>
      <c r="R59256" s="103"/>
      <c r="S59256" s="8"/>
      <c r="T59256" s="8"/>
      <c r="U59256" s="8"/>
      <c r="V59256" s="8"/>
      <c r="W59256" s="8"/>
      <c r="X59256" s="8"/>
      <c r="Y59256" s="8"/>
      <c r="Z59256" s="8"/>
      <c r="AA59256" s="8"/>
    </row>
    <row r="59257" spans="1:27" x14ac:dyDescent="0.25">
      <c r="A59257" s="8"/>
      <c r="B59257" s="8"/>
      <c r="C59257" s="99"/>
      <c r="D59257" s="8"/>
      <c r="E59257" s="8"/>
      <c r="F59257" s="8"/>
      <c r="G59257" s="8"/>
      <c r="H59257" s="8"/>
      <c r="I59257" s="102"/>
      <c r="J59257" s="8"/>
      <c r="K59257" s="8"/>
      <c r="L59257" s="8"/>
      <c r="M59257" s="8"/>
      <c r="N59257" s="8"/>
      <c r="O59257" s="8"/>
      <c r="P59257" s="8"/>
      <c r="Q59257" s="8"/>
      <c r="R59257" s="103"/>
      <c r="S59257" s="8"/>
      <c r="T59257" s="8"/>
      <c r="U59257" s="8"/>
      <c r="V59257" s="8"/>
      <c r="W59257" s="8"/>
      <c r="X59257" s="8"/>
      <c r="Y59257" s="8"/>
      <c r="Z59257" s="8"/>
      <c r="AA59257" s="8"/>
    </row>
    <row r="59258" spans="1:27" x14ac:dyDescent="0.25">
      <c r="A59258" s="8"/>
      <c r="B59258" s="8"/>
      <c r="C59258" s="99"/>
      <c r="D59258" s="8"/>
      <c r="E59258" s="8"/>
      <c r="F59258" s="8"/>
      <c r="G59258" s="8"/>
      <c r="H59258" s="8"/>
      <c r="I59258" s="102"/>
      <c r="J59258" s="8"/>
      <c r="K59258" s="8"/>
      <c r="L59258" s="8"/>
      <c r="M59258" s="8"/>
      <c r="N59258" s="8"/>
      <c r="O59258" s="8"/>
      <c r="P59258" s="8"/>
      <c r="Q59258" s="8"/>
      <c r="R59258" s="103"/>
      <c r="S59258" s="8"/>
      <c r="T59258" s="8"/>
      <c r="U59258" s="8"/>
      <c r="V59258" s="8"/>
      <c r="W59258" s="8"/>
      <c r="X59258" s="8"/>
      <c r="Y59258" s="8"/>
      <c r="Z59258" s="8"/>
      <c r="AA59258" s="8"/>
    </row>
    <row r="59259" spans="1:27" x14ac:dyDescent="0.25">
      <c r="A59259" s="8"/>
      <c r="B59259" s="8"/>
      <c r="C59259" s="99"/>
      <c r="D59259" s="8"/>
      <c r="E59259" s="8"/>
      <c r="F59259" s="8"/>
      <c r="G59259" s="8"/>
      <c r="H59259" s="8"/>
      <c r="I59259" s="102"/>
      <c r="J59259" s="8"/>
      <c r="K59259" s="8"/>
      <c r="L59259" s="8"/>
      <c r="M59259" s="8"/>
      <c r="N59259" s="8"/>
      <c r="O59259" s="8"/>
      <c r="P59259" s="8"/>
      <c r="Q59259" s="8"/>
      <c r="R59259" s="103"/>
      <c r="S59259" s="8"/>
      <c r="T59259" s="8"/>
      <c r="U59259" s="8"/>
      <c r="V59259" s="8"/>
      <c r="W59259" s="8"/>
      <c r="X59259" s="8"/>
      <c r="Y59259" s="8"/>
      <c r="Z59259" s="8"/>
      <c r="AA59259" s="8"/>
    </row>
    <row r="59260" spans="1:27" x14ac:dyDescent="0.25">
      <c r="A59260" s="8"/>
      <c r="B59260" s="8"/>
      <c r="C59260" s="99"/>
      <c r="D59260" s="8"/>
      <c r="E59260" s="8"/>
      <c r="F59260" s="8"/>
      <c r="G59260" s="8"/>
      <c r="H59260" s="8"/>
      <c r="I59260" s="102"/>
      <c r="J59260" s="8"/>
      <c r="K59260" s="8"/>
      <c r="L59260" s="8"/>
      <c r="M59260" s="8"/>
      <c r="N59260" s="8"/>
      <c r="O59260" s="8"/>
      <c r="P59260" s="8"/>
      <c r="Q59260" s="8"/>
      <c r="R59260" s="103"/>
      <c r="S59260" s="8"/>
      <c r="T59260" s="8"/>
      <c r="U59260" s="8"/>
      <c r="V59260" s="8"/>
      <c r="W59260" s="8"/>
      <c r="X59260" s="8"/>
      <c r="Y59260" s="8"/>
      <c r="Z59260" s="8"/>
      <c r="AA59260" s="8"/>
    </row>
    <row r="59261" spans="1:27" x14ac:dyDescent="0.25">
      <c r="A59261" s="8"/>
      <c r="B59261" s="8"/>
      <c r="C59261" s="99"/>
      <c r="D59261" s="8"/>
      <c r="E59261" s="8"/>
      <c r="F59261" s="8"/>
      <c r="G59261" s="8"/>
      <c r="H59261" s="8"/>
      <c r="I59261" s="102"/>
      <c r="J59261" s="8"/>
      <c r="K59261" s="8"/>
      <c r="L59261" s="8"/>
      <c r="M59261" s="8"/>
      <c r="N59261" s="8"/>
      <c r="O59261" s="8"/>
      <c r="P59261" s="8"/>
      <c r="Q59261" s="8"/>
      <c r="R59261" s="103"/>
      <c r="S59261" s="8"/>
      <c r="T59261" s="8"/>
      <c r="U59261" s="8"/>
      <c r="V59261" s="8"/>
      <c r="W59261" s="8"/>
      <c r="X59261" s="8"/>
      <c r="Y59261" s="8"/>
      <c r="Z59261" s="8"/>
      <c r="AA59261" s="8"/>
    </row>
    <row r="59262" spans="1:27" x14ac:dyDescent="0.25">
      <c r="A59262" s="8"/>
      <c r="B59262" s="8"/>
      <c r="C59262" s="99"/>
      <c r="D59262" s="8"/>
      <c r="E59262" s="8"/>
      <c r="F59262" s="8"/>
      <c r="G59262" s="8"/>
      <c r="H59262" s="8"/>
      <c r="I59262" s="102"/>
      <c r="J59262" s="8"/>
      <c r="K59262" s="8"/>
      <c r="L59262" s="8"/>
      <c r="M59262" s="8"/>
      <c r="N59262" s="8"/>
      <c r="O59262" s="8"/>
      <c r="P59262" s="8"/>
      <c r="Q59262" s="8"/>
      <c r="R59262" s="103"/>
      <c r="S59262" s="8"/>
      <c r="T59262" s="8"/>
      <c r="U59262" s="8"/>
      <c r="V59262" s="8"/>
      <c r="W59262" s="8"/>
      <c r="X59262" s="8"/>
      <c r="Y59262" s="8"/>
      <c r="Z59262" s="8"/>
      <c r="AA59262" s="8"/>
    </row>
    <row r="59263" spans="1:27" x14ac:dyDescent="0.25">
      <c r="A59263" s="8"/>
      <c r="B59263" s="8"/>
      <c r="C59263" s="99"/>
      <c r="D59263" s="8"/>
      <c r="E59263" s="8"/>
      <c r="F59263" s="8"/>
      <c r="G59263" s="8"/>
      <c r="H59263" s="8"/>
      <c r="I59263" s="102"/>
      <c r="J59263" s="8"/>
      <c r="K59263" s="8"/>
      <c r="L59263" s="8"/>
      <c r="M59263" s="8"/>
      <c r="N59263" s="8"/>
      <c r="O59263" s="8"/>
      <c r="P59263" s="8"/>
      <c r="Q59263" s="8"/>
      <c r="R59263" s="103"/>
      <c r="S59263" s="8"/>
      <c r="T59263" s="8"/>
      <c r="U59263" s="8"/>
      <c r="V59263" s="8"/>
      <c r="W59263" s="8"/>
      <c r="X59263" s="8"/>
      <c r="Y59263" s="8"/>
      <c r="Z59263" s="8"/>
      <c r="AA59263" s="8"/>
    </row>
    <row r="59264" spans="1:27" x14ac:dyDescent="0.25">
      <c r="A59264" s="8"/>
      <c r="B59264" s="8"/>
      <c r="C59264" s="99"/>
      <c r="D59264" s="8"/>
      <c r="E59264" s="8"/>
      <c r="F59264" s="8"/>
      <c r="G59264" s="8"/>
      <c r="H59264" s="8"/>
      <c r="I59264" s="102"/>
      <c r="J59264" s="8"/>
      <c r="K59264" s="8"/>
      <c r="L59264" s="8"/>
      <c r="M59264" s="8"/>
      <c r="N59264" s="8"/>
      <c r="O59264" s="8"/>
      <c r="P59264" s="8"/>
      <c r="Q59264" s="8"/>
      <c r="R59264" s="103"/>
      <c r="S59264" s="8"/>
      <c r="T59264" s="8"/>
      <c r="U59264" s="8"/>
      <c r="V59264" s="8"/>
      <c r="W59264" s="8"/>
      <c r="X59264" s="8"/>
      <c r="Y59264" s="8"/>
      <c r="Z59264" s="8"/>
      <c r="AA59264" s="8"/>
    </row>
    <row r="59265" spans="1:27" x14ac:dyDescent="0.25">
      <c r="A59265" s="8"/>
      <c r="B59265" s="8"/>
      <c r="C59265" s="99"/>
      <c r="D59265" s="8"/>
      <c r="E59265" s="8"/>
      <c r="F59265" s="8"/>
      <c r="G59265" s="8"/>
      <c r="H59265" s="8"/>
      <c r="I59265" s="102"/>
      <c r="J59265" s="8"/>
      <c r="K59265" s="8"/>
      <c r="L59265" s="8"/>
      <c r="M59265" s="8"/>
      <c r="N59265" s="8"/>
      <c r="O59265" s="8"/>
      <c r="P59265" s="8"/>
      <c r="Q59265" s="8"/>
      <c r="R59265" s="103"/>
      <c r="S59265" s="8"/>
      <c r="T59265" s="8"/>
      <c r="U59265" s="8"/>
      <c r="V59265" s="8"/>
      <c r="W59265" s="8"/>
      <c r="X59265" s="8"/>
      <c r="Y59265" s="8"/>
      <c r="Z59265" s="8"/>
      <c r="AA59265" s="8"/>
    </row>
    <row r="59266" spans="1:27" x14ac:dyDescent="0.25">
      <c r="A59266" s="8"/>
      <c r="B59266" s="8"/>
      <c r="C59266" s="99"/>
      <c r="D59266" s="8"/>
      <c r="E59266" s="8"/>
      <c r="F59266" s="8"/>
      <c r="G59266" s="8"/>
      <c r="H59266" s="8"/>
      <c r="I59266" s="102"/>
      <c r="J59266" s="8"/>
      <c r="K59266" s="8"/>
      <c r="L59266" s="8"/>
      <c r="M59266" s="8"/>
      <c r="N59266" s="8"/>
      <c r="O59266" s="8"/>
      <c r="P59266" s="8"/>
      <c r="Q59266" s="8"/>
      <c r="R59266" s="103"/>
      <c r="S59266" s="8"/>
      <c r="T59266" s="8"/>
      <c r="U59266" s="8"/>
      <c r="V59266" s="8"/>
      <c r="W59266" s="8"/>
      <c r="X59266" s="8"/>
      <c r="Y59266" s="8"/>
      <c r="Z59266" s="8"/>
      <c r="AA59266" s="8"/>
    </row>
    <row r="59267" spans="1:27" x14ac:dyDescent="0.25">
      <c r="A59267" s="8"/>
      <c r="B59267" s="8"/>
      <c r="C59267" s="99"/>
      <c r="D59267" s="8"/>
      <c r="E59267" s="8"/>
      <c r="F59267" s="8"/>
      <c r="G59267" s="8"/>
      <c r="H59267" s="8"/>
      <c r="I59267" s="102"/>
      <c r="J59267" s="8"/>
      <c r="K59267" s="8"/>
      <c r="L59267" s="8"/>
      <c r="M59267" s="8"/>
      <c r="N59267" s="8"/>
      <c r="O59267" s="8"/>
      <c r="P59267" s="8"/>
      <c r="Q59267" s="8"/>
      <c r="R59267" s="103"/>
      <c r="S59267" s="8"/>
      <c r="T59267" s="8"/>
      <c r="U59267" s="8"/>
      <c r="V59267" s="8"/>
      <c r="W59267" s="8"/>
      <c r="X59267" s="8"/>
      <c r="Y59267" s="8"/>
      <c r="Z59267" s="8"/>
      <c r="AA59267" s="8"/>
    </row>
    <row r="59268" spans="1:27" x14ac:dyDescent="0.25">
      <c r="A59268" s="8"/>
      <c r="B59268" s="8"/>
      <c r="C59268" s="99"/>
      <c r="D59268" s="8"/>
      <c r="E59268" s="8"/>
      <c r="F59268" s="8"/>
      <c r="G59268" s="8"/>
      <c r="H59268" s="8"/>
      <c r="I59268" s="102"/>
      <c r="J59268" s="8"/>
      <c r="K59268" s="8"/>
      <c r="L59268" s="8"/>
      <c r="M59268" s="8"/>
      <c r="N59268" s="8"/>
      <c r="O59268" s="8"/>
      <c r="P59268" s="8"/>
      <c r="Q59268" s="8"/>
      <c r="R59268" s="103"/>
      <c r="S59268" s="8"/>
      <c r="T59268" s="8"/>
      <c r="U59268" s="8"/>
      <c r="V59268" s="8"/>
      <c r="W59268" s="8"/>
      <c r="X59268" s="8"/>
      <c r="Y59268" s="8"/>
      <c r="Z59268" s="8"/>
      <c r="AA59268" s="8"/>
    </row>
    <row r="59269" spans="1:27" x14ac:dyDescent="0.25">
      <c r="A59269" s="8"/>
      <c r="B59269" s="8"/>
      <c r="C59269" s="99"/>
      <c r="D59269" s="8"/>
      <c r="E59269" s="8"/>
      <c r="F59269" s="8"/>
      <c r="G59269" s="8"/>
      <c r="H59269" s="8"/>
      <c r="I59269" s="102"/>
      <c r="J59269" s="8"/>
      <c r="K59269" s="8"/>
      <c r="L59269" s="8"/>
      <c r="M59269" s="8"/>
      <c r="N59269" s="8"/>
      <c r="O59269" s="8"/>
      <c r="P59269" s="8"/>
      <c r="Q59269" s="8"/>
      <c r="R59269" s="103"/>
      <c r="S59269" s="8"/>
      <c r="T59269" s="8"/>
      <c r="U59269" s="8"/>
      <c r="V59269" s="8"/>
      <c r="W59269" s="8"/>
      <c r="X59269" s="8"/>
      <c r="Y59269" s="8"/>
      <c r="Z59269" s="8"/>
      <c r="AA59269" s="8"/>
    </row>
    <row r="59270" spans="1:27" x14ac:dyDescent="0.25">
      <c r="A59270" s="8"/>
      <c r="B59270" s="8"/>
      <c r="C59270" s="99"/>
      <c r="D59270" s="8"/>
      <c r="E59270" s="8"/>
      <c r="F59270" s="8"/>
      <c r="G59270" s="8"/>
      <c r="H59270" s="8"/>
      <c r="I59270" s="102"/>
      <c r="J59270" s="8"/>
      <c r="K59270" s="8"/>
      <c r="L59270" s="8"/>
      <c r="M59270" s="8"/>
      <c r="N59270" s="8"/>
      <c r="O59270" s="8"/>
      <c r="P59270" s="8"/>
      <c r="Q59270" s="8"/>
      <c r="R59270" s="103"/>
      <c r="S59270" s="8"/>
      <c r="T59270" s="8"/>
      <c r="U59270" s="8"/>
      <c r="V59270" s="8"/>
      <c r="W59270" s="8"/>
      <c r="X59270" s="8"/>
      <c r="Y59270" s="8"/>
      <c r="Z59270" s="8"/>
      <c r="AA59270" s="8"/>
    </row>
    <row r="59271" spans="1:27" x14ac:dyDescent="0.25">
      <c r="A59271" s="8"/>
      <c r="B59271" s="8"/>
      <c r="C59271" s="99"/>
      <c r="D59271" s="8"/>
      <c r="E59271" s="8"/>
      <c r="F59271" s="8"/>
      <c r="G59271" s="8"/>
      <c r="H59271" s="8"/>
      <c r="I59271" s="102"/>
      <c r="J59271" s="8"/>
      <c r="K59271" s="8"/>
      <c r="L59271" s="8"/>
      <c r="M59271" s="8"/>
      <c r="N59271" s="8"/>
      <c r="O59271" s="8"/>
      <c r="P59271" s="8"/>
      <c r="Q59271" s="8"/>
      <c r="R59271" s="103"/>
      <c r="S59271" s="8"/>
      <c r="T59271" s="8"/>
      <c r="U59271" s="8"/>
      <c r="V59271" s="8"/>
      <c r="W59271" s="8"/>
      <c r="X59271" s="8"/>
      <c r="Y59271" s="8"/>
      <c r="Z59271" s="8"/>
      <c r="AA59271" s="8"/>
    </row>
    <row r="59272" spans="1:27" x14ac:dyDescent="0.25">
      <c r="A59272" s="8"/>
      <c r="B59272" s="8"/>
      <c r="C59272" s="99"/>
      <c r="D59272" s="8"/>
      <c r="E59272" s="8"/>
      <c r="F59272" s="8"/>
      <c r="G59272" s="8"/>
      <c r="H59272" s="8"/>
      <c r="I59272" s="102"/>
      <c r="J59272" s="8"/>
      <c r="K59272" s="8"/>
      <c r="L59272" s="8"/>
      <c r="M59272" s="8"/>
      <c r="N59272" s="8"/>
      <c r="O59272" s="8"/>
      <c r="P59272" s="8"/>
      <c r="Q59272" s="8"/>
      <c r="R59272" s="103"/>
      <c r="S59272" s="8"/>
      <c r="T59272" s="8"/>
      <c r="U59272" s="8"/>
      <c r="V59272" s="8"/>
      <c r="W59272" s="8"/>
      <c r="X59272" s="8"/>
      <c r="Y59272" s="8"/>
      <c r="Z59272" s="8"/>
      <c r="AA59272" s="8"/>
    </row>
    <row r="59273" spans="1:27" x14ac:dyDescent="0.25">
      <c r="A59273" s="8"/>
      <c r="B59273" s="8"/>
      <c r="C59273" s="99"/>
      <c r="D59273" s="8"/>
      <c r="E59273" s="8"/>
      <c r="F59273" s="8"/>
      <c r="G59273" s="8"/>
      <c r="H59273" s="8"/>
      <c r="I59273" s="102"/>
      <c r="J59273" s="8"/>
      <c r="K59273" s="8"/>
      <c r="L59273" s="8"/>
      <c r="M59273" s="8"/>
      <c r="N59273" s="8"/>
      <c r="O59273" s="8"/>
      <c r="P59273" s="8"/>
      <c r="Q59273" s="8"/>
      <c r="R59273" s="103"/>
      <c r="S59273" s="8"/>
      <c r="T59273" s="8"/>
      <c r="U59273" s="8"/>
      <c r="V59273" s="8"/>
      <c r="W59273" s="8"/>
      <c r="X59273" s="8"/>
      <c r="Y59273" s="8"/>
      <c r="Z59273" s="8"/>
      <c r="AA59273" s="8"/>
    </row>
    <row r="59274" spans="1:27" x14ac:dyDescent="0.25">
      <c r="A59274" s="8"/>
      <c r="B59274" s="8"/>
      <c r="C59274" s="99"/>
      <c r="D59274" s="8"/>
      <c r="E59274" s="8"/>
      <c r="F59274" s="8"/>
      <c r="G59274" s="8"/>
      <c r="H59274" s="8"/>
      <c r="I59274" s="102"/>
      <c r="J59274" s="8"/>
      <c r="K59274" s="8"/>
      <c r="L59274" s="8"/>
      <c r="M59274" s="8"/>
      <c r="N59274" s="8"/>
      <c r="O59274" s="8"/>
      <c r="P59274" s="8"/>
      <c r="Q59274" s="8"/>
      <c r="R59274" s="103"/>
      <c r="S59274" s="8"/>
      <c r="T59274" s="8"/>
      <c r="U59274" s="8"/>
      <c r="V59274" s="8"/>
      <c r="W59274" s="8"/>
      <c r="X59274" s="8"/>
      <c r="Y59274" s="8"/>
      <c r="Z59274" s="8"/>
      <c r="AA59274" s="8"/>
    </row>
    <row r="59275" spans="1:27" x14ac:dyDescent="0.25">
      <c r="A59275" s="8"/>
      <c r="B59275" s="8"/>
      <c r="C59275" s="99"/>
      <c r="D59275" s="8"/>
      <c r="E59275" s="8"/>
      <c r="F59275" s="8"/>
      <c r="G59275" s="8"/>
      <c r="H59275" s="8"/>
      <c r="I59275" s="102"/>
      <c r="J59275" s="8"/>
      <c r="K59275" s="8"/>
      <c r="L59275" s="8"/>
      <c r="M59275" s="8"/>
      <c r="N59275" s="8"/>
      <c r="O59275" s="8"/>
      <c r="P59275" s="8"/>
      <c r="Q59275" s="8"/>
      <c r="R59275" s="103"/>
      <c r="S59275" s="8"/>
      <c r="T59275" s="8"/>
      <c r="U59275" s="8"/>
      <c r="V59275" s="8"/>
      <c r="W59275" s="8"/>
      <c r="X59275" s="8"/>
      <c r="Y59275" s="8"/>
      <c r="Z59275" s="8"/>
      <c r="AA59275" s="8"/>
    </row>
    <row r="59276" spans="1:27" x14ac:dyDescent="0.25">
      <c r="A59276" s="8"/>
      <c r="B59276" s="8"/>
      <c r="C59276" s="99"/>
      <c r="D59276" s="8"/>
      <c r="E59276" s="8"/>
      <c r="F59276" s="8"/>
      <c r="G59276" s="8"/>
      <c r="H59276" s="8"/>
      <c r="I59276" s="102"/>
      <c r="J59276" s="8"/>
      <c r="K59276" s="8"/>
      <c r="L59276" s="8"/>
      <c r="M59276" s="8"/>
      <c r="N59276" s="8"/>
      <c r="O59276" s="8"/>
      <c r="P59276" s="8"/>
      <c r="Q59276" s="8"/>
      <c r="R59276" s="103"/>
      <c r="S59276" s="8"/>
      <c r="T59276" s="8"/>
      <c r="U59276" s="8"/>
      <c r="V59276" s="8"/>
      <c r="W59276" s="8"/>
      <c r="X59276" s="8"/>
      <c r="Y59276" s="8"/>
      <c r="Z59276" s="8"/>
      <c r="AA59276" s="8"/>
    </row>
    <row r="59277" spans="1:27" x14ac:dyDescent="0.25">
      <c r="A59277" s="8"/>
      <c r="B59277" s="8"/>
      <c r="C59277" s="99"/>
      <c r="D59277" s="8"/>
      <c r="E59277" s="8"/>
      <c r="F59277" s="8"/>
      <c r="G59277" s="8"/>
      <c r="H59277" s="8"/>
      <c r="I59277" s="102"/>
      <c r="J59277" s="8"/>
      <c r="K59277" s="8"/>
      <c r="L59277" s="8"/>
      <c r="M59277" s="8"/>
      <c r="N59277" s="8"/>
      <c r="O59277" s="8"/>
      <c r="P59277" s="8"/>
      <c r="Q59277" s="8"/>
      <c r="R59277" s="103"/>
      <c r="S59277" s="8"/>
      <c r="T59277" s="8"/>
      <c r="U59277" s="8"/>
      <c r="V59277" s="8"/>
      <c r="W59277" s="8"/>
      <c r="X59277" s="8"/>
      <c r="Y59277" s="8"/>
      <c r="Z59277" s="8"/>
      <c r="AA59277" s="8"/>
    </row>
    <row r="59278" spans="1:27" x14ac:dyDescent="0.25">
      <c r="A59278" s="8"/>
      <c r="B59278" s="8"/>
      <c r="C59278" s="99"/>
      <c r="D59278" s="8"/>
      <c r="E59278" s="8"/>
      <c r="F59278" s="8"/>
      <c r="G59278" s="8"/>
      <c r="H59278" s="8"/>
      <c r="I59278" s="102"/>
      <c r="J59278" s="8"/>
      <c r="K59278" s="8"/>
      <c r="L59278" s="8"/>
      <c r="M59278" s="8"/>
      <c r="N59278" s="8"/>
      <c r="O59278" s="8"/>
      <c r="P59278" s="8"/>
      <c r="Q59278" s="8"/>
      <c r="R59278" s="103"/>
      <c r="S59278" s="8"/>
      <c r="T59278" s="8"/>
      <c r="U59278" s="8"/>
      <c r="V59278" s="8"/>
      <c r="W59278" s="8"/>
      <c r="X59278" s="8"/>
      <c r="Y59278" s="8"/>
      <c r="Z59278" s="8"/>
      <c r="AA59278" s="8"/>
    </row>
    <row r="59279" spans="1:27" x14ac:dyDescent="0.25">
      <c r="A59279" s="8"/>
      <c r="B59279" s="8"/>
      <c r="C59279" s="99"/>
      <c r="D59279" s="8"/>
      <c r="E59279" s="8"/>
      <c r="F59279" s="8"/>
      <c r="G59279" s="8"/>
      <c r="H59279" s="8"/>
      <c r="I59279" s="102"/>
      <c r="J59279" s="8"/>
      <c r="K59279" s="8"/>
      <c r="L59279" s="8"/>
      <c r="M59279" s="8"/>
      <c r="N59279" s="8"/>
      <c r="O59279" s="8"/>
      <c r="P59279" s="8"/>
      <c r="Q59279" s="8"/>
      <c r="R59279" s="103"/>
      <c r="S59279" s="8"/>
      <c r="T59279" s="8"/>
      <c r="U59279" s="8"/>
      <c r="V59279" s="8"/>
      <c r="W59279" s="8"/>
      <c r="X59279" s="8"/>
      <c r="Y59279" s="8"/>
      <c r="Z59279" s="8"/>
      <c r="AA59279" s="8"/>
    </row>
    <row r="59280" spans="1:27" x14ac:dyDescent="0.25">
      <c r="A59280" s="8"/>
      <c r="B59280" s="8"/>
      <c r="C59280" s="99"/>
      <c r="D59280" s="8"/>
      <c r="E59280" s="8"/>
      <c r="F59280" s="8"/>
      <c r="G59280" s="8"/>
      <c r="H59280" s="8"/>
      <c r="I59280" s="102"/>
      <c r="J59280" s="8"/>
      <c r="K59280" s="8"/>
      <c r="L59280" s="8"/>
      <c r="M59280" s="8"/>
      <c r="N59280" s="8"/>
      <c r="O59280" s="8"/>
      <c r="P59280" s="8"/>
      <c r="Q59280" s="8"/>
      <c r="R59280" s="103"/>
      <c r="S59280" s="8"/>
      <c r="T59280" s="8"/>
      <c r="U59280" s="8"/>
      <c r="V59280" s="8"/>
      <c r="W59280" s="8"/>
      <c r="X59280" s="8"/>
      <c r="Y59280" s="8"/>
      <c r="Z59280" s="8"/>
      <c r="AA59280" s="8"/>
    </row>
    <row r="59281" spans="1:27" x14ac:dyDescent="0.25">
      <c r="A59281" s="8"/>
      <c r="B59281" s="8"/>
      <c r="C59281" s="99"/>
      <c r="D59281" s="8"/>
      <c r="E59281" s="8"/>
      <c r="F59281" s="8"/>
      <c r="G59281" s="8"/>
      <c r="H59281" s="8"/>
      <c r="I59281" s="102"/>
      <c r="J59281" s="8"/>
      <c r="K59281" s="8"/>
      <c r="L59281" s="8"/>
      <c r="M59281" s="8"/>
      <c r="N59281" s="8"/>
      <c r="O59281" s="8"/>
      <c r="P59281" s="8"/>
      <c r="Q59281" s="8"/>
      <c r="R59281" s="103"/>
      <c r="S59281" s="8"/>
      <c r="T59281" s="8"/>
      <c r="U59281" s="8"/>
      <c r="V59281" s="8"/>
      <c r="W59281" s="8"/>
      <c r="X59281" s="8"/>
      <c r="Y59281" s="8"/>
      <c r="Z59281" s="8"/>
      <c r="AA59281" s="8"/>
    </row>
    <row r="59282" spans="1:27" x14ac:dyDescent="0.25">
      <c r="A59282" s="8"/>
      <c r="B59282" s="8"/>
      <c r="C59282" s="99"/>
      <c r="D59282" s="8"/>
      <c r="E59282" s="8"/>
      <c r="F59282" s="8"/>
      <c r="G59282" s="8"/>
      <c r="H59282" s="8"/>
      <c r="I59282" s="102"/>
      <c r="J59282" s="8"/>
      <c r="K59282" s="8"/>
      <c r="L59282" s="8"/>
      <c r="M59282" s="8"/>
      <c r="N59282" s="8"/>
      <c r="O59282" s="8"/>
      <c r="P59282" s="8"/>
      <c r="Q59282" s="8"/>
      <c r="R59282" s="103"/>
      <c r="S59282" s="8"/>
      <c r="T59282" s="8"/>
      <c r="U59282" s="8"/>
      <c r="V59282" s="8"/>
      <c r="W59282" s="8"/>
      <c r="X59282" s="8"/>
      <c r="Y59282" s="8"/>
      <c r="Z59282" s="8"/>
      <c r="AA59282" s="8"/>
    </row>
    <row r="59283" spans="1:27" x14ac:dyDescent="0.25">
      <c r="A59283" s="8"/>
      <c r="B59283" s="8"/>
      <c r="C59283" s="99"/>
      <c r="D59283" s="8"/>
      <c r="E59283" s="8"/>
      <c r="F59283" s="8"/>
      <c r="G59283" s="8"/>
      <c r="H59283" s="8"/>
      <c r="I59283" s="102"/>
      <c r="J59283" s="8"/>
      <c r="K59283" s="8"/>
      <c r="L59283" s="8"/>
      <c r="M59283" s="8"/>
      <c r="N59283" s="8"/>
      <c r="O59283" s="8"/>
      <c r="P59283" s="8"/>
      <c r="Q59283" s="8"/>
      <c r="R59283" s="103"/>
      <c r="S59283" s="8"/>
      <c r="T59283" s="8"/>
      <c r="U59283" s="8"/>
      <c r="V59283" s="8"/>
      <c r="W59283" s="8"/>
      <c r="X59283" s="8"/>
      <c r="Y59283" s="8"/>
      <c r="Z59283" s="8"/>
      <c r="AA59283" s="8"/>
    </row>
    <row r="59284" spans="1:27" x14ac:dyDescent="0.25">
      <c r="A59284" s="8"/>
      <c r="B59284" s="8"/>
      <c r="C59284" s="99"/>
      <c r="D59284" s="8"/>
      <c r="E59284" s="8"/>
      <c r="F59284" s="8"/>
      <c r="G59284" s="8"/>
      <c r="H59284" s="8"/>
      <c r="I59284" s="102"/>
      <c r="J59284" s="8"/>
      <c r="K59284" s="8"/>
      <c r="L59284" s="8"/>
      <c r="M59284" s="8"/>
      <c r="N59284" s="8"/>
      <c r="O59284" s="8"/>
      <c r="P59284" s="8"/>
      <c r="Q59284" s="8"/>
      <c r="R59284" s="103"/>
      <c r="S59284" s="8"/>
      <c r="T59284" s="8"/>
      <c r="U59284" s="8"/>
      <c r="V59284" s="8"/>
      <c r="W59284" s="8"/>
      <c r="X59284" s="8"/>
      <c r="Y59284" s="8"/>
      <c r="Z59284" s="8"/>
      <c r="AA59284" s="8"/>
    </row>
    <row r="59285" spans="1:27" x14ac:dyDescent="0.25">
      <c r="A59285" s="8"/>
      <c r="B59285" s="8"/>
      <c r="C59285" s="99"/>
      <c r="D59285" s="8"/>
      <c r="E59285" s="8"/>
      <c r="F59285" s="8"/>
      <c r="G59285" s="8"/>
      <c r="H59285" s="8"/>
      <c r="I59285" s="102"/>
      <c r="J59285" s="8"/>
      <c r="K59285" s="8"/>
      <c r="L59285" s="8"/>
      <c r="M59285" s="8"/>
      <c r="N59285" s="8"/>
      <c r="O59285" s="8"/>
      <c r="P59285" s="8"/>
      <c r="Q59285" s="8"/>
      <c r="R59285" s="103"/>
      <c r="S59285" s="8"/>
      <c r="T59285" s="8"/>
      <c r="U59285" s="8"/>
      <c r="V59285" s="8"/>
      <c r="W59285" s="8"/>
      <c r="X59285" s="8"/>
      <c r="Y59285" s="8"/>
      <c r="Z59285" s="8"/>
      <c r="AA59285" s="8"/>
    </row>
    <row r="59286" spans="1:27" x14ac:dyDescent="0.25">
      <c r="A59286" s="8"/>
      <c r="B59286" s="8"/>
      <c r="C59286" s="99"/>
      <c r="D59286" s="8"/>
      <c r="E59286" s="8"/>
      <c r="F59286" s="8"/>
      <c r="G59286" s="8"/>
      <c r="H59286" s="8"/>
      <c r="I59286" s="102"/>
      <c r="J59286" s="8"/>
      <c r="K59286" s="8"/>
      <c r="L59286" s="8"/>
      <c r="M59286" s="8"/>
      <c r="N59286" s="8"/>
      <c r="O59286" s="8"/>
      <c r="P59286" s="8"/>
      <c r="Q59286" s="8"/>
      <c r="R59286" s="103"/>
      <c r="S59286" s="8"/>
      <c r="T59286" s="8"/>
      <c r="U59286" s="8"/>
      <c r="V59286" s="8"/>
      <c r="W59286" s="8"/>
      <c r="X59286" s="8"/>
      <c r="Y59286" s="8"/>
      <c r="Z59286" s="8"/>
      <c r="AA59286" s="8"/>
    </row>
    <row r="59287" spans="1:27" x14ac:dyDescent="0.25">
      <c r="A59287" s="8"/>
      <c r="B59287" s="8"/>
      <c r="C59287" s="99"/>
      <c r="D59287" s="8"/>
      <c r="E59287" s="8"/>
      <c r="F59287" s="8"/>
      <c r="G59287" s="8"/>
      <c r="H59287" s="8"/>
      <c r="I59287" s="102"/>
      <c r="J59287" s="8"/>
      <c r="K59287" s="8"/>
      <c r="L59287" s="8"/>
      <c r="M59287" s="8"/>
      <c r="N59287" s="8"/>
      <c r="O59287" s="8"/>
      <c r="P59287" s="8"/>
      <c r="Q59287" s="8"/>
      <c r="R59287" s="103"/>
      <c r="S59287" s="8"/>
      <c r="T59287" s="8"/>
      <c r="U59287" s="8"/>
      <c r="V59287" s="8"/>
      <c r="W59287" s="8"/>
      <c r="X59287" s="8"/>
      <c r="Y59287" s="8"/>
      <c r="Z59287" s="8"/>
      <c r="AA59287" s="8"/>
    </row>
    <row r="59288" spans="1:27" x14ac:dyDescent="0.25">
      <c r="A59288" s="8"/>
      <c r="B59288" s="8"/>
      <c r="C59288" s="99"/>
      <c r="D59288" s="8"/>
      <c r="E59288" s="8"/>
      <c r="F59288" s="8"/>
      <c r="G59288" s="8"/>
      <c r="H59288" s="8"/>
      <c r="I59288" s="102"/>
      <c r="J59288" s="8"/>
      <c r="K59288" s="8"/>
      <c r="L59288" s="8"/>
      <c r="M59288" s="8"/>
      <c r="N59288" s="8"/>
      <c r="O59288" s="8"/>
      <c r="P59288" s="8"/>
      <c r="Q59288" s="8"/>
      <c r="R59288" s="103"/>
      <c r="S59288" s="8"/>
      <c r="T59288" s="8"/>
      <c r="U59288" s="8"/>
      <c r="V59288" s="8"/>
      <c r="W59288" s="8"/>
      <c r="X59288" s="8"/>
      <c r="Y59288" s="8"/>
      <c r="Z59288" s="8"/>
      <c r="AA59288" s="8"/>
    </row>
    <row r="59289" spans="1:27" x14ac:dyDescent="0.25">
      <c r="A59289" s="8"/>
      <c r="B59289" s="8"/>
      <c r="C59289" s="99"/>
      <c r="D59289" s="8"/>
      <c r="E59289" s="8"/>
      <c r="F59289" s="8"/>
      <c r="G59289" s="8"/>
      <c r="H59289" s="8"/>
      <c r="I59289" s="102"/>
      <c r="J59289" s="8"/>
      <c r="K59289" s="8"/>
      <c r="L59289" s="8"/>
      <c r="M59289" s="8"/>
      <c r="N59289" s="8"/>
      <c r="O59289" s="8"/>
      <c r="P59289" s="8"/>
      <c r="Q59289" s="8"/>
      <c r="R59289" s="103"/>
      <c r="S59289" s="8"/>
      <c r="T59289" s="8"/>
      <c r="U59289" s="8"/>
      <c r="V59289" s="8"/>
      <c r="W59289" s="8"/>
      <c r="X59289" s="8"/>
      <c r="Y59289" s="8"/>
      <c r="Z59289" s="8"/>
      <c r="AA59289" s="8"/>
    </row>
    <row r="59290" spans="1:27" x14ac:dyDescent="0.25">
      <c r="A59290" s="8"/>
      <c r="B59290" s="8"/>
      <c r="C59290" s="99"/>
      <c r="D59290" s="8"/>
      <c r="E59290" s="8"/>
      <c r="F59290" s="8"/>
      <c r="G59290" s="8"/>
      <c r="H59290" s="8"/>
      <c r="I59290" s="102"/>
      <c r="J59290" s="8"/>
      <c r="K59290" s="8"/>
      <c r="L59290" s="8"/>
      <c r="M59290" s="8"/>
      <c r="N59290" s="8"/>
      <c r="O59290" s="8"/>
      <c r="P59290" s="8"/>
      <c r="Q59290" s="8"/>
      <c r="R59290" s="103"/>
      <c r="S59290" s="8"/>
      <c r="T59290" s="8"/>
      <c r="U59290" s="8"/>
      <c r="V59290" s="8"/>
      <c r="W59290" s="8"/>
      <c r="X59290" s="8"/>
      <c r="Y59290" s="8"/>
      <c r="Z59290" s="8"/>
      <c r="AA59290" s="8"/>
    </row>
    <row r="59291" spans="1:27" x14ac:dyDescent="0.25">
      <c r="A59291" s="8"/>
      <c r="B59291" s="8"/>
      <c r="C59291" s="99"/>
      <c r="D59291" s="8"/>
      <c r="E59291" s="8"/>
      <c r="F59291" s="8"/>
      <c r="G59291" s="8"/>
      <c r="H59291" s="8"/>
      <c r="I59291" s="102"/>
      <c r="J59291" s="8"/>
      <c r="K59291" s="8"/>
      <c r="L59291" s="8"/>
      <c r="M59291" s="8"/>
      <c r="N59291" s="8"/>
      <c r="O59291" s="8"/>
      <c r="P59291" s="8"/>
      <c r="Q59291" s="8"/>
      <c r="R59291" s="103"/>
      <c r="S59291" s="8"/>
      <c r="T59291" s="8"/>
      <c r="U59291" s="8"/>
      <c r="V59291" s="8"/>
      <c r="W59291" s="8"/>
      <c r="X59291" s="8"/>
      <c r="Y59291" s="8"/>
      <c r="Z59291" s="8"/>
      <c r="AA59291" s="8"/>
    </row>
    <row r="59292" spans="1:27" x14ac:dyDescent="0.25">
      <c r="A59292" s="8"/>
      <c r="B59292" s="8"/>
      <c r="C59292" s="99"/>
      <c r="D59292" s="8"/>
      <c r="E59292" s="8"/>
      <c r="F59292" s="8"/>
      <c r="G59292" s="8"/>
      <c r="H59292" s="8"/>
      <c r="I59292" s="102"/>
      <c r="J59292" s="8"/>
      <c r="K59292" s="8"/>
      <c r="L59292" s="8"/>
      <c r="M59292" s="8"/>
      <c r="N59292" s="8"/>
      <c r="O59292" s="8"/>
      <c r="P59292" s="8"/>
      <c r="Q59292" s="8"/>
      <c r="R59292" s="103"/>
      <c r="S59292" s="8"/>
      <c r="T59292" s="8"/>
      <c r="U59292" s="8"/>
      <c r="V59292" s="8"/>
      <c r="W59292" s="8"/>
      <c r="X59292" s="8"/>
      <c r="Y59292" s="8"/>
      <c r="Z59292" s="8"/>
      <c r="AA59292" s="8"/>
    </row>
    <row r="59293" spans="1:27" x14ac:dyDescent="0.25">
      <c r="A59293" s="8"/>
      <c r="B59293" s="8"/>
      <c r="C59293" s="99"/>
      <c r="D59293" s="8"/>
      <c r="E59293" s="8"/>
      <c r="F59293" s="8"/>
      <c r="G59293" s="8"/>
      <c r="H59293" s="8"/>
      <c r="I59293" s="102"/>
      <c r="J59293" s="8"/>
      <c r="K59293" s="8"/>
      <c r="L59293" s="8"/>
      <c r="M59293" s="8"/>
      <c r="N59293" s="8"/>
      <c r="O59293" s="8"/>
      <c r="P59293" s="8"/>
      <c r="Q59293" s="8"/>
      <c r="R59293" s="103"/>
      <c r="S59293" s="8"/>
      <c r="T59293" s="8"/>
      <c r="U59293" s="8"/>
      <c r="V59293" s="8"/>
      <c r="W59293" s="8"/>
      <c r="X59293" s="8"/>
      <c r="Y59293" s="8"/>
      <c r="Z59293" s="8"/>
      <c r="AA59293" s="8"/>
    </row>
    <row r="59294" spans="1:27" x14ac:dyDescent="0.25">
      <c r="A59294" s="8"/>
      <c r="B59294" s="8"/>
      <c r="C59294" s="99"/>
      <c r="D59294" s="8"/>
      <c r="E59294" s="8"/>
      <c r="F59294" s="8"/>
      <c r="G59294" s="8"/>
      <c r="H59294" s="8"/>
      <c r="I59294" s="102"/>
      <c r="J59294" s="8"/>
      <c r="K59294" s="8"/>
      <c r="L59294" s="8"/>
      <c r="M59294" s="8"/>
      <c r="N59294" s="8"/>
      <c r="O59294" s="8"/>
      <c r="P59294" s="8"/>
      <c r="Q59294" s="8"/>
      <c r="R59294" s="103"/>
      <c r="S59294" s="8"/>
      <c r="T59294" s="8"/>
      <c r="U59294" s="8"/>
      <c r="V59294" s="8"/>
      <c r="W59294" s="8"/>
      <c r="X59294" s="8"/>
      <c r="Y59294" s="8"/>
      <c r="Z59294" s="8"/>
      <c r="AA59294" s="8"/>
    </row>
    <row r="59295" spans="1:27" x14ac:dyDescent="0.25">
      <c r="A59295" s="8"/>
      <c r="B59295" s="8"/>
      <c r="C59295" s="99"/>
      <c r="D59295" s="8"/>
      <c r="E59295" s="8"/>
      <c r="F59295" s="8"/>
      <c r="G59295" s="8"/>
      <c r="H59295" s="8"/>
      <c r="I59295" s="102"/>
      <c r="J59295" s="8"/>
      <c r="K59295" s="8"/>
      <c r="L59295" s="8"/>
      <c r="M59295" s="8"/>
      <c r="N59295" s="8"/>
      <c r="O59295" s="8"/>
      <c r="P59295" s="8"/>
      <c r="Q59295" s="8"/>
      <c r="R59295" s="103"/>
      <c r="S59295" s="8"/>
      <c r="T59295" s="8"/>
      <c r="U59295" s="8"/>
      <c r="V59295" s="8"/>
      <c r="W59295" s="8"/>
      <c r="X59295" s="8"/>
      <c r="Y59295" s="8"/>
      <c r="Z59295" s="8"/>
      <c r="AA59295" s="8"/>
    </row>
    <row r="59296" spans="1:27" x14ac:dyDescent="0.25">
      <c r="A59296" s="8"/>
      <c r="B59296" s="8"/>
      <c r="C59296" s="99"/>
      <c r="D59296" s="8"/>
      <c r="E59296" s="8"/>
      <c r="F59296" s="8"/>
      <c r="G59296" s="8"/>
      <c r="H59296" s="8"/>
      <c r="I59296" s="102"/>
      <c r="J59296" s="8"/>
      <c r="K59296" s="8"/>
      <c r="L59296" s="8"/>
      <c r="M59296" s="8"/>
      <c r="N59296" s="8"/>
      <c r="O59296" s="8"/>
      <c r="P59296" s="8"/>
      <c r="Q59296" s="8"/>
      <c r="R59296" s="103"/>
      <c r="S59296" s="8"/>
      <c r="T59296" s="8"/>
      <c r="U59296" s="8"/>
      <c r="V59296" s="8"/>
      <c r="W59296" s="8"/>
      <c r="X59296" s="8"/>
      <c r="Y59296" s="8"/>
      <c r="Z59296" s="8"/>
      <c r="AA59296" s="8"/>
    </row>
    <row r="59297" spans="1:27" x14ac:dyDescent="0.25">
      <c r="A59297" s="8"/>
      <c r="B59297" s="8"/>
      <c r="C59297" s="99"/>
      <c r="D59297" s="8"/>
      <c r="E59297" s="8"/>
      <c r="F59297" s="8"/>
      <c r="G59297" s="8"/>
      <c r="H59297" s="8"/>
      <c r="I59297" s="102"/>
      <c r="J59297" s="8"/>
      <c r="K59297" s="8"/>
      <c r="L59297" s="8"/>
      <c r="M59297" s="8"/>
      <c r="N59297" s="8"/>
      <c r="O59297" s="8"/>
      <c r="P59297" s="8"/>
      <c r="Q59297" s="8"/>
      <c r="R59297" s="103"/>
      <c r="S59297" s="8"/>
      <c r="T59297" s="8"/>
      <c r="U59297" s="8"/>
      <c r="V59297" s="8"/>
      <c r="W59297" s="8"/>
      <c r="X59297" s="8"/>
      <c r="Y59297" s="8"/>
      <c r="Z59297" s="8"/>
      <c r="AA59297" s="8"/>
    </row>
    <row r="59298" spans="1:27" x14ac:dyDescent="0.25">
      <c r="A59298" s="8"/>
      <c r="B59298" s="8"/>
      <c r="C59298" s="99"/>
      <c r="D59298" s="8"/>
      <c r="E59298" s="8"/>
      <c r="F59298" s="8"/>
      <c r="G59298" s="8"/>
      <c r="H59298" s="8"/>
      <c r="I59298" s="102"/>
      <c r="J59298" s="8"/>
      <c r="K59298" s="8"/>
      <c r="L59298" s="8"/>
      <c r="M59298" s="8"/>
      <c r="N59298" s="8"/>
      <c r="O59298" s="8"/>
      <c r="P59298" s="8"/>
      <c r="Q59298" s="8"/>
      <c r="R59298" s="103"/>
      <c r="S59298" s="8"/>
      <c r="T59298" s="8"/>
      <c r="U59298" s="8"/>
      <c r="V59298" s="8"/>
      <c r="W59298" s="8"/>
      <c r="X59298" s="8"/>
      <c r="Y59298" s="8"/>
      <c r="Z59298" s="8"/>
      <c r="AA59298" s="8"/>
    </row>
    <row r="59299" spans="1:27" x14ac:dyDescent="0.25">
      <c r="A59299" s="8"/>
      <c r="B59299" s="8"/>
      <c r="C59299" s="99"/>
      <c r="D59299" s="8"/>
      <c r="E59299" s="8"/>
      <c r="F59299" s="8"/>
      <c r="G59299" s="8"/>
      <c r="H59299" s="8"/>
      <c r="I59299" s="102"/>
      <c r="J59299" s="8"/>
      <c r="K59299" s="8"/>
      <c r="L59299" s="8"/>
      <c r="M59299" s="8"/>
      <c r="N59299" s="8"/>
      <c r="O59299" s="8"/>
      <c r="P59299" s="8"/>
      <c r="Q59299" s="8"/>
      <c r="R59299" s="103"/>
      <c r="S59299" s="8"/>
      <c r="T59299" s="8"/>
      <c r="U59299" s="8"/>
      <c r="V59299" s="8"/>
      <c r="W59299" s="8"/>
      <c r="X59299" s="8"/>
      <c r="Y59299" s="8"/>
      <c r="Z59299" s="8"/>
      <c r="AA59299" s="8"/>
    </row>
    <row r="59300" spans="1:27" x14ac:dyDescent="0.25">
      <c r="A59300" s="8"/>
      <c r="B59300" s="8"/>
      <c r="C59300" s="99"/>
      <c r="D59300" s="8"/>
      <c r="E59300" s="8"/>
      <c r="F59300" s="8"/>
      <c r="G59300" s="8"/>
      <c r="H59300" s="8"/>
      <c r="I59300" s="102"/>
      <c r="J59300" s="8"/>
      <c r="K59300" s="8"/>
      <c r="L59300" s="8"/>
      <c r="M59300" s="8"/>
      <c r="N59300" s="8"/>
      <c r="O59300" s="8"/>
      <c r="P59300" s="8"/>
      <c r="Q59300" s="8"/>
      <c r="R59300" s="103"/>
      <c r="S59300" s="8"/>
      <c r="T59300" s="8"/>
      <c r="U59300" s="8"/>
      <c r="V59300" s="8"/>
      <c r="W59300" s="8"/>
      <c r="X59300" s="8"/>
      <c r="Y59300" s="8"/>
      <c r="Z59300" s="8"/>
      <c r="AA59300" s="8"/>
    </row>
    <row r="59301" spans="1:27" x14ac:dyDescent="0.25">
      <c r="A59301" s="8"/>
      <c r="B59301" s="8"/>
      <c r="C59301" s="99"/>
      <c r="D59301" s="8"/>
      <c r="E59301" s="8"/>
      <c r="F59301" s="8"/>
      <c r="G59301" s="8"/>
      <c r="H59301" s="8"/>
      <c r="I59301" s="102"/>
      <c r="J59301" s="8"/>
      <c r="K59301" s="8"/>
      <c r="L59301" s="8"/>
      <c r="M59301" s="8"/>
      <c r="N59301" s="8"/>
      <c r="O59301" s="8"/>
      <c r="P59301" s="8"/>
      <c r="Q59301" s="8"/>
      <c r="R59301" s="103"/>
      <c r="S59301" s="8"/>
      <c r="T59301" s="8"/>
      <c r="U59301" s="8"/>
      <c r="V59301" s="8"/>
      <c r="W59301" s="8"/>
      <c r="X59301" s="8"/>
      <c r="Y59301" s="8"/>
      <c r="Z59301" s="8"/>
      <c r="AA59301" s="8"/>
    </row>
    <row r="59302" spans="1:27" x14ac:dyDescent="0.25">
      <c r="A59302" s="8"/>
      <c r="B59302" s="8"/>
      <c r="C59302" s="99"/>
      <c r="D59302" s="8"/>
      <c r="E59302" s="8"/>
      <c r="F59302" s="8"/>
      <c r="G59302" s="8"/>
      <c r="H59302" s="8"/>
      <c r="I59302" s="102"/>
      <c r="J59302" s="8"/>
      <c r="K59302" s="8"/>
      <c r="L59302" s="8"/>
      <c r="M59302" s="8"/>
      <c r="N59302" s="8"/>
      <c r="O59302" s="8"/>
      <c r="P59302" s="8"/>
      <c r="Q59302" s="8"/>
      <c r="R59302" s="103"/>
      <c r="S59302" s="8"/>
      <c r="T59302" s="8"/>
      <c r="U59302" s="8"/>
      <c r="V59302" s="8"/>
      <c r="W59302" s="8"/>
      <c r="X59302" s="8"/>
      <c r="Y59302" s="8"/>
      <c r="Z59302" s="8"/>
      <c r="AA59302" s="8"/>
    </row>
    <row r="59303" spans="1:27" x14ac:dyDescent="0.25">
      <c r="A59303" s="8"/>
      <c r="B59303" s="8"/>
      <c r="C59303" s="99"/>
      <c r="D59303" s="8"/>
      <c r="E59303" s="8"/>
      <c r="F59303" s="8"/>
      <c r="G59303" s="8"/>
      <c r="H59303" s="8"/>
      <c r="I59303" s="102"/>
      <c r="J59303" s="8"/>
      <c r="K59303" s="8"/>
      <c r="L59303" s="8"/>
      <c r="M59303" s="8"/>
      <c r="N59303" s="8"/>
      <c r="O59303" s="8"/>
      <c r="P59303" s="8"/>
      <c r="Q59303" s="8"/>
      <c r="R59303" s="103"/>
      <c r="S59303" s="8"/>
      <c r="T59303" s="8"/>
      <c r="U59303" s="8"/>
      <c r="V59303" s="8"/>
      <c r="W59303" s="8"/>
      <c r="X59303" s="8"/>
      <c r="Y59303" s="8"/>
      <c r="Z59303" s="8"/>
      <c r="AA59303" s="8"/>
    </row>
    <row r="59304" spans="1:27" x14ac:dyDescent="0.25">
      <c r="A59304" s="8"/>
      <c r="B59304" s="8"/>
      <c r="C59304" s="99"/>
      <c r="D59304" s="8"/>
      <c r="E59304" s="8"/>
      <c r="F59304" s="8"/>
      <c r="G59304" s="8"/>
      <c r="H59304" s="8"/>
      <c r="I59304" s="102"/>
      <c r="J59304" s="8"/>
      <c r="K59304" s="8"/>
      <c r="L59304" s="8"/>
      <c r="M59304" s="8"/>
      <c r="N59304" s="8"/>
      <c r="O59304" s="8"/>
      <c r="P59304" s="8"/>
      <c r="Q59304" s="8"/>
      <c r="R59304" s="103"/>
      <c r="S59304" s="8"/>
      <c r="T59304" s="8"/>
      <c r="U59304" s="8"/>
      <c r="V59304" s="8"/>
      <c r="W59304" s="8"/>
      <c r="X59304" s="8"/>
      <c r="Y59304" s="8"/>
      <c r="Z59304" s="8"/>
      <c r="AA59304" s="8"/>
    </row>
    <row r="59305" spans="1:27" x14ac:dyDescent="0.25">
      <c r="A59305" s="8"/>
      <c r="B59305" s="8"/>
      <c r="C59305" s="99"/>
      <c r="D59305" s="8"/>
      <c r="E59305" s="8"/>
      <c r="F59305" s="8"/>
      <c r="G59305" s="8"/>
      <c r="H59305" s="8"/>
      <c r="I59305" s="102"/>
      <c r="J59305" s="8"/>
      <c r="K59305" s="8"/>
      <c r="L59305" s="8"/>
      <c r="M59305" s="8"/>
      <c r="N59305" s="8"/>
      <c r="O59305" s="8"/>
      <c r="P59305" s="8"/>
      <c r="Q59305" s="8"/>
      <c r="R59305" s="103"/>
      <c r="S59305" s="8"/>
      <c r="T59305" s="8"/>
      <c r="U59305" s="8"/>
      <c r="V59305" s="8"/>
      <c r="W59305" s="8"/>
      <c r="X59305" s="8"/>
      <c r="Y59305" s="8"/>
      <c r="Z59305" s="8"/>
      <c r="AA59305" s="8"/>
    </row>
    <row r="59306" spans="1:27" x14ac:dyDescent="0.25">
      <c r="A59306" s="8"/>
      <c r="B59306" s="8"/>
      <c r="C59306" s="99"/>
      <c r="D59306" s="8"/>
      <c r="E59306" s="8"/>
      <c r="F59306" s="8"/>
      <c r="G59306" s="8"/>
      <c r="H59306" s="8"/>
      <c r="I59306" s="102"/>
      <c r="J59306" s="8"/>
      <c r="K59306" s="8"/>
      <c r="L59306" s="8"/>
      <c r="M59306" s="8"/>
      <c r="N59306" s="8"/>
      <c r="O59306" s="8"/>
      <c r="P59306" s="8"/>
      <c r="Q59306" s="8"/>
      <c r="R59306" s="103"/>
      <c r="S59306" s="8"/>
      <c r="T59306" s="8"/>
      <c r="U59306" s="8"/>
      <c r="V59306" s="8"/>
      <c r="W59306" s="8"/>
      <c r="X59306" s="8"/>
      <c r="Y59306" s="8"/>
      <c r="Z59306" s="8"/>
      <c r="AA59306" s="8"/>
    </row>
    <row r="59307" spans="1:27" x14ac:dyDescent="0.25">
      <c r="A59307" s="8"/>
      <c r="B59307" s="8"/>
      <c r="C59307" s="99"/>
      <c r="D59307" s="8"/>
      <c r="E59307" s="8"/>
      <c r="F59307" s="8"/>
      <c r="G59307" s="8"/>
      <c r="H59307" s="8"/>
      <c r="I59307" s="102"/>
      <c r="J59307" s="8"/>
      <c r="K59307" s="8"/>
      <c r="L59307" s="8"/>
      <c r="M59307" s="8"/>
      <c r="N59307" s="8"/>
      <c r="O59307" s="8"/>
      <c r="P59307" s="8"/>
      <c r="Q59307" s="8"/>
      <c r="R59307" s="103"/>
      <c r="S59307" s="8"/>
      <c r="T59307" s="8"/>
      <c r="U59307" s="8"/>
      <c r="V59307" s="8"/>
      <c r="W59307" s="8"/>
      <c r="X59307" s="8"/>
      <c r="Y59307" s="8"/>
      <c r="Z59307" s="8"/>
      <c r="AA59307" s="8"/>
    </row>
    <row r="59308" spans="1:27" x14ac:dyDescent="0.25">
      <c r="A59308" s="8"/>
      <c r="B59308" s="8"/>
      <c r="C59308" s="99"/>
      <c r="D59308" s="8"/>
      <c r="E59308" s="8"/>
      <c r="F59308" s="8"/>
      <c r="G59308" s="8"/>
      <c r="H59308" s="8"/>
      <c r="I59308" s="102"/>
      <c r="J59308" s="8"/>
      <c r="K59308" s="8"/>
      <c r="L59308" s="8"/>
      <c r="M59308" s="8"/>
      <c r="N59308" s="8"/>
      <c r="O59308" s="8"/>
      <c r="P59308" s="8"/>
      <c r="Q59308" s="8"/>
      <c r="R59308" s="103"/>
      <c r="S59308" s="8"/>
      <c r="T59308" s="8"/>
      <c r="U59308" s="8"/>
      <c r="V59308" s="8"/>
      <c r="W59308" s="8"/>
      <c r="X59308" s="8"/>
      <c r="Y59308" s="8"/>
      <c r="Z59308" s="8"/>
      <c r="AA59308" s="8"/>
    </row>
    <row r="59309" spans="1:27" x14ac:dyDescent="0.25">
      <c r="A59309" s="8"/>
      <c r="B59309" s="8"/>
      <c r="C59309" s="99"/>
      <c r="D59309" s="8"/>
      <c r="E59309" s="8"/>
      <c r="F59309" s="8"/>
      <c r="G59309" s="8"/>
      <c r="H59309" s="8"/>
      <c r="I59309" s="102"/>
      <c r="J59309" s="8"/>
      <c r="K59309" s="8"/>
      <c r="L59309" s="8"/>
      <c r="M59309" s="8"/>
      <c r="N59309" s="8"/>
      <c r="O59309" s="8"/>
      <c r="P59309" s="8"/>
      <c r="Q59309" s="8"/>
      <c r="R59309" s="103"/>
      <c r="S59309" s="8"/>
      <c r="T59309" s="8"/>
      <c r="U59309" s="8"/>
      <c r="V59309" s="8"/>
      <c r="W59309" s="8"/>
      <c r="X59309" s="8"/>
      <c r="Y59309" s="8"/>
      <c r="Z59309" s="8"/>
      <c r="AA59309" s="8"/>
    </row>
    <row r="59310" spans="1:27" x14ac:dyDescent="0.25">
      <c r="A59310" s="8"/>
      <c r="B59310" s="8"/>
      <c r="C59310" s="99"/>
      <c r="D59310" s="8"/>
      <c r="E59310" s="8"/>
      <c r="F59310" s="8"/>
      <c r="G59310" s="8"/>
      <c r="H59310" s="8"/>
      <c r="I59310" s="102"/>
      <c r="J59310" s="8"/>
      <c r="K59310" s="8"/>
      <c r="L59310" s="8"/>
      <c r="M59310" s="8"/>
      <c r="N59310" s="8"/>
      <c r="O59310" s="8"/>
      <c r="P59310" s="8"/>
      <c r="Q59310" s="8"/>
      <c r="R59310" s="103"/>
      <c r="S59310" s="8"/>
      <c r="T59310" s="8"/>
      <c r="U59310" s="8"/>
      <c r="V59310" s="8"/>
      <c r="W59310" s="8"/>
      <c r="X59310" s="8"/>
      <c r="Y59310" s="8"/>
      <c r="Z59310" s="8"/>
      <c r="AA59310" s="8"/>
    </row>
    <row r="59311" spans="1:27" x14ac:dyDescent="0.25">
      <c r="A59311" s="8"/>
      <c r="B59311" s="8"/>
      <c r="C59311" s="99"/>
      <c r="D59311" s="8"/>
      <c r="E59311" s="8"/>
      <c r="F59311" s="8"/>
      <c r="G59311" s="8"/>
      <c r="H59311" s="8"/>
      <c r="I59311" s="102"/>
      <c r="J59311" s="8"/>
      <c r="K59311" s="8"/>
      <c r="L59311" s="8"/>
      <c r="M59311" s="8"/>
      <c r="N59311" s="8"/>
      <c r="O59311" s="8"/>
      <c r="P59311" s="8"/>
      <c r="Q59311" s="8"/>
      <c r="R59311" s="103"/>
      <c r="S59311" s="8"/>
      <c r="T59311" s="8"/>
      <c r="U59311" s="8"/>
      <c r="V59311" s="8"/>
      <c r="W59311" s="8"/>
      <c r="X59311" s="8"/>
      <c r="Y59311" s="8"/>
      <c r="Z59311" s="8"/>
      <c r="AA59311" s="8"/>
    </row>
    <row r="59312" spans="1:27" x14ac:dyDescent="0.25">
      <c r="A59312" s="8"/>
      <c r="B59312" s="8"/>
      <c r="C59312" s="99"/>
      <c r="D59312" s="8"/>
      <c r="E59312" s="8"/>
      <c r="F59312" s="8"/>
      <c r="G59312" s="8"/>
      <c r="H59312" s="8"/>
      <c r="I59312" s="102"/>
      <c r="J59312" s="8"/>
      <c r="K59312" s="8"/>
      <c r="L59312" s="8"/>
      <c r="M59312" s="8"/>
      <c r="N59312" s="8"/>
      <c r="O59312" s="8"/>
      <c r="P59312" s="8"/>
      <c r="Q59312" s="8"/>
      <c r="R59312" s="103"/>
      <c r="S59312" s="8"/>
      <c r="T59312" s="8"/>
      <c r="U59312" s="8"/>
      <c r="V59312" s="8"/>
      <c r="W59312" s="8"/>
      <c r="X59312" s="8"/>
      <c r="Y59312" s="8"/>
      <c r="Z59312" s="8"/>
      <c r="AA59312" s="8"/>
    </row>
    <row r="59313" spans="1:27" x14ac:dyDescent="0.25">
      <c r="A59313" s="8"/>
      <c r="B59313" s="8"/>
      <c r="C59313" s="99"/>
      <c r="D59313" s="8"/>
      <c r="E59313" s="8"/>
      <c r="F59313" s="8"/>
      <c r="G59313" s="8"/>
      <c r="H59313" s="8"/>
      <c r="I59313" s="102"/>
      <c r="J59313" s="8"/>
      <c r="K59313" s="8"/>
      <c r="L59313" s="8"/>
      <c r="M59313" s="8"/>
      <c r="N59313" s="8"/>
      <c r="O59313" s="8"/>
      <c r="P59313" s="8"/>
      <c r="Q59313" s="8"/>
      <c r="R59313" s="103"/>
      <c r="S59313" s="8"/>
      <c r="T59313" s="8"/>
      <c r="U59313" s="8"/>
      <c r="V59313" s="8"/>
      <c r="W59313" s="8"/>
      <c r="X59313" s="8"/>
      <c r="Y59313" s="8"/>
      <c r="Z59313" s="8"/>
      <c r="AA59313" s="8"/>
    </row>
    <row r="59314" spans="1:27" x14ac:dyDescent="0.25">
      <c r="A59314" s="8"/>
      <c r="B59314" s="8"/>
      <c r="C59314" s="99"/>
      <c r="D59314" s="8"/>
      <c r="E59314" s="8"/>
      <c r="F59314" s="8"/>
      <c r="G59314" s="8"/>
      <c r="H59314" s="8"/>
      <c r="I59314" s="102"/>
      <c r="J59314" s="8"/>
      <c r="K59314" s="8"/>
      <c r="L59314" s="8"/>
      <c r="M59314" s="8"/>
      <c r="N59314" s="8"/>
      <c r="O59314" s="8"/>
      <c r="P59314" s="8"/>
      <c r="Q59314" s="8"/>
      <c r="R59314" s="103"/>
      <c r="S59314" s="8"/>
      <c r="T59314" s="8"/>
      <c r="U59314" s="8"/>
      <c r="V59314" s="8"/>
      <c r="W59314" s="8"/>
      <c r="X59314" s="8"/>
      <c r="Y59314" s="8"/>
      <c r="Z59314" s="8"/>
      <c r="AA59314" s="8"/>
    </row>
    <row r="59315" spans="1:27" x14ac:dyDescent="0.25">
      <c r="A59315" s="8"/>
      <c r="B59315" s="8"/>
      <c r="C59315" s="99"/>
      <c r="D59315" s="8"/>
      <c r="E59315" s="8"/>
      <c r="F59315" s="8"/>
      <c r="G59315" s="8"/>
      <c r="H59315" s="8"/>
      <c r="I59315" s="102"/>
      <c r="J59315" s="8"/>
      <c r="K59315" s="8"/>
      <c r="L59315" s="8"/>
      <c r="M59315" s="8"/>
      <c r="N59315" s="8"/>
      <c r="O59315" s="8"/>
      <c r="P59315" s="8"/>
      <c r="Q59315" s="8"/>
      <c r="R59315" s="103"/>
      <c r="S59315" s="8"/>
      <c r="T59315" s="8"/>
      <c r="U59315" s="8"/>
      <c r="V59315" s="8"/>
      <c r="W59315" s="8"/>
      <c r="X59315" s="8"/>
      <c r="Y59315" s="8"/>
      <c r="Z59315" s="8"/>
      <c r="AA59315" s="8"/>
    </row>
    <row r="59316" spans="1:27" x14ac:dyDescent="0.25">
      <c r="A59316" s="8"/>
      <c r="B59316" s="8"/>
      <c r="C59316" s="99"/>
      <c r="D59316" s="8"/>
      <c r="E59316" s="8"/>
      <c r="F59316" s="8"/>
      <c r="G59316" s="8"/>
      <c r="H59316" s="8"/>
      <c r="I59316" s="102"/>
      <c r="J59316" s="8"/>
      <c r="K59316" s="8"/>
      <c r="L59316" s="8"/>
      <c r="M59316" s="8"/>
      <c r="N59316" s="8"/>
      <c r="O59316" s="8"/>
      <c r="P59316" s="8"/>
      <c r="Q59316" s="8"/>
      <c r="R59316" s="103"/>
      <c r="S59316" s="8"/>
      <c r="T59316" s="8"/>
      <c r="U59316" s="8"/>
      <c r="V59316" s="8"/>
      <c r="W59316" s="8"/>
      <c r="X59316" s="8"/>
      <c r="Y59316" s="8"/>
      <c r="Z59316" s="8"/>
      <c r="AA59316" s="8"/>
    </row>
    <row r="59317" spans="1:27" x14ac:dyDescent="0.25">
      <c r="A59317" s="8"/>
      <c r="B59317" s="8"/>
      <c r="C59317" s="99"/>
      <c r="D59317" s="8"/>
      <c r="E59317" s="8"/>
      <c r="F59317" s="8"/>
      <c r="G59317" s="8"/>
      <c r="H59317" s="8"/>
      <c r="I59317" s="102"/>
      <c r="J59317" s="8"/>
      <c r="K59317" s="8"/>
      <c r="L59317" s="8"/>
      <c r="M59317" s="8"/>
      <c r="N59317" s="8"/>
      <c r="O59317" s="8"/>
      <c r="P59317" s="8"/>
      <c r="Q59317" s="8"/>
      <c r="R59317" s="103"/>
      <c r="S59317" s="8"/>
      <c r="T59317" s="8"/>
      <c r="U59317" s="8"/>
      <c r="V59317" s="8"/>
      <c r="W59317" s="8"/>
      <c r="X59317" s="8"/>
      <c r="Y59317" s="8"/>
      <c r="Z59317" s="8"/>
      <c r="AA59317" s="8"/>
    </row>
    <row r="59318" spans="1:27" x14ac:dyDescent="0.25">
      <c r="A59318" s="8"/>
      <c r="B59318" s="8"/>
      <c r="C59318" s="99"/>
      <c r="D59318" s="8"/>
      <c r="E59318" s="8"/>
      <c r="F59318" s="8"/>
      <c r="G59318" s="8"/>
      <c r="H59318" s="8"/>
      <c r="I59318" s="102"/>
      <c r="J59318" s="8"/>
      <c r="K59318" s="8"/>
      <c r="L59318" s="8"/>
      <c r="M59318" s="8"/>
      <c r="N59318" s="8"/>
      <c r="O59318" s="8"/>
      <c r="P59318" s="8"/>
      <c r="Q59318" s="8"/>
      <c r="R59318" s="103"/>
      <c r="S59318" s="8"/>
      <c r="T59318" s="8"/>
      <c r="U59318" s="8"/>
      <c r="V59318" s="8"/>
      <c r="W59318" s="8"/>
      <c r="X59318" s="8"/>
      <c r="Y59318" s="8"/>
      <c r="Z59318" s="8"/>
      <c r="AA59318" s="8"/>
    </row>
    <row r="59319" spans="1:27" x14ac:dyDescent="0.25">
      <c r="A59319" s="8"/>
      <c r="B59319" s="8"/>
      <c r="C59319" s="99"/>
      <c r="D59319" s="8"/>
      <c r="E59319" s="8"/>
      <c r="F59319" s="8"/>
      <c r="G59319" s="8"/>
      <c r="H59319" s="8"/>
      <c r="I59319" s="102"/>
      <c r="J59319" s="8"/>
      <c r="K59319" s="8"/>
      <c r="L59319" s="8"/>
      <c r="M59319" s="8"/>
      <c r="N59319" s="8"/>
      <c r="O59319" s="8"/>
      <c r="P59319" s="8"/>
      <c r="Q59319" s="8"/>
      <c r="R59319" s="103"/>
      <c r="S59319" s="8"/>
      <c r="T59319" s="8"/>
      <c r="U59319" s="8"/>
      <c r="V59319" s="8"/>
      <c r="W59319" s="8"/>
      <c r="X59319" s="8"/>
      <c r="Y59319" s="8"/>
      <c r="Z59319" s="8"/>
      <c r="AA59319" s="8"/>
    </row>
    <row r="59320" spans="1:27" x14ac:dyDescent="0.25">
      <c r="A59320" s="8"/>
      <c r="B59320" s="8"/>
      <c r="C59320" s="99"/>
      <c r="D59320" s="8"/>
      <c r="E59320" s="8"/>
      <c r="F59320" s="8"/>
      <c r="G59320" s="8"/>
      <c r="H59320" s="8"/>
      <c r="I59320" s="102"/>
      <c r="J59320" s="8"/>
      <c r="K59320" s="8"/>
      <c r="L59320" s="8"/>
      <c r="M59320" s="8"/>
      <c r="N59320" s="8"/>
      <c r="O59320" s="8"/>
      <c r="P59320" s="8"/>
      <c r="Q59320" s="8"/>
      <c r="R59320" s="103"/>
      <c r="S59320" s="8"/>
      <c r="T59320" s="8"/>
      <c r="U59320" s="8"/>
      <c r="V59320" s="8"/>
      <c r="W59320" s="8"/>
      <c r="X59320" s="8"/>
      <c r="Y59320" s="8"/>
      <c r="Z59320" s="8"/>
      <c r="AA59320" s="8"/>
    </row>
    <row r="59321" spans="1:27" x14ac:dyDescent="0.25">
      <c r="A59321" s="8"/>
      <c r="B59321" s="8"/>
      <c r="C59321" s="99"/>
      <c r="D59321" s="8"/>
      <c r="E59321" s="8"/>
      <c r="F59321" s="8"/>
      <c r="G59321" s="8"/>
      <c r="H59321" s="8"/>
      <c r="I59321" s="102"/>
      <c r="J59321" s="8"/>
      <c r="K59321" s="8"/>
      <c r="L59321" s="8"/>
      <c r="M59321" s="8"/>
      <c r="N59321" s="8"/>
      <c r="O59321" s="8"/>
      <c r="P59321" s="8"/>
      <c r="Q59321" s="8"/>
      <c r="R59321" s="103"/>
      <c r="S59321" s="8"/>
      <c r="T59321" s="8"/>
      <c r="U59321" s="8"/>
      <c r="V59321" s="8"/>
      <c r="W59321" s="8"/>
      <c r="X59321" s="8"/>
      <c r="Y59321" s="8"/>
      <c r="Z59321" s="8"/>
      <c r="AA59321" s="8"/>
    </row>
    <row r="59322" spans="1:27" x14ac:dyDescent="0.25">
      <c r="A59322" s="8"/>
      <c r="B59322" s="8"/>
      <c r="C59322" s="99"/>
      <c r="D59322" s="8"/>
      <c r="E59322" s="8"/>
      <c r="F59322" s="8"/>
      <c r="G59322" s="8"/>
      <c r="H59322" s="8"/>
      <c r="I59322" s="102"/>
      <c r="J59322" s="8"/>
      <c r="K59322" s="8"/>
      <c r="L59322" s="8"/>
      <c r="M59322" s="8"/>
      <c r="N59322" s="8"/>
      <c r="O59322" s="8"/>
      <c r="P59322" s="8"/>
      <c r="Q59322" s="8"/>
      <c r="R59322" s="103"/>
      <c r="S59322" s="8"/>
      <c r="T59322" s="8"/>
      <c r="U59322" s="8"/>
      <c r="V59322" s="8"/>
      <c r="W59322" s="8"/>
      <c r="X59322" s="8"/>
      <c r="Y59322" s="8"/>
      <c r="Z59322" s="8"/>
      <c r="AA59322" s="8"/>
    </row>
    <row r="59323" spans="1:27" x14ac:dyDescent="0.25">
      <c r="A59323" s="8"/>
      <c r="B59323" s="8"/>
      <c r="C59323" s="99"/>
      <c r="D59323" s="8"/>
      <c r="E59323" s="8"/>
      <c r="F59323" s="8"/>
      <c r="G59323" s="8"/>
      <c r="H59323" s="8"/>
      <c r="I59323" s="102"/>
      <c r="J59323" s="8"/>
      <c r="K59323" s="8"/>
      <c r="L59323" s="8"/>
      <c r="M59323" s="8"/>
      <c r="N59323" s="8"/>
      <c r="O59323" s="8"/>
      <c r="P59323" s="8"/>
      <c r="Q59323" s="8"/>
      <c r="R59323" s="103"/>
      <c r="S59323" s="8"/>
      <c r="T59323" s="8"/>
      <c r="U59323" s="8"/>
      <c r="V59323" s="8"/>
      <c r="W59323" s="8"/>
      <c r="X59323" s="8"/>
      <c r="Y59323" s="8"/>
      <c r="Z59323" s="8"/>
      <c r="AA59323" s="8"/>
    </row>
    <row r="59324" spans="1:27" x14ac:dyDescent="0.25">
      <c r="A59324" s="8"/>
      <c r="B59324" s="8"/>
      <c r="C59324" s="99"/>
      <c r="D59324" s="8"/>
      <c r="E59324" s="8"/>
      <c r="F59324" s="8"/>
      <c r="G59324" s="8"/>
      <c r="H59324" s="8"/>
      <c r="I59324" s="102"/>
      <c r="J59324" s="8"/>
      <c r="K59324" s="8"/>
      <c r="L59324" s="8"/>
      <c r="M59324" s="8"/>
      <c r="N59324" s="8"/>
      <c r="O59324" s="8"/>
      <c r="P59324" s="8"/>
      <c r="Q59324" s="8"/>
      <c r="R59324" s="103"/>
      <c r="S59324" s="8"/>
      <c r="T59324" s="8"/>
      <c r="U59324" s="8"/>
      <c r="V59324" s="8"/>
      <c r="W59324" s="8"/>
      <c r="X59324" s="8"/>
      <c r="Y59324" s="8"/>
      <c r="Z59324" s="8"/>
      <c r="AA59324" s="8"/>
    </row>
    <row r="59325" spans="1:27" x14ac:dyDescent="0.25">
      <c r="A59325" s="8"/>
      <c r="B59325" s="8"/>
      <c r="C59325" s="99"/>
      <c r="D59325" s="8"/>
      <c r="E59325" s="8"/>
      <c r="F59325" s="8"/>
      <c r="G59325" s="8"/>
      <c r="H59325" s="8"/>
      <c r="I59325" s="102"/>
      <c r="J59325" s="8"/>
      <c r="K59325" s="8"/>
      <c r="L59325" s="8"/>
      <c r="M59325" s="8"/>
      <c r="N59325" s="8"/>
      <c r="O59325" s="8"/>
      <c r="P59325" s="8"/>
      <c r="Q59325" s="8"/>
      <c r="R59325" s="103"/>
      <c r="S59325" s="8"/>
      <c r="T59325" s="8"/>
      <c r="U59325" s="8"/>
      <c r="V59325" s="8"/>
      <c r="W59325" s="8"/>
      <c r="X59325" s="8"/>
      <c r="Y59325" s="8"/>
      <c r="Z59325" s="8"/>
      <c r="AA59325" s="8"/>
    </row>
    <row r="59326" spans="1:27" x14ac:dyDescent="0.25">
      <c r="A59326" s="8"/>
      <c r="B59326" s="8"/>
      <c r="C59326" s="99"/>
      <c r="D59326" s="8"/>
      <c r="E59326" s="8"/>
      <c r="F59326" s="8"/>
      <c r="G59326" s="8"/>
      <c r="H59326" s="8"/>
      <c r="I59326" s="102"/>
      <c r="J59326" s="8"/>
      <c r="K59326" s="8"/>
      <c r="L59326" s="8"/>
      <c r="M59326" s="8"/>
      <c r="N59326" s="8"/>
      <c r="O59326" s="8"/>
      <c r="P59326" s="8"/>
      <c r="Q59326" s="8"/>
      <c r="R59326" s="103"/>
      <c r="S59326" s="8"/>
      <c r="T59326" s="8"/>
      <c r="U59326" s="8"/>
      <c r="V59326" s="8"/>
      <c r="W59326" s="8"/>
      <c r="X59326" s="8"/>
      <c r="Y59326" s="8"/>
      <c r="Z59326" s="8"/>
      <c r="AA59326" s="8"/>
    </row>
    <row r="59327" spans="1:27" x14ac:dyDescent="0.25">
      <c r="A59327" s="8"/>
      <c r="B59327" s="8"/>
      <c r="C59327" s="99"/>
      <c r="D59327" s="8"/>
      <c r="E59327" s="8"/>
      <c r="F59327" s="8"/>
      <c r="G59327" s="8"/>
      <c r="H59327" s="8"/>
      <c r="I59327" s="102"/>
      <c r="J59327" s="8"/>
      <c r="K59327" s="8"/>
      <c r="L59327" s="8"/>
      <c r="M59327" s="8"/>
      <c r="N59327" s="8"/>
      <c r="O59327" s="8"/>
      <c r="P59327" s="8"/>
      <c r="Q59327" s="8"/>
      <c r="R59327" s="103"/>
      <c r="S59327" s="8"/>
      <c r="T59327" s="8"/>
      <c r="U59327" s="8"/>
      <c r="V59327" s="8"/>
      <c r="W59327" s="8"/>
      <c r="X59327" s="8"/>
      <c r="Y59327" s="8"/>
      <c r="Z59327" s="8"/>
      <c r="AA59327" s="8"/>
    </row>
    <row r="59328" spans="1:27" x14ac:dyDescent="0.25">
      <c r="A59328" s="8"/>
      <c r="B59328" s="8"/>
      <c r="C59328" s="99"/>
      <c r="D59328" s="8"/>
      <c r="E59328" s="8"/>
      <c r="F59328" s="8"/>
      <c r="G59328" s="8"/>
      <c r="H59328" s="8"/>
      <c r="I59328" s="102"/>
      <c r="J59328" s="8"/>
      <c r="K59328" s="8"/>
      <c r="L59328" s="8"/>
      <c r="M59328" s="8"/>
      <c r="N59328" s="8"/>
      <c r="O59328" s="8"/>
      <c r="P59328" s="8"/>
      <c r="Q59328" s="8"/>
      <c r="R59328" s="103"/>
      <c r="S59328" s="8"/>
      <c r="T59328" s="8"/>
      <c r="U59328" s="8"/>
      <c r="V59328" s="8"/>
      <c r="W59328" s="8"/>
      <c r="X59328" s="8"/>
      <c r="Y59328" s="8"/>
      <c r="Z59328" s="8"/>
      <c r="AA59328" s="8"/>
    </row>
    <row r="59329" spans="1:27" x14ac:dyDescent="0.25">
      <c r="A59329" s="8"/>
      <c r="B59329" s="8"/>
      <c r="C59329" s="99"/>
      <c r="D59329" s="8"/>
      <c r="E59329" s="8"/>
      <c r="F59329" s="8"/>
      <c r="G59329" s="8"/>
      <c r="H59329" s="8"/>
      <c r="I59329" s="102"/>
      <c r="J59329" s="8"/>
      <c r="K59329" s="8"/>
      <c r="L59329" s="8"/>
      <c r="M59329" s="8"/>
      <c r="N59329" s="8"/>
      <c r="O59329" s="8"/>
      <c r="P59329" s="8"/>
      <c r="Q59329" s="8"/>
      <c r="R59329" s="103"/>
      <c r="S59329" s="8"/>
      <c r="T59329" s="8"/>
      <c r="U59329" s="8"/>
      <c r="V59329" s="8"/>
      <c r="W59329" s="8"/>
      <c r="X59329" s="8"/>
      <c r="Y59329" s="8"/>
      <c r="Z59329" s="8"/>
      <c r="AA59329" s="8"/>
    </row>
    <row r="59330" spans="1:27" x14ac:dyDescent="0.25">
      <c r="A59330" s="8"/>
      <c r="B59330" s="8"/>
      <c r="C59330" s="99"/>
      <c r="D59330" s="8"/>
      <c r="E59330" s="8"/>
      <c r="F59330" s="8"/>
      <c r="G59330" s="8"/>
      <c r="H59330" s="8"/>
      <c r="I59330" s="102"/>
      <c r="J59330" s="8"/>
      <c r="K59330" s="8"/>
      <c r="L59330" s="8"/>
      <c r="M59330" s="8"/>
      <c r="N59330" s="8"/>
      <c r="O59330" s="8"/>
      <c r="P59330" s="8"/>
      <c r="Q59330" s="8"/>
      <c r="R59330" s="103"/>
      <c r="S59330" s="8"/>
      <c r="T59330" s="8"/>
      <c r="U59330" s="8"/>
      <c r="V59330" s="8"/>
      <c r="W59330" s="8"/>
      <c r="X59330" s="8"/>
      <c r="Y59330" s="8"/>
      <c r="Z59330" s="8"/>
      <c r="AA59330" s="8"/>
    </row>
    <row r="59331" spans="1:27" x14ac:dyDescent="0.25">
      <c r="A59331" s="8"/>
      <c r="B59331" s="8"/>
      <c r="C59331" s="99"/>
      <c r="D59331" s="8"/>
      <c r="E59331" s="8"/>
      <c r="F59331" s="8"/>
      <c r="G59331" s="8"/>
      <c r="H59331" s="8"/>
      <c r="I59331" s="102"/>
      <c r="J59331" s="8"/>
      <c r="K59331" s="8"/>
      <c r="L59331" s="8"/>
      <c r="M59331" s="8"/>
      <c r="N59331" s="8"/>
      <c r="O59331" s="8"/>
      <c r="P59331" s="8"/>
      <c r="Q59331" s="8"/>
      <c r="R59331" s="103"/>
      <c r="S59331" s="8"/>
      <c r="T59331" s="8"/>
      <c r="U59331" s="8"/>
      <c r="V59331" s="8"/>
      <c r="W59331" s="8"/>
      <c r="X59331" s="8"/>
      <c r="Y59331" s="8"/>
      <c r="Z59331" s="8"/>
      <c r="AA59331" s="8"/>
    </row>
    <row r="59332" spans="1:27" x14ac:dyDescent="0.25">
      <c r="A59332" s="8"/>
      <c r="B59332" s="8"/>
      <c r="C59332" s="99"/>
      <c r="D59332" s="8"/>
      <c r="E59332" s="8"/>
      <c r="F59332" s="8"/>
      <c r="G59332" s="8"/>
      <c r="H59332" s="8"/>
      <c r="I59332" s="102"/>
      <c r="J59332" s="8"/>
      <c r="K59332" s="8"/>
      <c r="L59332" s="8"/>
      <c r="M59332" s="8"/>
      <c r="N59332" s="8"/>
      <c r="O59332" s="8"/>
      <c r="P59332" s="8"/>
      <c r="Q59332" s="8"/>
      <c r="R59332" s="103"/>
      <c r="S59332" s="8"/>
      <c r="T59332" s="8"/>
      <c r="U59332" s="8"/>
      <c r="V59332" s="8"/>
      <c r="W59332" s="8"/>
      <c r="X59332" s="8"/>
      <c r="Y59332" s="8"/>
      <c r="Z59332" s="8"/>
      <c r="AA59332" s="8"/>
    </row>
    <row r="59333" spans="1:27" x14ac:dyDescent="0.25">
      <c r="A59333" s="8"/>
      <c r="B59333" s="8"/>
      <c r="C59333" s="99"/>
      <c r="D59333" s="8"/>
      <c r="E59333" s="8"/>
      <c r="F59333" s="8"/>
      <c r="G59333" s="8"/>
      <c r="H59333" s="8"/>
      <c r="I59333" s="102"/>
      <c r="J59333" s="8"/>
      <c r="K59333" s="8"/>
      <c r="L59333" s="8"/>
      <c r="M59333" s="8"/>
      <c r="N59333" s="8"/>
      <c r="O59333" s="8"/>
      <c r="P59333" s="8"/>
      <c r="Q59333" s="8"/>
      <c r="R59333" s="103"/>
      <c r="S59333" s="8"/>
      <c r="T59333" s="8"/>
      <c r="U59333" s="8"/>
      <c r="V59333" s="8"/>
      <c r="W59333" s="8"/>
      <c r="X59333" s="8"/>
      <c r="Y59333" s="8"/>
      <c r="Z59333" s="8"/>
      <c r="AA59333" s="8"/>
    </row>
    <row r="59334" spans="1:27" x14ac:dyDescent="0.25">
      <c r="A59334" s="8"/>
      <c r="B59334" s="8"/>
      <c r="C59334" s="99"/>
      <c r="D59334" s="8"/>
      <c r="E59334" s="8"/>
      <c r="F59334" s="8"/>
      <c r="G59334" s="8"/>
      <c r="H59334" s="8"/>
      <c r="I59334" s="102"/>
      <c r="J59334" s="8"/>
      <c r="K59334" s="8"/>
      <c r="L59334" s="8"/>
      <c r="M59334" s="8"/>
      <c r="N59334" s="8"/>
      <c r="O59334" s="8"/>
      <c r="P59334" s="8"/>
      <c r="Q59334" s="8"/>
      <c r="R59334" s="103"/>
      <c r="S59334" s="8"/>
      <c r="T59334" s="8"/>
      <c r="U59334" s="8"/>
      <c r="V59334" s="8"/>
      <c r="W59334" s="8"/>
      <c r="X59334" s="8"/>
      <c r="Y59334" s="8"/>
      <c r="Z59334" s="8"/>
      <c r="AA59334" s="8"/>
    </row>
    <row r="59335" spans="1:27" x14ac:dyDescent="0.25">
      <c r="A59335" s="8"/>
      <c r="B59335" s="8"/>
      <c r="C59335" s="99"/>
      <c r="D59335" s="8"/>
      <c r="E59335" s="8"/>
      <c r="F59335" s="8"/>
      <c r="G59335" s="8"/>
      <c r="H59335" s="8"/>
      <c r="I59335" s="102"/>
      <c r="J59335" s="8"/>
      <c r="K59335" s="8"/>
      <c r="L59335" s="8"/>
      <c r="M59335" s="8"/>
      <c r="N59335" s="8"/>
      <c r="O59335" s="8"/>
      <c r="P59335" s="8"/>
      <c r="Q59335" s="8"/>
      <c r="R59335" s="103"/>
      <c r="S59335" s="8"/>
      <c r="T59335" s="8"/>
      <c r="U59335" s="8"/>
      <c r="V59335" s="8"/>
      <c r="W59335" s="8"/>
      <c r="X59335" s="8"/>
      <c r="Y59335" s="8"/>
      <c r="Z59335" s="8"/>
      <c r="AA59335" s="8"/>
    </row>
    <row r="59336" spans="1:27" x14ac:dyDescent="0.25">
      <c r="A59336" s="8"/>
      <c r="B59336" s="8"/>
      <c r="C59336" s="99"/>
      <c r="D59336" s="8"/>
      <c r="E59336" s="8"/>
      <c r="F59336" s="8"/>
      <c r="G59336" s="8"/>
      <c r="H59336" s="8"/>
      <c r="I59336" s="102"/>
      <c r="J59336" s="8"/>
      <c r="K59336" s="8"/>
      <c r="L59336" s="8"/>
      <c r="M59336" s="8"/>
      <c r="N59336" s="8"/>
      <c r="O59336" s="8"/>
      <c r="P59336" s="8"/>
      <c r="Q59336" s="8"/>
      <c r="R59336" s="103"/>
      <c r="S59336" s="8"/>
      <c r="T59336" s="8"/>
      <c r="U59336" s="8"/>
      <c r="V59336" s="8"/>
      <c r="W59336" s="8"/>
      <c r="X59336" s="8"/>
      <c r="Y59336" s="8"/>
      <c r="Z59336" s="8"/>
      <c r="AA59336" s="8"/>
    </row>
    <row r="59337" spans="1:27" x14ac:dyDescent="0.25">
      <c r="A59337" s="8"/>
      <c r="B59337" s="8"/>
      <c r="C59337" s="99"/>
      <c r="D59337" s="8"/>
      <c r="E59337" s="8"/>
      <c r="F59337" s="8"/>
      <c r="G59337" s="8"/>
      <c r="H59337" s="8"/>
      <c r="I59337" s="102"/>
      <c r="J59337" s="8"/>
      <c r="K59337" s="8"/>
      <c r="L59337" s="8"/>
      <c r="M59337" s="8"/>
      <c r="N59337" s="8"/>
      <c r="O59337" s="8"/>
      <c r="P59337" s="8"/>
      <c r="Q59337" s="8"/>
      <c r="R59337" s="103"/>
      <c r="S59337" s="8"/>
      <c r="T59337" s="8"/>
      <c r="U59337" s="8"/>
      <c r="V59337" s="8"/>
      <c r="W59337" s="8"/>
      <c r="X59337" s="8"/>
      <c r="Y59337" s="8"/>
      <c r="Z59337" s="8"/>
      <c r="AA59337" s="8"/>
    </row>
    <row r="59338" spans="1:27" x14ac:dyDescent="0.25">
      <c r="A59338" s="8"/>
      <c r="B59338" s="8"/>
      <c r="C59338" s="99"/>
      <c r="D59338" s="8"/>
      <c r="E59338" s="8"/>
      <c r="F59338" s="8"/>
      <c r="G59338" s="8"/>
      <c r="H59338" s="8"/>
      <c r="I59338" s="102"/>
      <c r="J59338" s="8"/>
      <c r="K59338" s="8"/>
      <c r="L59338" s="8"/>
      <c r="M59338" s="8"/>
      <c r="N59338" s="8"/>
      <c r="O59338" s="8"/>
      <c r="P59338" s="8"/>
      <c r="Q59338" s="8"/>
      <c r="R59338" s="103"/>
      <c r="S59338" s="8"/>
      <c r="T59338" s="8"/>
      <c r="U59338" s="8"/>
      <c r="V59338" s="8"/>
      <c r="W59338" s="8"/>
      <c r="X59338" s="8"/>
      <c r="Y59338" s="8"/>
      <c r="Z59338" s="8"/>
      <c r="AA59338" s="8"/>
    </row>
    <row r="59339" spans="1:27" x14ac:dyDescent="0.25">
      <c r="A59339" s="8"/>
      <c r="B59339" s="8"/>
      <c r="C59339" s="99"/>
      <c r="D59339" s="8"/>
      <c r="E59339" s="8"/>
      <c r="F59339" s="8"/>
      <c r="G59339" s="8"/>
      <c r="H59339" s="8"/>
      <c r="I59339" s="102"/>
      <c r="J59339" s="8"/>
      <c r="K59339" s="8"/>
      <c r="L59339" s="8"/>
      <c r="M59339" s="8"/>
      <c r="N59339" s="8"/>
      <c r="O59339" s="8"/>
      <c r="P59339" s="8"/>
      <c r="Q59339" s="8"/>
      <c r="R59339" s="103"/>
      <c r="S59339" s="8"/>
      <c r="T59339" s="8"/>
      <c r="U59339" s="8"/>
      <c r="V59339" s="8"/>
      <c r="W59339" s="8"/>
      <c r="X59339" s="8"/>
      <c r="Y59339" s="8"/>
      <c r="Z59339" s="8"/>
      <c r="AA59339" s="8"/>
    </row>
    <row r="59340" spans="1:27" x14ac:dyDescent="0.25">
      <c r="A59340" s="8"/>
      <c r="B59340" s="8"/>
      <c r="C59340" s="99"/>
      <c r="D59340" s="8"/>
      <c r="E59340" s="8"/>
      <c r="F59340" s="8"/>
      <c r="G59340" s="8"/>
      <c r="H59340" s="8"/>
      <c r="I59340" s="102"/>
      <c r="J59340" s="8"/>
      <c r="K59340" s="8"/>
      <c r="L59340" s="8"/>
      <c r="M59340" s="8"/>
      <c r="N59340" s="8"/>
      <c r="O59340" s="8"/>
      <c r="P59340" s="8"/>
      <c r="Q59340" s="8"/>
      <c r="R59340" s="103"/>
      <c r="S59340" s="8"/>
      <c r="T59340" s="8"/>
      <c r="U59340" s="8"/>
      <c r="V59340" s="8"/>
      <c r="W59340" s="8"/>
      <c r="X59340" s="8"/>
      <c r="Y59340" s="8"/>
      <c r="Z59340" s="8"/>
      <c r="AA59340" s="8"/>
    </row>
    <row r="59341" spans="1:27" x14ac:dyDescent="0.25">
      <c r="A59341" s="8"/>
      <c r="B59341" s="8"/>
      <c r="C59341" s="99"/>
      <c r="D59341" s="8"/>
      <c r="E59341" s="8"/>
      <c r="F59341" s="8"/>
      <c r="G59341" s="8"/>
      <c r="H59341" s="8"/>
      <c r="I59341" s="102"/>
      <c r="J59341" s="8"/>
      <c r="K59341" s="8"/>
      <c r="L59341" s="8"/>
      <c r="M59341" s="8"/>
      <c r="N59341" s="8"/>
      <c r="O59341" s="8"/>
      <c r="P59341" s="8"/>
      <c r="Q59341" s="8"/>
      <c r="R59341" s="103"/>
      <c r="S59341" s="8"/>
      <c r="T59341" s="8"/>
      <c r="U59341" s="8"/>
      <c r="V59341" s="8"/>
      <c r="W59341" s="8"/>
      <c r="X59341" s="8"/>
      <c r="Y59341" s="8"/>
      <c r="Z59341" s="8"/>
      <c r="AA59341" s="8"/>
    </row>
    <row r="59342" spans="1:27" x14ac:dyDescent="0.25">
      <c r="A59342" s="8"/>
      <c r="B59342" s="8"/>
      <c r="C59342" s="99"/>
      <c r="D59342" s="8"/>
      <c r="E59342" s="8"/>
      <c r="F59342" s="8"/>
      <c r="G59342" s="8"/>
      <c r="H59342" s="8"/>
      <c r="I59342" s="102"/>
      <c r="J59342" s="8"/>
      <c r="K59342" s="8"/>
      <c r="L59342" s="8"/>
      <c r="M59342" s="8"/>
      <c r="N59342" s="8"/>
      <c r="O59342" s="8"/>
      <c r="P59342" s="8"/>
      <c r="Q59342" s="8"/>
      <c r="R59342" s="103"/>
      <c r="S59342" s="8"/>
      <c r="T59342" s="8"/>
      <c r="U59342" s="8"/>
      <c r="V59342" s="8"/>
      <c r="W59342" s="8"/>
      <c r="X59342" s="8"/>
      <c r="Y59342" s="8"/>
      <c r="Z59342" s="8"/>
      <c r="AA59342" s="8"/>
    </row>
    <row r="59343" spans="1:27" x14ac:dyDescent="0.25">
      <c r="A59343" s="8"/>
      <c r="B59343" s="8"/>
      <c r="C59343" s="99"/>
      <c r="D59343" s="8"/>
      <c r="E59343" s="8"/>
      <c r="F59343" s="8"/>
      <c r="G59343" s="8"/>
      <c r="H59343" s="8"/>
      <c r="I59343" s="102"/>
      <c r="J59343" s="8"/>
      <c r="K59343" s="8"/>
      <c r="L59343" s="8"/>
      <c r="M59343" s="8"/>
      <c r="N59343" s="8"/>
      <c r="O59343" s="8"/>
      <c r="P59343" s="8"/>
      <c r="Q59343" s="8"/>
      <c r="R59343" s="103"/>
      <c r="S59343" s="8"/>
      <c r="T59343" s="8"/>
      <c r="U59343" s="8"/>
      <c r="V59343" s="8"/>
      <c r="W59343" s="8"/>
      <c r="X59343" s="8"/>
      <c r="Y59343" s="8"/>
      <c r="Z59343" s="8"/>
      <c r="AA59343" s="8"/>
    </row>
    <row r="59344" spans="1:27" x14ac:dyDescent="0.25">
      <c r="A59344" s="8"/>
      <c r="B59344" s="8"/>
      <c r="C59344" s="99"/>
      <c r="D59344" s="8"/>
      <c r="E59344" s="8"/>
      <c r="F59344" s="8"/>
      <c r="G59344" s="8"/>
      <c r="H59344" s="8"/>
      <c r="I59344" s="102"/>
      <c r="J59344" s="8"/>
      <c r="K59344" s="8"/>
      <c r="L59344" s="8"/>
      <c r="M59344" s="8"/>
      <c r="N59344" s="8"/>
      <c r="O59344" s="8"/>
      <c r="P59344" s="8"/>
      <c r="Q59344" s="8"/>
      <c r="R59344" s="103"/>
      <c r="S59344" s="8"/>
      <c r="T59344" s="8"/>
      <c r="U59344" s="8"/>
      <c r="V59344" s="8"/>
      <c r="W59344" s="8"/>
      <c r="X59344" s="8"/>
      <c r="Y59344" s="8"/>
      <c r="Z59344" s="8"/>
      <c r="AA59344" s="8"/>
    </row>
    <row r="59345" spans="1:27" x14ac:dyDescent="0.25">
      <c r="A59345" s="8"/>
      <c r="B59345" s="8"/>
      <c r="C59345" s="99"/>
      <c r="D59345" s="8"/>
      <c r="E59345" s="8"/>
      <c r="F59345" s="8"/>
      <c r="G59345" s="8"/>
      <c r="H59345" s="8"/>
      <c r="I59345" s="102"/>
      <c r="J59345" s="8"/>
      <c r="K59345" s="8"/>
      <c r="L59345" s="8"/>
      <c r="M59345" s="8"/>
      <c r="N59345" s="8"/>
      <c r="O59345" s="8"/>
      <c r="P59345" s="8"/>
      <c r="Q59345" s="8"/>
      <c r="R59345" s="103"/>
      <c r="S59345" s="8"/>
      <c r="T59345" s="8"/>
      <c r="U59345" s="8"/>
      <c r="V59345" s="8"/>
      <c r="W59345" s="8"/>
      <c r="X59345" s="8"/>
      <c r="Y59345" s="8"/>
      <c r="Z59345" s="8"/>
      <c r="AA59345" s="8"/>
    </row>
    <row r="59346" spans="1:27" x14ac:dyDescent="0.25">
      <c r="A59346" s="8"/>
      <c r="B59346" s="8"/>
      <c r="C59346" s="99"/>
      <c r="D59346" s="8"/>
      <c r="E59346" s="8"/>
      <c r="F59346" s="8"/>
      <c r="G59346" s="8"/>
      <c r="H59346" s="8"/>
      <c r="I59346" s="102"/>
      <c r="J59346" s="8"/>
      <c r="K59346" s="8"/>
      <c r="L59346" s="8"/>
      <c r="M59346" s="8"/>
      <c r="N59346" s="8"/>
      <c r="O59346" s="8"/>
      <c r="P59346" s="8"/>
      <c r="Q59346" s="8"/>
      <c r="R59346" s="103"/>
      <c r="S59346" s="8"/>
      <c r="T59346" s="8"/>
      <c r="U59346" s="8"/>
      <c r="V59346" s="8"/>
      <c r="W59346" s="8"/>
      <c r="X59346" s="8"/>
      <c r="Y59346" s="8"/>
      <c r="Z59346" s="8"/>
      <c r="AA59346" s="8"/>
    </row>
    <row r="59347" spans="1:27" x14ac:dyDescent="0.25">
      <c r="A59347" s="8"/>
      <c r="B59347" s="8"/>
      <c r="C59347" s="99"/>
      <c r="D59347" s="8"/>
      <c r="E59347" s="8"/>
      <c r="F59347" s="8"/>
      <c r="G59347" s="8"/>
      <c r="H59347" s="8"/>
      <c r="I59347" s="102"/>
      <c r="J59347" s="8"/>
      <c r="K59347" s="8"/>
      <c r="L59347" s="8"/>
      <c r="M59347" s="8"/>
      <c r="N59347" s="8"/>
      <c r="O59347" s="8"/>
      <c r="P59347" s="8"/>
      <c r="Q59347" s="8"/>
      <c r="R59347" s="103"/>
      <c r="S59347" s="8"/>
      <c r="T59347" s="8"/>
      <c r="U59347" s="8"/>
      <c r="V59347" s="8"/>
      <c r="W59347" s="8"/>
      <c r="X59347" s="8"/>
      <c r="Y59347" s="8"/>
      <c r="Z59347" s="8"/>
      <c r="AA59347" s="8"/>
    </row>
    <row r="59348" spans="1:27" x14ac:dyDescent="0.25">
      <c r="A59348" s="8"/>
      <c r="B59348" s="8"/>
      <c r="C59348" s="99"/>
      <c r="D59348" s="8"/>
      <c r="E59348" s="8"/>
      <c r="F59348" s="8"/>
      <c r="G59348" s="8"/>
      <c r="H59348" s="8"/>
      <c r="I59348" s="102"/>
      <c r="J59348" s="8"/>
      <c r="K59348" s="8"/>
      <c r="L59348" s="8"/>
      <c r="M59348" s="8"/>
      <c r="N59348" s="8"/>
      <c r="O59348" s="8"/>
      <c r="P59348" s="8"/>
      <c r="Q59348" s="8"/>
      <c r="R59348" s="103"/>
      <c r="S59348" s="8"/>
      <c r="T59348" s="8"/>
      <c r="U59348" s="8"/>
      <c r="V59348" s="8"/>
      <c r="W59348" s="8"/>
      <c r="X59348" s="8"/>
      <c r="Y59348" s="8"/>
      <c r="Z59348" s="8"/>
      <c r="AA59348" s="8"/>
    </row>
    <row r="59349" spans="1:27" x14ac:dyDescent="0.25">
      <c r="A59349" s="8"/>
      <c r="B59349" s="8"/>
      <c r="C59349" s="99"/>
      <c r="D59349" s="8"/>
      <c r="E59349" s="8"/>
      <c r="F59349" s="8"/>
      <c r="G59349" s="8"/>
      <c r="H59349" s="8"/>
      <c r="I59349" s="102"/>
      <c r="J59349" s="8"/>
      <c r="K59349" s="8"/>
      <c r="L59349" s="8"/>
      <c r="M59349" s="8"/>
      <c r="N59349" s="8"/>
      <c r="O59349" s="8"/>
      <c r="P59349" s="8"/>
      <c r="Q59349" s="8"/>
      <c r="R59349" s="103"/>
      <c r="S59349" s="8"/>
      <c r="T59349" s="8"/>
      <c r="U59349" s="8"/>
      <c r="V59349" s="8"/>
      <c r="W59349" s="8"/>
      <c r="X59349" s="8"/>
      <c r="Y59349" s="8"/>
      <c r="Z59349" s="8"/>
      <c r="AA59349" s="8"/>
    </row>
    <row r="59350" spans="1:27" x14ac:dyDescent="0.25">
      <c r="A59350" s="8"/>
      <c r="B59350" s="8"/>
      <c r="C59350" s="99"/>
      <c r="D59350" s="8"/>
      <c r="E59350" s="8"/>
      <c r="F59350" s="8"/>
      <c r="G59350" s="8"/>
      <c r="H59350" s="8"/>
      <c r="I59350" s="102"/>
      <c r="J59350" s="8"/>
      <c r="K59350" s="8"/>
      <c r="L59350" s="8"/>
      <c r="M59350" s="8"/>
      <c r="N59350" s="8"/>
      <c r="O59350" s="8"/>
      <c r="P59350" s="8"/>
      <c r="Q59350" s="8"/>
      <c r="R59350" s="103"/>
      <c r="S59350" s="8"/>
      <c r="T59350" s="8"/>
      <c r="U59350" s="8"/>
      <c r="V59350" s="8"/>
      <c r="W59350" s="8"/>
      <c r="X59350" s="8"/>
      <c r="Y59350" s="8"/>
      <c r="Z59350" s="8"/>
      <c r="AA59350" s="8"/>
    </row>
    <row r="59351" spans="1:27" x14ac:dyDescent="0.25">
      <c r="A59351" s="8"/>
      <c r="B59351" s="8"/>
      <c r="C59351" s="99"/>
      <c r="D59351" s="8"/>
      <c r="E59351" s="8"/>
      <c r="F59351" s="8"/>
      <c r="G59351" s="8"/>
      <c r="H59351" s="8"/>
      <c r="I59351" s="102"/>
      <c r="J59351" s="8"/>
      <c r="K59351" s="8"/>
      <c r="L59351" s="8"/>
      <c r="M59351" s="8"/>
      <c r="N59351" s="8"/>
      <c r="O59351" s="8"/>
      <c r="P59351" s="8"/>
      <c r="Q59351" s="8"/>
      <c r="R59351" s="103"/>
      <c r="S59351" s="8"/>
      <c r="T59351" s="8"/>
      <c r="U59351" s="8"/>
      <c r="V59351" s="8"/>
      <c r="W59351" s="8"/>
      <c r="X59351" s="8"/>
      <c r="Y59351" s="8"/>
      <c r="Z59351" s="8"/>
      <c r="AA59351" s="8"/>
    </row>
    <row r="59352" spans="1:27" x14ac:dyDescent="0.25">
      <c r="A59352" s="8"/>
      <c r="B59352" s="8"/>
      <c r="C59352" s="99"/>
      <c r="D59352" s="8"/>
      <c r="E59352" s="8"/>
      <c r="F59352" s="8"/>
      <c r="G59352" s="8"/>
      <c r="H59352" s="8"/>
      <c r="I59352" s="102"/>
      <c r="J59352" s="8"/>
      <c r="K59352" s="8"/>
      <c r="L59352" s="8"/>
      <c r="M59352" s="8"/>
      <c r="N59352" s="8"/>
      <c r="O59352" s="8"/>
      <c r="P59352" s="8"/>
      <c r="Q59352" s="8"/>
      <c r="R59352" s="103"/>
      <c r="S59352" s="8"/>
      <c r="T59352" s="8"/>
      <c r="U59352" s="8"/>
      <c r="V59352" s="8"/>
      <c r="W59352" s="8"/>
      <c r="X59352" s="8"/>
      <c r="Y59352" s="8"/>
      <c r="Z59352" s="8"/>
      <c r="AA59352" s="8"/>
    </row>
    <row r="59353" spans="1:27" x14ac:dyDescent="0.25">
      <c r="A59353" s="8"/>
      <c r="B59353" s="8"/>
      <c r="C59353" s="99"/>
      <c r="D59353" s="8"/>
      <c r="E59353" s="8"/>
      <c r="F59353" s="8"/>
      <c r="G59353" s="8"/>
      <c r="H59353" s="8"/>
      <c r="I59353" s="102"/>
      <c r="J59353" s="8"/>
      <c r="K59353" s="8"/>
      <c r="L59353" s="8"/>
      <c r="M59353" s="8"/>
      <c r="N59353" s="8"/>
      <c r="O59353" s="8"/>
      <c r="P59353" s="8"/>
      <c r="Q59353" s="8"/>
      <c r="R59353" s="103"/>
      <c r="S59353" s="8"/>
      <c r="T59353" s="8"/>
      <c r="U59353" s="8"/>
      <c r="V59353" s="8"/>
      <c r="W59353" s="8"/>
      <c r="X59353" s="8"/>
      <c r="Y59353" s="8"/>
      <c r="Z59353" s="8"/>
      <c r="AA59353" s="8"/>
    </row>
    <row r="59354" spans="1:27" x14ac:dyDescent="0.25">
      <c r="A59354" s="8"/>
      <c r="B59354" s="8"/>
      <c r="C59354" s="99"/>
      <c r="D59354" s="8"/>
      <c r="E59354" s="8"/>
      <c r="F59354" s="8"/>
      <c r="G59354" s="8"/>
      <c r="H59354" s="8"/>
      <c r="I59354" s="102"/>
      <c r="J59354" s="8"/>
      <c r="K59354" s="8"/>
      <c r="L59354" s="8"/>
      <c r="M59354" s="8"/>
      <c r="N59354" s="8"/>
      <c r="O59354" s="8"/>
      <c r="P59354" s="8"/>
      <c r="Q59354" s="8"/>
      <c r="R59354" s="103"/>
      <c r="S59354" s="8"/>
      <c r="T59354" s="8"/>
      <c r="U59354" s="8"/>
      <c r="V59354" s="8"/>
      <c r="W59354" s="8"/>
      <c r="X59354" s="8"/>
      <c r="Y59354" s="8"/>
      <c r="Z59354" s="8"/>
      <c r="AA59354" s="8"/>
    </row>
    <row r="59355" spans="1:27" x14ac:dyDescent="0.25">
      <c r="A59355" s="8"/>
      <c r="B59355" s="8"/>
      <c r="C59355" s="99"/>
      <c r="D59355" s="8"/>
      <c r="E59355" s="8"/>
      <c r="F59355" s="8"/>
      <c r="G59355" s="8"/>
      <c r="H59355" s="8"/>
      <c r="I59355" s="102"/>
      <c r="J59355" s="8"/>
      <c r="K59355" s="8"/>
      <c r="L59355" s="8"/>
      <c r="M59355" s="8"/>
      <c r="N59355" s="8"/>
      <c r="O59355" s="8"/>
      <c r="P59355" s="8"/>
      <c r="Q59355" s="8"/>
      <c r="R59355" s="103"/>
      <c r="S59355" s="8"/>
      <c r="T59355" s="8"/>
      <c r="U59355" s="8"/>
      <c r="V59355" s="8"/>
      <c r="W59355" s="8"/>
      <c r="X59355" s="8"/>
      <c r="Y59355" s="8"/>
      <c r="Z59355" s="8"/>
      <c r="AA59355" s="8"/>
    </row>
    <row r="59356" spans="1:27" x14ac:dyDescent="0.25">
      <c r="A59356" s="8"/>
      <c r="B59356" s="8"/>
      <c r="C59356" s="99"/>
      <c r="D59356" s="8"/>
      <c r="E59356" s="8"/>
      <c r="F59356" s="8"/>
      <c r="G59356" s="8"/>
      <c r="H59356" s="8"/>
      <c r="I59356" s="102"/>
      <c r="J59356" s="8"/>
      <c r="K59356" s="8"/>
      <c r="L59356" s="8"/>
      <c r="M59356" s="8"/>
      <c r="N59356" s="8"/>
      <c r="O59356" s="8"/>
      <c r="P59356" s="8"/>
      <c r="Q59356" s="8"/>
      <c r="R59356" s="103"/>
      <c r="S59356" s="8"/>
      <c r="T59356" s="8"/>
      <c r="U59356" s="8"/>
      <c r="V59356" s="8"/>
      <c r="W59356" s="8"/>
      <c r="X59356" s="8"/>
      <c r="Y59356" s="8"/>
      <c r="Z59356" s="8"/>
      <c r="AA59356" s="8"/>
    </row>
    <row r="59357" spans="1:27" x14ac:dyDescent="0.25">
      <c r="A59357" s="8"/>
      <c r="B59357" s="8"/>
      <c r="C59357" s="99"/>
      <c r="D59357" s="8"/>
      <c r="E59357" s="8"/>
      <c r="F59357" s="8"/>
      <c r="G59357" s="8"/>
      <c r="H59357" s="8"/>
      <c r="I59357" s="102"/>
      <c r="J59357" s="8"/>
      <c r="K59357" s="8"/>
      <c r="L59357" s="8"/>
      <c r="M59357" s="8"/>
      <c r="N59357" s="8"/>
      <c r="O59357" s="8"/>
      <c r="P59357" s="8"/>
      <c r="Q59357" s="8"/>
      <c r="R59357" s="103"/>
      <c r="S59357" s="8"/>
      <c r="T59357" s="8"/>
      <c r="U59357" s="8"/>
      <c r="V59357" s="8"/>
      <c r="W59357" s="8"/>
      <c r="X59357" s="8"/>
      <c r="Y59357" s="8"/>
      <c r="Z59357" s="8"/>
      <c r="AA59357" s="8"/>
    </row>
    <row r="59358" spans="1:27" x14ac:dyDescent="0.25">
      <c r="A59358" s="8"/>
      <c r="B59358" s="8"/>
      <c r="C59358" s="99"/>
      <c r="D59358" s="8"/>
      <c r="E59358" s="8"/>
      <c r="F59358" s="8"/>
      <c r="G59358" s="8"/>
      <c r="H59358" s="8"/>
      <c r="I59358" s="102"/>
      <c r="J59358" s="8"/>
      <c r="K59358" s="8"/>
      <c r="L59358" s="8"/>
      <c r="M59358" s="8"/>
      <c r="N59358" s="8"/>
      <c r="O59358" s="8"/>
      <c r="P59358" s="8"/>
      <c r="Q59358" s="8"/>
      <c r="R59358" s="103"/>
      <c r="S59358" s="8"/>
      <c r="T59358" s="8"/>
      <c r="U59358" s="8"/>
      <c r="V59358" s="8"/>
      <c r="W59358" s="8"/>
      <c r="X59358" s="8"/>
      <c r="Y59358" s="8"/>
      <c r="Z59358" s="8"/>
      <c r="AA59358" s="8"/>
    </row>
    <row r="59359" spans="1:27" x14ac:dyDescent="0.25">
      <c r="A59359" s="8"/>
      <c r="B59359" s="8"/>
      <c r="C59359" s="99"/>
      <c r="D59359" s="8"/>
      <c r="E59359" s="8"/>
      <c r="F59359" s="8"/>
      <c r="G59359" s="8"/>
      <c r="H59359" s="8"/>
      <c r="I59359" s="102"/>
      <c r="J59359" s="8"/>
      <c r="K59359" s="8"/>
      <c r="L59359" s="8"/>
      <c r="M59359" s="8"/>
      <c r="N59359" s="8"/>
      <c r="O59359" s="8"/>
      <c r="P59359" s="8"/>
      <c r="Q59359" s="8"/>
      <c r="R59359" s="103"/>
      <c r="S59359" s="8"/>
      <c r="T59359" s="8"/>
      <c r="U59359" s="8"/>
      <c r="V59359" s="8"/>
      <c r="W59359" s="8"/>
      <c r="X59359" s="8"/>
      <c r="Y59359" s="8"/>
      <c r="Z59359" s="8"/>
      <c r="AA59359" s="8"/>
    </row>
    <row r="59360" spans="1:27" x14ac:dyDescent="0.25">
      <c r="A59360" s="8"/>
      <c r="B59360" s="8"/>
      <c r="C59360" s="99"/>
      <c r="D59360" s="8"/>
      <c r="E59360" s="8"/>
      <c r="F59360" s="8"/>
      <c r="G59360" s="8"/>
      <c r="H59360" s="8"/>
      <c r="I59360" s="102"/>
      <c r="J59360" s="8"/>
      <c r="K59360" s="8"/>
      <c r="L59360" s="8"/>
      <c r="M59360" s="8"/>
      <c r="N59360" s="8"/>
      <c r="O59360" s="8"/>
      <c r="P59360" s="8"/>
      <c r="Q59360" s="8"/>
      <c r="R59360" s="103"/>
      <c r="S59360" s="8"/>
      <c r="T59360" s="8"/>
      <c r="U59360" s="8"/>
      <c r="V59360" s="8"/>
      <c r="W59360" s="8"/>
      <c r="X59360" s="8"/>
      <c r="Y59360" s="8"/>
      <c r="Z59360" s="8"/>
      <c r="AA59360" s="8"/>
    </row>
    <row r="59361" spans="1:27" x14ac:dyDescent="0.25">
      <c r="A59361" s="8"/>
      <c r="B59361" s="8"/>
      <c r="C59361" s="99"/>
      <c r="D59361" s="8"/>
      <c r="E59361" s="8"/>
      <c r="F59361" s="8"/>
      <c r="G59361" s="8"/>
      <c r="H59361" s="8"/>
      <c r="I59361" s="102"/>
      <c r="J59361" s="8"/>
      <c r="K59361" s="8"/>
      <c r="L59361" s="8"/>
      <c r="M59361" s="8"/>
      <c r="N59361" s="8"/>
      <c r="O59361" s="8"/>
      <c r="P59361" s="8"/>
      <c r="Q59361" s="8"/>
      <c r="R59361" s="103"/>
      <c r="S59361" s="8"/>
      <c r="T59361" s="8"/>
      <c r="U59361" s="8"/>
      <c r="V59361" s="8"/>
      <c r="W59361" s="8"/>
      <c r="X59361" s="8"/>
      <c r="Y59361" s="8"/>
      <c r="Z59361" s="8"/>
      <c r="AA59361" s="8"/>
    </row>
    <row r="59362" spans="1:27" x14ac:dyDescent="0.25">
      <c r="A59362" s="8"/>
      <c r="B59362" s="8"/>
      <c r="C59362" s="99"/>
      <c r="D59362" s="8"/>
      <c r="E59362" s="8"/>
      <c r="F59362" s="8"/>
      <c r="G59362" s="8"/>
      <c r="H59362" s="8"/>
      <c r="I59362" s="102"/>
      <c r="J59362" s="8"/>
      <c r="K59362" s="8"/>
      <c r="L59362" s="8"/>
      <c r="M59362" s="8"/>
      <c r="N59362" s="8"/>
      <c r="O59362" s="8"/>
      <c r="P59362" s="8"/>
      <c r="Q59362" s="8"/>
      <c r="R59362" s="103"/>
      <c r="S59362" s="8"/>
      <c r="T59362" s="8"/>
      <c r="U59362" s="8"/>
      <c r="V59362" s="8"/>
      <c r="W59362" s="8"/>
      <c r="X59362" s="8"/>
      <c r="Y59362" s="8"/>
      <c r="Z59362" s="8"/>
      <c r="AA59362" s="8"/>
    </row>
    <row r="59363" spans="1:27" x14ac:dyDescent="0.25">
      <c r="A59363" s="8"/>
      <c r="B59363" s="8"/>
      <c r="C59363" s="99"/>
      <c r="D59363" s="8"/>
      <c r="E59363" s="8"/>
      <c r="F59363" s="8"/>
      <c r="G59363" s="8"/>
      <c r="H59363" s="8"/>
      <c r="I59363" s="102"/>
      <c r="J59363" s="8"/>
      <c r="K59363" s="8"/>
      <c r="L59363" s="8"/>
      <c r="M59363" s="8"/>
      <c r="N59363" s="8"/>
      <c r="O59363" s="8"/>
      <c r="P59363" s="8"/>
      <c r="Q59363" s="8"/>
      <c r="R59363" s="103"/>
      <c r="S59363" s="8"/>
      <c r="T59363" s="8"/>
      <c r="U59363" s="8"/>
      <c r="V59363" s="8"/>
      <c r="W59363" s="8"/>
      <c r="X59363" s="8"/>
      <c r="Y59363" s="8"/>
      <c r="Z59363" s="8"/>
      <c r="AA59363" s="8"/>
    </row>
    <row r="59364" spans="1:27" x14ac:dyDescent="0.25">
      <c r="A59364" s="8"/>
      <c r="B59364" s="8"/>
      <c r="C59364" s="99"/>
      <c r="D59364" s="8"/>
      <c r="E59364" s="8"/>
      <c r="F59364" s="8"/>
      <c r="G59364" s="8"/>
      <c r="H59364" s="8"/>
      <c r="I59364" s="102"/>
      <c r="J59364" s="8"/>
      <c r="K59364" s="8"/>
      <c r="L59364" s="8"/>
      <c r="M59364" s="8"/>
      <c r="N59364" s="8"/>
      <c r="O59364" s="8"/>
      <c r="P59364" s="8"/>
      <c r="Q59364" s="8"/>
      <c r="R59364" s="103"/>
      <c r="S59364" s="8"/>
      <c r="T59364" s="8"/>
      <c r="U59364" s="8"/>
      <c r="V59364" s="8"/>
      <c r="W59364" s="8"/>
      <c r="X59364" s="8"/>
      <c r="Y59364" s="8"/>
      <c r="Z59364" s="8"/>
      <c r="AA59364" s="8"/>
    </row>
    <row r="59365" spans="1:27" x14ac:dyDescent="0.25">
      <c r="A59365" s="8"/>
      <c r="B59365" s="8"/>
      <c r="C59365" s="99"/>
      <c r="D59365" s="8"/>
      <c r="E59365" s="8"/>
      <c r="F59365" s="8"/>
      <c r="G59365" s="8"/>
      <c r="H59365" s="8"/>
      <c r="I59365" s="102"/>
      <c r="J59365" s="8"/>
      <c r="K59365" s="8"/>
      <c r="L59365" s="8"/>
      <c r="M59365" s="8"/>
      <c r="N59365" s="8"/>
      <c r="O59365" s="8"/>
      <c r="P59365" s="8"/>
      <c r="Q59365" s="8"/>
      <c r="R59365" s="103"/>
      <c r="S59365" s="8"/>
      <c r="T59365" s="8"/>
      <c r="U59365" s="8"/>
      <c r="V59365" s="8"/>
      <c r="W59365" s="8"/>
      <c r="X59365" s="8"/>
      <c r="Y59365" s="8"/>
      <c r="Z59365" s="8"/>
      <c r="AA59365" s="8"/>
    </row>
    <row r="59366" spans="1:27" x14ac:dyDescent="0.25">
      <c r="A59366" s="8"/>
      <c r="B59366" s="8"/>
      <c r="C59366" s="99"/>
      <c r="D59366" s="8"/>
      <c r="E59366" s="8"/>
      <c r="F59366" s="8"/>
      <c r="G59366" s="8"/>
      <c r="H59366" s="8"/>
      <c r="I59366" s="102"/>
      <c r="J59366" s="8"/>
      <c r="K59366" s="8"/>
      <c r="L59366" s="8"/>
      <c r="M59366" s="8"/>
      <c r="N59366" s="8"/>
      <c r="O59366" s="8"/>
      <c r="P59366" s="8"/>
      <c r="Q59366" s="8"/>
      <c r="R59366" s="103"/>
      <c r="S59366" s="8"/>
      <c r="T59366" s="8"/>
      <c r="U59366" s="8"/>
      <c r="V59366" s="8"/>
      <c r="W59366" s="8"/>
      <c r="X59366" s="8"/>
      <c r="Y59366" s="8"/>
      <c r="Z59366" s="8"/>
      <c r="AA59366" s="8"/>
    </row>
    <row r="59367" spans="1:27" x14ac:dyDescent="0.25">
      <c r="A59367" s="8"/>
      <c r="B59367" s="8"/>
      <c r="C59367" s="99"/>
      <c r="D59367" s="8"/>
      <c r="E59367" s="8"/>
      <c r="F59367" s="8"/>
      <c r="G59367" s="8"/>
      <c r="H59367" s="8"/>
      <c r="I59367" s="102"/>
      <c r="J59367" s="8"/>
      <c r="K59367" s="8"/>
      <c r="L59367" s="8"/>
      <c r="M59367" s="8"/>
      <c r="N59367" s="8"/>
      <c r="O59367" s="8"/>
      <c r="P59367" s="8"/>
      <c r="Q59367" s="8"/>
      <c r="R59367" s="103"/>
      <c r="S59367" s="8"/>
      <c r="T59367" s="8"/>
      <c r="U59367" s="8"/>
      <c r="V59367" s="8"/>
      <c r="W59367" s="8"/>
      <c r="X59367" s="8"/>
      <c r="Y59367" s="8"/>
      <c r="Z59367" s="8"/>
      <c r="AA59367" s="8"/>
    </row>
    <row r="59368" spans="1:27" x14ac:dyDescent="0.25">
      <c r="A59368" s="8"/>
      <c r="B59368" s="8"/>
      <c r="C59368" s="99"/>
      <c r="D59368" s="8"/>
      <c r="E59368" s="8"/>
      <c r="F59368" s="8"/>
      <c r="G59368" s="8"/>
      <c r="H59368" s="8"/>
      <c r="I59368" s="102"/>
      <c r="J59368" s="8"/>
      <c r="K59368" s="8"/>
      <c r="L59368" s="8"/>
      <c r="M59368" s="8"/>
      <c r="N59368" s="8"/>
      <c r="O59368" s="8"/>
      <c r="P59368" s="8"/>
      <c r="Q59368" s="8"/>
      <c r="R59368" s="103"/>
      <c r="S59368" s="8"/>
      <c r="T59368" s="8"/>
      <c r="U59368" s="8"/>
      <c r="V59368" s="8"/>
      <c r="W59368" s="8"/>
      <c r="X59368" s="8"/>
      <c r="Y59368" s="8"/>
      <c r="Z59368" s="8"/>
      <c r="AA59368" s="8"/>
    </row>
    <row r="59369" spans="1:27" x14ac:dyDescent="0.25">
      <c r="A59369" s="8"/>
      <c r="B59369" s="8"/>
      <c r="C59369" s="99"/>
      <c r="D59369" s="8"/>
      <c r="E59369" s="8"/>
      <c r="F59369" s="8"/>
      <c r="G59369" s="8"/>
      <c r="H59369" s="8"/>
      <c r="I59369" s="102"/>
      <c r="J59369" s="8"/>
      <c r="K59369" s="8"/>
      <c r="L59369" s="8"/>
      <c r="M59369" s="8"/>
      <c r="N59369" s="8"/>
      <c r="O59369" s="8"/>
      <c r="P59369" s="8"/>
      <c r="Q59369" s="8"/>
      <c r="R59369" s="103"/>
      <c r="S59369" s="8"/>
      <c r="T59369" s="8"/>
      <c r="U59369" s="8"/>
      <c r="V59369" s="8"/>
      <c r="W59369" s="8"/>
      <c r="X59369" s="8"/>
      <c r="Y59369" s="8"/>
      <c r="Z59369" s="8"/>
      <c r="AA59369" s="8"/>
    </row>
    <row r="59370" spans="1:27" x14ac:dyDescent="0.25">
      <c r="A59370" s="8"/>
      <c r="B59370" s="8"/>
      <c r="C59370" s="99"/>
      <c r="D59370" s="8"/>
      <c r="E59370" s="8"/>
      <c r="F59370" s="8"/>
      <c r="G59370" s="8"/>
      <c r="H59370" s="8"/>
      <c r="I59370" s="102"/>
      <c r="J59370" s="8"/>
      <c r="K59370" s="8"/>
      <c r="L59370" s="8"/>
      <c r="M59370" s="8"/>
      <c r="N59370" s="8"/>
      <c r="O59370" s="8"/>
      <c r="P59370" s="8"/>
      <c r="Q59370" s="8"/>
      <c r="R59370" s="103"/>
      <c r="S59370" s="8"/>
      <c r="T59370" s="8"/>
      <c r="U59370" s="8"/>
      <c r="V59370" s="8"/>
      <c r="W59370" s="8"/>
      <c r="X59370" s="8"/>
      <c r="Y59370" s="8"/>
      <c r="Z59370" s="8"/>
      <c r="AA59370" s="8"/>
    </row>
    <row r="59371" spans="1:27" x14ac:dyDescent="0.25">
      <c r="A59371" s="8"/>
      <c r="B59371" s="8"/>
      <c r="C59371" s="99"/>
      <c r="D59371" s="8"/>
      <c r="E59371" s="8"/>
      <c r="F59371" s="8"/>
      <c r="G59371" s="8"/>
      <c r="H59371" s="8"/>
      <c r="I59371" s="102"/>
      <c r="J59371" s="8"/>
      <c r="K59371" s="8"/>
      <c r="L59371" s="8"/>
      <c r="M59371" s="8"/>
      <c r="N59371" s="8"/>
      <c r="O59371" s="8"/>
      <c r="P59371" s="8"/>
      <c r="Q59371" s="8"/>
      <c r="R59371" s="103"/>
      <c r="S59371" s="8"/>
      <c r="T59371" s="8"/>
      <c r="U59371" s="8"/>
      <c r="V59371" s="8"/>
      <c r="W59371" s="8"/>
      <c r="X59371" s="8"/>
      <c r="Y59371" s="8"/>
      <c r="Z59371" s="8"/>
      <c r="AA59371" s="8"/>
    </row>
    <row r="59372" spans="1:27" x14ac:dyDescent="0.25">
      <c r="A59372" s="8"/>
      <c r="B59372" s="8"/>
      <c r="C59372" s="99"/>
      <c r="D59372" s="8"/>
      <c r="E59372" s="8"/>
      <c r="F59372" s="8"/>
      <c r="G59372" s="8"/>
      <c r="H59372" s="8"/>
      <c r="I59372" s="102"/>
      <c r="J59372" s="8"/>
      <c r="K59372" s="8"/>
      <c r="L59372" s="8"/>
      <c r="M59372" s="8"/>
      <c r="N59372" s="8"/>
      <c r="O59372" s="8"/>
      <c r="P59372" s="8"/>
      <c r="Q59372" s="8"/>
      <c r="R59372" s="103"/>
      <c r="S59372" s="8"/>
      <c r="T59372" s="8"/>
      <c r="U59372" s="8"/>
      <c r="V59372" s="8"/>
      <c r="W59372" s="8"/>
      <c r="X59372" s="8"/>
      <c r="Y59372" s="8"/>
      <c r="Z59372" s="8"/>
      <c r="AA59372" s="8"/>
    </row>
    <row r="59373" spans="1:27" x14ac:dyDescent="0.25">
      <c r="A59373" s="8"/>
      <c r="B59373" s="8"/>
      <c r="C59373" s="99"/>
      <c r="D59373" s="8"/>
      <c r="E59373" s="8"/>
      <c r="F59373" s="8"/>
      <c r="G59373" s="8"/>
      <c r="H59373" s="8"/>
      <c r="I59373" s="102"/>
      <c r="J59373" s="8"/>
      <c r="K59373" s="8"/>
      <c r="L59373" s="8"/>
      <c r="M59373" s="8"/>
      <c r="N59373" s="8"/>
      <c r="O59373" s="8"/>
      <c r="P59373" s="8"/>
      <c r="Q59373" s="8"/>
      <c r="R59373" s="103"/>
      <c r="S59373" s="8"/>
      <c r="T59373" s="8"/>
      <c r="U59373" s="8"/>
      <c r="V59373" s="8"/>
      <c r="W59373" s="8"/>
      <c r="X59373" s="8"/>
      <c r="Y59373" s="8"/>
      <c r="Z59373" s="8"/>
      <c r="AA59373" s="8"/>
    </row>
    <row r="59374" spans="1:27" x14ac:dyDescent="0.25">
      <c r="A59374" s="8"/>
      <c r="B59374" s="8"/>
      <c r="C59374" s="99"/>
      <c r="D59374" s="8"/>
      <c r="E59374" s="8"/>
      <c r="F59374" s="8"/>
      <c r="G59374" s="8"/>
      <c r="H59374" s="8"/>
      <c r="I59374" s="102"/>
      <c r="J59374" s="8"/>
      <c r="K59374" s="8"/>
      <c r="L59374" s="8"/>
      <c r="M59374" s="8"/>
      <c r="N59374" s="8"/>
      <c r="O59374" s="8"/>
      <c r="P59374" s="8"/>
      <c r="Q59374" s="8"/>
      <c r="R59374" s="103"/>
      <c r="S59374" s="8"/>
      <c r="T59374" s="8"/>
      <c r="U59374" s="8"/>
      <c r="V59374" s="8"/>
      <c r="W59374" s="8"/>
      <c r="X59374" s="8"/>
      <c r="Y59374" s="8"/>
      <c r="Z59374" s="8"/>
      <c r="AA59374" s="8"/>
    </row>
    <row r="59375" spans="1:27" x14ac:dyDescent="0.25">
      <c r="A59375" s="8"/>
      <c r="B59375" s="8"/>
      <c r="C59375" s="99"/>
      <c r="D59375" s="8"/>
      <c r="E59375" s="8"/>
      <c r="F59375" s="8"/>
      <c r="G59375" s="8"/>
      <c r="H59375" s="8"/>
      <c r="I59375" s="102"/>
      <c r="J59375" s="8"/>
      <c r="K59375" s="8"/>
      <c r="L59375" s="8"/>
      <c r="M59375" s="8"/>
      <c r="N59375" s="8"/>
      <c r="O59375" s="8"/>
      <c r="P59375" s="8"/>
      <c r="Q59375" s="8"/>
      <c r="R59375" s="103"/>
      <c r="S59375" s="8"/>
      <c r="T59375" s="8"/>
      <c r="U59375" s="8"/>
      <c r="V59375" s="8"/>
      <c r="W59375" s="8"/>
      <c r="X59375" s="8"/>
      <c r="Y59375" s="8"/>
      <c r="Z59375" s="8"/>
      <c r="AA59375" s="8"/>
    </row>
    <row r="59376" spans="1:27" x14ac:dyDescent="0.25">
      <c r="A59376" s="8"/>
      <c r="B59376" s="8"/>
      <c r="C59376" s="99"/>
      <c r="D59376" s="8"/>
      <c r="E59376" s="8"/>
      <c r="F59376" s="8"/>
      <c r="G59376" s="8"/>
      <c r="H59376" s="8"/>
      <c r="I59376" s="102"/>
      <c r="J59376" s="8"/>
      <c r="K59376" s="8"/>
      <c r="L59376" s="8"/>
      <c r="M59376" s="8"/>
      <c r="N59376" s="8"/>
      <c r="O59376" s="8"/>
      <c r="P59376" s="8"/>
      <c r="Q59376" s="8"/>
      <c r="R59376" s="103"/>
      <c r="S59376" s="8"/>
      <c r="T59376" s="8"/>
      <c r="U59376" s="8"/>
      <c r="V59376" s="8"/>
      <c r="W59376" s="8"/>
      <c r="X59376" s="8"/>
      <c r="Y59376" s="8"/>
      <c r="Z59376" s="8"/>
      <c r="AA59376" s="8"/>
    </row>
    <row r="59377" spans="1:27" x14ac:dyDescent="0.25">
      <c r="A59377" s="8"/>
      <c r="B59377" s="8"/>
      <c r="C59377" s="99"/>
      <c r="D59377" s="8"/>
      <c r="E59377" s="8"/>
      <c r="F59377" s="8"/>
      <c r="G59377" s="8"/>
      <c r="H59377" s="8"/>
      <c r="I59377" s="102"/>
      <c r="J59377" s="8"/>
      <c r="K59377" s="8"/>
      <c r="L59377" s="8"/>
      <c r="M59377" s="8"/>
      <c r="N59377" s="8"/>
      <c r="O59377" s="8"/>
      <c r="P59377" s="8"/>
      <c r="Q59377" s="8"/>
      <c r="R59377" s="103"/>
      <c r="S59377" s="8"/>
      <c r="T59377" s="8"/>
      <c r="U59377" s="8"/>
      <c r="V59377" s="8"/>
      <c r="W59377" s="8"/>
      <c r="X59377" s="8"/>
      <c r="Y59377" s="8"/>
      <c r="Z59377" s="8"/>
      <c r="AA59377" s="8"/>
    </row>
    <row r="59378" spans="1:27" x14ac:dyDescent="0.25">
      <c r="A59378" s="8"/>
      <c r="B59378" s="8"/>
      <c r="C59378" s="99"/>
      <c r="D59378" s="8"/>
      <c r="E59378" s="8"/>
      <c r="F59378" s="8"/>
      <c r="G59378" s="8"/>
      <c r="H59378" s="8"/>
      <c r="I59378" s="102"/>
      <c r="J59378" s="8"/>
      <c r="K59378" s="8"/>
      <c r="L59378" s="8"/>
      <c r="M59378" s="8"/>
      <c r="N59378" s="8"/>
      <c r="O59378" s="8"/>
      <c r="P59378" s="8"/>
      <c r="Q59378" s="8"/>
      <c r="R59378" s="103"/>
      <c r="S59378" s="8"/>
      <c r="T59378" s="8"/>
      <c r="U59378" s="8"/>
      <c r="V59378" s="8"/>
      <c r="W59378" s="8"/>
      <c r="X59378" s="8"/>
      <c r="Y59378" s="8"/>
      <c r="Z59378" s="8"/>
      <c r="AA59378" s="8"/>
    </row>
    <row r="59379" spans="1:27" x14ac:dyDescent="0.25">
      <c r="A59379" s="8"/>
      <c r="B59379" s="8"/>
      <c r="C59379" s="99"/>
      <c r="D59379" s="8"/>
      <c r="E59379" s="8"/>
      <c r="F59379" s="8"/>
      <c r="G59379" s="8"/>
      <c r="H59379" s="8"/>
      <c r="I59379" s="102"/>
      <c r="J59379" s="8"/>
      <c r="K59379" s="8"/>
      <c r="L59379" s="8"/>
      <c r="M59379" s="8"/>
      <c r="N59379" s="8"/>
      <c r="O59379" s="8"/>
      <c r="P59379" s="8"/>
      <c r="Q59379" s="8"/>
      <c r="R59379" s="103"/>
      <c r="S59379" s="8"/>
      <c r="T59379" s="8"/>
      <c r="U59379" s="8"/>
      <c r="V59379" s="8"/>
      <c r="W59379" s="8"/>
      <c r="X59379" s="8"/>
      <c r="Y59379" s="8"/>
      <c r="Z59379" s="8"/>
      <c r="AA59379" s="8"/>
    </row>
    <row r="59380" spans="1:27" x14ac:dyDescent="0.25">
      <c r="A59380" s="8"/>
      <c r="B59380" s="8"/>
      <c r="C59380" s="99"/>
      <c r="D59380" s="8"/>
      <c r="E59380" s="8"/>
      <c r="F59380" s="8"/>
      <c r="G59380" s="8"/>
      <c r="H59380" s="8"/>
      <c r="I59380" s="102"/>
      <c r="J59380" s="8"/>
      <c r="K59380" s="8"/>
      <c r="L59380" s="8"/>
      <c r="M59380" s="8"/>
      <c r="N59380" s="8"/>
      <c r="O59380" s="8"/>
      <c r="P59380" s="8"/>
      <c r="Q59380" s="8"/>
      <c r="R59380" s="103"/>
      <c r="S59380" s="8"/>
      <c r="T59380" s="8"/>
      <c r="U59380" s="8"/>
      <c r="V59380" s="8"/>
      <c r="W59380" s="8"/>
      <c r="X59380" s="8"/>
      <c r="Y59380" s="8"/>
      <c r="Z59380" s="8"/>
      <c r="AA59380" s="8"/>
    </row>
    <row r="59381" spans="1:27" x14ac:dyDescent="0.25">
      <c r="A59381" s="8"/>
      <c r="B59381" s="8"/>
      <c r="C59381" s="99"/>
      <c r="D59381" s="8"/>
      <c r="E59381" s="8"/>
      <c r="F59381" s="8"/>
      <c r="G59381" s="8"/>
      <c r="H59381" s="8"/>
      <c r="I59381" s="102"/>
      <c r="J59381" s="8"/>
      <c r="K59381" s="8"/>
      <c r="L59381" s="8"/>
      <c r="M59381" s="8"/>
      <c r="N59381" s="8"/>
      <c r="O59381" s="8"/>
      <c r="P59381" s="8"/>
      <c r="Q59381" s="8"/>
      <c r="R59381" s="103"/>
      <c r="S59381" s="8"/>
      <c r="T59381" s="8"/>
      <c r="U59381" s="8"/>
      <c r="V59381" s="8"/>
      <c r="W59381" s="8"/>
      <c r="X59381" s="8"/>
      <c r="Y59381" s="8"/>
      <c r="Z59381" s="8"/>
      <c r="AA59381" s="8"/>
    </row>
    <row r="59382" spans="1:27" x14ac:dyDescent="0.25">
      <c r="A59382" s="8"/>
      <c r="B59382" s="8"/>
      <c r="C59382" s="99"/>
      <c r="D59382" s="8"/>
      <c r="E59382" s="8"/>
      <c r="F59382" s="8"/>
      <c r="G59382" s="8"/>
      <c r="H59382" s="8"/>
      <c r="I59382" s="102"/>
      <c r="J59382" s="8"/>
      <c r="K59382" s="8"/>
      <c r="L59382" s="8"/>
      <c r="M59382" s="8"/>
      <c r="N59382" s="8"/>
      <c r="O59382" s="8"/>
      <c r="P59382" s="8"/>
      <c r="Q59382" s="8"/>
      <c r="R59382" s="103"/>
      <c r="S59382" s="8"/>
      <c r="T59382" s="8"/>
      <c r="U59382" s="8"/>
      <c r="V59382" s="8"/>
      <c r="W59382" s="8"/>
      <c r="X59382" s="8"/>
      <c r="Y59382" s="8"/>
      <c r="Z59382" s="8"/>
      <c r="AA59382" s="8"/>
    </row>
    <row r="59383" spans="1:27" x14ac:dyDescent="0.25">
      <c r="A59383" s="8"/>
      <c r="B59383" s="8"/>
      <c r="C59383" s="99"/>
      <c r="D59383" s="8"/>
      <c r="E59383" s="8"/>
      <c r="F59383" s="8"/>
      <c r="G59383" s="8"/>
      <c r="H59383" s="8"/>
      <c r="I59383" s="102"/>
      <c r="J59383" s="8"/>
      <c r="K59383" s="8"/>
      <c r="L59383" s="8"/>
      <c r="M59383" s="8"/>
      <c r="N59383" s="8"/>
      <c r="O59383" s="8"/>
      <c r="P59383" s="8"/>
      <c r="Q59383" s="8"/>
      <c r="R59383" s="103"/>
      <c r="S59383" s="8"/>
      <c r="T59383" s="8"/>
      <c r="U59383" s="8"/>
      <c r="V59383" s="8"/>
      <c r="W59383" s="8"/>
      <c r="X59383" s="8"/>
      <c r="Y59383" s="8"/>
      <c r="Z59383" s="8"/>
      <c r="AA59383" s="8"/>
    </row>
    <row r="59384" spans="1:27" x14ac:dyDescent="0.25">
      <c r="A59384" s="8"/>
      <c r="B59384" s="8"/>
      <c r="C59384" s="99"/>
      <c r="D59384" s="8"/>
      <c r="E59384" s="8"/>
      <c r="F59384" s="8"/>
      <c r="G59384" s="8"/>
      <c r="H59384" s="8"/>
      <c r="I59384" s="102"/>
      <c r="J59384" s="8"/>
      <c r="K59384" s="8"/>
      <c r="L59384" s="8"/>
      <c r="M59384" s="8"/>
      <c r="N59384" s="8"/>
      <c r="O59384" s="8"/>
      <c r="P59384" s="8"/>
      <c r="Q59384" s="8"/>
      <c r="R59384" s="103"/>
      <c r="S59384" s="8"/>
      <c r="T59384" s="8"/>
      <c r="U59384" s="8"/>
      <c r="V59384" s="8"/>
      <c r="W59384" s="8"/>
      <c r="X59384" s="8"/>
      <c r="Y59384" s="8"/>
      <c r="Z59384" s="8"/>
      <c r="AA59384" s="8"/>
    </row>
    <row r="59385" spans="1:27" x14ac:dyDescent="0.25">
      <c r="A59385" s="8"/>
      <c r="B59385" s="8"/>
      <c r="C59385" s="99"/>
      <c r="D59385" s="8"/>
      <c r="E59385" s="8"/>
      <c r="F59385" s="8"/>
      <c r="G59385" s="8"/>
      <c r="H59385" s="8"/>
      <c r="I59385" s="102"/>
      <c r="J59385" s="8"/>
      <c r="K59385" s="8"/>
      <c r="L59385" s="8"/>
      <c r="M59385" s="8"/>
      <c r="N59385" s="8"/>
      <c r="O59385" s="8"/>
      <c r="P59385" s="8"/>
      <c r="Q59385" s="8"/>
      <c r="R59385" s="103"/>
      <c r="S59385" s="8"/>
      <c r="T59385" s="8"/>
      <c r="U59385" s="8"/>
      <c r="V59385" s="8"/>
      <c r="W59385" s="8"/>
      <c r="X59385" s="8"/>
      <c r="Y59385" s="8"/>
      <c r="Z59385" s="8"/>
      <c r="AA59385" s="8"/>
    </row>
    <row r="59386" spans="1:27" x14ac:dyDescent="0.25">
      <c r="A59386" s="8"/>
      <c r="B59386" s="8"/>
      <c r="C59386" s="99"/>
      <c r="D59386" s="8"/>
      <c r="E59386" s="8"/>
      <c r="F59386" s="8"/>
      <c r="G59386" s="8"/>
      <c r="H59386" s="8"/>
      <c r="I59386" s="102"/>
      <c r="J59386" s="8"/>
      <c r="K59386" s="8"/>
      <c r="L59386" s="8"/>
      <c r="M59386" s="8"/>
      <c r="N59386" s="8"/>
      <c r="O59386" s="8"/>
      <c r="P59386" s="8"/>
      <c r="Q59386" s="8"/>
      <c r="R59386" s="103"/>
      <c r="S59386" s="8"/>
      <c r="T59386" s="8"/>
      <c r="U59386" s="8"/>
      <c r="V59386" s="8"/>
      <c r="W59386" s="8"/>
      <c r="X59386" s="8"/>
      <c r="Y59386" s="8"/>
      <c r="Z59386" s="8"/>
      <c r="AA59386" s="8"/>
    </row>
    <row r="59387" spans="1:27" x14ac:dyDescent="0.25">
      <c r="A59387" s="8"/>
      <c r="B59387" s="8"/>
      <c r="C59387" s="99"/>
      <c r="D59387" s="8"/>
      <c r="E59387" s="8"/>
      <c r="F59387" s="8"/>
      <c r="G59387" s="8"/>
      <c r="H59387" s="8"/>
      <c r="I59387" s="102"/>
      <c r="J59387" s="8"/>
      <c r="K59387" s="8"/>
      <c r="L59387" s="8"/>
      <c r="M59387" s="8"/>
      <c r="N59387" s="8"/>
      <c r="O59387" s="8"/>
      <c r="P59387" s="8"/>
      <c r="Q59387" s="8"/>
      <c r="R59387" s="103"/>
      <c r="S59387" s="8"/>
      <c r="T59387" s="8"/>
      <c r="U59387" s="8"/>
      <c r="V59387" s="8"/>
      <c r="W59387" s="8"/>
      <c r="X59387" s="8"/>
      <c r="Y59387" s="8"/>
      <c r="Z59387" s="8"/>
      <c r="AA59387" s="8"/>
    </row>
    <row r="59388" spans="1:27" x14ac:dyDescent="0.25">
      <c r="A59388" s="8"/>
      <c r="B59388" s="8"/>
      <c r="C59388" s="99"/>
      <c r="D59388" s="8"/>
      <c r="E59388" s="8"/>
      <c r="F59388" s="8"/>
      <c r="G59388" s="8"/>
      <c r="H59388" s="8"/>
      <c r="I59388" s="102"/>
      <c r="J59388" s="8"/>
      <c r="K59388" s="8"/>
      <c r="L59388" s="8"/>
      <c r="M59388" s="8"/>
      <c r="N59388" s="8"/>
      <c r="O59388" s="8"/>
      <c r="P59388" s="8"/>
      <c r="Q59388" s="8"/>
      <c r="R59388" s="103"/>
      <c r="S59388" s="8"/>
      <c r="T59388" s="8"/>
      <c r="U59388" s="8"/>
      <c r="V59388" s="8"/>
      <c r="W59388" s="8"/>
      <c r="X59388" s="8"/>
      <c r="Y59388" s="8"/>
      <c r="Z59388" s="8"/>
      <c r="AA59388" s="8"/>
    </row>
    <row r="59389" spans="1:27" x14ac:dyDescent="0.25">
      <c r="A59389" s="8"/>
      <c r="B59389" s="8"/>
      <c r="C59389" s="99"/>
      <c r="D59389" s="8"/>
      <c r="E59389" s="8"/>
      <c r="F59389" s="8"/>
      <c r="G59389" s="8"/>
      <c r="H59389" s="8"/>
      <c r="I59389" s="102"/>
      <c r="J59389" s="8"/>
      <c r="K59389" s="8"/>
      <c r="L59389" s="8"/>
      <c r="M59389" s="8"/>
      <c r="N59389" s="8"/>
      <c r="O59389" s="8"/>
      <c r="P59389" s="8"/>
      <c r="Q59389" s="8"/>
      <c r="R59389" s="103"/>
      <c r="S59389" s="8"/>
      <c r="T59389" s="8"/>
      <c r="U59389" s="8"/>
      <c r="V59389" s="8"/>
      <c r="W59389" s="8"/>
      <c r="X59389" s="8"/>
      <c r="Y59389" s="8"/>
      <c r="Z59389" s="8"/>
      <c r="AA59389" s="8"/>
    </row>
    <row r="59390" spans="1:27" x14ac:dyDescent="0.25">
      <c r="A59390" s="8"/>
      <c r="B59390" s="8"/>
      <c r="C59390" s="99"/>
      <c r="D59390" s="8"/>
      <c r="E59390" s="8"/>
      <c r="F59390" s="8"/>
      <c r="G59390" s="8"/>
      <c r="H59390" s="8"/>
      <c r="I59390" s="102"/>
      <c r="J59390" s="8"/>
      <c r="K59390" s="8"/>
      <c r="L59390" s="8"/>
      <c r="M59390" s="8"/>
      <c r="N59390" s="8"/>
      <c r="O59390" s="8"/>
      <c r="P59390" s="8"/>
      <c r="Q59390" s="8"/>
      <c r="R59390" s="103"/>
      <c r="S59390" s="8"/>
      <c r="T59390" s="8"/>
      <c r="U59390" s="8"/>
      <c r="V59390" s="8"/>
      <c r="W59390" s="8"/>
      <c r="X59390" s="8"/>
      <c r="Y59390" s="8"/>
      <c r="Z59390" s="8"/>
      <c r="AA59390" s="8"/>
    </row>
    <row r="59391" spans="1:27" x14ac:dyDescent="0.25">
      <c r="A59391" s="8"/>
      <c r="B59391" s="8"/>
      <c r="C59391" s="99"/>
      <c r="D59391" s="8"/>
      <c r="E59391" s="8"/>
      <c r="F59391" s="8"/>
      <c r="G59391" s="8"/>
      <c r="H59391" s="8"/>
      <c r="I59391" s="102"/>
      <c r="J59391" s="8"/>
      <c r="K59391" s="8"/>
      <c r="L59391" s="8"/>
      <c r="M59391" s="8"/>
      <c r="N59391" s="8"/>
      <c r="O59391" s="8"/>
      <c r="P59391" s="8"/>
      <c r="Q59391" s="8"/>
      <c r="R59391" s="103"/>
      <c r="S59391" s="8"/>
      <c r="T59391" s="8"/>
      <c r="U59391" s="8"/>
      <c r="V59391" s="8"/>
      <c r="W59391" s="8"/>
      <c r="X59391" s="8"/>
      <c r="Y59391" s="8"/>
      <c r="Z59391" s="8"/>
      <c r="AA59391" s="8"/>
    </row>
    <row r="59392" spans="1:27" x14ac:dyDescent="0.25">
      <c r="A59392" s="8"/>
      <c r="B59392" s="8"/>
      <c r="C59392" s="99"/>
      <c r="D59392" s="8"/>
      <c r="E59392" s="8"/>
      <c r="F59392" s="8"/>
      <c r="G59392" s="8"/>
      <c r="H59392" s="8"/>
      <c r="I59392" s="102"/>
      <c r="J59392" s="8"/>
      <c r="K59392" s="8"/>
      <c r="L59392" s="8"/>
      <c r="M59392" s="8"/>
      <c r="N59392" s="8"/>
      <c r="O59392" s="8"/>
      <c r="P59392" s="8"/>
      <c r="Q59392" s="8"/>
      <c r="R59392" s="103"/>
      <c r="S59392" s="8"/>
      <c r="T59392" s="8"/>
      <c r="U59392" s="8"/>
      <c r="V59392" s="8"/>
      <c r="W59392" s="8"/>
      <c r="X59392" s="8"/>
      <c r="Y59392" s="8"/>
      <c r="Z59392" s="8"/>
      <c r="AA59392" s="8"/>
    </row>
    <row r="59393" spans="1:27" x14ac:dyDescent="0.25">
      <c r="A59393" s="8"/>
      <c r="B59393" s="8"/>
      <c r="C59393" s="99"/>
      <c r="D59393" s="8"/>
      <c r="E59393" s="8"/>
      <c r="F59393" s="8"/>
      <c r="G59393" s="8"/>
      <c r="H59393" s="8"/>
      <c r="I59393" s="102"/>
      <c r="J59393" s="8"/>
      <c r="K59393" s="8"/>
      <c r="L59393" s="8"/>
      <c r="M59393" s="8"/>
      <c r="N59393" s="8"/>
      <c r="O59393" s="8"/>
      <c r="P59393" s="8"/>
      <c r="Q59393" s="8"/>
      <c r="R59393" s="103"/>
      <c r="S59393" s="8"/>
      <c r="T59393" s="8"/>
      <c r="U59393" s="8"/>
      <c r="V59393" s="8"/>
      <c r="W59393" s="8"/>
      <c r="X59393" s="8"/>
      <c r="Y59393" s="8"/>
      <c r="Z59393" s="8"/>
      <c r="AA59393" s="8"/>
    </row>
    <row r="59394" spans="1:27" x14ac:dyDescent="0.25">
      <c r="A59394" s="8"/>
      <c r="B59394" s="8"/>
      <c r="C59394" s="99"/>
      <c r="D59394" s="8"/>
      <c r="E59394" s="8"/>
      <c r="F59394" s="8"/>
      <c r="G59394" s="8"/>
      <c r="H59394" s="8"/>
      <c r="I59394" s="102"/>
      <c r="J59394" s="8"/>
      <c r="K59394" s="8"/>
      <c r="L59394" s="8"/>
      <c r="M59394" s="8"/>
      <c r="N59394" s="8"/>
      <c r="O59394" s="8"/>
      <c r="P59394" s="8"/>
      <c r="Q59394" s="8"/>
      <c r="R59394" s="103"/>
      <c r="S59394" s="8"/>
      <c r="T59394" s="8"/>
      <c r="U59394" s="8"/>
      <c r="V59394" s="8"/>
      <c r="W59394" s="8"/>
      <c r="X59394" s="8"/>
      <c r="Y59394" s="8"/>
      <c r="Z59394" s="8"/>
      <c r="AA59394" s="8"/>
    </row>
    <row r="59395" spans="1:27" x14ac:dyDescent="0.25">
      <c r="A59395" s="8"/>
      <c r="B59395" s="8"/>
      <c r="C59395" s="99"/>
      <c r="D59395" s="8"/>
      <c r="E59395" s="8"/>
      <c r="F59395" s="8"/>
      <c r="G59395" s="8"/>
      <c r="H59395" s="8"/>
      <c r="I59395" s="102"/>
      <c r="J59395" s="8"/>
      <c r="K59395" s="8"/>
      <c r="L59395" s="8"/>
      <c r="M59395" s="8"/>
      <c r="N59395" s="8"/>
      <c r="O59395" s="8"/>
      <c r="P59395" s="8"/>
      <c r="Q59395" s="8"/>
      <c r="R59395" s="103"/>
      <c r="S59395" s="8"/>
      <c r="T59395" s="8"/>
      <c r="U59395" s="8"/>
      <c r="V59395" s="8"/>
      <c r="W59395" s="8"/>
      <c r="X59395" s="8"/>
      <c r="Y59395" s="8"/>
      <c r="Z59395" s="8"/>
      <c r="AA59395" s="8"/>
    </row>
    <row r="59396" spans="1:27" x14ac:dyDescent="0.25">
      <c r="A59396" s="8"/>
      <c r="B59396" s="8"/>
      <c r="C59396" s="99"/>
      <c r="D59396" s="8"/>
      <c r="E59396" s="8"/>
      <c r="F59396" s="8"/>
      <c r="G59396" s="8"/>
      <c r="H59396" s="8"/>
      <c r="I59396" s="102"/>
      <c r="J59396" s="8"/>
      <c r="K59396" s="8"/>
      <c r="L59396" s="8"/>
      <c r="M59396" s="8"/>
      <c r="N59396" s="8"/>
      <c r="O59396" s="8"/>
      <c r="P59396" s="8"/>
      <c r="Q59396" s="8"/>
      <c r="R59396" s="103"/>
      <c r="S59396" s="8"/>
      <c r="T59396" s="8"/>
      <c r="U59396" s="8"/>
      <c r="V59396" s="8"/>
      <c r="W59396" s="8"/>
      <c r="X59396" s="8"/>
      <c r="Y59396" s="8"/>
      <c r="Z59396" s="8"/>
      <c r="AA59396" s="8"/>
    </row>
    <row r="59397" spans="1:27" x14ac:dyDescent="0.25">
      <c r="A59397" s="8"/>
      <c r="B59397" s="8"/>
      <c r="C59397" s="99"/>
      <c r="D59397" s="8"/>
      <c r="E59397" s="8"/>
      <c r="F59397" s="8"/>
      <c r="G59397" s="8"/>
      <c r="H59397" s="8"/>
      <c r="I59397" s="102"/>
      <c r="J59397" s="8"/>
      <c r="K59397" s="8"/>
      <c r="L59397" s="8"/>
      <c r="M59397" s="8"/>
      <c r="N59397" s="8"/>
      <c r="O59397" s="8"/>
      <c r="P59397" s="8"/>
      <c r="Q59397" s="8"/>
      <c r="R59397" s="103"/>
      <c r="S59397" s="8"/>
      <c r="T59397" s="8"/>
      <c r="U59397" s="8"/>
      <c r="V59397" s="8"/>
      <c r="W59397" s="8"/>
      <c r="X59397" s="8"/>
      <c r="Y59397" s="8"/>
      <c r="Z59397" s="8"/>
      <c r="AA59397" s="8"/>
    </row>
    <row r="59398" spans="1:27" x14ac:dyDescent="0.25">
      <c r="A59398" s="8"/>
      <c r="B59398" s="8"/>
      <c r="C59398" s="99"/>
      <c r="D59398" s="8"/>
      <c r="E59398" s="8"/>
      <c r="F59398" s="8"/>
      <c r="G59398" s="8"/>
      <c r="H59398" s="8"/>
      <c r="I59398" s="102"/>
      <c r="J59398" s="8"/>
      <c r="K59398" s="8"/>
      <c r="L59398" s="8"/>
      <c r="M59398" s="8"/>
      <c r="N59398" s="8"/>
      <c r="O59398" s="8"/>
      <c r="P59398" s="8"/>
      <c r="Q59398" s="8"/>
      <c r="R59398" s="103"/>
      <c r="S59398" s="8"/>
      <c r="T59398" s="8"/>
      <c r="U59398" s="8"/>
      <c r="V59398" s="8"/>
      <c r="W59398" s="8"/>
      <c r="X59398" s="8"/>
      <c r="Y59398" s="8"/>
      <c r="Z59398" s="8"/>
      <c r="AA59398" s="8"/>
    </row>
    <row r="59399" spans="1:27" x14ac:dyDescent="0.25">
      <c r="A59399" s="8"/>
      <c r="B59399" s="8"/>
      <c r="C59399" s="99"/>
      <c r="D59399" s="8"/>
      <c r="E59399" s="8"/>
      <c r="F59399" s="8"/>
      <c r="G59399" s="8"/>
      <c r="H59399" s="8"/>
      <c r="I59399" s="102"/>
      <c r="J59399" s="8"/>
      <c r="K59399" s="8"/>
      <c r="L59399" s="8"/>
      <c r="M59399" s="8"/>
      <c r="N59399" s="8"/>
      <c r="O59399" s="8"/>
      <c r="P59399" s="8"/>
      <c r="Q59399" s="8"/>
      <c r="R59399" s="103"/>
      <c r="S59399" s="8"/>
      <c r="T59399" s="8"/>
      <c r="U59399" s="8"/>
      <c r="V59399" s="8"/>
      <c r="W59399" s="8"/>
      <c r="X59399" s="8"/>
      <c r="Y59399" s="8"/>
      <c r="Z59399" s="8"/>
      <c r="AA59399" s="8"/>
    </row>
    <row r="59400" spans="1:27" x14ac:dyDescent="0.25">
      <c r="A59400" s="8"/>
      <c r="B59400" s="8"/>
      <c r="C59400" s="99"/>
      <c r="D59400" s="8"/>
      <c r="E59400" s="8"/>
      <c r="F59400" s="8"/>
      <c r="G59400" s="8"/>
      <c r="H59400" s="8"/>
      <c r="I59400" s="102"/>
      <c r="J59400" s="8"/>
      <c r="K59400" s="8"/>
      <c r="L59400" s="8"/>
      <c r="M59400" s="8"/>
      <c r="N59400" s="8"/>
      <c r="O59400" s="8"/>
      <c r="P59400" s="8"/>
      <c r="Q59400" s="8"/>
      <c r="R59400" s="103"/>
      <c r="S59400" s="8"/>
      <c r="T59400" s="8"/>
      <c r="U59400" s="8"/>
      <c r="V59400" s="8"/>
      <c r="W59400" s="8"/>
      <c r="X59400" s="8"/>
      <c r="Y59400" s="8"/>
      <c r="Z59400" s="8"/>
      <c r="AA59400" s="8"/>
    </row>
    <row r="59401" spans="1:27" x14ac:dyDescent="0.25">
      <c r="A59401" s="8"/>
      <c r="B59401" s="8"/>
      <c r="C59401" s="99"/>
      <c r="D59401" s="8"/>
      <c r="E59401" s="8"/>
      <c r="F59401" s="8"/>
      <c r="G59401" s="8"/>
      <c r="H59401" s="8"/>
      <c r="I59401" s="102"/>
      <c r="J59401" s="8"/>
      <c r="K59401" s="8"/>
      <c r="L59401" s="8"/>
      <c r="M59401" s="8"/>
      <c r="N59401" s="8"/>
      <c r="O59401" s="8"/>
      <c r="P59401" s="8"/>
      <c r="Q59401" s="8"/>
      <c r="R59401" s="103"/>
      <c r="S59401" s="8"/>
      <c r="T59401" s="8"/>
      <c r="U59401" s="8"/>
      <c r="V59401" s="8"/>
      <c r="W59401" s="8"/>
      <c r="X59401" s="8"/>
      <c r="Y59401" s="8"/>
      <c r="Z59401" s="8"/>
      <c r="AA59401" s="8"/>
    </row>
    <row r="59402" spans="1:27" x14ac:dyDescent="0.25">
      <c r="A59402" s="8"/>
      <c r="B59402" s="8"/>
      <c r="C59402" s="99"/>
      <c r="D59402" s="8"/>
      <c r="E59402" s="8"/>
      <c r="F59402" s="8"/>
      <c r="G59402" s="8"/>
      <c r="H59402" s="8"/>
      <c r="I59402" s="102"/>
      <c r="J59402" s="8"/>
      <c r="K59402" s="8"/>
      <c r="L59402" s="8"/>
      <c r="M59402" s="8"/>
      <c r="N59402" s="8"/>
      <c r="O59402" s="8"/>
      <c r="P59402" s="8"/>
      <c r="Q59402" s="8"/>
      <c r="R59402" s="103"/>
      <c r="S59402" s="8"/>
      <c r="T59402" s="8"/>
      <c r="U59402" s="8"/>
      <c r="V59402" s="8"/>
      <c r="W59402" s="8"/>
      <c r="X59402" s="8"/>
      <c r="Y59402" s="8"/>
      <c r="Z59402" s="8"/>
      <c r="AA59402" s="8"/>
    </row>
    <row r="59403" spans="1:27" x14ac:dyDescent="0.25">
      <c r="A59403" s="8"/>
      <c r="B59403" s="8"/>
      <c r="C59403" s="99"/>
      <c r="D59403" s="8"/>
      <c r="E59403" s="8"/>
      <c r="F59403" s="8"/>
      <c r="G59403" s="8"/>
      <c r="H59403" s="8"/>
      <c r="I59403" s="102"/>
      <c r="J59403" s="8"/>
      <c r="K59403" s="8"/>
      <c r="L59403" s="8"/>
      <c r="M59403" s="8"/>
      <c r="N59403" s="8"/>
      <c r="O59403" s="8"/>
      <c r="P59403" s="8"/>
      <c r="Q59403" s="8"/>
      <c r="R59403" s="103"/>
      <c r="S59403" s="8"/>
      <c r="T59403" s="8"/>
      <c r="U59403" s="8"/>
      <c r="V59403" s="8"/>
      <c r="W59403" s="8"/>
      <c r="X59403" s="8"/>
      <c r="Y59403" s="8"/>
      <c r="Z59403" s="8"/>
      <c r="AA59403" s="8"/>
    </row>
    <row r="59404" spans="1:27" x14ac:dyDescent="0.25">
      <c r="A59404" s="8"/>
      <c r="B59404" s="8"/>
      <c r="C59404" s="99"/>
      <c r="D59404" s="8"/>
      <c r="E59404" s="8"/>
      <c r="F59404" s="8"/>
      <c r="G59404" s="8"/>
      <c r="H59404" s="8"/>
      <c r="I59404" s="102"/>
      <c r="J59404" s="8"/>
      <c r="K59404" s="8"/>
      <c r="L59404" s="8"/>
      <c r="M59404" s="8"/>
      <c r="N59404" s="8"/>
      <c r="O59404" s="8"/>
      <c r="P59404" s="8"/>
      <c r="Q59404" s="8"/>
      <c r="R59404" s="103"/>
      <c r="S59404" s="8"/>
      <c r="T59404" s="8"/>
      <c r="U59404" s="8"/>
      <c r="V59404" s="8"/>
      <c r="W59404" s="8"/>
      <c r="X59404" s="8"/>
      <c r="Y59404" s="8"/>
      <c r="Z59404" s="8"/>
      <c r="AA59404" s="8"/>
    </row>
    <row r="59405" spans="1:27" x14ac:dyDescent="0.25">
      <c r="A59405" s="8"/>
      <c r="B59405" s="8"/>
      <c r="C59405" s="99"/>
      <c r="D59405" s="8"/>
      <c r="E59405" s="8"/>
      <c r="F59405" s="8"/>
      <c r="G59405" s="8"/>
      <c r="H59405" s="8"/>
      <c r="I59405" s="102"/>
      <c r="J59405" s="8"/>
      <c r="K59405" s="8"/>
      <c r="L59405" s="8"/>
      <c r="M59405" s="8"/>
      <c r="N59405" s="8"/>
      <c r="O59405" s="8"/>
      <c r="P59405" s="8"/>
      <c r="Q59405" s="8"/>
      <c r="R59405" s="103"/>
      <c r="S59405" s="8"/>
      <c r="T59405" s="8"/>
      <c r="U59405" s="8"/>
      <c r="V59405" s="8"/>
      <c r="W59405" s="8"/>
      <c r="X59405" s="8"/>
      <c r="Y59405" s="8"/>
      <c r="Z59405" s="8"/>
      <c r="AA59405" s="8"/>
    </row>
    <row r="59406" spans="1:27" x14ac:dyDescent="0.25">
      <c r="A59406" s="8"/>
      <c r="B59406" s="8"/>
      <c r="C59406" s="99"/>
      <c r="D59406" s="8"/>
      <c r="E59406" s="8"/>
      <c r="F59406" s="8"/>
      <c r="G59406" s="8"/>
      <c r="H59406" s="8"/>
      <c r="I59406" s="102"/>
      <c r="J59406" s="8"/>
      <c r="K59406" s="8"/>
      <c r="L59406" s="8"/>
      <c r="M59406" s="8"/>
      <c r="N59406" s="8"/>
      <c r="O59406" s="8"/>
      <c r="P59406" s="8"/>
      <c r="Q59406" s="8"/>
      <c r="R59406" s="103"/>
      <c r="S59406" s="8"/>
      <c r="T59406" s="8"/>
      <c r="U59406" s="8"/>
      <c r="V59406" s="8"/>
      <c r="W59406" s="8"/>
      <c r="X59406" s="8"/>
      <c r="Y59406" s="8"/>
      <c r="Z59406" s="8"/>
      <c r="AA59406" s="8"/>
    </row>
    <row r="59407" spans="1:27" x14ac:dyDescent="0.25">
      <c r="A59407" s="8"/>
      <c r="B59407" s="8"/>
      <c r="C59407" s="99"/>
      <c r="D59407" s="8"/>
      <c r="E59407" s="8"/>
      <c r="F59407" s="8"/>
      <c r="G59407" s="8"/>
      <c r="H59407" s="8"/>
      <c r="I59407" s="102"/>
      <c r="J59407" s="8"/>
      <c r="K59407" s="8"/>
      <c r="L59407" s="8"/>
      <c r="M59407" s="8"/>
      <c r="N59407" s="8"/>
      <c r="O59407" s="8"/>
      <c r="P59407" s="8"/>
      <c r="Q59407" s="8"/>
      <c r="R59407" s="103"/>
      <c r="S59407" s="8"/>
      <c r="T59407" s="8"/>
      <c r="U59407" s="8"/>
      <c r="V59407" s="8"/>
      <c r="W59407" s="8"/>
      <c r="X59407" s="8"/>
      <c r="Y59407" s="8"/>
      <c r="Z59407" s="8"/>
      <c r="AA59407" s="8"/>
    </row>
    <row r="59408" spans="1:27" x14ac:dyDescent="0.25">
      <c r="A59408" s="8"/>
      <c r="B59408" s="8"/>
      <c r="C59408" s="99"/>
      <c r="D59408" s="8"/>
      <c r="E59408" s="8"/>
      <c r="F59408" s="8"/>
      <c r="G59408" s="8"/>
      <c r="H59408" s="8"/>
      <c r="I59408" s="102"/>
      <c r="J59408" s="8"/>
      <c r="K59408" s="8"/>
      <c r="L59408" s="8"/>
      <c r="M59408" s="8"/>
      <c r="N59408" s="8"/>
      <c r="O59408" s="8"/>
      <c r="P59408" s="8"/>
      <c r="Q59408" s="8"/>
      <c r="R59408" s="103"/>
      <c r="S59408" s="8"/>
      <c r="T59408" s="8"/>
      <c r="U59408" s="8"/>
      <c r="V59408" s="8"/>
      <c r="W59408" s="8"/>
      <c r="X59408" s="8"/>
      <c r="Y59408" s="8"/>
      <c r="Z59408" s="8"/>
      <c r="AA59408" s="8"/>
    </row>
    <row r="59409" spans="1:27" x14ac:dyDescent="0.25">
      <c r="A59409" s="8"/>
      <c r="B59409" s="8"/>
      <c r="C59409" s="99"/>
      <c r="D59409" s="8"/>
      <c r="E59409" s="8"/>
      <c r="F59409" s="8"/>
      <c r="G59409" s="8"/>
      <c r="H59409" s="8"/>
      <c r="I59409" s="102"/>
      <c r="J59409" s="8"/>
      <c r="K59409" s="8"/>
      <c r="L59409" s="8"/>
      <c r="M59409" s="8"/>
      <c r="N59409" s="8"/>
      <c r="O59409" s="8"/>
      <c r="P59409" s="8"/>
      <c r="Q59409" s="8"/>
      <c r="R59409" s="103"/>
      <c r="S59409" s="8"/>
      <c r="T59409" s="8"/>
      <c r="U59409" s="8"/>
      <c r="V59409" s="8"/>
      <c r="W59409" s="8"/>
      <c r="X59409" s="8"/>
      <c r="Y59409" s="8"/>
      <c r="Z59409" s="8"/>
      <c r="AA59409" s="8"/>
    </row>
    <row r="59410" spans="1:27" x14ac:dyDescent="0.25">
      <c r="A59410" s="8"/>
      <c r="B59410" s="8"/>
      <c r="C59410" s="99"/>
      <c r="D59410" s="8"/>
      <c r="E59410" s="8"/>
      <c r="F59410" s="8"/>
      <c r="G59410" s="8"/>
      <c r="H59410" s="8"/>
      <c r="I59410" s="102"/>
      <c r="J59410" s="8"/>
      <c r="K59410" s="8"/>
      <c r="L59410" s="8"/>
      <c r="M59410" s="8"/>
      <c r="N59410" s="8"/>
      <c r="O59410" s="8"/>
      <c r="P59410" s="8"/>
      <c r="Q59410" s="8"/>
      <c r="R59410" s="103"/>
      <c r="S59410" s="8"/>
      <c r="T59410" s="8"/>
      <c r="U59410" s="8"/>
      <c r="V59410" s="8"/>
      <c r="W59410" s="8"/>
      <c r="X59410" s="8"/>
      <c r="Y59410" s="8"/>
      <c r="Z59410" s="8"/>
      <c r="AA59410" s="8"/>
    </row>
    <row r="59411" spans="1:27" x14ac:dyDescent="0.25">
      <c r="A59411" s="8"/>
      <c r="B59411" s="8"/>
      <c r="C59411" s="99"/>
      <c r="D59411" s="8"/>
      <c r="E59411" s="8"/>
      <c r="F59411" s="8"/>
      <c r="G59411" s="8"/>
      <c r="H59411" s="8"/>
      <c r="I59411" s="102"/>
      <c r="J59411" s="8"/>
      <c r="K59411" s="8"/>
      <c r="L59411" s="8"/>
      <c r="M59411" s="8"/>
      <c r="N59411" s="8"/>
      <c r="O59411" s="8"/>
      <c r="P59411" s="8"/>
      <c r="Q59411" s="8"/>
      <c r="R59411" s="103"/>
      <c r="S59411" s="8"/>
      <c r="T59411" s="8"/>
      <c r="U59411" s="8"/>
      <c r="V59411" s="8"/>
      <c r="W59411" s="8"/>
      <c r="X59411" s="8"/>
      <c r="Y59411" s="8"/>
      <c r="Z59411" s="8"/>
      <c r="AA59411" s="8"/>
    </row>
    <row r="59412" spans="1:27" x14ac:dyDescent="0.25">
      <c r="A59412" s="8"/>
      <c r="B59412" s="8"/>
      <c r="C59412" s="99"/>
      <c r="D59412" s="8"/>
      <c r="E59412" s="8"/>
      <c r="F59412" s="8"/>
      <c r="G59412" s="8"/>
      <c r="H59412" s="8"/>
      <c r="I59412" s="102"/>
      <c r="J59412" s="8"/>
      <c r="K59412" s="8"/>
      <c r="L59412" s="8"/>
      <c r="M59412" s="8"/>
      <c r="N59412" s="8"/>
      <c r="O59412" s="8"/>
      <c r="P59412" s="8"/>
      <c r="Q59412" s="8"/>
      <c r="R59412" s="103"/>
      <c r="S59412" s="8"/>
      <c r="T59412" s="8"/>
      <c r="U59412" s="8"/>
      <c r="V59412" s="8"/>
      <c r="W59412" s="8"/>
      <c r="X59412" s="8"/>
      <c r="Y59412" s="8"/>
      <c r="Z59412" s="8"/>
      <c r="AA59412" s="8"/>
    </row>
    <row r="59413" spans="1:27" x14ac:dyDescent="0.25">
      <c r="A59413" s="8"/>
      <c r="B59413" s="8"/>
      <c r="C59413" s="99"/>
      <c r="D59413" s="8"/>
      <c r="E59413" s="8"/>
      <c r="F59413" s="8"/>
      <c r="G59413" s="8"/>
      <c r="H59413" s="8"/>
      <c r="I59413" s="102"/>
      <c r="J59413" s="8"/>
      <c r="K59413" s="8"/>
      <c r="L59413" s="8"/>
      <c r="M59413" s="8"/>
      <c r="N59413" s="8"/>
      <c r="O59413" s="8"/>
      <c r="P59413" s="8"/>
      <c r="Q59413" s="8"/>
      <c r="R59413" s="103"/>
      <c r="S59413" s="8"/>
      <c r="T59413" s="8"/>
      <c r="U59413" s="8"/>
      <c r="V59413" s="8"/>
      <c r="W59413" s="8"/>
      <c r="X59413" s="8"/>
      <c r="Y59413" s="8"/>
      <c r="Z59413" s="8"/>
      <c r="AA59413" s="8"/>
    </row>
    <row r="59414" spans="1:27" x14ac:dyDescent="0.25">
      <c r="A59414" s="8"/>
      <c r="B59414" s="8"/>
      <c r="C59414" s="99"/>
      <c r="D59414" s="8"/>
      <c r="E59414" s="8"/>
      <c r="F59414" s="8"/>
      <c r="G59414" s="8"/>
      <c r="H59414" s="8"/>
      <c r="I59414" s="102"/>
      <c r="J59414" s="8"/>
      <c r="K59414" s="8"/>
      <c r="L59414" s="8"/>
      <c r="M59414" s="8"/>
      <c r="N59414" s="8"/>
      <c r="O59414" s="8"/>
      <c r="P59414" s="8"/>
      <c r="Q59414" s="8"/>
      <c r="R59414" s="103"/>
      <c r="S59414" s="8"/>
      <c r="T59414" s="8"/>
      <c r="U59414" s="8"/>
      <c r="V59414" s="8"/>
      <c r="W59414" s="8"/>
      <c r="X59414" s="8"/>
      <c r="Y59414" s="8"/>
      <c r="Z59414" s="8"/>
      <c r="AA59414" s="8"/>
    </row>
    <row r="59415" spans="1:27" x14ac:dyDescent="0.25">
      <c r="A59415" s="8"/>
      <c r="B59415" s="8"/>
      <c r="C59415" s="99"/>
      <c r="D59415" s="8"/>
      <c r="E59415" s="8"/>
      <c r="F59415" s="8"/>
      <c r="G59415" s="8"/>
      <c r="H59415" s="8"/>
      <c r="I59415" s="102"/>
      <c r="J59415" s="8"/>
      <c r="K59415" s="8"/>
      <c r="L59415" s="8"/>
      <c r="M59415" s="8"/>
      <c r="N59415" s="8"/>
      <c r="O59415" s="8"/>
      <c r="P59415" s="8"/>
      <c r="Q59415" s="8"/>
      <c r="R59415" s="103"/>
      <c r="S59415" s="8"/>
      <c r="T59415" s="8"/>
      <c r="U59415" s="8"/>
      <c r="V59415" s="8"/>
      <c r="W59415" s="8"/>
      <c r="X59415" s="8"/>
      <c r="Y59415" s="8"/>
      <c r="Z59415" s="8"/>
      <c r="AA59415" s="8"/>
    </row>
    <row r="59416" spans="1:27" x14ac:dyDescent="0.25">
      <c r="A59416" s="8"/>
      <c r="B59416" s="8"/>
      <c r="C59416" s="99"/>
      <c r="D59416" s="8"/>
      <c r="E59416" s="8"/>
      <c r="F59416" s="8"/>
      <c r="G59416" s="8"/>
      <c r="H59416" s="8"/>
      <c r="I59416" s="102"/>
      <c r="J59416" s="8"/>
      <c r="K59416" s="8"/>
      <c r="L59416" s="8"/>
      <c r="M59416" s="8"/>
      <c r="N59416" s="8"/>
      <c r="O59416" s="8"/>
      <c r="P59416" s="8"/>
      <c r="Q59416" s="8"/>
      <c r="R59416" s="103"/>
      <c r="S59416" s="8"/>
      <c r="T59416" s="8"/>
      <c r="U59416" s="8"/>
      <c r="V59416" s="8"/>
      <c r="W59416" s="8"/>
      <c r="X59416" s="8"/>
      <c r="Y59416" s="8"/>
      <c r="Z59416" s="8"/>
      <c r="AA59416" s="8"/>
    </row>
    <row r="59417" spans="1:27" x14ac:dyDescent="0.25">
      <c r="A59417" s="8"/>
      <c r="B59417" s="8"/>
      <c r="C59417" s="99"/>
      <c r="D59417" s="8"/>
      <c r="E59417" s="8"/>
      <c r="F59417" s="8"/>
      <c r="G59417" s="8"/>
      <c r="H59417" s="8"/>
      <c r="I59417" s="102"/>
      <c r="J59417" s="8"/>
      <c r="K59417" s="8"/>
      <c r="L59417" s="8"/>
      <c r="M59417" s="8"/>
      <c r="N59417" s="8"/>
      <c r="O59417" s="8"/>
      <c r="P59417" s="8"/>
      <c r="Q59417" s="8"/>
      <c r="R59417" s="103"/>
      <c r="S59417" s="8"/>
      <c r="T59417" s="8"/>
      <c r="U59417" s="8"/>
      <c r="V59417" s="8"/>
      <c r="W59417" s="8"/>
      <c r="X59417" s="8"/>
      <c r="Y59417" s="8"/>
      <c r="Z59417" s="8"/>
      <c r="AA59417" s="8"/>
    </row>
    <row r="59418" spans="1:27" x14ac:dyDescent="0.25">
      <c r="A59418" s="8"/>
      <c r="B59418" s="8"/>
      <c r="C59418" s="99"/>
      <c r="D59418" s="8"/>
      <c r="E59418" s="8"/>
      <c r="F59418" s="8"/>
      <c r="G59418" s="8"/>
      <c r="H59418" s="8"/>
      <c r="I59418" s="102"/>
      <c r="J59418" s="8"/>
      <c r="K59418" s="8"/>
      <c r="L59418" s="8"/>
      <c r="M59418" s="8"/>
      <c r="N59418" s="8"/>
      <c r="O59418" s="8"/>
      <c r="P59418" s="8"/>
      <c r="Q59418" s="8"/>
      <c r="R59418" s="103"/>
      <c r="S59418" s="8"/>
      <c r="T59418" s="8"/>
      <c r="U59418" s="8"/>
      <c r="V59418" s="8"/>
      <c r="W59418" s="8"/>
      <c r="X59418" s="8"/>
      <c r="Y59418" s="8"/>
      <c r="Z59418" s="8"/>
      <c r="AA59418" s="8"/>
    </row>
    <row r="59419" spans="1:27" x14ac:dyDescent="0.25">
      <c r="A59419" s="8"/>
      <c r="B59419" s="8"/>
      <c r="C59419" s="99"/>
      <c r="D59419" s="8"/>
      <c r="E59419" s="8"/>
      <c r="F59419" s="8"/>
      <c r="G59419" s="8"/>
      <c r="H59419" s="8"/>
      <c r="I59419" s="102"/>
      <c r="J59419" s="8"/>
      <c r="K59419" s="8"/>
      <c r="L59419" s="8"/>
      <c r="M59419" s="8"/>
      <c r="N59419" s="8"/>
      <c r="O59419" s="8"/>
      <c r="P59419" s="8"/>
      <c r="Q59419" s="8"/>
      <c r="R59419" s="103"/>
      <c r="S59419" s="8"/>
      <c r="T59419" s="8"/>
      <c r="U59419" s="8"/>
      <c r="V59419" s="8"/>
      <c r="W59419" s="8"/>
      <c r="X59419" s="8"/>
      <c r="Y59419" s="8"/>
      <c r="Z59419" s="8"/>
      <c r="AA59419" s="8"/>
    </row>
    <row r="59420" spans="1:27" x14ac:dyDescent="0.25">
      <c r="A59420" s="8"/>
      <c r="B59420" s="8"/>
      <c r="C59420" s="99"/>
      <c r="D59420" s="8"/>
      <c r="E59420" s="8"/>
      <c r="F59420" s="8"/>
      <c r="G59420" s="8"/>
      <c r="H59420" s="8"/>
      <c r="I59420" s="102"/>
      <c r="J59420" s="8"/>
      <c r="K59420" s="8"/>
      <c r="L59420" s="8"/>
      <c r="M59420" s="8"/>
      <c r="N59420" s="8"/>
      <c r="O59420" s="8"/>
      <c r="P59420" s="8"/>
      <c r="Q59420" s="8"/>
      <c r="R59420" s="103"/>
      <c r="S59420" s="8"/>
      <c r="T59420" s="8"/>
      <c r="U59420" s="8"/>
      <c r="V59420" s="8"/>
      <c r="W59420" s="8"/>
      <c r="X59420" s="8"/>
      <c r="Y59420" s="8"/>
      <c r="Z59420" s="8"/>
      <c r="AA59420" s="8"/>
    </row>
    <row r="59421" spans="1:27" x14ac:dyDescent="0.25">
      <c r="A59421" s="8"/>
      <c r="B59421" s="8"/>
      <c r="C59421" s="99"/>
      <c r="D59421" s="8"/>
      <c r="E59421" s="8"/>
      <c r="F59421" s="8"/>
      <c r="G59421" s="8"/>
      <c r="H59421" s="8"/>
      <c r="I59421" s="102"/>
      <c r="J59421" s="8"/>
      <c r="K59421" s="8"/>
      <c r="L59421" s="8"/>
      <c r="M59421" s="8"/>
      <c r="N59421" s="8"/>
      <c r="O59421" s="8"/>
      <c r="P59421" s="8"/>
      <c r="Q59421" s="8"/>
      <c r="R59421" s="103"/>
      <c r="S59421" s="8"/>
      <c r="T59421" s="8"/>
      <c r="U59421" s="8"/>
      <c r="V59421" s="8"/>
      <c r="W59421" s="8"/>
      <c r="X59421" s="8"/>
      <c r="Y59421" s="8"/>
      <c r="Z59421" s="8"/>
      <c r="AA59421" s="8"/>
    </row>
    <row r="59422" spans="1:27" x14ac:dyDescent="0.25">
      <c r="A59422" s="8"/>
      <c r="B59422" s="8"/>
      <c r="C59422" s="99"/>
      <c r="D59422" s="8"/>
      <c r="E59422" s="8"/>
      <c r="F59422" s="8"/>
      <c r="G59422" s="8"/>
      <c r="H59422" s="8"/>
      <c r="I59422" s="102"/>
      <c r="J59422" s="8"/>
      <c r="K59422" s="8"/>
      <c r="L59422" s="8"/>
      <c r="M59422" s="8"/>
      <c r="N59422" s="8"/>
      <c r="O59422" s="8"/>
      <c r="P59422" s="8"/>
      <c r="Q59422" s="8"/>
      <c r="R59422" s="103"/>
      <c r="S59422" s="8"/>
      <c r="T59422" s="8"/>
      <c r="U59422" s="8"/>
      <c r="V59422" s="8"/>
      <c r="W59422" s="8"/>
      <c r="X59422" s="8"/>
      <c r="Y59422" s="8"/>
      <c r="Z59422" s="8"/>
      <c r="AA59422" s="8"/>
    </row>
    <row r="59423" spans="1:27" x14ac:dyDescent="0.25">
      <c r="A59423" s="8"/>
      <c r="B59423" s="8"/>
      <c r="C59423" s="99"/>
      <c r="D59423" s="8"/>
      <c r="E59423" s="8"/>
      <c r="F59423" s="8"/>
      <c r="G59423" s="8"/>
      <c r="H59423" s="8"/>
      <c r="I59423" s="102"/>
      <c r="J59423" s="8"/>
      <c r="K59423" s="8"/>
      <c r="L59423" s="8"/>
      <c r="M59423" s="8"/>
      <c r="N59423" s="8"/>
      <c r="O59423" s="8"/>
      <c r="P59423" s="8"/>
      <c r="Q59423" s="8"/>
      <c r="R59423" s="103"/>
      <c r="S59423" s="8"/>
      <c r="T59423" s="8"/>
      <c r="U59423" s="8"/>
      <c r="V59423" s="8"/>
      <c r="W59423" s="8"/>
      <c r="X59423" s="8"/>
      <c r="Y59423" s="8"/>
      <c r="Z59423" s="8"/>
      <c r="AA59423" s="8"/>
    </row>
    <row r="59424" spans="1:27" x14ac:dyDescent="0.25">
      <c r="A59424" s="8"/>
      <c r="B59424" s="8"/>
      <c r="C59424" s="99"/>
      <c r="D59424" s="8"/>
      <c r="E59424" s="8"/>
      <c r="F59424" s="8"/>
      <c r="G59424" s="8"/>
      <c r="H59424" s="8"/>
      <c r="I59424" s="102"/>
      <c r="J59424" s="8"/>
      <c r="K59424" s="8"/>
      <c r="L59424" s="8"/>
      <c r="M59424" s="8"/>
      <c r="N59424" s="8"/>
      <c r="O59424" s="8"/>
      <c r="P59424" s="8"/>
      <c r="Q59424" s="8"/>
      <c r="R59424" s="103"/>
      <c r="S59424" s="8"/>
      <c r="T59424" s="8"/>
      <c r="U59424" s="8"/>
      <c r="V59424" s="8"/>
      <c r="W59424" s="8"/>
      <c r="X59424" s="8"/>
      <c r="Y59424" s="8"/>
      <c r="Z59424" s="8"/>
      <c r="AA59424" s="8"/>
    </row>
    <row r="59425" spans="1:27" x14ac:dyDescent="0.25">
      <c r="A59425" s="8"/>
      <c r="B59425" s="8"/>
      <c r="C59425" s="99"/>
      <c r="D59425" s="8"/>
      <c r="E59425" s="8"/>
      <c r="F59425" s="8"/>
      <c r="G59425" s="8"/>
      <c r="H59425" s="8"/>
      <c r="I59425" s="102"/>
      <c r="J59425" s="8"/>
      <c r="K59425" s="8"/>
      <c r="L59425" s="8"/>
      <c r="M59425" s="8"/>
      <c r="N59425" s="8"/>
      <c r="O59425" s="8"/>
      <c r="P59425" s="8"/>
      <c r="Q59425" s="8"/>
      <c r="R59425" s="103"/>
      <c r="S59425" s="8"/>
      <c r="T59425" s="8"/>
      <c r="U59425" s="8"/>
      <c r="V59425" s="8"/>
      <c r="W59425" s="8"/>
      <c r="X59425" s="8"/>
      <c r="Y59425" s="8"/>
      <c r="Z59425" s="8"/>
      <c r="AA59425" s="8"/>
    </row>
    <row r="59426" spans="1:27" x14ac:dyDescent="0.25">
      <c r="A59426" s="8"/>
      <c r="B59426" s="8"/>
      <c r="C59426" s="99"/>
      <c r="D59426" s="8"/>
      <c r="E59426" s="8"/>
      <c r="F59426" s="8"/>
      <c r="G59426" s="8"/>
      <c r="H59426" s="8"/>
      <c r="I59426" s="102"/>
      <c r="J59426" s="8"/>
      <c r="K59426" s="8"/>
      <c r="L59426" s="8"/>
      <c r="M59426" s="8"/>
      <c r="N59426" s="8"/>
      <c r="O59426" s="8"/>
      <c r="P59426" s="8"/>
      <c r="Q59426" s="8"/>
      <c r="R59426" s="103"/>
      <c r="S59426" s="8"/>
      <c r="T59426" s="8"/>
      <c r="U59426" s="8"/>
      <c r="V59426" s="8"/>
      <c r="W59426" s="8"/>
      <c r="X59426" s="8"/>
      <c r="Y59426" s="8"/>
      <c r="Z59426" s="8"/>
      <c r="AA59426" s="8"/>
    </row>
    <row r="59427" spans="1:27" x14ac:dyDescent="0.25">
      <c r="A59427" s="8"/>
      <c r="B59427" s="8"/>
      <c r="C59427" s="99"/>
      <c r="D59427" s="8"/>
      <c r="E59427" s="8"/>
      <c r="F59427" s="8"/>
      <c r="G59427" s="8"/>
      <c r="H59427" s="8"/>
      <c r="I59427" s="102"/>
      <c r="J59427" s="8"/>
      <c r="K59427" s="8"/>
      <c r="L59427" s="8"/>
      <c r="M59427" s="8"/>
      <c r="N59427" s="8"/>
      <c r="O59427" s="8"/>
      <c r="P59427" s="8"/>
      <c r="Q59427" s="8"/>
      <c r="R59427" s="103"/>
      <c r="S59427" s="8"/>
      <c r="T59427" s="8"/>
      <c r="U59427" s="8"/>
      <c r="V59427" s="8"/>
      <c r="W59427" s="8"/>
      <c r="X59427" s="8"/>
      <c r="Y59427" s="8"/>
      <c r="Z59427" s="8"/>
      <c r="AA59427" s="8"/>
    </row>
    <row r="59428" spans="1:27" x14ac:dyDescent="0.25">
      <c r="A59428" s="8"/>
      <c r="B59428" s="8"/>
      <c r="C59428" s="99"/>
      <c r="D59428" s="8"/>
      <c r="E59428" s="8"/>
      <c r="F59428" s="8"/>
      <c r="G59428" s="8"/>
      <c r="H59428" s="8"/>
      <c r="I59428" s="102"/>
      <c r="J59428" s="8"/>
      <c r="K59428" s="8"/>
      <c r="L59428" s="8"/>
      <c r="M59428" s="8"/>
      <c r="N59428" s="8"/>
      <c r="O59428" s="8"/>
      <c r="P59428" s="8"/>
      <c r="Q59428" s="8"/>
      <c r="R59428" s="103"/>
      <c r="S59428" s="8"/>
      <c r="T59428" s="8"/>
      <c r="U59428" s="8"/>
      <c r="V59428" s="8"/>
      <c r="W59428" s="8"/>
      <c r="X59428" s="8"/>
      <c r="Y59428" s="8"/>
      <c r="Z59428" s="8"/>
      <c r="AA59428" s="8"/>
    </row>
    <row r="59429" spans="1:27" x14ac:dyDescent="0.25">
      <c r="A59429" s="8"/>
      <c r="B59429" s="8"/>
      <c r="C59429" s="99"/>
      <c r="D59429" s="8"/>
      <c r="E59429" s="8"/>
      <c r="F59429" s="8"/>
      <c r="G59429" s="8"/>
      <c r="H59429" s="8"/>
      <c r="I59429" s="102"/>
      <c r="J59429" s="8"/>
      <c r="K59429" s="8"/>
      <c r="L59429" s="8"/>
      <c r="M59429" s="8"/>
      <c r="N59429" s="8"/>
      <c r="O59429" s="8"/>
      <c r="P59429" s="8"/>
      <c r="Q59429" s="8"/>
      <c r="R59429" s="103"/>
      <c r="S59429" s="8"/>
      <c r="T59429" s="8"/>
      <c r="U59429" s="8"/>
      <c r="V59429" s="8"/>
      <c r="W59429" s="8"/>
      <c r="X59429" s="8"/>
      <c r="Y59429" s="8"/>
      <c r="Z59429" s="8"/>
      <c r="AA59429" s="8"/>
    </row>
    <row r="59430" spans="1:27" x14ac:dyDescent="0.25">
      <c r="A59430" s="8"/>
      <c r="B59430" s="8"/>
      <c r="C59430" s="99"/>
      <c r="D59430" s="8"/>
      <c r="E59430" s="8"/>
      <c r="F59430" s="8"/>
      <c r="G59430" s="8"/>
      <c r="H59430" s="8"/>
      <c r="I59430" s="102"/>
      <c r="J59430" s="8"/>
      <c r="K59430" s="8"/>
      <c r="L59430" s="8"/>
      <c r="M59430" s="8"/>
      <c r="N59430" s="8"/>
      <c r="O59430" s="8"/>
      <c r="P59430" s="8"/>
      <c r="Q59430" s="8"/>
      <c r="R59430" s="103"/>
      <c r="S59430" s="8"/>
      <c r="T59430" s="8"/>
      <c r="U59430" s="8"/>
      <c r="V59430" s="8"/>
      <c r="W59430" s="8"/>
      <c r="X59430" s="8"/>
      <c r="Y59430" s="8"/>
      <c r="Z59430" s="8"/>
      <c r="AA59430" s="8"/>
    </row>
    <row r="59431" spans="1:27" x14ac:dyDescent="0.25">
      <c r="A59431" s="8"/>
      <c r="B59431" s="8"/>
      <c r="C59431" s="99"/>
      <c r="D59431" s="8"/>
      <c r="E59431" s="8"/>
      <c r="F59431" s="8"/>
      <c r="G59431" s="8"/>
      <c r="H59431" s="8"/>
      <c r="I59431" s="102"/>
      <c r="J59431" s="8"/>
      <c r="K59431" s="8"/>
      <c r="L59431" s="8"/>
      <c r="M59431" s="8"/>
      <c r="N59431" s="8"/>
      <c r="O59431" s="8"/>
      <c r="P59431" s="8"/>
      <c r="Q59431" s="8"/>
      <c r="R59431" s="103"/>
      <c r="S59431" s="8"/>
      <c r="T59431" s="8"/>
      <c r="U59431" s="8"/>
      <c r="V59431" s="8"/>
      <c r="W59431" s="8"/>
      <c r="X59431" s="8"/>
      <c r="Y59431" s="8"/>
      <c r="Z59431" s="8"/>
      <c r="AA59431" s="8"/>
    </row>
    <row r="59432" spans="1:27" x14ac:dyDescent="0.25">
      <c r="A59432" s="8"/>
      <c r="B59432" s="8"/>
      <c r="C59432" s="99"/>
      <c r="D59432" s="8"/>
      <c r="E59432" s="8"/>
      <c r="F59432" s="8"/>
      <c r="G59432" s="8"/>
      <c r="H59432" s="8"/>
      <c r="I59432" s="102"/>
      <c r="J59432" s="8"/>
      <c r="K59432" s="8"/>
      <c r="L59432" s="8"/>
      <c r="M59432" s="8"/>
      <c r="N59432" s="8"/>
      <c r="O59432" s="8"/>
      <c r="P59432" s="8"/>
      <c r="Q59432" s="8"/>
      <c r="R59432" s="103"/>
      <c r="S59432" s="8"/>
      <c r="T59432" s="8"/>
      <c r="U59432" s="8"/>
      <c r="V59432" s="8"/>
      <c r="W59432" s="8"/>
      <c r="X59432" s="8"/>
      <c r="Y59432" s="8"/>
      <c r="Z59432" s="8"/>
      <c r="AA59432" s="8"/>
    </row>
    <row r="59433" spans="1:27" x14ac:dyDescent="0.25">
      <c r="A59433" s="8"/>
      <c r="B59433" s="8"/>
      <c r="C59433" s="99"/>
      <c r="D59433" s="8"/>
      <c r="E59433" s="8"/>
      <c r="F59433" s="8"/>
      <c r="G59433" s="8"/>
      <c r="H59433" s="8"/>
      <c r="I59433" s="102"/>
      <c r="J59433" s="8"/>
      <c r="K59433" s="8"/>
      <c r="L59433" s="8"/>
      <c r="M59433" s="8"/>
      <c r="N59433" s="8"/>
      <c r="O59433" s="8"/>
      <c r="P59433" s="8"/>
      <c r="Q59433" s="8"/>
      <c r="R59433" s="103"/>
      <c r="S59433" s="8"/>
      <c r="T59433" s="8"/>
      <c r="U59433" s="8"/>
      <c r="V59433" s="8"/>
      <c r="W59433" s="8"/>
      <c r="X59433" s="8"/>
      <c r="Y59433" s="8"/>
      <c r="Z59433" s="8"/>
      <c r="AA59433" s="8"/>
    </row>
    <row r="59434" spans="1:27" x14ac:dyDescent="0.25">
      <c r="A59434" s="8"/>
      <c r="B59434" s="8"/>
      <c r="C59434" s="99"/>
      <c r="D59434" s="8"/>
      <c r="E59434" s="8"/>
      <c r="F59434" s="8"/>
      <c r="G59434" s="8"/>
      <c r="H59434" s="8"/>
      <c r="I59434" s="102"/>
      <c r="J59434" s="8"/>
      <c r="K59434" s="8"/>
      <c r="L59434" s="8"/>
      <c r="M59434" s="8"/>
      <c r="N59434" s="8"/>
      <c r="O59434" s="8"/>
      <c r="P59434" s="8"/>
      <c r="Q59434" s="8"/>
      <c r="R59434" s="103"/>
      <c r="S59434" s="8"/>
      <c r="T59434" s="8"/>
      <c r="U59434" s="8"/>
      <c r="V59434" s="8"/>
      <c r="W59434" s="8"/>
      <c r="X59434" s="8"/>
      <c r="Y59434" s="8"/>
      <c r="Z59434" s="8"/>
      <c r="AA59434" s="8"/>
    </row>
    <row r="59435" spans="1:27" x14ac:dyDescent="0.25">
      <c r="A59435" s="8"/>
      <c r="B59435" s="8"/>
      <c r="C59435" s="99"/>
      <c r="D59435" s="8"/>
      <c r="E59435" s="8"/>
      <c r="F59435" s="8"/>
      <c r="G59435" s="8"/>
      <c r="H59435" s="8"/>
      <c r="I59435" s="102"/>
      <c r="J59435" s="8"/>
      <c r="K59435" s="8"/>
      <c r="L59435" s="8"/>
      <c r="M59435" s="8"/>
      <c r="N59435" s="8"/>
      <c r="O59435" s="8"/>
      <c r="P59435" s="8"/>
      <c r="Q59435" s="8"/>
      <c r="R59435" s="103"/>
      <c r="S59435" s="8"/>
      <c r="T59435" s="8"/>
      <c r="U59435" s="8"/>
      <c r="V59435" s="8"/>
      <c r="W59435" s="8"/>
      <c r="X59435" s="8"/>
      <c r="Y59435" s="8"/>
      <c r="Z59435" s="8"/>
      <c r="AA59435" s="8"/>
    </row>
    <row r="59436" spans="1:27" x14ac:dyDescent="0.25">
      <c r="A59436" s="8"/>
      <c r="B59436" s="8"/>
      <c r="C59436" s="99"/>
      <c r="D59436" s="8"/>
      <c r="E59436" s="8"/>
      <c r="F59436" s="8"/>
      <c r="G59436" s="8"/>
      <c r="H59436" s="8"/>
      <c r="I59436" s="102"/>
      <c r="J59436" s="8"/>
      <c r="K59436" s="8"/>
      <c r="L59436" s="8"/>
      <c r="M59436" s="8"/>
      <c r="N59436" s="8"/>
      <c r="O59436" s="8"/>
      <c r="P59436" s="8"/>
      <c r="Q59436" s="8"/>
      <c r="R59436" s="103"/>
      <c r="S59436" s="8"/>
      <c r="T59436" s="8"/>
      <c r="U59436" s="8"/>
      <c r="V59436" s="8"/>
      <c r="W59436" s="8"/>
      <c r="X59436" s="8"/>
      <c r="Y59436" s="8"/>
      <c r="Z59436" s="8"/>
      <c r="AA59436" s="8"/>
    </row>
    <row r="59437" spans="1:27" x14ac:dyDescent="0.25">
      <c r="A59437" s="8"/>
      <c r="B59437" s="8"/>
      <c r="C59437" s="99"/>
      <c r="D59437" s="8"/>
      <c r="E59437" s="8"/>
      <c r="F59437" s="8"/>
      <c r="G59437" s="8"/>
      <c r="H59437" s="8"/>
      <c r="I59437" s="102"/>
      <c r="J59437" s="8"/>
      <c r="K59437" s="8"/>
      <c r="L59437" s="8"/>
      <c r="M59437" s="8"/>
      <c r="N59437" s="8"/>
      <c r="O59437" s="8"/>
      <c r="P59437" s="8"/>
      <c r="Q59437" s="8"/>
      <c r="R59437" s="103"/>
      <c r="S59437" s="8"/>
      <c r="T59437" s="8"/>
      <c r="U59437" s="8"/>
      <c r="V59437" s="8"/>
      <c r="W59437" s="8"/>
      <c r="X59437" s="8"/>
      <c r="Y59437" s="8"/>
      <c r="Z59437" s="8"/>
      <c r="AA59437" s="8"/>
    </row>
    <row r="59438" spans="1:27" x14ac:dyDescent="0.25">
      <c r="A59438" s="8"/>
      <c r="B59438" s="8"/>
      <c r="C59438" s="99"/>
      <c r="D59438" s="8"/>
      <c r="E59438" s="8"/>
      <c r="F59438" s="8"/>
      <c r="G59438" s="8"/>
      <c r="H59438" s="8"/>
      <c r="I59438" s="102"/>
      <c r="J59438" s="8"/>
      <c r="K59438" s="8"/>
      <c r="L59438" s="8"/>
      <c r="M59438" s="8"/>
      <c r="N59438" s="8"/>
      <c r="O59438" s="8"/>
      <c r="P59438" s="8"/>
      <c r="Q59438" s="8"/>
      <c r="R59438" s="103"/>
      <c r="S59438" s="8"/>
      <c r="T59438" s="8"/>
      <c r="U59438" s="8"/>
      <c r="V59438" s="8"/>
      <c r="W59438" s="8"/>
      <c r="X59438" s="8"/>
      <c r="Y59438" s="8"/>
      <c r="Z59438" s="8"/>
      <c r="AA59438" s="8"/>
    </row>
    <row r="59439" spans="1:27" x14ac:dyDescent="0.25">
      <c r="A59439" s="8"/>
      <c r="B59439" s="8"/>
      <c r="C59439" s="99"/>
      <c r="D59439" s="8"/>
      <c r="E59439" s="8"/>
      <c r="F59439" s="8"/>
      <c r="G59439" s="8"/>
      <c r="H59439" s="8"/>
      <c r="I59439" s="102"/>
      <c r="J59439" s="8"/>
      <c r="K59439" s="8"/>
      <c r="L59439" s="8"/>
      <c r="M59439" s="8"/>
      <c r="N59439" s="8"/>
      <c r="O59439" s="8"/>
      <c r="P59439" s="8"/>
      <c r="Q59439" s="8"/>
      <c r="R59439" s="103"/>
      <c r="S59439" s="8"/>
      <c r="T59439" s="8"/>
      <c r="U59439" s="8"/>
      <c r="V59439" s="8"/>
      <c r="W59439" s="8"/>
      <c r="X59439" s="8"/>
      <c r="Y59439" s="8"/>
      <c r="Z59439" s="8"/>
      <c r="AA59439" s="8"/>
    </row>
    <row r="59440" spans="1:27" x14ac:dyDescent="0.25">
      <c r="A59440" s="8"/>
      <c r="B59440" s="8"/>
      <c r="C59440" s="99"/>
      <c r="D59440" s="8"/>
      <c r="E59440" s="8"/>
      <c r="F59440" s="8"/>
      <c r="G59440" s="8"/>
      <c r="H59440" s="8"/>
      <c r="I59440" s="102"/>
      <c r="J59440" s="8"/>
      <c r="K59440" s="8"/>
      <c r="L59440" s="8"/>
      <c r="M59440" s="8"/>
      <c r="N59440" s="8"/>
      <c r="O59440" s="8"/>
      <c r="P59440" s="8"/>
      <c r="Q59440" s="8"/>
      <c r="R59440" s="103"/>
      <c r="S59440" s="8"/>
      <c r="T59440" s="8"/>
      <c r="U59440" s="8"/>
      <c r="V59440" s="8"/>
      <c r="W59440" s="8"/>
      <c r="X59440" s="8"/>
      <c r="Y59440" s="8"/>
      <c r="Z59440" s="8"/>
      <c r="AA59440" s="8"/>
    </row>
    <row r="59441" spans="1:27" x14ac:dyDescent="0.25">
      <c r="A59441" s="8"/>
      <c r="B59441" s="8"/>
      <c r="C59441" s="99"/>
      <c r="D59441" s="8"/>
      <c r="E59441" s="8"/>
      <c r="F59441" s="8"/>
      <c r="G59441" s="8"/>
      <c r="H59441" s="8"/>
      <c r="I59441" s="102"/>
      <c r="J59441" s="8"/>
      <c r="K59441" s="8"/>
      <c r="L59441" s="8"/>
      <c r="M59441" s="8"/>
      <c r="N59441" s="8"/>
      <c r="O59441" s="8"/>
      <c r="P59441" s="8"/>
      <c r="Q59441" s="8"/>
      <c r="R59441" s="103"/>
      <c r="S59441" s="8"/>
      <c r="T59441" s="8"/>
      <c r="U59441" s="8"/>
      <c r="V59441" s="8"/>
      <c r="W59441" s="8"/>
      <c r="X59441" s="8"/>
      <c r="Y59441" s="8"/>
      <c r="Z59441" s="8"/>
      <c r="AA59441" s="8"/>
    </row>
    <row r="59442" spans="1:27" x14ac:dyDescent="0.25">
      <c r="A59442" s="8"/>
      <c r="B59442" s="8"/>
      <c r="C59442" s="99"/>
      <c r="D59442" s="8"/>
      <c r="E59442" s="8"/>
      <c r="F59442" s="8"/>
      <c r="G59442" s="8"/>
      <c r="H59442" s="8"/>
      <c r="I59442" s="102"/>
      <c r="J59442" s="8"/>
      <c r="K59442" s="8"/>
      <c r="L59442" s="8"/>
      <c r="M59442" s="8"/>
      <c r="N59442" s="8"/>
      <c r="O59442" s="8"/>
      <c r="P59442" s="8"/>
      <c r="Q59442" s="8"/>
      <c r="R59442" s="103"/>
      <c r="S59442" s="8"/>
      <c r="T59442" s="8"/>
      <c r="U59442" s="8"/>
      <c r="V59442" s="8"/>
      <c r="W59442" s="8"/>
      <c r="X59442" s="8"/>
      <c r="Y59442" s="8"/>
      <c r="Z59442" s="8"/>
      <c r="AA59442" s="8"/>
    </row>
    <row r="59443" spans="1:27" x14ac:dyDescent="0.25">
      <c r="A59443" s="8"/>
      <c r="B59443" s="8"/>
      <c r="C59443" s="99"/>
      <c r="D59443" s="8"/>
      <c r="E59443" s="8"/>
      <c r="F59443" s="8"/>
      <c r="G59443" s="8"/>
      <c r="H59443" s="8"/>
      <c r="I59443" s="102"/>
      <c r="J59443" s="8"/>
      <c r="K59443" s="8"/>
      <c r="L59443" s="8"/>
      <c r="M59443" s="8"/>
      <c r="N59443" s="8"/>
      <c r="O59443" s="8"/>
      <c r="P59443" s="8"/>
      <c r="Q59443" s="8"/>
      <c r="R59443" s="103"/>
      <c r="S59443" s="8"/>
      <c r="T59443" s="8"/>
      <c r="U59443" s="8"/>
      <c r="V59443" s="8"/>
      <c r="W59443" s="8"/>
      <c r="X59443" s="8"/>
      <c r="Y59443" s="8"/>
      <c r="Z59443" s="8"/>
      <c r="AA59443" s="8"/>
    </row>
    <row r="59444" spans="1:27" x14ac:dyDescent="0.25">
      <c r="A59444" s="8"/>
      <c r="B59444" s="8"/>
      <c r="C59444" s="99"/>
      <c r="D59444" s="8"/>
      <c r="E59444" s="8"/>
      <c r="F59444" s="8"/>
      <c r="G59444" s="8"/>
      <c r="H59444" s="8"/>
      <c r="I59444" s="102"/>
      <c r="J59444" s="8"/>
      <c r="K59444" s="8"/>
      <c r="L59444" s="8"/>
      <c r="M59444" s="8"/>
      <c r="N59444" s="8"/>
      <c r="O59444" s="8"/>
      <c r="P59444" s="8"/>
      <c r="Q59444" s="8"/>
      <c r="R59444" s="103"/>
      <c r="S59444" s="8"/>
      <c r="T59444" s="8"/>
      <c r="U59444" s="8"/>
      <c r="V59444" s="8"/>
      <c r="W59444" s="8"/>
      <c r="X59444" s="8"/>
      <c r="Y59444" s="8"/>
      <c r="Z59444" s="8"/>
      <c r="AA59444" s="8"/>
    </row>
    <row r="59445" spans="1:27" x14ac:dyDescent="0.25">
      <c r="A59445" s="8"/>
      <c r="B59445" s="8"/>
      <c r="C59445" s="99"/>
      <c r="D59445" s="8"/>
      <c r="E59445" s="8"/>
      <c r="F59445" s="8"/>
      <c r="G59445" s="8"/>
      <c r="H59445" s="8"/>
      <c r="I59445" s="102"/>
      <c r="J59445" s="8"/>
      <c r="K59445" s="8"/>
      <c r="L59445" s="8"/>
      <c r="M59445" s="8"/>
      <c r="N59445" s="8"/>
      <c r="O59445" s="8"/>
      <c r="P59445" s="8"/>
      <c r="Q59445" s="8"/>
      <c r="R59445" s="103"/>
      <c r="S59445" s="8"/>
      <c r="T59445" s="8"/>
      <c r="U59445" s="8"/>
      <c r="V59445" s="8"/>
      <c r="W59445" s="8"/>
      <c r="X59445" s="8"/>
      <c r="Y59445" s="8"/>
      <c r="Z59445" s="8"/>
      <c r="AA59445" s="8"/>
    </row>
    <row r="59446" spans="1:27" x14ac:dyDescent="0.25">
      <c r="A59446" s="8"/>
      <c r="B59446" s="8"/>
      <c r="C59446" s="99"/>
      <c r="D59446" s="8"/>
      <c r="E59446" s="8"/>
      <c r="F59446" s="8"/>
      <c r="G59446" s="8"/>
      <c r="H59446" s="8"/>
      <c r="I59446" s="102"/>
      <c r="J59446" s="8"/>
      <c r="K59446" s="8"/>
      <c r="L59446" s="8"/>
      <c r="M59446" s="8"/>
      <c r="N59446" s="8"/>
      <c r="O59446" s="8"/>
      <c r="P59446" s="8"/>
      <c r="Q59446" s="8"/>
      <c r="R59446" s="103"/>
      <c r="S59446" s="8"/>
      <c r="T59446" s="8"/>
      <c r="U59446" s="8"/>
      <c r="V59446" s="8"/>
      <c r="W59446" s="8"/>
      <c r="X59446" s="8"/>
      <c r="Y59446" s="8"/>
      <c r="Z59446" s="8"/>
      <c r="AA59446" s="8"/>
    </row>
    <row r="59447" spans="1:27" x14ac:dyDescent="0.25">
      <c r="A59447" s="8"/>
      <c r="B59447" s="8"/>
      <c r="C59447" s="99"/>
      <c r="D59447" s="8"/>
      <c r="E59447" s="8"/>
      <c r="F59447" s="8"/>
      <c r="G59447" s="8"/>
      <c r="H59447" s="8"/>
      <c r="I59447" s="102"/>
      <c r="J59447" s="8"/>
      <c r="K59447" s="8"/>
      <c r="L59447" s="8"/>
      <c r="M59447" s="8"/>
      <c r="N59447" s="8"/>
      <c r="O59447" s="8"/>
      <c r="P59447" s="8"/>
      <c r="Q59447" s="8"/>
      <c r="R59447" s="103"/>
      <c r="S59447" s="8"/>
      <c r="T59447" s="8"/>
      <c r="U59447" s="8"/>
      <c r="V59447" s="8"/>
      <c r="W59447" s="8"/>
      <c r="X59447" s="8"/>
      <c r="Y59447" s="8"/>
      <c r="Z59447" s="8"/>
      <c r="AA59447" s="8"/>
    </row>
    <row r="59448" spans="1:27" x14ac:dyDescent="0.25">
      <c r="A59448" s="8"/>
      <c r="B59448" s="8"/>
      <c r="C59448" s="99"/>
      <c r="D59448" s="8"/>
      <c r="E59448" s="8"/>
      <c r="F59448" s="8"/>
      <c r="G59448" s="8"/>
      <c r="H59448" s="8"/>
      <c r="I59448" s="102"/>
      <c r="J59448" s="8"/>
      <c r="K59448" s="8"/>
      <c r="L59448" s="8"/>
      <c r="M59448" s="8"/>
      <c r="N59448" s="8"/>
      <c r="O59448" s="8"/>
      <c r="P59448" s="8"/>
      <c r="Q59448" s="8"/>
      <c r="R59448" s="103"/>
      <c r="S59448" s="8"/>
      <c r="T59448" s="8"/>
      <c r="U59448" s="8"/>
      <c r="V59448" s="8"/>
      <c r="W59448" s="8"/>
      <c r="X59448" s="8"/>
      <c r="Y59448" s="8"/>
      <c r="Z59448" s="8"/>
      <c r="AA59448" s="8"/>
    </row>
    <row r="59449" spans="1:27" x14ac:dyDescent="0.25">
      <c r="A59449" s="8"/>
      <c r="B59449" s="8"/>
      <c r="C59449" s="99"/>
      <c r="D59449" s="8"/>
      <c r="E59449" s="8"/>
      <c r="F59449" s="8"/>
      <c r="G59449" s="8"/>
      <c r="H59449" s="8"/>
      <c r="I59449" s="102"/>
      <c r="J59449" s="8"/>
      <c r="K59449" s="8"/>
      <c r="L59449" s="8"/>
      <c r="M59449" s="8"/>
      <c r="N59449" s="8"/>
      <c r="O59449" s="8"/>
      <c r="P59449" s="8"/>
      <c r="Q59449" s="8"/>
      <c r="R59449" s="103"/>
      <c r="S59449" s="8"/>
      <c r="T59449" s="8"/>
      <c r="U59449" s="8"/>
      <c r="V59449" s="8"/>
      <c r="W59449" s="8"/>
      <c r="X59449" s="8"/>
      <c r="Y59449" s="8"/>
      <c r="Z59449" s="8"/>
      <c r="AA59449" s="8"/>
    </row>
    <row r="59450" spans="1:27" x14ac:dyDescent="0.25">
      <c r="A59450" s="8"/>
      <c r="B59450" s="8"/>
      <c r="C59450" s="99"/>
      <c r="D59450" s="8"/>
      <c r="E59450" s="8"/>
      <c r="F59450" s="8"/>
      <c r="G59450" s="8"/>
      <c r="H59450" s="8"/>
      <c r="I59450" s="102"/>
      <c r="J59450" s="8"/>
      <c r="K59450" s="8"/>
      <c r="L59450" s="8"/>
      <c r="M59450" s="8"/>
      <c r="N59450" s="8"/>
      <c r="O59450" s="8"/>
      <c r="P59450" s="8"/>
      <c r="Q59450" s="8"/>
      <c r="R59450" s="103"/>
      <c r="S59450" s="8"/>
      <c r="T59450" s="8"/>
      <c r="U59450" s="8"/>
      <c r="V59450" s="8"/>
      <c r="W59450" s="8"/>
      <c r="X59450" s="8"/>
      <c r="Y59450" s="8"/>
      <c r="Z59450" s="8"/>
      <c r="AA59450" s="8"/>
    </row>
    <row r="59451" spans="1:27" x14ac:dyDescent="0.25">
      <c r="A59451" s="8"/>
      <c r="B59451" s="8"/>
      <c r="C59451" s="99"/>
      <c r="D59451" s="8"/>
      <c r="E59451" s="8"/>
      <c r="F59451" s="8"/>
      <c r="G59451" s="8"/>
      <c r="H59451" s="8"/>
      <c r="I59451" s="102"/>
      <c r="J59451" s="8"/>
      <c r="K59451" s="8"/>
      <c r="L59451" s="8"/>
      <c r="M59451" s="8"/>
      <c r="N59451" s="8"/>
      <c r="O59451" s="8"/>
      <c r="P59451" s="8"/>
      <c r="Q59451" s="8"/>
      <c r="R59451" s="103"/>
      <c r="S59451" s="8"/>
      <c r="T59451" s="8"/>
      <c r="U59451" s="8"/>
      <c r="V59451" s="8"/>
      <c r="W59451" s="8"/>
      <c r="X59451" s="8"/>
      <c r="Y59451" s="8"/>
      <c r="Z59451" s="8"/>
      <c r="AA59451" s="8"/>
    </row>
    <row r="59452" spans="1:27" x14ac:dyDescent="0.25">
      <c r="A59452" s="8"/>
      <c r="B59452" s="8"/>
      <c r="C59452" s="99"/>
      <c r="D59452" s="8"/>
      <c r="E59452" s="8"/>
      <c r="F59452" s="8"/>
      <c r="G59452" s="8"/>
      <c r="H59452" s="8"/>
      <c r="I59452" s="102"/>
      <c r="J59452" s="8"/>
      <c r="K59452" s="8"/>
      <c r="L59452" s="8"/>
      <c r="M59452" s="8"/>
      <c r="N59452" s="8"/>
      <c r="O59452" s="8"/>
      <c r="P59452" s="8"/>
      <c r="Q59452" s="8"/>
      <c r="R59452" s="103"/>
      <c r="S59452" s="8"/>
      <c r="T59452" s="8"/>
      <c r="U59452" s="8"/>
      <c r="V59452" s="8"/>
      <c r="W59452" s="8"/>
      <c r="X59452" s="8"/>
      <c r="Y59452" s="8"/>
      <c r="Z59452" s="8"/>
      <c r="AA59452" s="8"/>
    </row>
    <row r="59453" spans="1:27" x14ac:dyDescent="0.25">
      <c r="A59453" s="8"/>
      <c r="B59453" s="8"/>
      <c r="C59453" s="99"/>
      <c r="D59453" s="8"/>
      <c r="E59453" s="8"/>
      <c r="F59453" s="8"/>
      <c r="G59453" s="8"/>
      <c r="H59453" s="8"/>
      <c r="I59453" s="102"/>
      <c r="J59453" s="8"/>
      <c r="K59453" s="8"/>
      <c r="L59453" s="8"/>
      <c r="M59453" s="8"/>
      <c r="N59453" s="8"/>
      <c r="O59453" s="8"/>
      <c r="P59453" s="8"/>
      <c r="Q59453" s="8"/>
      <c r="R59453" s="103"/>
      <c r="S59453" s="8"/>
      <c r="T59453" s="8"/>
      <c r="U59453" s="8"/>
      <c r="V59453" s="8"/>
      <c r="W59453" s="8"/>
      <c r="X59453" s="8"/>
      <c r="Y59453" s="8"/>
      <c r="Z59453" s="8"/>
      <c r="AA59453" s="8"/>
    </row>
    <row r="59454" spans="1:27" x14ac:dyDescent="0.25">
      <c r="A59454" s="8"/>
      <c r="B59454" s="8"/>
      <c r="C59454" s="99"/>
      <c r="D59454" s="8"/>
      <c r="E59454" s="8"/>
      <c r="F59454" s="8"/>
      <c r="G59454" s="8"/>
      <c r="H59454" s="8"/>
      <c r="I59454" s="102"/>
      <c r="J59454" s="8"/>
      <c r="K59454" s="8"/>
      <c r="L59454" s="8"/>
      <c r="M59454" s="8"/>
      <c r="N59454" s="8"/>
      <c r="O59454" s="8"/>
      <c r="P59454" s="8"/>
      <c r="Q59454" s="8"/>
      <c r="R59454" s="103"/>
      <c r="S59454" s="8"/>
      <c r="T59454" s="8"/>
      <c r="U59454" s="8"/>
      <c r="V59454" s="8"/>
      <c r="W59454" s="8"/>
      <c r="X59454" s="8"/>
      <c r="Y59454" s="8"/>
      <c r="Z59454" s="8"/>
      <c r="AA59454" s="8"/>
    </row>
    <row r="59455" spans="1:27" x14ac:dyDescent="0.25">
      <c r="A59455" s="8"/>
      <c r="B59455" s="8"/>
      <c r="C59455" s="99"/>
      <c r="D59455" s="8"/>
      <c r="E59455" s="8"/>
      <c r="F59455" s="8"/>
      <c r="G59455" s="8"/>
      <c r="H59455" s="8"/>
      <c r="I59455" s="102"/>
      <c r="J59455" s="8"/>
      <c r="K59455" s="8"/>
      <c r="L59455" s="8"/>
      <c r="M59455" s="8"/>
      <c r="N59455" s="8"/>
      <c r="O59455" s="8"/>
      <c r="P59455" s="8"/>
      <c r="Q59455" s="8"/>
      <c r="R59455" s="103"/>
      <c r="S59455" s="8"/>
      <c r="T59455" s="8"/>
      <c r="U59455" s="8"/>
      <c r="V59455" s="8"/>
      <c r="W59455" s="8"/>
      <c r="X59455" s="8"/>
      <c r="Y59455" s="8"/>
      <c r="Z59455" s="8"/>
      <c r="AA59455" s="8"/>
    </row>
    <row r="59456" spans="1:27" x14ac:dyDescent="0.25">
      <c r="A59456" s="8"/>
      <c r="B59456" s="8"/>
      <c r="C59456" s="99"/>
      <c r="D59456" s="8"/>
      <c r="E59456" s="8"/>
      <c r="F59456" s="8"/>
      <c r="G59456" s="8"/>
      <c r="H59456" s="8"/>
      <c r="I59456" s="102"/>
      <c r="J59456" s="8"/>
      <c r="K59456" s="8"/>
      <c r="L59456" s="8"/>
      <c r="M59456" s="8"/>
      <c r="N59456" s="8"/>
      <c r="O59456" s="8"/>
      <c r="P59456" s="8"/>
      <c r="Q59456" s="8"/>
      <c r="R59456" s="103"/>
      <c r="S59456" s="8"/>
      <c r="T59456" s="8"/>
      <c r="U59456" s="8"/>
      <c r="V59456" s="8"/>
      <c r="W59456" s="8"/>
      <c r="X59456" s="8"/>
      <c r="Y59456" s="8"/>
      <c r="Z59456" s="8"/>
      <c r="AA59456" s="8"/>
    </row>
    <row r="59457" spans="1:27" x14ac:dyDescent="0.25">
      <c r="A59457" s="8"/>
      <c r="B59457" s="8"/>
      <c r="C59457" s="99"/>
      <c r="D59457" s="8"/>
      <c r="E59457" s="8"/>
      <c r="F59457" s="8"/>
      <c r="G59457" s="8"/>
      <c r="H59457" s="8"/>
      <c r="I59457" s="102"/>
      <c r="J59457" s="8"/>
      <c r="K59457" s="8"/>
      <c r="L59457" s="8"/>
      <c r="M59457" s="8"/>
      <c r="N59457" s="8"/>
      <c r="O59457" s="8"/>
      <c r="P59457" s="8"/>
      <c r="Q59457" s="8"/>
      <c r="R59457" s="103"/>
      <c r="S59457" s="8"/>
      <c r="T59457" s="8"/>
      <c r="U59457" s="8"/>
      <c r="V59457" s="8"/>
      <c r="W59457" s="8"/>
      <c r="X59457" s="8"/>
      <c r="Y59457" s="8"/>
      <c r="Z59457" s="8"/>
      <c r="AA59457" s="8"/>
    </row>
    <row r="59458" spans="1:27" x14ac:dyDescent="0.25">
      <c r="A59458" s="8"/>
      <c r="B59458" s="8"/>
      <c r="C59458" s="99"/>
      <c r="D59458" s="8"/>
      <c r="E59458" s="8"/>
      <c r="F59458" s="8"/>
      <c r="G59458" s="8"/>
      <c r="H59458" s="8"/>
      <c r="I59458" s="102"/>
      <c r="J59458" s="8"/>
      <c r="K59458" s="8"/>
      <c r="L59458" s="8"/>
      <c r="M59458" s="8"/>
      <c r="N59458" s="8"/>
      <c r="O59458" s="8"/>
      <c r="P59458" s="8"/>
      <c r="Q59458" s="8"/>
      <c r="R59458" s="103"/>
      <c r="S59458" s="8"/>
      <c r="T59458" s="8"/>
      <c r="U59458" s="8"/>
      <c r="V59458" s="8"/>
      <c r="W59458" s="8"/>
      <c r="X59458" s="8"/>
      <c r="Y59458" s="8"/>
      <c r="Z59458" s="8"/>
      <c r="AA59458" s="8"/>
    </row>
    <row r="59459" spans="1:27" x14ac:dyDescent="0.25">
      <c r="A59459" s="8"/>
      <c r="B59459" s="8"/>
      <c r="C59459" s="99"/>
      <c r="D59459" s="8"/>
      <c r="E59459" s="8"/>
      <c r="F59459" s="8"/>
      <c r="G59459" s="8"/>
      <c r="H59459" s="8"/>
      <c r="I59459" s="102"/>
      <c r="J59459" s="8"/>
      <c r="K59459" s="8"/>
      <c r="L59459" s="8"/>
      <c r="M59459" s="8"/>
      <c r="N59459" s="8"/>
      <c r="O59459" s="8"/>
      <c r="P59459" s="8"/>
      <c r="Q59459" s="8"/>
      <c r="R59459" s="103"/>
      <c r="S59459" s="8"/>
      <c r="T59459" s="8"/>
      <c r="U59459" s="8"/>
      <c r="V59459" s="8"/>
      <c r="W59459" s="8"/>
      <c r="X59459" s="8"/>
      <c r="Y59459" s="8"/>
      <c r="Z59459" s="8"/>
      <c r="AA59459" s="8"/>
    </row>
    <row r="59460" spans="1:27" x14ac:dyDescent="0.25">
      <c r="A59460" s="8"/>
      <c r="B59460" s="8"/>
      <c r="C59460" s="99"/>
      <c r="D59460" s="8"/>
      <c r="E59460" s="8"/>
      <c r="F59460" s="8"/>
      <c r="G59460" s="8"/>
      <c r="H59460" s="8"/>
      <c r="I59460" s="102"/>
      <c r="J59460" s="8"/>
      <c r="K59460" s="8"/>
      <c r="L59460" s="8"/>
      <c r="M59460" s="8"/>
      <c r="N59460" s="8"/>
      <c r="O59460" s="8"/>
      <c r="P59460" s="8"/>
      <c r="Q59460" s="8"/>
      <c r="R59460" s="103"/>
      <c r="S59460" s="8"/>
      <c r="T59460" s="8"/>
      <c r="U59460" s="8"/>
      <c r="V59460" s="8"/>
      <c r="W59460" s="8"/>
      <c r="X59460" s="8"/>
      <c r="Y59460" s="8"/>
      <c r="Z59460" s="8"/>
      <c r="AA59460" s="8"/>
    </row>
    <row r="59461" spans="1:27" x14ac:dyDescent="0.25">
      <c r="A59461" s="8"/>
      <c r="B59461" s="8"/>
      <c r="C59461" s="99"/>
      <c r="D59461" s="8"/>
      <c r="E59461" s="8"/>
      <c r="F59461" s="8"/>
      <c r="G59461" s="8"/>
      <c r="H59461" s="8"/>
      <c r="I59461" s="102"/>
      <c r="J59461" s="8"/>
      <c r="K59461" s="8"/>
      <c r="L59461" s="8"/>
      <c r="M59461" s="8"/>
      <c r="N59461" s="8"/>
      <c r="O59461" s="8"/>
      <c r="P59461" s="8"/>
      <c r="Q59461" s="8"/>
      <c r="R59461" s="103"/>
      <c r="S59461" s="8"/>
      <c r="T59461" s="8"/>
      <c r="U59461" s="8"/>
      <c r="V59461" s="8"/>
      <c r="W59461" s="8"/>
      <c r="X59461" s="8"/>
      <c r="Y59461" s="8"/>
      <c r="Z59461" s="8"/>
      <c r="AA59461" s="8"/>
    </row>
    <row r="59462" spans="1:27" x14ac:dyDescent="0.25">
      <c r="A59462" s="8"/>
      <c r="B59462" s="8"/>
      <c r="C59462" s="99"/>
      <c r="D59462" s="8"/>
      <c r="E59462" s="8"/>
      <c r="F59462" s="8"/>
      <c r="G59462" s="8"/>
      <c r="H59462" s="8"/>
      <c r="I59462" s="102"/>
      <c r="J59462" s="8"/>
      <c r="K59462" s="8"/>
      <c r="L59462" s="8"/>
      <c r="M59462" s="8"/>
      <c r="N59462" s="8"/>
      <c r="O59462" s="8"/>
      <c r="P59462" s="8"/>
      <c r="Q59462" s="8"/>
      <c r="R59462" s="103"/>
      <c r="S59462" s="8"/>
      <c r="T59462" s="8"/>
      <c r="U59462" s="8"/>
      <c r="V59462" s="8"/>
      <c r="W59462" s="8"/>
      <c r="X59462" s="8"/>
      <c r="Y59462" s="8"/>
      <c r="Z59462" s="8"/>
      <c r="AA59462" s="8"/>
    </row>
    <row r="59463" spans="1:27" x14ac:dyDescent="0.25">
      <c r="A59463" s="8"/>
      <c r="B59463" s="8"/>
      <c r="C59463" s="99"/>
      <c r="D59463" s="8"/>
      <c r="E59463" s="8"/>
      <c r="F59463" s="8"/>
      <c r="G59463" s="8"/>
      <c r="H59463" s="8"/>
      <c r="I59463" s="102"/>
      <c r="J59463" s="8"/>
      <c r="K59463" s="8"/>
      <c r="L59463" s="8"/>
      <c r="M59463" s="8"/>
      <c r="N59463" s="8"/>
      <c r="O59463" s="8"/>
      <c r="P59463" s="8"/>
      <c r="Q59463" s="8"/>
      <c r="R59463" s="103"/>
      <c r="S59463" s="8"/>
      <c r="T59463" s="8"/>
      <c r="U59463" s="8"/>
      <c r="V59463" s="8"/>
      <c r="W59463" s="8"/>
      <c r="X59463" s="8"/>
      <c r="Y59463" s="8"/>
      <c r="Z59463" s="8"/>
      <c r="AA59463" s="8"/>
    </row>
    <row r="59464" spans="1:27" x14ac:dyDescent="0.25">
      <c r="A59464" s="8"/>
      <c r="B59464" s="8"/>
      <c r="C59464" s="99"/>
      <c r="D59464" s="8"/>
      <c r="E59464" s="8"/>
      <c r="F59464" s="8"/>
      <c r="G59464" s="8"/>
      <c r="H59464" s="8"/>
      <c r="I59464" s="102"/>
      <c r="J59464" s="8"/>
      <c r="K59464" s="8"/>
      <c r="L59464" s="8"/>
      <c r="M59464" s="8"/>
      <c r="N59464" s="8"/>
      <c r="O59464" s="8"/>
      <c r="P59464" s="8"/>
      <c r="Q59464" s="8"/>
      <c r="R59464" s="103"/>
      <c r="S59464" s="8"/>
      <c r="T59464" s="8"/>
      <c r="U59464" s="8"/>
      <c r="V59464" s="8"/>
      <c r="W59464" s="8"/>
      <c r="X59464" s="8"/>
      <c r="Y59464" s="8"/>
      <c r="Z59464" s="8"/>
      <c r="AA59464" s="8"/>
    </row>
    <row r="59465" spans="1:27" x14ac:dyDescent="0.25">
      <c r="A59465" s="8"/>
      <c r="B59465" s="8"/>
      <c r="C59465" s="99"/>
      <c r="D59465" s="8"/>
      <c r="E59465" s="8"/>
      <c r="F59465" s="8"/>
      <c r="G59465" s="8"/>
      <c r="H59465" s="8"/>
      <c r="I59465" s="102"/>
      <c r="J59465" s="8"/>
      <c r="K59465" s="8"/>
      <c r="L59465" s="8"/>
      <c r="M59465" s="8"/>
      <c r="N59465" s="8"/>
      <c r="O59465" s="8"/>
      <c r="P59465" s="8"/>
      <c r="Q59465" s="8"/>
      <c r="R59465" s="103"/>
      <c r="S59465" s="8"/>
      <c r="T59465" s="8"/>
      <c r="U59465" s="8"/>
      <c r="V59465" s="8"/>
      <c r="W59465" s="8"/>
      <c r="X59465" s="8"/>
      <c r="Y59465" s="8"/>
      <c r="Z59465" s="8"/>
      <c r="AA59465" s="8"/>
    </row>
    <row r="59466" spans="1:27" x14ac:dyDescent="0.25">
      <c r="A59466" s="8"/>
      <c r="B59466" s="8"/>
      <c r="C59466" s="99"/>
      <c r="D59466" s="8"/>
      <c r="E59466" s="8"/>
      <c r="F59466" s="8"/>
      <c r="G59466" s="8"/>
      <c r="H59466" s="8"/>
      <c r="I59466" s="102"/>
      <c r="J59466" s="8"/>
      <c r="K59466" s="8"/>
      <c r="L59466" s="8"/>
      <c r="M59466" s="8"/>
      <c r="N59466" s="8"/>
      <c r="O59466" s="8"/>
      <c r="P59466" s="8"/>
      <c r="Q59466" s="8"/>
      <c r="R59466" s="103"/>
      <c r="S59466" s="8"/>
      <c r="T59466" s="8"/>
      <c r="U59466" s="8"/>
      <c r="V59466" s="8"/>
      <c r="W59466" s="8"/>
      <c r="X59466" s="8"/>
      <c r="Y59466" s="8"/>
      <c r="Z59466" s="8"/>
      <c r="AA59466" s="8"/>
    </row>
    <row r="59467" spans="1:27" x14ac:dyDescent="0.25">
      <c r="A59467" s="8"/>
      <c r="B59467" s="8"/>
      <c r="C59467" s="99"/>
      <c r="D59467" s="8"/>
      <c r="E59467" s="8"/>
      <c r="F59467" s="8"/>
      <c r="G59467" s="8"/>
      <c r="H59467" s="8"/>
      <c r="I59467" s="102"/>
      <c r="J59467" s="8"/>
      <c r="K59467" s="8"/>
      <c r="L59467" s="8"/>
      <c r="M59467" s="8"/>
      <c r="N59467" s="8"/>
      <c r="O59467" s="8"/>
      <c r="P59467" s="8"/>
      <c r="Q59467" s="8"/>
      <c r="R59467" s="103"/>
      <c r="S59467" s="8"/>
      <c r="T59467" s="8"/>
      <c r="U59467" s="8"/>
      <c r="V59467" s="8"/>
      <c r="W59467" s="8"/>
      <c r="X59467" s="8"/>
      <c r="Y59467" s="8"/>
      <c r="Z59467" s="8"/>
      <c r="AA59467" s="8"/>
    </row>
    <row r="59468" spans="1:27" x14ac:dyDescent="0.25">
      <c r="A59468" s="8"/>
      <c r="B59468" s="8"/>
      <c r="C59468" s="99"/>
      <c r="D59468" s="8"/>
      <c r="E59468" s="8"/>
      <c r="F59468" s="8"/>
      <c r="G59468" s="8"/>
      <c r="H59468" s="8"/>
      <c r="I59468" s="102"/>
      <c r="J59468" s="8"/>
      <c r="K59468" s="8"/>
      <c r="L59468" s="8"/>
      <c r="M59468" s="8"/>
      <c r="N59468" s="8"/>
      <c r="O59468" s="8"/>
      <c r="P59468" s="8"/>
      <c r="Q59468" s="8"/>
      <c r="R59468" s="103"/>
      <c r="S59468" s="8"/>
      <c r="T59468" s="8"/>
      <c r="U59468" s="8"/>
      <c r="V59468" s="8"/>
      <c r="W59468" s="8"/>
      <c r="X59468" s="8"/>
      <c r="Y59468" s="8"/>
      <c r="Z59468" s="8"/>
      <c r="AA59468" s="8"/>
    </row>
    <row r="59469" spans="1:27" x14ac:dyDescent="0.25">
      <c r="A59469" s="8"/>
      <c r="B59469" s="8"/>
      <c r="C59469" s="99"/>
      <c r="D59469" s="8"/>
      <c r="E59469" s="8"/>
      <c r="F59469" s="8"/>
      <c r="G59469" s="8"/>
      <c r="H59469" s="8"/>
      <c r="I59469" s="102"/>
      <c r="J59469" s="8"/>
      <c r="K59469" s="8"/>
      <c r="L59469" s="8"/>
      <c r="M59469" s="8"/>
      <c r="N59469" s="8"/>
      <c r="O59469" s="8"/>
      <c r="P59469" s="8"/>
      <c r="Q59469" s="8"/>
      <c r="R59469" s="103"/>
      <c r="S59469" s="8"/>
      <c r="T59469" s="8"/>
      <c r="U59469" s="8"/>
      <c r="V59469" s="8"/>
      <c r="W59469" s="8"/>
      <c r="X59469" s="8"/>
      <c r="Y59469" s="8"/>
      <c r="Z59469" s="8"/>
      <c r="AA59469" s="8"/>
    </row>
    <row r="59470" spans="1:27" x14ac:dyDescent="0.25">
      <c r="A59470" s="8"/>
      <c r="B59470" s="8"/>
      <c r="C59470" s="99"/>
      <c r="D59470" s="8"/>
      <c r="E59470" s="8"/>
      <c r="F59470" s="8"/>
      <c r="G59470" s="8"/>
      <c r="H59470" s="8"/>
      <c r="I59470" s="102"/>
      <c r="J59470" s="8"/>
      <c r="K59470" s="8"/>
      <c r="L59470" s="8"/>
      <c r="M59470" s="8"/>
      <c r="N59470" s="8"/>
      <c r="O59470" s="8"/>
      <c r="P59470" s="8"/>
      <c r="Q59470" s="8"/>
      <c r="R59470" s="103"/>
      <c r="S59470" s="8"/>
      <c r="T59470" s="8"/>
      <c r="U59470" s="8"/>
      <c r="V59470" s="8"/>
      <c r="W59470" s="8"/>
      <c r="X59470" s="8"/>
      <c r="Y59470" s="8"/>
      <c r="Z59470" s="8"/>
      <c r="AA59470" s="8"/>
    </row>
    <row r="59471" spans="1:27" x14ac:dyDescent="0.25">
      <c r="A59471" s="8"/>
      <c r="B59471" s="8"/>
      <c r="C59471" s="99"/>
      <c r="D59471" s="8"/>
      <c r="E59471" s="8"/>
      <c r="F59471" s="8"/>
      <c r="G59471" s="8"/>
      <c r="H59471" s="8"/>
      <c r="I59471" s="102"/>
      <c r="J59471" s="8"/>
      <c r="K59471" s="8"/>
      <c r="L59471" s="8"/>
      <c r="M59471" s="8"/>
      <c r="N59471" s="8"/>
      <c r="O59471" s="8"/>
      <c r="P59471" s="8"/>
      <c r="Q59471" s="8"/>
      <c r="R59471" s="103"/>
      <c r="S59471" s="8"/>
      <c r="T59471" s="8"/>
      <c r="U59471" s="8"/>
      <c r="V59471" s="8"/>
      <c r="W59471" s="8"/>
      <c r="X59471" s="8"/>
      <c r="Y59471" s="8"/>
      <c r="Z59471" s="8"/>
      <c r="AA59471" s="8"/>
    </row>
    <row r="59472" spans="1:27" x14ac:dyDescent="0.25">
      <c r="A59472" s="8"/>
      <c r="B59472" s="8"/>
      <c r="C59472" s="99"/>
      <c r="D59472" s="8"/>
      <c r="E59472" s="8"/>
      <c r="F59472" s="8"/>
      <c r="G59472" s="8"/>
      <c r="H59472" s="8"/>
      <c r="I59472" s="102"/>
      <c r="J59472" s="8"/>
      <c r="K59472" s="8"/>
      <c r="L59472" s="8"/>
      <c r="M59472" s="8"/>
      <c r="N59472" s="8"/>
      <c r="O59472" s="8"/>
      <c r="P59472" s="8"/>
      <c r="Q59472" s="8"/>
      <c r="R59472" s="103"/>
      <c r="S59472" s="8"/>
      <c r="T59472" s="8"/>
      <c r="U59472" s="8"/>
      <c r="V59472" s="8"/>
      <c r="W59472" s="8"/>
      <c r="X59472" s="8"/>
      <c r="Y59472" s="8"/>
      <c r="Z59472" s="8"/>
      <c r="AA59472" s="8"/>
    </row>
    <row r="59473" spans="1:27" x14ac:dyDescent="0.25">
      <c r="A59473" s="8"/>
      <c r="B59473" s="8"/>
      <c r="C59473" s="99"/>
      <c r="D59473" s="8"/>
      <c r="E59473" s="8"/>
      <c r="F59473" s="8"/>
      <c r="G59473" s="8"/>
      <c r="H59473" s="8"/>
      <c r="I59473" s="102"/>
      <c r="J59473" s="8"/>
      <c r="K59473" s="8"/>
      <c r="L59473" s="8"/>
      <c r="M59473" s="8"/>
      <c r="N59473" s="8"/>
      <c r="O59473" s="8"/>
      <c r="P59473" s="8"/>
      <c r="Q59473" s="8"/>
      <c r="R59473" s="103"/>
      <c r="S59473" s="8"/>
      <c r="T59473" s="8"/>
      <c r="U59473" s="8"/>
      <c r="V59473" s="8"/>
      <c r="W59473" s="8"/>
      <c r="X59473" s="8"/>
      <c r="Y59473" s="8"/>
      <c r="Z59473" s="8"/>
      <c r="AA59473" s="8"/>
    </row>
    <row r="59474" spans="1:27" x14ac:dyDescent="0.25">
      <c r="A59474" s="8"/>
      <c r="B59474" s="8"/>
      <c r="C59474" s="99"/>
      <c r="D59474" s="8"/>
      <c r="E59474" s="8"/>
      <c r="F59474" s="8"/>
      <c r="G59474" s="8"/>
      <c r="H59474" s="8"/>
      <c r="I59474" s="102"/>
      <c r="J59474" s="8"/>
      <c r="K59474" s="8"/>
      <c r="L59474" s="8"/>
      <c r="M59474" s="8"/>
      <c r="N59474" s="8"/>
      <c r="O59474" s="8"/>
      <c r="P59474" s="8"/>
      <c r="Q59474" s="8"/>
      <c r="R59474" s="103"/>
      <c r="S59474" s="8"/>
      <c r="T59474" s="8"/>
      <c r="U59474" s="8"/>
      <c r="V59474" s="8"/>
      <c r="W59474" s="8"/>
      <c r="X59474" s="8"/>
      <c r="Y59474" s="8"/>
      <c r="Z59474" s="8"/>
      <c r="AA59474" s="8"/>
    </row>
    <row r="59475" spans="1:27" x14ac:dyDescent="0.25">
      <c r="A59475" s="8"/>
      <c r="B59475" s="8"/>
      <c r="C59475" s="99"/>
      <c r="D59475" s="8"/>
      <c r="E59475" s="8"/>
      <c r="F59475" s="8"/>
      <c r="G59475" s="8"/>
      <c r="H59475" s="8"/>
      <c r="I59475" s="102"/>
      <c r="J59475" s="8"/>
      <c r="K59475" s="8"/>
      <c r="L59475" s="8"/>
      <c r="M59475" s="8"/>
      <c r="N59475" s="8"/>
      <c r="O59475" s="8"/>
      <c r="P59475" s="8"/>
      <c r="Q59475" s="8"/>
      <c r="R59475" s="103"/>
      <c r="S59475" s="8"/>
      <c r="T59475" s="8"/>
      <c r="U59475" s="8"/>
      <c r="V59475" s="8"/>
      <c r="W59475" s="8"/>
      <c r="X59475" s="8"/>
      <c r="Y59475" s="8"/>
      <c r="Z59475" s="8"/>
      <c r="AA59475" s="8"/>
    </row>
    <row r="59476" spans="1:27" x14ac:dyDescent="0.25">
      <c r="A59476" s="8"/>
      <c r="B59476" s="8"/>
      <c r="C59476" s="99"/>
      <c r="D59476" s="8"/>
      <c r="E59476" s="8"/>
      <c r="F59476" s="8"/>
      <c r="G59476" s="8"/>
      <c r="H59476" s="8"/>
      <c r="I59476" s="102"/>
      <c r="J59476" s="8"/>
      <c r="K59476" s="8"/>
      <c r="L59476" s="8"/>
      <c r="M59476" s="8"/>
      <c r="N59476" s="8"/>
      <c r="O59476" s="8"/>
      <c r="P59476" s="8"/>
      <c r="Q59476" s="8"/>
      <c r="R59476" s="103"/>
      <c r="S59476" s="8"/>
      <c r="T59476" s="8"/>
      <c r="U59476" s="8"/>
      <c r="V59476" s="8"/>
      <c r="W59476" s="8"/>
      <c r="X59476" s="8"/>
      <c r="Y59476" s="8"/>
      <c r="Z59476" s="8"/>
      <c r="AA59476" s="8"/>
    </row>
    <row r="59477" spans="1:27" x14ac:dyDescent="0.25">
      <c r="A59477" s="8"/>
      <c r="B59477" s="8"/>
      <c r="C59477" s="99"/>
      <c r="D59477" s="8"/>
      <c r="E59477" s="8"/>
      <c r="F59477" s="8"/>
      <c r="G59477" s="8"/>
      <c r="H59477" s="8"/>
      <c r="I59477" s="102"/>
      <c r="J59477" s="8"/>
      <c r="K59477" s="8"/>
      <c r="L59477" s="8"/>
      <c r="M59477" s="8"/>
      <c r="N59477" s="8"/>
      <c r="O59477" s="8"/>
      <c r="P59477" s="8"/>
      <c r="Q59477" s="8"/>
      <c r="R59477" s="103"/>
      <c r="S59477" s="8"/>
      <c r="T59477" s="8"/>
      <c r="U59477" s="8"/>
      <c r="V59477" s="8"/>
      <c r="W59477" s="8"/>
      <c r="X59477" s="8"/>
      <c r="Y59477" s="8"/>
      <c r="Z59477" s="8"/>
      <c r="AA59477" s="8"/>
    </row>
    <row r="59478" spans="1:27" x14ac:dyDescent="0.25">
      <c r="A59478" s="8"/>
      <c r="B59478" s="8"/>
      <c r="C59478" s="99"/>
      <c r="D59478" s="8"/>
      <c r="E59478" s="8"/>
      <c r="F59478" s="8"/>
      <c r="G59478" s="8"/>
      <c r="H59478" s="8"/>
      <c r="I59478" s="102"/>
      <c r="J59478" s="8"/>
      <c r="K59478" s="8"/>
      <c r="L59478" s="8"/>
      <c r="M59478" s="8"/>
      <c r="N59478" s="8"/>
      <c r="O59478" s="8"/>
      <c r="P59478" s="8"/>
      <c r="Q59478" s="8"/>
      <c r="R59478" s="103"/>
      <c r="S59478" s="8"/>
      <c r="T59478" s="8"/>
      <c r="U59478" s="8"/>
      <c r="V59478" s="8"/>
      <c r="W59478" s="8"/>
      <c r="X59478" s="8"/>
      <c r="Y59478" s="8"/>
      <c r="Z59478" s="8"/>
      <c r="AA59478" s="8"/>
    </row>
    <row r="59479" spans="1:27" x14ac:dyDescent="0.25">
      <c r="A59479" s="8"/>
      <c r="B59479" s="8"/>
      <c r="C59479" s="99"/>
      <c r="D59479" s="8"/>
      <c r="E59479" s="8"/>
      <c r="F59479" s="8"/>
      <c r="G59479" s="8"/>
      <c r="H59479" s="8"/>
      <c r="I59479" s="102"/>
      <c r="J59479" s="8"/>
      <c r="K59479" s="8"/>
      <c r="L59479" s="8"/>
      <c r="M59479" s="8"/>
      <c r="N59479" s="8"/>
      <c r="O59479" s="8"/>
      <c r="P59479" s="8"/>
      <c r="Q59479" s="8"/>
      <c r="R59479" s="103"/>
      <c r="S59479" s="8"/>
      <c r="T59479" s="8"/>
      <c r="U59479" s="8"/>
      <c r="V59479" s="8"/>
      <c r="W59479" s="8"/>
      <c r="X59479" s="8"/>
      <c r="Y59479" s="8"/>
      <c r="Z59479" s="8"/>
      <c r="AA59479" s="8"/>
    </row>
    <row r="59480" spans="1:27" x14ac:dyDescent="0.25">
      <c r="A59480" s="8"/>
      <c r="B59480" s="8"/>
      <c r="C59480" s="99"/>
      <c r="D59480" s="8"/>
      <c r="E59480" s="8"/>
      <c r="F59480" s="8"/>
      <c r="G59480" s="8"/>
      <c r="H59480" s="8"/>
      <c r="I59480" s="102"/>
      <c r="J59480" s="8"/>
      <c r="K59480" s="8"/>
      <c r="L59480" s="8"/>
      <c r="M59480" s="8"/>
      <c r="N59480" s="8"/>
      <c r="O59480" s="8"/>
      <c r="P59480" s="8"/>
      <c r="Q59480" s="8"/>
      <c r="R59480" s="103"/>
      <c r="S59480" s="8"/>
      <c r="T59480" s="8"/>
      <c r="U59480" s="8"/>
      <c r="V59480" s="8"/>
      <c r="W59480" s="8"/>
      <c r="X59480" s="8"/>
      <c r="Y59480" s="8"/>
      <c r="Z59480" s="8"/>
      <c r="AA59480" s="8"/>
    </row>
    <row r="59481" spans="1:27" x14ac:dyDescent="0.25">
      <c r="A59481" s="8"/>
      <c r="B59481" s="8"/>
      <c r="C59481" s="99"/>
      <c r="D59481" s="8"/>
      <c r="E59481" s="8"/>
      <c r="F59481" s="8"/>
      <c r="G59481" s="8"/>
      <c r="H59481" s="8"/>
      <c r="I59481" s="102"/>
      <c r="J59481" s="8"/>
      <c r="K59481" s="8"/>
      <c r="L59481" s="8"/>
      <c r="M59481" s="8"/>
      <c r="N59481" s="8"/>
      <c r="O59481" s="8"/>
      <c r="P59481" s="8"/>
      <c r="Q59481" s="8"/>
      <c r="R59481" s="103"/>
      <c r="S59481" s="8"/>
      <c r="T59481" s="8"/>
      <c r="U59481" s="8"/>
      <c r="V59481" s="8"/>
      <c r="W59481" s="8"/>
      <c r="X59481" s="8"/>
      <c r="Y59481" s="8"/>
      <c r="Z59481" s="8"/>
      <c r="AA59481" s="8"/>
    </row>
    <row r="59482" spans="1:27" x14ac:dyDescent="0.25">
      <c r="A59482" s="8"/>
      <c r="B59482" s="8"/>
      <c r="C59482" s="99"/>
      <c r="D59482" s="8"/>
      <c r="E59482" s="8"/>
      <c r="F59482" s="8"/>
      <c r="G59482" s="8"/>
      <c r="H59482" s="8"/>
      <c r="I59482" s="102"/>
      <c r="J59482" s="8"/>
      <c r="K59482" s="8"/>
      <c r="L59482" s="8"/>
      <c r="M59482" s="8"/>
      <c r="N59482" s="8"/>
      <c r="O59482" s="8"/>
      <c r="P59482" s="8"/>
      <c r="Q59482" s="8"/>
      <c r="R59482" s="103"/>
      <c r="S59482" s="8"/>
      <c r="T59482" s="8"/>
      <c r="U59482" s="8"/>
      <c r="V59482" s="8"/>
      <c r="W59482" s="8"/>
      <c r="X59482" s="8"/>
      <c r="Y59482" s="8"/>
      <c r="Z59482" s="8"/>
      <c r="AA59482" s="8"/>
    </row>
    <row r="59483" spans="1:27" x14ac:dyDescent="0.25">
      <c r="A59483" s="8"/>
      <c r="B59483" s="8"/>
      <c r="C59483" s="99"/>
      <c r="D59483" s="8"/>
      <c r="E59483" s="8"/>
      <c r="F59483" s="8"/>
      <c r="G59483" s="8"/>
      <c r="H59483" s="8"/>
      <c r="I59483" s="102"/>
      <c r="J59483" s="8"/>
      <c r="K59483" s="8"/>
      <c r="L59483" s="8"/>
      <c r="M59483" s="8"/>
      <c r="N59483" s="8"/>
      <c r="O59483" s="8"/>
      <c r="P59483" s="8"/>
      <c r="Q59483" s="8"/>
      <c r="R59483" s="103"/>
      <c r="S59483" s="8"/>
      <c r="T59483" s="8"/>
      <c r="U59483" s="8"/>
      <c r="V59483" s="8"/>
      <c r="W59483" s="8"/>
      <c r="X59483" s="8"/>
      <c r="Y59483" s="8"/>
      <c r="Z59483" s="8"/>
      <c r="AA59483" s="8"/>
    </row>
    <row r="59484" spans="1:27" x14ac:dyDescent="0.25">
      <c r="A59484" s="8"/>
      <c r="B59484" s="8"/>
      <c r="C59484" s="99"/>
      <c r="D59484" s="8"/>
      <c r="E59484" s="8"/>
      <c r="F59484" s="8"/>
      <c r="G59484" s="8"/>
      <c r="H59484" s="8"/>
      <c r="I59484" s="102"/>
      <c r="J59484" s="8"/>
      <c r="K59484" s="8"/>
      <c r="L59484" s="8"/>
      <c r="M59484" s="8"/>
      <c r="N59484" s="8"/>
      <c r="O59484" s="8"/>
      <c r="P59484" s="8"/>
      <c r="Q59484" s="8"/>
      <c r="R59484" s="103"/>
      <c r="S59484" s="8"/>
      <c r="T59484" s="8"/>
      <c r="U59484" s="8"/>
      <c r="V59484" s="8"/>
      <c r="W59484" s="8"/>
      <c r="X59484" s="8"/>
      <c r="Y59484" s="8"/>
      <c r="Z59484" s="8"/>
      <c r="AA59484" s="8"/>
    </row>
    <row r="59485" spans="1:27" x14ac:dyDescent="0.25">
      <c r="A59485" s="8"/>
      <c r="B59485" s="8"/>
      <c r="C59485" s="99"/>
      <c r="D59485" s="8"/>
      <c r="E59485" s="8"/>
      <c r="F59485" s="8"/>
      <c r="G59485" s="8"/>
      <c r="H59485" s="8"/>
      <c r="I59485" s="102"/>
      <c r="J59485" s="8"/>
      <c r="K59485" s="8"/>
      <c r="L59485" s="8"/>
      <c r="M59485" s="8"/>
      <c r="N59485" s="8"/>
      <c r="O59485" s="8"/>
      <c r="P59485" s="8"/>
      <c r="Q59485" s="8"/>
      <c r="R59485" s="103"/>
      <c r="S59485" s="8"/>
      <c r="T59485" s="8"/>
      <c r="U59485" s="8"/>
      <c r="V59485" s="8"/>
      <c r="W59485" s="8"/>
      <c r="X59485" s="8"/>
      <c r="Y59485" s="8"/>
      <c r="Z59485" s="8"/>
      <c r="AA59485" s="8"/>
    </row>
    <row r="59486" spans="1:27" x14ac:dyDescent="0.25">
      <c r="A59486" s="8"/>
      <c r="B59486" s="8"/>
      <c r="C59486" s="99"/>
      <c r="D59486" s="8"/>
      <c r="E59486" s="8"/>
      <c r="F59486" s="8"/>
      <c r="G59486" s="8"/>
      <c r="H59486" s="8"/>
      <c r="I59486" s="102"/>
      <c r="J59486" s="8"/>
      <c r="K59486" s="8"/>
      <c r="L59486" s="8"/>
      <c r="M59486" s="8"/>
      <c r="N59486" s="8"/>
      <c r="O59486" s="8"/>
      <c r="P59486" s="8"/>
      <c r="Q59486" s="8"/>
      <c r="R59486" s="103"/>
      <c r="S59486" s="8"/>
      <c r="T59486" s="8"/>
      <c r="U59486" s="8"/>
      <c r="V59486" s="8"/>
      <c r="W59486" s="8"/>
      <c r="X59486" s="8"/>
      <c r="Y59486" s="8"/>
      <c r="Z59486" s="8"/>
      <c r="AA59486" s="8"/>
    </row>
    <row r="59487" spans="1:27" x14ac:dyDescent="0.25">
      <c r="A59487" s="8"/>
      <c r="B59487" s="8"/>
      <c r="C59487" s="99"/>
      <c r="D59487" s="8"/>
      <c r="E59487" s="8"/>
      <c r="F59487" s="8"/>
      <c r="G59487" s="8"/>
      <c r="H59487" s="8"/>
      <c r="I59487" s="102"/>
      <c r="J59487" s="8"/>
      <c r="K59487" s="8"/>
      <c r="L59487" s="8"/>
      <c r="M59487" s="8"/>
      <c r="N59487" s="8"/>
      <c r="O59487" s="8"/>
      <c r="P59487" s="8"/>
      <c r="Q59487" s="8"/>
      <c r="R59487" s="103"/>
      <c r="S59487" s="8"/>
      <c r="T59487" s="8"/>
      <c r="U59487" s="8"/>
      <c r="V59487" s="8"/>
      <c r="W59487" s="8"/>
      <c r="X59487" s="8"/>
      <c r="Y59487" s="8"/>
      <c r="Z59487" s="8"/>
      <c r="AA59487" s="8"/>
    </row>
    <row r="59488" spans="1:27" x14ac:dyDescent="0.25">
      <c r="A59488" s="8"/>
      <c r="B59488" s="8"/>
      <c r="C59488" s="99"/>
      <c r="D59488" s="8"/>
      <c r="E59488" s="8"/>
      <c r="F59488" s="8"/>
      <c r="G59488" s="8"/>
      <c r="H59488" s="8"/>
      <c r="I59488" s="102"/>
      <c r="J59488" s="8"/>
      <c r="K59488" s="8"/>
      <c r="L59488" s="8"/>
      <c r="M59488" s="8"/>
      <c r="N59488" s="8"/>
      <c r="O59488" s="8"/>
      <c r="P59488" s="8"/>
      <c r="Q59488" s="8"/>
      <c r="R59488" s="103"/>
      <c r="S59488" s="8"/>
      <c r="T59488" s="8"/>
      <c r="U59488" s="8"/>
      <c r="V59488" s="8"/>
      <c r="W59488" s="8"/>
      <c r="X59488" s="8"/>
      <c r="Y59488" s="8"/>
      <c r="Z59488" s="8"/>
      <c r="AA59488" s="8"/>
    </row>
    <row r="59489" spans="1:27" x14ac:dyDescent="0.25">
      <c r="A59489" s="8"/>
      <c r="B59489" s="8"/>
      <c r="C59489" s="99"/>
      <c r="D59489" s="8"/>
      <c r="E59489" s="8"/>
      <c r="F59489" s="8"/>
      <c r="G59489" s="8"/>
      <c r="H59489" s="8"/>
      <c r="I59489" s="102"/>
      <c r="J59489" s="8"/>
      <c r="K59489" s="8"/>
      <c r="L59489" s="8"/>
      <c r="M59489" s="8"/>
      <c r="N59489" s="8"/>
      <c r="O59489" s="8"/>
      <c r="P59489" s="8"/>
      <c r="Q59489" s="8"/>
      <c r="R59489" s="103"/>
      <c r="S59489" s="8"/>
      <c r="T59489" s="8"/>
      <c r="U59489" s="8"/>
      <c r="V59489" s="8"/>
      <c r="W59489" s="8"/>
      <c r="X59489" s="8"/>
      <c r="Y59489" s="8"/>
      <c r="Z59489" s="8"/>
      <c r="AA59489" s="8"/>
    </row>
    <row r="59490" spans="1:27" x14ac:dyDescent="0.25">
      <c r="A59490" s="8"/>
      <c r="B59490" s="8"/>
      <c r="C59490" s="99"/>
      <c r="D59490" s="8"/>
      <c r="E59490" s="8"/>
      <c r="F59490" s="8"/>
      <c r="G59490" s="8"/>
      <c r="H59490" s="8"/>
      <c r="I59490" s="102"/>
      <c r="J59490" s="8"/>
      <c r="K59490" s="8"/>
      <c r="L59490" s="8"/>
      <c r="M59490" s="8"/>
      <c r="N59490" s="8"/>
      <c r="O59490" s="8"/>
      <c r="P59490" s="8"/>
      <c r="Q59490" s="8"/>
      <c r="R59490" s="103"/>
      <c r="S59490" s="8"/>
      <c r="T59490" s="8"/>
      <c r="U59490" s="8"/>
      <c r="V59490" s="8"/>
      <c r="W59490" s="8"/>
      <c r="X59490" s="8"/>
      <c r="Y59490" s="8"/>
      <c r="Z59490" s="8"/>
      <c r="AA59490" s="8"/>
    </row>
    <row r="59491" spans="1:27" x14ac:dyDescent="0.25">
      <c r="A59491" s="8"/>
      <c r="B59491" s="8"/>
      <c r="C59491" s="99"/>
      <c r="D59491" s="8"/>
      <c r="E59491" s="8"/>
      <c r="F59491" s="8"/>
      <c r="G59491" s="8"/>
      <c r="H59491" s="8"/>
      <c r="I59491" s="102"/>
      <c r="J59491" s="8"/>
      <c r="K59491" s="8"/>
      <c r="L59491" s="8"/>
      <c r="M59491" s="8"/>
      <c r="N59491" s="8"/>
      <c r="O59491" s="8"/>
      <c r="P59491" s="8"/>
      <c r="Q59491" s="8"/>
      <c r="R59491" s="103"/>
      <c r="S59491" s="8"/>
      <c r="T59491" s="8"/>
      <c r="U59491" s="8"/>
      <c r="V59491" s="8"/>
      <c r="W59491" s="8"/>
      <c r="X59491" s="8"/>
      <c r="Y59491" s="8"/>
      <c r="Z59491" s="8"/>
      <c r="AA59491" s="8"/>
    </row>
    <row r="59492" spans="1:27" x14ac:dyDescent="0.25">
      <c r="A59492" s="8"/>
      <c r="B59492" s="8"/>
      <c r="C59492" s="99"/>
      <c r="D59492" s="8"/>
      <c r="E59492" s="8"/>
      <c r="F59492" s="8"/>
      <c r="G59492" s="8"/>
      <c r="H59492" s="8"/>
      <c r="I59492" s="102"/>
      <c r="J59492" s="8"/>
      <c r="K59492" s="8"/>
      <c r="L59492" s="8"/>
      <c r="M59492" s="8"/>
      <c r="N59492" s="8"/>
      <c r="O59492" s="8"/>
      <c r="P59492" s="8"/>
      <c r="Q59492" s="8"/>
      <c r="R59492" s="103"/>
      <c r="S59492" s="8"/>
      <c r="T59492" s="8"/>
      <c r="U59492" s="8"/>
      <c r="V59492" s="8"/>
      <c r="W59492" s="8"/>
      <c r="X59492" s="8"/>
      <c r="Y59492" s="8"/>
      <c r="Z59492" s="8"/>
      <c r="AA59492" s="8"/>
    </row>
    <row r="59493" spans="1:27" x14ac:dyDescent="0.25">
      <c r="A59493" s="8"/>
      <c r="B59493" s="8"/>
      <c r="C59493" s="99"/>
      <c r="D59493" s="8"/>
      <c r="E59493" s="8"/>
      <c r="F59493" s="8"/>
      <c r="G59493" s="8"/>
      <c r="H59493" s="8"/>
      <c r="I59493" s="102"/>
      <c r="J59493" s="8"/>
      <c r="K59493" s="8"/>
      <c r="L59493" s="8"/>
      <c r="M59493" s="8"/>
      <c r="N59493" s="8"/>
      <c r="O59493" s="8"/>
      <c r="P59493" s="8"/>
      <c r="Q59493" s="8"/>
      <c r="R59493" s="103"/>
      <c r="S59493" s="8"/>
      <c r="T59493" s="8"/>
      <c r="U59493" s="8"/>
      <c r="V59493" s="8"/>
      <c r="W59493" s="8"/>
      <c r="X59493" s="8"/>
      <c r="Y59493" s="8"/>
      <c r="Z59493" s="8"/>
      <c r="AA59493" s="8"/>
    </row>
    <row r="59494" spans="1:27" x14ac:dyDescent="0.25">
      <c r="A59494" s="8"/>
      <c r="B59494" s="8"/>
      <c r="C59494" s="99"/>
      <c r="D59494" s="8"/>
      <c r="E59494" s="8"/>
      <c r="F59494" s="8"/>
      <c r="G59494" s="8"/>
      <c r="H59494" s="8"/>
      <c r="I59494" s="102"/>
      <c r="J59494" s="8"/>
      <c r="K59494" s="8"/>
      <c r="L59494" s="8"/>
      <c r="M59494" s="8"/>
      <c r="N59494" s="8"/>
      <c r="O59494" s="8"/>
      <c r="P59494" s="8"/>
      <c r="Q59494" s="8"/>
      <c r="R59494" s="103"/>
      <c r="S59494" s="8"/>
      <c r="T59494" s="8"/>
      <c r="U59494" s="8"/>
      <c r="V59494" s="8"/>
      <c r="W59494" s="8"/>
      <c r="X59494" s="8"/>
      <c r="Y59494" s="8"/>
      <c r="Z59494" s="8"/>
      <c r="AA59494" s="8"/>
    </row>
    <row r="59495" spans="1:27" x14ac:dyDescent="0.25">
      <c r="A59495" s="8"/>
      <c r="B59495" s="8"/>
      <c r="C59495" s="99"/>
      <c r="D59495" s="8"/>
      <c r="E59495" s="8"/>
      <c r="F59495" s="8"/>
      <c r="G59495" s="8"/>
      <c r="H59495" s="8"/>
      <c r="I59495" s="102"/>
      <c r="J59495" s="8"/>
      <c r="K59495" s="8"/>
      <c r="L59495" s="8"/>
      <c r="M59495" s="8"/>
      <c r="N59495" s="8"/>
      <c r="O59495" s="8"/>
      <c r="P59495" s="8"/>
      <c r="Q59495" s="8"/>
      <c r="R59495" s="103"/>
      <c r="S59495" s="8"/>
      <c r="T59495" s="8"/>
      <c r="U59495" s="8"/>
      <c r="V59495" s="8"/>
      <c r="W59495" s="8"/>
      <c r="X59495" s="8"/>
      <c r="Y59495" s="8"/>
      <c r="Z59495" s="8"/>
      <c r="AA59495" s="8"/>
    </row>
    <row r="59496" spans="1:27" x14ac:dyDescent="0.25">
      <c r="A59496" s="8"/>
      <c r="B59496" s="8"/>
      <c r="C59496" s="99"/>
      <c r="D59496" s="8"/>
      <c r="E59496" s="8"/>
      <c r="F59496" s="8"/>
      <c r="G59496" s="8"/>
      <c r="H59496" s="8"/>
      <c r="I59496" s="102"/>
      <c r="J59496" s="8"/>
      <c r="K59496" s="8"/>
      <c r="L59496" s="8"/>
      <c r="M59496" s="8"/>
      <c r="N59496" s="8"/>
      <c r="O59496" s="8"/>
      <c r="P59496" s="8"/>
      <c r="Q59496" s="8"/>
      <c r="R59496" s="103"/>
      <c r="S59496" s="8"/>
      <c r="T59496" s="8"/>
      <c r="U59496" s="8"/>
      <c r="V59496" s="8"/>
      <c r="W59496" s="8"/>
      <c r="X59496" s="8"/>
      <c r="Y59496" s="8"/>
      <c r="Z59496" s="8"/>
      <c r="AA59496" s="8"/>
    </row>
    <row r="59497" spans="1:27" x14ac:dyDescent="0.25">
      <c r="A59497" s="8"/>
      <c r="B59497" s="8"/>
      <c r="C59497" s="99"/>
      <c r="D59497" s="8"/>
      <c r="E59497" s="8"/>
      <c r="F59497" s="8"/>
      <c r="G59497" s="8"/>
      <c r="H59497" s="8"/>
      <c r="I59497" s="102"/>
      <c r="J59497" s="8"/>
      <c r="K59497" s="8"/>
      <c r="L59497" s="8"/>
      <c r="M59497" s="8"/>
      <c r="N59497" s="8"/>
      <c r="O59497" s="8"/>
      <c r="P59497" s="8"/>
      <c r="Q59497" s="8"/>
      <c r="R59497" s="103"/>
      <c r="S59497" s="8"/>
      <c r="T59497" s="8"/>
      <c r="U59497" s="8"/>
      <c r="V59497" s="8"/>
      <c r="W59497" s="8"/>
      <c r="X59497" s="8"/>
      <c r="Y59497" s="8"/>
      <c r="Z59497" s="8"/>
      <c r="AA59497" s="8"/>
    </row>
    <row r="59498" spans="1:27" x14ac:dyDescent="0.25">
      <c r="A59498" s="8"/>
      <c r="B59498" s="8"/>
      <c r="C59498" s="99"/>
      <c r="D59498" s="8"/>
      <c r="E59498" s="8"/>
      <c r="F59498" s="8"/>
      <c r="G59498" s="8"/>
      <c r="H59498" s="8"/>
      <c r="I59498" s="102"/>
      <c r="J59498" s="8"/>
      <c r="K59498" s="8"/>
      <c r="L59498" s="8"/>
      <c r="M59498" s="8"/>
      <c r="N59498" s="8"/>
      <c r="O59498" s="8"/>
      <c r="P59498" s="8"/>
      <c r="Q59498" s="8"/>
      <c r="R59498" s="103"/>
      <c r="S59498" s="8"/>
      <c r="T59498" s="8"/>
      <c r="U59498" s="8"/>
      <c r="V59498" s="8"/>
      <c r="W59498" s="8"/>
      <c r="X59498" s="8"/>
      <c r="Y59498" s="8"/>
      <c r="Z59498" s="8"/>
      <c r="AA59498" s="8"/>
    </row>
    <row r="59499" spans="1:27" x14ac:dyDescent="0.25">
      <c r="A59499" s="8"/>
      <c r="B59499" s="8"/>
      <c r="C59499" s="99"/>
      <c r="D59499" s="8"/>
      <c r="E59499" s="8"/>
      <c r="F59499" s="8"/>
      <c r="G59499" s="8"/>
      <c r="H59499" s="8"/>
      <c r="I59499" s="102"/>
      <c r="J59499" s="8"/>
      <c r="K59499" s="8"/>
      <c r="L59499" s="8"/>
      <c r="M59499" s="8"/>
      <c r="N59499" s="8"/>
      <c r="O59499" s="8"/>
      <c r="P59499" s="8"/>
      <c r="Q59499" s="8"/>
      <c r="R59499" s="103"/>
      <c r="S59499" s="8"/>
      <c r="T59499" s="8"/>
      <c r="U59499" s="8"/>
      <c r="V59499" s="8"/>
      <c r="W59499" s="8"/>
      <c r="X59499" s="8"/>
      <c r="Y59499" s="8"/>
      <c r="Z59499" s="8"/>
      <c r="AA59499" s="8"/>
    </row>
    <row r="59500" spans="1:27" x14ac:dyDescent="0.25">
      <c r="A59500" s="8"/>
      <c r="B59500" s="8"/>
      <c r="C59500" s="99"/>
      <c r="D59500" s="8"/>
      <c r="E59500" s="8"/>
      <c r="F59500" s="8"/>
      <c r="G59500" s="8"/>
      <c r="H59500" s="8"/>
      <c r="I59500" s="102"/>
      <c r="J59500" s="8"/>
      <c r="K59500" s="8"/>
      <c r="L59500" s="8"/>
      <c r="M59500" s="8"/>
      <c r="N59500" s="8"/>
      <c r="O59500" s="8"/>
      <c r="P59500" s="8"/>
      <c r="Q59500" s="8"/>
      <c r="R59500" s="103"/>
      <c r="S59500" s="8"/>
      <c r="T59500" s="8"/>
      <c r="U59500" s="8"/>
      <c r="V59500" s="8"/>
      <c r="W59500" s="8"/>
      <c r="X59500" s="8"/>
      <c r="Y59500" s="8"/>
      <c r="Z59500" s="8"/>
      <c r="AA59500" s="8"/>
    </row>
    <row r="59501" spans="1:27" x14ac:dyDescent="0.25">
      <c r="A59501" s="8"/>
      <c r="B59501" s="8"/>
      <c r="C59501" s="99"/>
      <c r="D59501" s="8"/>
      <c r="E59501" s="8"/>
      <c r="F59501" s="8"/>
      <c r="G59501" s="8"/>
      <c r="H59501" s="8"/>
      <c r="I59501" s="102"/>
      <c r="J59501" s="8"/>
      <c r="K59501" s="8"/>
      <c r="L59501" s="8"/>
      <c r="M59501" s="8"/>
      <c r="N59501" s="8"/>
      <c r="O59501" s="8"/>
      <c r="P59501" s="8"/>
      <c r="Q59501" s="8"/>
      <c r="R59501" s="103"/>
      <c r="S59501" s="8"/>
      <c r="T59501" s="8"/>
      <c r="U59501" s="8"/>
      <c r="V59501" s="8"/>
      <c r="W59501" s="8"/>
      <c r="X59501" s="8"/>
      <c r="Y59501" s="8"/>
      <c r="Z59501" s="8"/>
      <c r="AA59501" s="8"/>
    </row>
    <row r="59502" spans="1:27" x14ac:dyDescent="0.25">
      <c r="A59502" s="8"/>
      <c r="B59502" s="8"/>
      <c r="C59502" s="99"/>
      <c r="D59502" s="8"/>
      <c r="E59502" s="8"/>
      <c r="F59502" s="8"/>
      <c r="G59502" s="8"/>
      <c r="H59502" s="8"/>
      <c r="I59502" s="102"/>
      <c r="J59502" s="8"/>
      <c r="K59502" s="8"/>
      <c r="L59502" s="8"/>
      <c r="M59502" s="8"/>
      <c r="N59502" s="8"/>
      <c r="O59502" s="8"/>
      <c r="P59502" s="8"/>
      <c r="Q59502" s="8"/>
      <c r="R59502" s="103"/>
      <c r="S59502" s="8"/>
      <c r="T59502" s="8"/>
      <c r="U59502" s="8"/>
      <c r="V59502" s="8"/>
      <c r="W59502" s="8"/>
      <c r="X59502" s="8"/>
      <c r="Y59502" s="8"/>
      <c r="Z59502" s="8"/>
      <c r="AA59502" s="8"/>
    </row>
    <row r="59503" spans="1:27" x14ac:dyDescent="0.25">
      <c r="A59503" s="8"/>
      <c r="B59503" s="8"/>
      <c r="C59503" s="99"/>
      <c r="D59503" s="8"/>
      <c r="E59503" s="8"/>
      <c r="F59503" s="8"/>
      <c r="G59503" s="8"/>
      <c r="H59503" s="8"/>
      <c r="I59503" s="102"/>
      <c r="J59503" s="8"/>
      <c r="K59503" s="8"/>
      <c r="L59503" s="8"/>
      <c r="M59503" s="8"/>
      <c r="N59503" s="8"/>
      <c r="O59503" s="8"/>
      <c r="P59503" s="8"/>
      <c r="Q59503" s="8"/>
      <c r="R59503" s="103"/>
      <c r="S59503" s="8"/>
      <c r="T59503" s="8"/>
      <c r="U59503" s="8"/>
      <c r="V59503" s="8"/>
      <c r="W59503" s="8"/>
      <c r="X59503" s="8"/>
      <c r="Y59503" s="8"/>
      <c r="Z59503" s="8"/>
      <c r="AA59503" s="8"/>
    </row>
    <row r="59504" spans="1:27" x14ac:dyDescent="0.25">
      <c r="A59504" s="8"/>
      <c r="B59504" s="8"/>
      <c r="C59504" s="99"/>
      <c r="D59504" s="8"/>
      <c r="E59504" s="8"/>
      <c r="F59504" s="8"/>
      <c r="G59504" s="8"/>
      <c r="H59504" s="8"/>
      <c r="I59504" s="102"/>
      <c r="J59504" s="8"/>
      <c r="K59504" s="8"/>
      <c r="L59504" s="8"/>
      <c r="M59504" s="8"/>
      <c r="N59504" s="8"/>
      <c r="O59504" s="8"/>
      <c r="P59504" s="8"/>
      <c r="Q59504" s="8"/>
      <c r="R59504" s="103"/>
      <c r="S59504" s="8"/>
      <c r="T59504" s="8"/>
      <c r="U59504" s="8"/>
      <c r="V59504" s="8"/>
      <c r="W59504" s="8"/>
      <c r="X59504" s="8"/>
      <c r="Y59504" s="8"/>
      <c r="Z59504" s="8"/>
      <c r="AA59504" s="8"/>
    </row>
    <row r="59505" spans="1:27" x14ac:dyDescent="0.25">
      <c r="A59505" s="8"/>
      <c r="B59505" s="8"/>
      <c r="C59505" s="99"/>
      <c r="D59505" s="8"/>
      <c r="E59505" s="8"/>
      <c r="F59505" s="8"/>
      <c r="G59505" s="8"/>
      <c r="H59505" s="8"/>
      <c r="I59505" s="102"/>
      <c r="J59505" s="8"/>
      <c r="K59505" s="8"/>
      <c r="L59505" s="8"/>
      <c r="M59505" s="8"/>
      <c r="N59505" s="8"/>
      <c r="O59505" s="8"/>
      <c r="P59505" s="8"/>
      <c r="Q59505" s="8"/>
      <c r="R59505" s="103"/>
      <c r="S59505" s="8"/>
      <c r="T59505" s="8"/>
      <c r="U59505" s="8"/>
      <c r="V59505" s="8"/>
      <c r="W59505" s="8"/>
      <c r="X59505" s="8"/>
      <c r="Y59505" s="8"/>
      <c r="Z59505" s="8"/>
      <c r="AA59505" s="8"/>
    </row>
    <row r="59506" spans="1:27" x14ac:dyDescent="0.25">
      <c r="A59506" s="8"/>
      <c r="B59506" s="8"/>
      <c r="C59506" s="99"/>
      <c r="D59506" s="8"/>
      <c r="E59506" s="8"/>
      <c r="F59506" s="8"/>
      <c r="G59506" s="8"/>
      <c r="H59506" s="8"/>
      <c r="I59506" s="102"/>
      <c r="J59506" s="8"/>
      <c r="K59506" s="8"/>
      <c r="L59506" s="8"/>
      <c r="M59506" s="8"/>
      <c r="N59506" s="8"/>
      <c r="O59506" s="8"/>
      <c r="P59506" s="8"/>
      <c r="Q59506" s="8"/>
      <c r="R59506" s="103"/>
      <c r="S59506" s="8"/>
      <c r="T59506" s="8"/>
      <c r="U59506" s="8"/>
      <c r="V59506" s="8"/>
      <c r="W59506" s="8"/>
      <c r="X59506" s="8"/>
      <c r="Y59506" s="8"/>
      <c r="Z59506" s="8"/>
      <c r="AA59506" s="8"/>
    </row>
    <row r="59507" spans="1:27" x14ac:dyDescent="0.25">
      <c r="A59507" s="8"/>
      <c r="B59507" s="8"/>
      <c r="C59507" s="99"/>
      <c r="D59507" s="8"/>
      <c r="E59507" s="8"/>
      <c r="F59507" s="8"/>
      <c r="G59507" s="8"/>
      <c r="H59507" s="8"/>
      <c r="I59507" s="102"/>
      <c r="J59507" s="8"/>
      <c r="K59507" s="8"/>
      <c r="L59507" s="8"/>
      <c r="M59507" s="8"/>
      <c r="N59507" s="8"/>
      <c r="O59507" s="8"/>
      <c r="P59507" s="8"/>
      <c r="Q59507" s="8"/>
      <c r="R59507" s="103"/>
      <c r="S59507" s="8"/>
      <c r="T59507" s="8"/>
      <c r="U59507" s="8"/>
      <c r="V59507" s="8"/>
      <c r="W59507" s="8"/>
      <c r="X59507" s="8"/>
      <c r="Y59507" s="8"/>
      <c r="Z59507" s="8"/>
      <c r="AA59507" s="8"/>
    </row>
    <row r="59508" spans="1:27" x14ac:dyDescent="0.25">
      <c r="A59508" s="8"/>
      <c r="B59508" s="8"/>
      <c r="C59508" s="99"/>
      <c r="D59508" s="8"/>
      <c r="E59508" s="8"/>
      <c r="F59508" s="8"/>
      <c r="G59508" s="8"/>
      <c r="H59508" s="8"/>
      <c r="I59508" s="102"/>
      <c r="J59508" s="8"/>
      <c r="K59508" s="8"/>
      <c r="L59508" s="8"/>
      <c r="M59508" s="8"/>
      <c r="N59508" s="8"/>
      <c r="O59508" s="8"/>
      <c r="P59508" s="8"/>
      <c r="Q59508" s="8"/>
      <c r="R59508" s="103"/>
      <c r="S59508" s="8"/>
      <c r="T59508" s="8"/>
      <c r="U59508" s="8"/>
      <c r="V59508" s="8"/>
      <c r="W59508" s="8"/>
      <c r="X59508" s="8"/>
      <c r="Y59508" s="8"/>
      <c r="Z59508" s="8"/>
      <c r="AA59508" s="8"/>
    </row>
    <row r="59509" spans="1:27" x14ac:dyDescent="0.25">
      <c r="A59509" s="8"/>
      <c r="B59509" s="8"/>
      <c r="C59509" s="99"/>
      <c r="D59509" s="8"/>
      <c r="E59509" s="8"/>
      <c r="F59509" s="8"/>
      <c r="G59509" s="8"/>
      <c r="H59509" s="8"/>
      <c r="I59509" s="102"/>
      <c r="J59509" s="8"/>
      <c r="K59509" s="8"/>
      <c r="L59509" s="8"/>
      <c r="M59509" s="8"/>
      <c r="N59509" s="8"/>
      <c r="O59509" s="8"/>
      <c r="P59509" s="8"/>
      <c r="Q59509" s="8"/>
      <c r="R59509" s="103"/>
      <c r="S59509" s="8"/>
      <c r="T59509" s="8"/>
      <c r="U59509" s="8"/>
      <c r="V59509" s="8"/>
      <c r="W59509" s="8"/>
      <c r="X59509" s="8"/>
      <c r="Y59509" s="8"/>
      <c r="Z59509" s="8"/>
      <c r="AA59509" s="8"/>
    </row>
    <row r="59510" spans="1:27" x14ac:dyDescent="0.25">
      <c r="A59510" s="8"/>
      <c r="B59510" s="8"/>
      <c r="C59510" s="99"/>
      <c r="D59510" s="8"/>
      <c r="E59510" s="8"/>
      <c r="F59510" s="8"/>
      <c r="G59510" s="8"/>
      <c r="H59510" s="8"/>
      <c r="I59510" s="102"/>
      <c r="J59510" s="8"/>
      <c r="K59510" s="8"/>
      <c r="L59510" s="8"/>
      <c r="M59510" s="8"/>
      <c r="N59510" s="8"/>
      <c r="O59510" s="8"/>
      <c r="P59510" s="8"/>
      <c r="Q59510" s="8"/>
      <c r="R59510" s="103"/>
      <c r="S59510" s="8"/>
      <c r="T59510" s="8"/>
      <c r="U59510" s="8"/>
      <c r="V59510" s="8"/>
      <c r="W59510" s="8"/>
      <c r="X59510" s="8"/>
      <c r="Y59510" s="8"/>
      <c r="Z59510" s="8"/>
      <c r="AA59510" s="8"/>
    </row>
    <row r="59511" spans="1:27" x14ac:dyDescent="0.25">
      <c r="A59511" s="8"/>
      <c r="B59511" s="8"/>
      <c r="C59511" s="99"/>
      <c r="D59511" s="8"/>
      <c r="E59511" s="8"/>
      <c r="F59511" s="8"/>
      <c r="G59511" s="8"/>
      <c r="H59511" s="8"/>
      <c r="I59511" s="102"/>
      <c r="J59511" s="8"/>
      <c r="K59511" s="8"/>
      <c r="L59511" s="8"/>
      <c r="M59511" s="8"/>
      <c r="N59511" s="8"/>
      <c r="O59511" s="8"/>
      <c r="P59511" s="8"/>
      <c r="Q59511" s="8"/>
      <c r="R59511" s="103"/>
      <c r="S59511" s="8"/>
      <c r="T59511" s="8"/>
      <c r="U59511" s="8"/>
      <c r="V59511" s="8"/>
      <c r="W59511" s="8"/>
      <c r="X59511" s="8"/>
      <c r="Y59511" s="8"/>
      <c r="Z59511" s="8"/>
      <c r="AA59511" s="8"/>
    </row>
    <row r="59512" spans="1:27" x14ac:dyDescent="0.25">
      <c r="A59512" s="8"/>
      <c r="B59512" s="8"/>
      <c r="C59512" s="99"/>
      <c r="D59512" s="8"/>
      <c r="E59512" s="8"/>
      <c r="F59512" s="8"/>
      <c r="G59512" s="8"/>
      <c r="H59512" s="8"/>
      <c r="I59512" s="102"/>
      <c r="J59512" s="8"/>
      <c r="K59512" s="8"/>
      <c r="L59512" s="8"/>
      <c r="M59512" s="8"/>
      <c r="N59512" s="8"/>
      <c r="O59512" s="8"/>
      <c r="P59512" s="8"/>
      <c r="Q59512" s="8"/>
      <c r="R59512" s="103"/>
      <c r="S59512" s="8"/>
      <c r="T59512" s="8"/>
      <c r="U59512" s="8"/>
      <c r="V59512" s="8"/>
      <c r="W59512" s="8"/>
      <c r="X59512" s="8"/>
      <c r="Y59512" s="8"/>
      <c r="Z59512" s="8"/>
      <c r="AA59512" s="8"/>
    </row>
    <row r="59513" spans="1:27" x14ac:dyDescent="0.25">
      <c r="A59513" s="8"/>
      <c r="B59513" s="8"/>
      <c r="C59513" s="99"/>
      <c r="D59513" s="8"/>
      <c r="E59513" s="8"/>
      <c r="F59513" s="8"/>
      <c r="G59513" s="8"/>
      <c r="H59513" s="8"/>
      <c r="I59513" s="102"/>
      <c r="J59513" s="8"/>
      <c r="K59513" s="8"/>
      <c r="L59513" s="8"/>
      <c r="M59513" s="8"/>
      <c r="N59513" s="8"/>
      <c r="O59513" s="8"/>
      <c r="P59513" s="8"/>
      <c r="Q59513" s="8"/>
      <c r="R59513" s="103"/>
      <c r="S59513" s="8"/>
      <c r="T59513" s="8"/>
      <c r="U59513" s="8"/>
      <c r="V59513" s="8"/>
      <c r="W59513" s="8"/>
      <c r="X59513" s="8"/>
      <c r="Y59513" s="8"/>
      <c r="Z59513" s="8"/>
      <c r="AA59513" s="8"/>
    </row>
    <row r="59514" spans="1:27" x14ac:dyDescent="0.25">
      <c r="A59514" s="8"/>
      <c r="B59514" s="8"/>
      <c r="C59514" s="99"/>
      <c r="D59514" s="8"/>
      <c r="E59514" s="8"/>
      <c r="F59514" s="8"/>
      <c r="G59514" s="8"/>
      <c r="H59514" s="8"/>
      <c r="I59514" s="102"/>
      <c r="J59514" s="8"/>
      <c r="K59514" s="8"/>
      <c r="L59514" s="8"/>
      <c r="M59514" s="8"/>
      <c r="N59514" s="8"/>
      <c r="O59514" s="8"/>
      <c r="P59514" s="8"/>
      <c r="Q59514" s="8"/>
      <c r="R59514" s="103"/>
      <c r="S59514" s="8"/>
      <c r="T59514" s="8"/>
      <c r="U59514" s="8"/>
      <c r="V59514" s="8"/>
      <c r="W59514" s="8"/>
      <c r="X59514" s="8"/>
      <c r="Y59514" s="8"/>
      <c r="Z59514" s="8"/>
      <c r="AA59514" s="8"/>
    </row>
    <row r="59515" spans="1:27" x14ac:dyDescent="0.25">
      <c r="A59515" s="8"/>
      <c r="B59515" s="8"/>
      <c r="C59515" s="99"/>
      <c r="D59515" s="8"/>
      <c r="E59515" s="8"/>
      <c r="F59515" s="8"/>
      <c r="G59515" s="8"/>
      <c r="H59515" s="8"/>
      <c r="I59515" s="102"/>
      <c r="J59515" s="8"/>
      <c r="K59515" s="8"/>
      <c r="L59515" s="8"/>
      <c r="M59515" s="8"/>
      <c r="N59515" s="8"/>
      <c r="O59515" s="8"/>
      <c r="P59515" s="8"/>
      <c r="Q59515" s="8"/>
      <c r="R59515" s="103"/>
      <c r="S59515" s="8"/>
      <c r="T59515" s="8"/>
      <c r="U59515" s="8"/>
      <c r="V59515" s="8"/>
      <c r="W59515" s="8"/>
      <c r="X59515" s="8"/>
      <c r="Y59515" s="8"/>
      <c r="Z59515" s="8"/>
      <c r="AA59515" s="8"/>
    </row>
    <row r="59516" spans="1:27" x14ac:dyDescent="0.25">
      <c r="A59516" s="8"/>
      <c r="B59516" s="8"/>
      <c r="C59516" s="99"/>
      <c r="D59516" s="8"/>
      <c r="E59516" s="8"/>
      <c r="F59516" s="8"/>
      <c r="G59516" s="8"/>
      <c r="H59516" s="8"/>
      <c r="I59516" s="102"/>
      <c r="J59516" s="8"/>
      <c r="K59516" s="8"/>
      <c r="L59516" s="8"/>
      <c r="M59516" s="8"/>
      <c r="N59516" s="8"/>
      <c r="O59516" s="8"/>
      <c r="P59516" s="8"/>
      <c r="Q59516" s="8"/>
      <c r="R59516" s="103"/>
      <c r="S59516" s="8"/>
      <c r="T59516" s="8"/>
      <c r="U59516" s="8"/>
      <c r="V59516" s="8"/>
      <c r="W59516" s="8"/>
      <c r="X59516" s="8"/>
      <c r="Y59516" s="8"/>
      <c r="Z59516" s="8"/>
      <c r="AA59516" s="8"/>
    </row>
    <row r="59517" spans="1:27" x14ac:dyDescent="0.25">
      <c r="A59517" s="8"/>
      <c r="B59517" s="8"/>
      <c r="C59517" s="99"/>
      <c r="D59517" s="8"/>
      <c r="E59517" s="8"/>
      <c r="F59517" s="8"/>
      <c r="G59517" s="8"/>
      <c r="H59517" s="8"/>
      <c r="I59517" s="102"/>
      <c r="J59517" s="8"/>
      <c r="K59517" s="8"/>
      <c r="L59517" s="8"/>
      <c r="M59517" s="8"/>
      <c r="N59517" s="8"/>
      <c r="O59517" s="8"/>
      <c r="P59517" s="8"/>
      <c r="Q59517" s="8"/>
      <c r="R59517" s="103"/>
      <c r="S59517" s="8"/>
      <c r="T59517" s="8"/>
      <c r="U59517" s="8"/>
      <c r="V59517" s="8"/>
      <c r="W59517" s="8"/>
      <c r="X59517" s="8"/>
      <c r="Y59517" s="8"/>
      <c r="Z59517" s="8"/>
      <c r="AA59517" s="8"/>
    </row>
    <row r="59518" spans="1:27" x14ac:dyDescent="0.25">
      <c r="A59518" s="8"/>
      <c r="B59518" s="8"/>
      <c r="C59518" s="99"/>
      <c r="D59518" s="8"/>
      <c r="E59518" s="8"/>
      <c r="F59518" s="8"/>
      <c r="G59518" s="8"/>
      <c r="H59518" s="8"/>
      <c r="I59518" s="102"/>
      <c r="J59518" s="8"/>
      <c r="K59518" s="8"/>
      <c r="L59518" s="8"/>
      <c r="M59518" s="8"/>
      <c r="N59518" s="8"/>
      <c r="O59518" s="8"/>
      <c r="P59518" s="8"/>
      <c r="Q59518" s="8"/>
      <c r="R59518" s="103"/>
      <c r="S59518" s="8"/>
      <c r="T59518" s="8"/>
      <c r="U59518" s="8"/>
      <c r="V59518" s="8"/>
      <c r="W59518" s="8"/>
      <c r="X59518" s="8"/>
      <c r="Y59518" s="8"/>
      <c r="Z59518" s="8"/>
      <c r="AA59518" s="8"/>
    </row>
    <row r="59519" spans="1:27" x14ac:dyDescent="0.25">
      <c r="A59519" s="8"/>
      <c r="B59519" s="8"/>
      <c r="C59519" s="99"/>
      <c r="D59519" s="8"/>
      <c r="E59519" s="8"/>
      <c r="F59519" s="8"/>
      <c r="G59519" s="8"/>
      <c r="H59519" s="8"/>
      <c r="I59519" s="102"/>
      <c r="J59519" s="8"/>
      <c r="K59519" s="8"/>
      <c r="L59519" s="8"/>
      <c r="M59519" s="8"/>
      <c r="N59519" s="8"/>
      <c r="O59519" s="8"/>
      <c r="P59519" s="8"/>
      <c r="Q59519" s="8"/>
      <c r="R59519" s="103"/>
      <c r="S59519" s="8"/>
      <c r="T59519" s="8"/>
      <c r="U59519" s="8"/>
      <c r="V59519" s="8"/>
      <c r="W59519" s="8"/>
      <c r="X59519" s="8"/>
      <c r="Y59519" s="8"/>
      <c r="Z59519" s="8"/>
      <c r="AA59519" s="8"/>
    </row>
    <row r="59520" spans="1:27" x14ac:dyDescent="0.25">
      <c r="A59520" s="8"/>
      <c r="B59520" s="8"/>
      <c r="C59520" s="99"/>
      <c r="D59520" s="8"/>
      <c r="E59520" s="8"/>
      <c r="F59520" s="8"/>
      <c r="G59520" s="8"/>
      <c r="H59520" s="8"/>
      <c r="I59520" s="102"/>
      <c r="J59520" s="8"/>
      <c r="K59520" s="8"/>
      <c r="L59520" s="8"/>
      <c r="M59520" s="8"/>
      <c r="N59520" s="8"/>
      <c r="O59520" s="8"/>
      <c r="P59520" s="8"/>
      <c r="Q59520" s="8"/>
      <c r="R59520" s="103"/>
      <c r="S59520" s="8"/>
      <c r="T59520" s="8"/>
      <c r="U59520" s="8"/>
      <c r="V59520" s="8"/>
      <c r="W59520" s="8"/>
      <c r="X59520" s="8"/>
      <c r="Y59520" s="8"/>
      <c r="Z59520" s="8"/>
      <c r="AA59520" s="8"/>
    </row>
    <row r="59521" spans="1:27" x14ac:dyDescent="0.25">
      <c r="A59521" s="8"/>
      <c r="B59521" s="8"/>
      <c r="C59521" s="99"/>
      <c r="D59521" s="8"/>
      <c r="E59521" s="8"/>
      <c r="F59521" s="8"/>
      <c r="G59521" s="8"/>
      <c r="H59521" s="8"/>
      <c r="I59521" s="102"/>
      <c r="J59521" s="8"/>
      <c r="K59521" s="8"/>
      <c r="L59521" s="8"/>
      <c r="M59521" s="8"/>
      <c r="N59521" s="8"/>
      <c r="O59521" s="8"/>
      <c r="P59521" s="8"/>
      <c r="Q59521" s="8"/>
      <c r="R59521" s="103"/>
      <c r="S59521" s="8"/>
      <c r="T59521" s="8"/>
      <c r="U59521" s="8"/>
      <c r="V59521" s="8"/>
      <c r="W59521" s="8"/>
      <c r="X59521" s="8"/>
      <c r="Y59521" s="8"/>
      <c r="Z59521" s="8"/>
      <c r="AA59521" s="8"/>
    </row>
    <row r="59522" spans="1:27" x14ac:dyDescent="0.25">
      <c r="A59522" s="8"/>
      <c r="B59522" s="8"/>
      <c r="C59522" s="99"/>
      <c r="D59522" s="8"/>
      <c r="E59522" s="8"/>
      <c r="F59522" s="8"/>
      <c r="G59522" s="8"/>
      <c r="H59522" s="8"/>
      <c r="I59522" s="102"/>
      <c r="J59522" s="8"/>
      <c r="K59522" s="8"/>
      <c r="L59522" s="8"/>
      <c r="M59522" s="8"/>
      <c r="N59522" s="8"/>
      <c r="O59522" s="8"/>
      <c r="P59522" s="8"/>
      <c r="Q59522" s="8"/>
      <c r="R59522" s="103"/>
      <c r="S59522" s="8"/>
      <c r="T59522" s="8"/>
      <c r="U59522" s="8"/>
      <c r="V59522" s="8"/>
      <c r="W59522" s="8"/>
      <c r="X59522" s="8"/>
      <c r="Y59522" s="8"/>
      <c r="Z59522" s="8"/>
      <c r="AA59522" s="8"/>
    </row>
    <row r="59523" spans="1:27" x14ac:dyDescent="0.25">
      <c r="A59523" s="8"/>
      <c r="B59523" s="8"/>
      <c r="C59523" s="99"/>
      <c r="D59523" s="8"/>
      <c r="E59523" s="8"/>
      <c r="F59523" s="8"/>
      <c r="G59523" s="8"/>
      <c r="H59523" s="8"/>
      <c r="I59523" s="102"/>
      <c r="J59523" s="8"/>
      <c r="K59523" s="8"/>
      <c r="L59523" s="8"/>
      <c r="M59523" s="8"/>
      <c r="N59523" s="8"/>
      <c r="O59523" s="8"/>
      <c r="P59523" s="8"/>
      <c r="Q59523" s="8"/>
      <c r="R59523" s="103"/>
      <c r="S59523" s="8"/>
      <c r="T59523" s="8"/>
      <c r="U59523" s="8"/>
      <c r="V59523" s="8"/>
      <c r="W59523" s="8"/>
      <c r="X59523" s="8"/>
      <c r="Y59523" s="8"/>
      <c r="Z59523" s="8"/>
      <c r="AA59523" s="8"/>
    </row>
    <row r="59524" spans="1:27" x14ac:dyDescent="0.25">
      <c r="A59524" s="8"/>
      <c r="B59524" s="8"/>
      <c r="C59524" s="99"/>
      <c r="D59524" s="8"/>
      <c r="E59524" s="8"/>
      <c r="F59524" s="8"/>
      <c r="G59524" s="8"/>
      <c r="H59524" s="8"/>
      <c r="I59524" s="102"/>
      <c r="J59524" s="8"/>
      <c r="K59524" s="8"/>
      <c r="L59524" s="8"/>
      <c r="M59524" s="8"/>
      <c r="N59524" s="8"/>
      <c r="O59524" s="8"/>
      <c r="P59524" s="8"/>
      <c r="Q59524" s="8"/>
      <c r="R59524" s="103"/>
      <c r="S59524" s="8"/>
      <c r="T59524" s="8"/>
      <c r="U59524" s="8"/>
      <c r="V59524" s="8"/>
      <c r="W59524" s="8"/>
      <c r="X59524" s="8"/>
      <c r="Y59524" s="8"/>
      <c r="Z59524" s="8"/>
      <c r="AA59524" s="8"/>
    </row>
    <row r="59525" spans="1:27" x14ac:dyDescent="0.25">
      <c r="A59525" s="8"/>
      <c r="B59525" s="8"/>
      <c r="C59525" s="99"/>
      <c r="D59525" s="8"/>
      <c r="E59525" s="8"/>
      <c r="F59525" s="8"/>
      <c r="G59525" s="8"/>
      <c r="H59525" s="8"/>
      <c r="I59525" s="102"/>
      <c r="J59525" s="8"/>
      <c r="K59525" s="8"/>
      <c r="L59525" s="8"/>
      <c r="M59525" s="8"/>
      <c r="N59525" s="8"/>
      <c r="O59525" s="8"/>
      <c r="P59525" s="8"/>
      <c r="Q59525" s="8"/>
      <c r="R59525" s="103"/>
      <c r="S59525" s="8"/>
      <c r="T59525" s="8"/>
      <c r="U59525" s="8"/>
      <c r="V59525" s="8"/>
      <c r="W59525" s="8"/>
      <c r="X59525" s="8"/>
      <c r="Y59525" s="8"/>
      <c r="Z59525" s="8"/>
      <c r="AA59525" s="8"/>
    </row>
    <row r="59526" spans="1:27" x14ac:dyDescent="0.25">
      <c r="A59526" s="8"/>
      <c r="B59526" s="8"/>
      <c r="C59526" s="99"/>
      <c r="D59526" s="8"/>
      <c r="E59526" s="8"/>
      <c r="F59526" s="8"/>
      <c r="G59526" s="8"/>
      <c r="H59526" s="8"/>
      <c r="I59526" s="102"/>
      <c r="J59526" s="8"/>
      <c r="K59526" s="8"/>
      <c r="L59526" s="8"/>
      <c r="M59526" s="8"/>
      <c r="N59526" s="8"/>
      <c r="O59526" s="8"/>
      <c r="P59526" s="8"/>
      <c r="Q59526" s="8"/>
      <c r="R59526" s="103"/>
      <c r="S59526" s="8"/>
      <c r="T59526" s="8"/>
      <c r="U59526" s="8"/>
      <c r="V59526" s="8"/>
      <c r="W59526" s="8"/>
      <c r="X59526" s="8"/>
      <c r="Y59526" s="8"/>
      <c r="Z59526" s="8"/>
      <c r="AA59526" s="8"/>
    </row>
    <row r="59527" spans="1:27" x14ac:dyDescent="0.25">
      <c r="A59527" s="8"/>
      <c r="B59527" s="8"/>
      <c r="C59527" s="99"/>
      <c r="D59527" s="8"/>
      <c r="E59527" s="8"/>
      <c r="F59527" s="8"/>
      <c r="G59527" s="8"/>
      <c r="H59527" s="8"/>
      <c r="I59527" s="102"/>
      <c r="J59527" s="8"/>
      <c r="K59527" s="8"/>
      <c r="L59527" s="8"/>
      <c r="M59527" s="8"/>
      <c r="N59527" s="8"/>
      <c r="O59527" s="8"/>
      <c r="P59527" s="8"/>
      <c r="Q59527" s="8"/>
      <c r="R59527" s="103"/>
      <c r="S59527" s="8"/>
      <c r="T59527" s="8"/>
      <c r="U59527" s="8"/>
      <c r="V59527" s="8"/>
      <c r="W59527" s="8"/>
      <c r="X59527" s="8"/>
      <c r="Y59527" s="8"/>
      <c r="Z59527" s="8"/>
      <c r="AA59527" s="8"/>
    </row>
    <row r="59528" spans="1:27" x14ac:dyDescent="0.25">
      <c r="A59528" s="8"/>
      <c r="B59528" s="8"/>
      <c r="C59528" s="99"/>
      <c r="D59528" s="8"/>
      <c r="E59528" s="8"/>
      <c r="F59528" s="8"/>
      <c r="G59528" s="8"/>
      <c r="H59528" s="8"/>
      <c r="I59528" s="102"/>
      <c r="J59528" s="8"/>
      <c r="K59528" s="8"/>
      <c r="L59528" s="8"/>
      <c r="M59528" s="8"/>
      <c r="N59528" s="8"/>
      <c r="O59528" s="8"/>
      <c r="P59528" s="8"/>
      <c r="Q59528" s="8"/>
      <c r="R59528" s="103"/>
      <c r="S59528" s="8"/>
      <c r="T59528" s="8"/>
      <c r="U59528" s="8"/>
      <c r="V59528" s="8"/>
      <c r="W59528" s="8"/>
      <c r="X59528" s="8"/>
      <c r="Y59528" s="8"/>
      <c r="Z59528" s="8"/>
      <c r="AA59528" s="8"/>
    </row>
    <row r="59529" spans="1:27" x14ac:dyDescent="0.25">
      <c r="A59529" s="8"/>
      <c r="B59529" s="8"/>
      <c r="C59529" s="99"/>
      <c r="D59529" s="8"/>
      <c r="E59529" s="8"/>
      <c r="F59529" s="8"/>
      <c r="G59529" s="8"/>
      <c r="H59529" s="8"/>
      <c r="I59529" s="102"/>
      <c r="J59529" s="8"/>
      <c r="K59529" s="8"/>
      <c r="L59529" s="8"/>
      <c r="M59529" s="8"/>
      <c r="N59529" s="8"/>
      <c r="O59529" s="8"/>
      <c r="P59529" s="8"/>
      <c r="Q59529" s="8"/>
      <c r="R59529" s="103"/>
      <c r="S59529" s="8"/>
      <c r="T59529" s="8"/>
      <c r="U59529" s="8"/>
      <c r="V59529" s="8"/>
      <c r="W59529" s="8"/>
      <c r="X59529" s="8"/>
      <c r="Y59529" s="8"/>
      <c r="Z59529" s="8"/>
      <c r="AA59529" s="8"/>
    </row>
    <row r="59530" spans="1:27" x14ac:dyDescent="0.25">
      <c r="A59530" s="8"/>
      <c r="B59530" s="8"/>
      <c r="C59530" s="99"/>
      <c r="D59530" s="8"/>
      <c r="E59530" s="8"/>
      <c r="F59530" s="8"/>
      <c r="G59530" s="8"/>
      <c r="H59530" s="8"/>
      <c r="I59530" s="102"/>
      <c r="J59530" s="8"/>
      <c r="K59530" s="8"/>
      <c r="L59530" s="8"/>
      <c r="M59530" s="8"/>
      <c r="N59530" s="8"/>
      <c r="O59530" s="8"/>
      <c r="P59530" s="8"/>
      <c r="Q59530" s="8"/>
      <c r="R59530" s="103"/>
      <c r="S59530" s="8"/>
      <c r="T59530" s="8"/>
      <c r="U59530" s="8"/>
      <c r="V59530" s="8"/>
      <c r="W59530" s="8"/>
      <c r="X59530" s="8"/>
      <c r="Y59530" s="8"/>
      <c r="Z59530" s="8"/>
      <c r="AA59530" s="8"/>
    </row>
    <row r="59531" spans="1:27" x14ac:dyDescent="0.25">
      <c r="A59531" s="8"/>
      <c r="B59531" s="8"/>
      <c r="C59531" s="99"/>
      <c r="D59531" s="8"/>
      <c r="E59531" s="8"/>
      <c r="F59531" s="8"/>
      <c r="G59531" s="8"/>
      <c r="H59531" s="8"/>
      <c r="I59531" s="102"/>
      <c r="J59531" s="8"/>
      <c r="K59531" s="8"/>
      <c r="L59531" s="8"/>
      <c r="M59531" s="8"/>
      <c r="N59531" s="8"/>
      <c r="O59531" s="8"/>
      <c r="P59531" s="8"/>
      <c r="Q59531" s="8"/>
      <c r="R59531" s="103"/>
      <c r="S59531" s="8"/>
      <c r="T59531" s="8"/>
      <c r="U59531" s="8"/>
      <c r="V59531" s="8"/>
      <c r="W59531" s="8"/>
      <c r="X59531" s="8"/>
      <c r="Y59531" s="8"/>
      <c r="Z59531" s="8"/>
      <c r="AA59531" s="8"/>
    </row>
    <row r="59532" spans="1:27" x14ac:dyDescent="0.25">
      <c r="A59532" s="8"/>
      <c r="B59532" s="8"/>
      <c r="C59532" s="99"/>
      <c r="D59532" s="8"/>
      <c r="E59532" s="8"/>
      <c r="F59532" s="8"/>
      <c r="G59532" s="8"/>
      <c r="H59532" s="8"/>
      <c r="I59532" s="102"/>
      <c r="J59532" s="8"/>
      <c r="K59532" s="8"/>
      <c r="L59532" s="8"/>
      <c r="M59532" s="8"/>
      <c r="N59532" s="8"/>
      <c r="O59532" s="8"/>
      <c r="P59532" s="8"/>
      <c r="Q59532" s="8"/>
      <c r="R59532" s="103"/>
      <c r="S59532" s="8"/>
      <c r="T59532" s="8"/>
      <c r="U59532" s="8"/>
      <c r="V59532" s="8"/>
      <c r="W59532" s="8"/>
      <c r="X59532" s="8"/>
      <c r="Y59532" s="8"/>
      <c r="Z59532" s="8"/>
      <c r="AA59532" s="8"/>
    </row>
    <row r="59533" spans="1:27" x14ac:dyDescent="0.25">
      <c r="A59533" s="8"/>
      <c r="B59533" s="8"/>
      <c r="C59533" s="99"/>
      <c r="D59533" s="8"/>
      <c r="E59533" s="8"/>
      <c r="F59533" s="8"/>
      <c r="G59533" s="8"/>
      <c r="H59533" s="8"/>
      <c r="I59533" s="102"/>
      <c r="J59533" s="8"/>
      <c r="K59533" s="8"/>
      <c r="L59533" s="8"/>
      <c r="M59533" s="8"/>
      <c r="N59533" s="8"/>
      <c r="O59533" s="8"/>
      <c r="P59533" s="8"/>
      <c r="Q59533" s="8"/>
      <c r="R59533" s="103"/>
      <c r="S59533" s="8"/>
      <c r="T59533" s="8"/>
      <c r="U59533" s="8"/>
      <c r="V59533" s="8"/>
      <c r="W59533" s="8"/>
      <c r="X59533" s="8"/>
      <c r="Y59533" s="8"/>
      <c r="Z59533" s="8"/>
      <c r="AA59533" s="8"/>
    </row>
    <row r="59534" spans="1:27" x14ac:dyDescent="0.25">
      <c r="A59534" s="8"/>
      <c r="B59534" s="8"/>
      <c r="C59534" s="99"/>
      <c r="D59534" s="8"/>
      <c r="E59534" s="8"/>
      <c r="F59534" s="8"/>
      <c r="G59534" s="8"/>
      <c r="H59534" s="8"/>
      <c r="I59534" s="102"/>
      <c r="J59534" s="8"/>
      <c r="K59534" s="8"/>
      <c r="L59534" s="8"/>
      <c r="M59534" s="8"/>
      <c r="N59534" s="8"/>
      <c r="O59534" s="8"/>
      <c r="P59534" s="8"/>
      <c r="Q59534" s="8"/>
      <c r="R59534" s="103"/>
      <c r="S59534" s="8"/>
      <c r="T59534" s="8"/>
      <c r="U59534" s="8"/>
      <c r="V59534" s="8"/>
      <c r="W59534" s="8"/>
      <c r="X59534" s="8"/>
      <c r="Y59534" s="8"/>
      <c r="Z59534" s="8"/>
      <c r="AA59534" s="8"/>
    </row>
    <row r="59535" spans="1:27" x14ac:dyDescent="0.25">
      <c r="A59535" s="8"/>
      <c r="B59535" s="8"/>
      <c r="C59535" s="99"/>
      <c r="D59535" s="8"/>
      <c r="E59535" s="8"/>
      <c r="F59535" s="8"/>
      <c r="G59535" s="8"/>
      <c r="H59535" s="8"/>
      <c r="I59535" s="102"/>
      <c r="J59535" s="8"/>
      <c r="K59535" s="8"/>
      <c r="L59535" s="8"/>
      <c r="M59535" s="8"/>
      <c r="N59535" s="8"/>
      <c r="O59535" s="8"/>
      <c r="P59535" s="8"/>
      <c r="Q59535" s="8"/>
      <c r="R59535" s="103"/>
      <c r="S59535" s="8"/>
      <c r="T59535" s="8"/>
      <c r="U59535" s="8"/>
      <c r="V59535" s="8"/>
      <c r="W59535" s="8"/>
      <c r="X59535" s="8"/>
      <c r="Y59535" s="8"/>
      <c r="Z59535" s="8"/>
      <c r="AA59535" s="8"/>
    </row>
    <row r="59536" spans="1:27" x14ac:dyDescent="0.25">
      <c r="A59536" s="8"/>
      <c r="B59536" s="8"/>
      <c r="C59536" s="99"/>
      <c r="D59536" s="8"/>
      <c r="E59536" s="8"/>
      <c r="F59536" s="8"/>
      <c r="G59536" s="8"/>
      <c r="H59536" s="8"/>
      <c r="I59536" s="102"/>
      <c r="J59536" s="8"/>
      <c r="K59536" s="8"/>
      <c r="L59536" s="8"/>
      <c r="M59536" s="8"/>
      <c r="N59536" s="8"/>
      <c r="O59536" s="8"/>
      <c r="P59536" s="8"/>
      <c r="Q59536" s="8"/>
      <c r="R59536" s="103"/>
      <c r="S59536" s="8"/>
      <c r="T59536" s="8"/>
      <c r="U59536" s="8"/>
      <c r="V59536" s="8"/>
      <c r="W59536" s="8"/>
      <c r="X59536" s="8"/>
      <c r="Y59536" s="8"/>
      <c r="Z59536" s="8"/>
      <c r="AA59536" s="8"/>
    </row>
    <row r="59537" spans="1:27" x14ac:dyDescent="0.25">
      <c r="A59537" s="8"/>
      <c r="B59537" s="8"/>
      <c r="C59537" s="99"/>
      <c r="D59537" s="8"/>
      <c r="E59537" s="8"/>
      <c r="F59537" s="8"/>
      <c r="G59537" s="8"/>
      <c r="H59537" s="8"/>
      <c r="I59537" s="102"/>
      <c r="J59537" s="8"/>
      <c r="K59537" s="8"/>
      <c r="L59537" s="8"/>
      <c r="M59537" s="8"/>
      <c r="N59537" s="8"/>
      <c r="O59537" s="8"/>
      <c r="P59537" s="8"/>
      <c r="Q59537" s="8"/>
      <c r="R59537" s="103"/>
      <c r="S59537" s="8"/>
      <c r="T59537" s="8"/>
      <c r="U59537" s="8"/>
      <c r="V59537" s="8"/>
      <c r="W59537" s="8"/>
      <c r="X59537" s="8"/>
      <c r="Y59537" s="8"/>
      <c r="Z59537" s="8"/>
      <c r="AA59537" s="8"/>
    </row>
    <row r="59538" spans="1:27" x14ac:dyDescent="0.25">
      <c r="A59538" s="8"/>
      <c r="B59538" s="8"/>
      <c r="C59538" s="99"/>
      <c r="D59538" s="8"/>
      <c r="E59538" s="8"/>
      <c r="F59538" s="8"/>
      <c r="G59538" s="8"/>
      <c r="H59538" s="8"/>
      <c r="I59538" s="102"/>
      <c r="J59538" s="8"/>
      <c r="K59538" s="8"/>
      <c r="L59538" s="8"/>
      <c r="M59538" s="8"/>
      <c r="N59538" s="8"/>
      <c r="O59538" s="8"/>
      <c r="P59538" s="8"/>
      <c r="Q59538" s="8"/>
      <c r="R59538" s="103"/>
      <c r="S59538" s="8"/>
      <c r="T59538" s="8"/>
      <c r="U59538" s="8"/>
      <c r="V59538" s="8"/>
      <c r="W59538" s="8"/>
      <c r="X59538" s="8"/>
      <c r="Y59538" s="8"/>
      <c r="Z59538" s="8"/>
      <c r="AA59538" s="8"/>
    </row>
    <row r="59539" spans="1:27" x14ac:dyDescent="0.25">
      <c r="A59539" s="8"/>
      <c r="B59539" s="8"/>
      <c r="C59539" s="99"/>
      <c r="D59539" s="8"/>
      <c r="E59539" s="8"/>
      <c r="F59539" s="8"/>
      <c r="G59539" s="8"/>
      <c r="H59539" s="8"/>
      <c r="I59539" s="102"/>
      <c r="J59539" s="8"/>
      <c r="K59539" s="8"/>
      <c r="L59539" s="8"/>
      <c r="M59539" s="8"/>
      <c r="N59539" s="8"/>
      <c r="O59539" s="8"/>
      <c r="P59539" s="8"/>
      <c r="Q59539" s="8"/>
      <c r="R59539" s="103"/>
      <c r="S59539" s="8"/>
      <c r="T59539" s="8"/>
      <c r="U59539" s="8"/>
      <c r="V59539" s="8"/>
      <c r="W59539" s="8"/>
      <c r="X59539" s="8"/>
      <c r="Y59539" s="8"/>
      <c r="Z59539" s="8"/>
      <c r="AA59539" s="8"/>
    </row>
    <row r="59540" spans="1:27" x14ac:dyDescent="0.25">
      <c r="A59540" s="8"/>
      <c r="B59540" s="8"/>
      <c r="C59540" s="99"/>
      <c r="D59540" s="8"/>
      <c r="E59540" s="8"/>
      <c r="F59540" s="8"/>
      <c r="G59540" s="8"/>
      <c r="H59540" s="8"/>
      <c r="I59540" s="102"/>
      <c r="J59540" s="8"/>
      <c r="K59540" s="8"/>
      <c r="L59540" s="8"/>
      <c r="M59540" s="8"/>
      <c r="N59540" s="8"/>
      <c r="O59540" s="8"/>
      <c r="P59540" s="8"/>
      <c r="Q59540" s="8"/>
      <c r="R59540" s="103"/>
      <c r="S59540" s="8"/>
      <c r="T59540" s="8"/>
      <c r="U59540" s="8"/>
      <c r="V59540" s="8"/>
      <c r="W59540" s="8"/>
      <c r="X59540" s="8"/>
      <c r="Y59540" s="8"/>
      <c r="Z59540" s="8"/>
      <c r="AA59540" s="8"/>
    </row>
    <row r="59541" spans="1:27" x14ac:dyDescent="0.25">
      <c r="A59541" s="8"/>
      <c r="B59541" s="8"/>
      <c r="C59541" s="99"/>
      <c r="D59541" s="8"/>
      <c r="E59541" s="8"/>
      <c r="F59541" s="8"/>
      <c r="G59541" s="8"/>
      <c r="H59541" s="8"/>
      <c r="I59541" s="102"/>
      <c r="J59541" s="8"/>
      <c r="K59541" s="8"/>
      <c r="L59541" s="8"/>
      <c r="M59541" s="8"/>
      <c r="N59541" s="8"/>
      <c r="O59541" s="8"/>
      <c r="P59541" s="8"/>
      <c r="Q59541" s="8"/>
      <c r="R59541" s="103"/>
      <c r="S59541" s="8"/>
      <c r="T59541" s="8"/>
      <c r="U59541" s="8"/>
      <c r="V59541" s="8"/>
      <c r="W59541" s="8"/>
      <c r="X59541" s="8"/>
      <c r="Y59541" s="8"/>
      <c r="Z59541" s="8"/>
      <c r="AA59541" s="8"/>
    </row>
    <row r="59542" spans="1:27" x14ac:dyDescent="0.25">
      <c r="A59542" s="8"/>
      <c r="B59542" s="8"/>
      <c r="C59542" s="99"/>
      <c r="D59542" s="8"/>
      <c r="E59542" s="8"/>
      <c r="F59542" s="8"/>
      <c r="G59542" s="8"/>
      <c r="H59542" s="8"/>
      <c r="I59542" s="102"/>
      <c r="J59542" s="8"/>
      <c r="K59542" s="8"/>
      <c r="L59542" s="8"/>
      <c r="M59542" s="8"/>
      <c r="N59542" s="8"/>
      <c r="O59542" s="8"/>
      <c r="P59542" s="8"/>
      <c r="Q59542" s="8"/>
      <c r="R59542" s="103"/>
      <c r="S59542" s="8"/>
      <c r="T59542" s="8"/>
      <c r="U59542" s="8"/>
      <c r="V59542" s="8"/>
      <c r="W59542" s="8"/>
      <c r="X59542" s="8"/>
      <c r="Y59542" s="8"/>
      <c r="Z59542" s="8"/>
      <c r="AA59542" s="8"/>
    </row>
    <row r="59543" spans="1:27" x14ac:dyDescent="0.25">
      <c r="A59543" s="8"/>
      <c r="B59543" s="8"/>
      <c r="C59543" s="99"/>
      <c r="D59543" s="8"/>
      <c r="E59543" s="8"/>
      <c r="F59543" s="8"/>
      <c r="G59543" s="8"/>
      <c r="H59543" s="8"/>
      <c r="I59543" s="102"/>
      <c r="J59543" s="8"/>
      <c r="K59543" s="8"/>
      <c r="L59543" s="8"/>
      <c r="M59543" s="8"/>
      <c r="N59543" s="8"/>
      <c r="O59543" s="8"/>
      <c r="P59543" s="8"/>
      <c r="Q59543" s="8"/>
      <c r="R59543" s="103"/>
      <c r="S59543" s="8"/>
      <c r="T59543" s="8"/>
      <c r="U59543" s="8"/>
      <c r="V59543" s="8"/>
      <c r="W59543" s="8"/>
      <c r="X59543" s="8"/>
      <c r="Y59543" s="8"/>
      <c r="Z59543" s="8"/>
      <c r="AA59543" s="8"/>
    </row>
    <row r="59544" spans="1:27" x14ac:dyDescent="0.25">
      <c r="A59544" s="8"/>
      <c r="B59544" s="8"/>
      <c r="C59544" s="99"/>
      <c r="D59544" s="8"/>
      <c r="E59544" s="8"/>
      <c r="F59544" s="8"/>
      <c r="G59544" s="8"/>
      <c r="H59544" s="8"/>
      <c r="I59544" s="102"/>
      <c r="J59544" s="8"/>
      <c r="K59544" s="8"/>
      <c r="L59544" s="8"/>
      <c r="M59544" s="8"/>
      <c r="N59544" s="8"/>
      <c r="O59544" s="8"/>
      <c r="P59544" s="8"/>
      <c r="Q59544" s="8"/>
      <c r="R59544" s="103"/>
      <c r="S59544" s="8"/>
      <c r="T59544" s="8"/>
      <c r="U59544" s="8"/>
      <c r="V59544" s="8"/>
      <c r="W59544" s="8"/>
      <c r="X59544" s="8"/>
      <c r="Y59544" s="8"/>
      <c r="Z59544" s="8"/>
      <c r="AA59544" s="8"/>
    </row>
    <row r="59545" spans="1:27" x14ac:dyDescent="0.25">
      <c r="A59545" s="8"/>
      <c r="B59545" s="8"/>
      <c r="C59545" s="99"/>
      <c r="D59545" s="8"/>
      <c r="E59545" s="8"/>
      <c r="F59545" s="8"/>
      <c r="G59545" s="8"/>
      <c r="H59545" s="8"/>
      <c r="I59545" s="102"/>
      <c r="J59545" s="8"/>
      <c r="K59545" s="8"/>
      <c r="L59545" s="8"/>
      <c r="M59545" s="8"/>
      <c r="N59545" s="8"/>
      <c r="O59545" s="8"/>
      <c r="P59545" s="8"/>
      <c r="Q59545" s="8"/>
      <c r="R59545" s="103"/>
      <c r="S59545" s="8"/>
      <c r="T59545" s="8"/>
      <c r="U59545" s="8"/>
      <c r="V59545" s="8"/>
      <c r="W59545" s="8"/>
      <c r="X59545" s="8"/>
      <c r="Y59545" s="8"/>
      <c r="Z59545" s="8"/>
      <c r="AA59545" s="8"/>
    </row>
    <row r="59546" spans="1:27" x14ac:dyDescent="0.25">
      <c r="A59546" s="8"/>
      <c r="B59546" s="8"/>
      <c r="C59546" s="99"/>
      <c r="D59546" s="8"/>
      <c r="E59546" s="8"/>
      <c r="F59546" s="8"/>
      <c r="G59546" s="8"/>
      <c r="H59546" s="8"/>
      <c r="I59546" s="102"/>
      <c r="J59546" s="8"/>
      <c r="K59546" s="8"/>
      <c r="L59546" s="8"/>
      <c r="M59546" s="8"/>
      <c r="N59546" s="8"/>
      <c r="O59546" s="8"/>
      <c r="P59546" s="8"/>
      <c r="Q59546" s="8"/>
      <c r="R59546" s="103"/>
      <c r="S59546" s="8"/>
      <c r="T59546" s="8"/>
      <c r="U59546" s="8"/>
      <c r="V59546" s="8"/>
      <c r="W59546" s="8"/>
      <c r="X59546" s="8"/>
      <c r="Y59546" s="8"/>
      <c r="Z59546" s="8"/>
      <c r="AA59546" s="8"/>
    </row>
    <row r="59547" spans="1:27" x14ac:dyDescent="0.25">
      <c r="A59547" s="8"/>
      <c r="B59547" s="8"/>
      <c r="C59547" s="99"/>
      <c r="D59547" s="8"/>
      <c r="E59547" s="8"/>
      <c r="F59547" s="8"/>
      <c r="G59547" s="8"/>
      <c r="H59547" s="8"/>
      <c r="I59547" s="102"/>
      <c r="J59547" s="8"/>
      <c r="K59547" s="8"/>
      <c r="L59547" s="8"/>
      <c r="M59547" s="8"/>
      <c r="N59547" s="8"/>
      <c r="O59547" s="8"/>
      <c r="P59547" s="8"/>
      <c r="Q59547" s="8"/>
      <c r="R59547" s="103"/>
      <c r="S59547" s="8"/>
      <c r="T59547" s="8"/>
      <c r="U59547" s="8"/>
      <c r="V59547" s="8"/>
      <c r="W59547" s="8"/>
      <c r="X59547" s="8"/>
      <c r="Y59547" s="8"/>
      <c r="Z59547" s="8"/>
      <c r="AA59547" s="8"/>
    </row>
    <row r="59548" spans="1:27" x14ac:dyDescent="0.25">
      <c r="A59548" s="8"/>
      <c r="B59548" s="8"/>
      <c r="C59548" s="99"/>
      <c r="D59548" s="8"/>
      <c r="E59548" s="8"/>
      <c r="F59548" s="8"/>
      <c r="G59548" s="8"/>
      <c r="H59548" s="8"/>
      <c r="I59548" s="102"/>
      <c r="J59548" s="8"/>
      <c r="K59548" s="8"/>
      <c r="L59548" s="8"/>
      <c r="M59548" s="8"/>
      <c r="N59548" s="8"/>
      <c r="O59548" s="8"/>
      <c r="P59548" s="8"/>
      <c r="Q59548" s="8"/>
      <c r="R59548" s="103"/>
      <c r="S59548" s="8"/>
      <c r="T59548" s="8"/>
      <c r="U59548" s="8"/>
      <c r="V59548" s="8"/>
      <c r="W59548" s="8"/>
      <c r="X59548" s="8"/>
      <c r="Y59548" s="8"/>
      <c r="Z59548" s="8"/>
      <c r="AA59548" s="8"/>
    </row>
    <row r="59549" spans="1:27" x14ac:dyDescent="0.25">
      <c r="A59549" s="8"/>
      <c r="B59549" s="8"/>
      <c r="C59549" s="99"/>
      <c r="D59549" s="8"/>
      <c r="E59549" s="8"/>
      <c r="F59549" s="8"/>
      <c r="G59549" s="8"/>
      <c r="H59549" s="8"/>
      <c r="I59549" s="102"/>
      <c r="J59549" s="8"/>
      <c r="K59549" s="8"/>
      <c r="L59549" s="8"/>
      <c r="M59549" s="8"/>
      <c r="N59549" s="8"/>
      <c r="O59549" s="8"/>
      <c r="P59549" s="8"/>
      <c r="Q59549" s="8"/>
      <c r="R59549" s="103"/>
      <c r="S59549" s="8"/>
      <c r="T59549" s="8"/>
      <c r="U59549" s="8"/>
      <c r="V59549" s="8"/>
      <c r="W59549" s="8"/>
      <c r="X59549" s="8"/>
      <c r="Y59549" s="8"/>
      <c r="Z59549" s="8"/>
      <c r="AA59549" s="8"/>
    </row>
    <row r="59550" spans="1:27" x14ac:dyDescent="0.25">
      <c r="A59550" s="8"/>
      <c r="B59550" s="8"/>
      <c r="C59550" s="99"/>
      <c r="D59550" s="8"/>
      <c r="E59550" s="8"/>
      <c r="F59550" s="8"/>
      <c r="G59550" s="8"/>
      <c r="H59550" s="8"/>
      <c r="I59550" s="102"/>
      <c r="J59550" s="8"/>
      <c r="K59550" s="8"/>
      <c r="L59550" s="8"/>
      <c r="M59550" s="8"/>
      <c r="N59550" s="8"/>
      <c r="O59550" s="8"/>
      <c r="P59550" s="8"/>
      <c r="Q59550" s="8"/>
      <c r="R59550" s="103"/>
      <c r="S59550" s="8"/>
      <c r="T59550" s="8"/>
      <c r="U59550" s="8"/>
      <c r="V59550" s="8"/>
      <c r="W59550" s="8"/>
      <c r="X59550" s="8"/>
      <c r="Y59550" s="8"/>
      <c r="Z59550" s="8"/>
      <c r="AA59550" s="8"/>
    </row>
    <row r="59551" spans="1:27" x14ac:dyDescent="0.25">
      <c r="A59551" s="8"/>
      <c r="B59551" s="8"/>
      <c r="C59551" s="99"/>
      <c r="D59551" s="8"/>
      <c r="E59551" s="8"/>
      <c r="F59551" s="8"/>
      <c r="G59551" s="8"/>
      <c r="H59551" s="8"/>
      <c r="I59551" s="102"/>
      <c r="J59551" s="8"/>
      <c r="K59551" s="8"/>
      <c r="L59551" s="8"/>
      <c r="M59551" s="8"/>
      <c r="N59551" s="8"/>
      <c r="O59551" s="8"/>
      <c r="P59551" s="8"/>
      <c r="Q59551" s="8"/>
      <c r="R59551" s="103"/>
      <c r="S59551" s="8"/>
      <c r="T59551" s="8"/>
      <c r="U59551" s="8"/>
      <c r="V59551" s="8"/>
      <c r="W59551" s="8"/>
      <c r="X59551" s="8"/>
      <c r="Y59551" s="8"/>
      <c r="Z59551" s="8"/>
      <c r="AA59551" s="8"/>
    </row>
    <row r="59552" spans="1:27" x14ac:dyDescent="0.25">
      <c r="A59552" s="8"/>
      <c r="B59552" s="8"/>
      <c r="C59552" s="99"/>
      <c r="D59552" s="8"/>
      <c r="E59552" s="8"/>
      <c r="F59552" s="8"/>
      <c r="G59552" s="8"/>
      <c r="H59552" s="8"/>
      <c r="I59552" s="102"/>
      <c r="J59552" s="8"/>
      <c r="K59552" s="8"/>
      <c r="L59552" s="8"/>
      <c r="M59552" s="8"/>
      <c r="N59552" s="8"/>
      <c r="O59552" s="8"/>
      <c r="P59552" s="8"/>
      <c r="Q59552" s="8"/>
      <c r="R59552" s="103"/>
      <c r="S59552" s="8"/>
      <c r="T59552" s="8"/>
      <c r="U59552" s="8"/>
      <c r="V59552" s="8"/>
      <c r="W59552" s="8"/>
      <c r="X59552" s="8"/>
      <c r="Y59552" s="8"/>
      <c r="Z59552" s="8"/>
      <c r="AA59552" s="8"/>
    </row>
    <row r="59553" spans="1:27" x14ac:dyDescent="0.25">
      <c r="A59553" s="8"/>
      <c r="B59553" s="8"/>
      <c r="C59553" s="99"/>
      <c r="D59553" s="8"/>
      <c r="E59553" s="8"/>
      <c r="F59553" s="8"/>
      <c r="G59553" s="8"/>
      <c r="H59553" s="8"/>
      <c r="I59553" s="102"/>
      <c r="J59553" s="8"/>
      <c r="K59553" s="8"/>
      <c r="L59553" s="8"/>
      <c r="M59553" s="8"/>
      <c r="N59553" s="8"/>
      <c r="O59553" s="8"/>
      <c r="P59553" s="8"/>
      <c r="Q59553" s="8"/>
      <c r="R59553" s="103"/>
      <c r="S59553" s="8"/>
      <c r="T59553" s="8"/>
      <c r="U59553" s="8"/>
      <c r="V59553" s="8"/>
      <c r="W59553" s="8"/>
      <c r="X59553" s="8"/>
      <c r="Y59553" s="8"/>
      <c r="Z59553" s="8"/>
      <c r="AA59553" s="8"/>
    </row>
    <row r="59554" spans="1:27" x14ac:dyDescent="0.25">
      <c r="A59554" s="8"/>
      <c r="B59554" s="8"/>
      <c r="C59554" s="99"/>
      <c r="D59554" s="8"/>
      <c r="E59554" s="8"/>
      <c r="F59554" s="8"/>
      <c r="G59554" s="8"/>
      <c r="H59554" s="8"/>
      <c r="I59554" s="102"/>
      <c r="J59554" s="8"/>
      <c r="K59554" s="8"/>
      <c r="L59554" s="8"/>
      <c r="M59554" s="8"/>
      <c r="N59554" s="8"/>
      <c r="O59554" s="8"/>
      <c r="P59554" s="8"/>
      <c r="Q59554" s="8"/>
      <c r="R59554" s="103"/>
      <c r="S59554" s="8"/>
      <c r="T59554" s="8"/>
      <c r="U59554" s="8"/>
      <c r="V59554" s="8"/>
      <c r="W59554" s="8"/>
      <c r="X59554" s="8"/>
      <c r="Y59554" s="8"/>
      <c r="Z59554" s="8"/>
      <c r="AA59554" s="8"/>
    </row>
    <row r="59555" spans="1:27" x14ac:dyDescent="0.25">
      <c r="A59555" s="8"/>
      <c r="B59555" s="8"/>
      <c r="C59555" s="99"/>
      <c r="D59555" s="8"/>
      <c r="E59555" s="8"/>
      <c r="F59555" s="8"/>
      <c r="G59555" s="8"/>
      <c r="H59555" s="8"/>
      <c r="I59555" s="102"/>
      <c r="J59555" s="8"/>
      <c r="K59555" s="8"/>
      <c r="L59555" s="8"/>
      <c r="M59555" s="8"/>
      <c r="N59555" s="8"/>
      <c r="O59555" s="8"/>
      <c r="P59555" s="8"/>
      <c r="Q59555" s="8"/>
      <c r="R59555" s="103"/>
      <c r="S59555" s="8"/>
      <c r="T59555" s="8"/>
      <c r="U59555" s="8"/>
      <c r="V59555" s="8"/>
      <c r="W59555" s="8"/>
      <c r="X59555" s="8"/>
      <c r="Y59555" s="8"/>
      <c r="Z59555" s="8"/>
      <c r="AA59555" s="8"/>
    </row>
    <row r="59556" spans="1:27" x14ac:dyDescent="0.25">
      <c r="A59556" s="8"/>
      <c r="B59556" s="8"/>
      <c r="C59556" s="99"/>
      <c r="D59556" s="8"/>
      <c r="E59556" s="8"/>
      <c r="F59556" s="8"/>
      <c r="G59556" s="8"/>
      <c r="H59556" s="8"/>
      <c r="I59556" s="102"/>
      <c r="J59556" s="8"/>
      <c r="K59556" s="8"/>
      <c r="L59556" s="8"/>
      <c r="M59556" s="8"/>
      <c r="N59556" s="8"/>
      <c r="O59556" s="8"/>
      <c r="P59556" s="8"/>
      <c r="Q59556" s="8"/>
      <c r="R59556" s="103"/>
      <c r="S59556" s="8"/>
      <c r="T59556" s="8"/>
      <c r="U59556" s="8"/>
      <c r="V59556" s="8"/>
      <c r="W59556" s="8"/>
      <c r="X59556" s="8"/>
      <c r="Y59556" s="8"/>
      <c r="Z59556" s="8"/>
      <c r="AA59556" s="8"/>
    </row>
    <row r="59557" spans="1:27" x14ac:dyDescent="0.25">
      <c r="A59557" s="8"/>
      <c r="B59557" s="8"/>
      <c r="C59557" s="99"/>
      <c r="D59557" s="8"/>
      <c r="E59557" s="8"/>
      <c r="F59557" s="8"/>
      <c r="G59557" s="8"/>
      <c r="H59557" s="8"/>
      <c r="I59557" s="102"/>
      <c r="J59557" s="8"/>
      <c r="K59557" s="8"/>
      <c r="L59557" s="8"/>
      <c r="M59557" s="8"/>
      <c r="N59557" s="8"/>
      <c r="O59557" s="8"/>
      <c r="P59557" s="8"/>
      <c r="Q59557" s="8"/>
      <c r="R59557" s="103"/>
      <c r="S59557" s="8"/>
      <c r="T59557" s="8"/>
      <c r="U59557" s="8"/>
      <c r="V59557" s="8"/>
      <c r="W59557" s="8"/>
      <c r="X59557" s="8"/>
      <c r="Y59557" s="8"/>
      <c r="Z59557" s="8"/>
      <c r="AA59557" s="8"/>
    </row>
    <row r="59558" spans="1:27" x14ac:dyDescent="0.25">
      <c r="A59558" s="8"/>
      <c r="B59558" s="8"/>
      <c r="C59558" s="99"/>
      <c r="D59558" s="8"/>
      <c r="E59558" s="8"/>
      <c r="F59558" s="8"/>
      <c r="G59558" s="8"/>
      <c r="H59558" s="8"/>
      <c r="I59558" s="102"/>
      <c r="J59558" s="8"/>
      <c r="K59558" s="8"/>
      <c r="L59558" s="8"/>
      <c r="M59558" s="8"/>
      <c r="N59558" s="8"/>
      <c r="O59558" s="8"/>
      <c r="P59558" s="8"/>
      <c r="Q59558" s="8"/>
      <c r="R59558" s="103"/>
      <c r="S59558" s="8"/>
      <c r="T59558" s="8"/>
      <c r="U59558" s="8"/>
      <c r="V59558" s="8"/>
      <c r="W59558" s="8"/>
      <c r="X59558" s="8"/>
      <c r="Y59558" s="8"/>
      <c r="Z59558" s="8"/>
      <c r="AA59558" s="8"/>
    </row>
    <row r="59559" spans="1:27" x14ac:dyDescent="0.25">
      <c r="A59559" s="8"/>
      <c r="B59559" s="8"/>
      <c r="C59559" s="99"/>
      <c r="D59559" s="8"/>
      <c r="E59559" s="8"/>
      <c r="F59559" s="8"/>
      <c r="G59559" s="8"/>
      <c r="H59559" s="8"/>
      <c r="I59559" s="102"/>
      <c r="J59559" s="8"/>
      <c r="K59559" s="8"/>
      <c r="L59559" s="8"/>
      <c r="M59559" s="8"/>
      <c r="N59559" s="8"/>
      <c r="O59559" s="8"/>
      <c r="P59559" s="8"/>
      <c r="Q59559" s="8"/>
      <c r="R59559" s="103"/>
      <c r="S59559" s="8"/>
      <c r="T59559" s="8"/>
      <c r="U59559" s="8"/>
      <c r="V59559" s="8"/>
      <c r="W59559" s="8"/>
      <c r="X59559" s="8"/>
      <c r="Y59559" s="8"/>
      <c r="Z59559" s="8"/>
      <c r="AA59559" s="8"/>
    </row>
    <row r="59560" spans="1:27" x14ac:dyDescent="0.25">
      <c r="A59560" s="8"/>
      <c r="B59560" s="8"/>
      <c r="C59560" s="99"/>
      <c r="D59560" s="8"/>
      <c r="E59560" s="8"/>
      <c r="F59560" s="8"/>
      <c r="G59560" s="8"/>
      <c r="H59560" s="8"/>
      <c r="I59560" s="102"/>
      <c r="J59560" s="8"/>
      <c r="K59560" s="8"/>
      <c r="L59560" s="8"/>
      <c r="M59560" s="8"/>
      <c r="N59560" s="8"/>
      <c r="O59560" s="8"/>
      <c r="P59560" s="8"/>
      <c r="Q59560" s="8"/>
      <c r="R59560" s="103"/>
      <c r="S59560" s="8"/>
      <c r="T59560" s="8"/>
      <c r="U59560" s="8"/>
      <c r="V59560" s="8"/>
      <c r="W59560" s="8"/>
      <c r="X59560" s="8"/>
      <c r="Y59560" s="8"/>
      <c r="Z59560" s="8"/>
      <c r="AA59560" s="8"/>
    </row>
    <row r="59561" spans="1:27" x14ac:dyDescent="0.25">
      <c r="A59561" s="8"/>
      <c r="B59561" s="8"/>
      <c r="C59561" s="99"/>
      <c r="D59561" s="8"/>
      <c r="E59561" s="8"/>
      <c r="F59561" s="8"/>
      <c r="G59561" s="8"/>
      <c r="H59561" s="8"/>
      <c r="I59561" s="102"/>
      <c r="J59561" s="8"/>
      <c r="K59561" s="8"/>
      <c r="L59561" s="8"/>
      <c r="M59561" s="8"/>
      <c r="N59561" s="8"/>
      <c r="O59561" s="8"/>
      <c r="P59561" s="8"/>
      <c r="Q59561" s="8"/>
      <c r="R59561" s="103"/>
      <c r="S59561" s="8"/>
      <c r="T59561" s="8"/>
      <c r="U59561" s="8"/>
      <c r="V59561" s="8"/>
      <c r="W59561" s="8"/>
      <c r="X59561" s="8"/>
      <c r="Y59561" s="8"/>
      <c r="Z59561" s="8"/>
      <c r="AA59561" s="8"/>
    </row>
    <row r="59562" spans="1:27" x14ac:dyDescent="0.25">
      <c r="A59562" s="8"/>
      <c r="B59562" s="8"/>
      <c r="C59562" s="99"/>
      <c r="D59562" s="8"/>
      <c r="E59562" s="8"/>
      <c r="F59562" s="8"/>
      <c r="G59562" s="8"/>
      <c r="H59562" s="8"/>
      <c r="I59562" s="102"/>
      <c r="J59562" s="8"/>
      <c r="K59562" s="8"/>
      <c r="L59562" s="8"/>
      <c r="M59562" s="8"/>
      <c r="N59562" s="8"/>
      <c r="O59562" s="8"/>
      <c r="P59562" s="8"/>
      <c r="Q59562" s="8"/>
      <c r="R59562" s="103"/>
      <c r="S59562" s="8"/>
      <c r="T59562" s="8"/>
      <c r="U59562" s="8"/>
      <c r="V59562" s="8"/>
      <c r="W59562" s="8"/>
      <c r="X59562" s="8"/>
      <c r="Y59562" s="8"/>
      <c r="Z59562" s="8"/>
      <c r="AA59562" s="8"/>
    </row>
    <row r="59563" spans="1:27" x14ac:dyDescent="0.25">
      <c r="A59563" s="8"/>
      <c r="B59563" s="8"/>
      <c r="C59563" s="99"/>
      <c r="D59563" s="8"/>
      <c r="E59563" s="8"/>
      <c r="F59563" s="8"/>
      <c r="G59563" s="8"/>
      <c r="H59563" s="8"/>
      <c r="I59563" s="102"/>
      <c r="J59563" s="8"/>
      <c r="K59563" s="8"/>
      <c r="L59563" s="8"/>
      <c r="M59563" s="8"/>
      <c r="N59563" s="8"/>
      <c r="O59563" s="8"/>
      <c r="P59563" s="8"/>
      <c r="Q59563" s="8"/>
      <c r="R59563" s="103"/>
      <c r="S59563" s="8"/>
      <c r="T59563" s="8"/>
      <c r="U59563" s="8"/>
      <c r="V59563" s="8"/>
      <c r="W59563" s="8"/>
      <c r="X59563" s="8"/>
      <c r="Y59563" s="8"/>
      <c r="Z59563" s="8"/>
      <c r="AA59563" s="8"/>
    </row>
    <row r="59564" spans="1:27" x14ac:dyDescent="0.25">
      <c r="A59564" s="8"/>
      <c r="B59564" s="8"/>
      <c r="C59564" s="99"/>
      <c r="D59564" s="8"/>
      <c r="E59564" s="8"/>
      <c r="F59564" s="8"/>
      <c r="G59564" s="8"/>
      <c r="H59564" s="8"/>
      <c r="I59564" s="102"/>
      <c r="J59564" s="8"/>
      <c r="K59564" s="8"/>
      <c r="L59564" s="8"/>
      <c r="M59564" s="8"/>
      <c r="N59564" s="8"/>
      <c r="O59564" s="8"/>
      <c r="P59564" s="8"/>
      <c r="Q59564" s="8"/>
      <c r="R59564" s="103"/>
      <c r="S59564" s="8"/>
      <c r="T59564" s="8"/>
      <c r="U59564" s="8"/>
      <c r="V59564" s="8"/>
      <c r="W59564" s="8"/>
      <c r="X59564" s="8"/>
      <c r="Y59564" s="8"/>
      <c r="Z59564" s="8"/>
      <c r="AA59564" s="8"/>
    </row>
    <row r="59565" spans="1:27" x14ac:dyDescent="0.25">
      <c r="A59565" s="8"/>
      <c r="B59565" s="8"/>
      <c r="C59565" s="99"/>
      <c r="D59565" s="8"/>
      <c r="E59565" s="8"/>
      <c r="F59565" s="8"/>
      <c r="G59565" s="8"/>
      <c r="H59565" s="8"/>
      <c r="I59565" s="102"/>
      <c r="J59565" s="8"/>
      <c r="K59565" s="8"/>
      <c r="L59565" s="8"/>
      <c r="M59565" s="8"/>
      <c r="N59565" s="8"/>
      <c r="O59565" s="8"/>
      <c r="P59565" s="8"/>
      <c r="Q59565" s="8"/>
      <c r="R59565" s="103"/>
      <c r="S59565" s="8"/>
      <c r="T59565" s="8"/>
      <c r="U59565" s="8"/>
      <c r="V59565" s="8"/>
      <c r="W59565" s="8"/>
      <c r="X59565" s="8"/>
      <c r="Y59565" s="8"/>
      <c r="Z59565" s="8"/>
      <c r="AA59565" s="8"/>
    </row>
    <row r="59566" spans="1:27" x14ac:dyDescent="0.25">
      <c r="A59566" s="8"/>
      <c r="B59566" s="8"/>
      <c r="C59566" s="99"/>
      <c r="D59566" s="8"/>
      <c r="E59566" s="8"/>
      <c r="F59566" s="8"/>
      <c r="G59566" s="8"/>
      <c r="H59566" s="8"/>
      <c r="I59566" s="102"/>
      <c r="J59566" s="8"/>
      <c r="K59566" s="8"/>
      <c r="L59566" s="8"/>
      <c r="M59566" s="8"/>
      <c r="N59566" s="8"/>
      <c r="O59566" s="8"/>
      <c r="P59566" s="8"/>
      <c r="Q59566" s="8"/>
      <c r="R59566" s="103"/>
      <c r="S59566" s="8"/>
      <c r="T59566" s="8"/>
      <c r="U59566" s="8"/>
      <c r="V59566" s="8"/>
      <c r="W59566" s="8"/>
      <c r="X59566" s="8"/>
      <c r="Y59566" s="8"/>
      <c r="Z59566" s="8"/>
      <c r="AA59566" s="8"/>
    </row>
    <row r="59567" spans="1:27" x14ac:dyDescent="0.25">
      <c r="A59567" s="8"/>
      <c r="B59567" s="8"/>
      <c r="C59567" s="99"/>
      <c r="D59567" s="8"/>
      <c r="E59567" s="8"/>
      <c r="F59567" s="8"/>
      <c r="G59567" s="8"/>
      <c r="H59567" s="8"/>
      <c r="I59567" s="102"/>
      <c r="J59567" s="8"/>
      <c r="K59567" s="8"/>
      <c r="L59567" s="8"/>
      <c r="M59567" s="8"/>
      <c r="N59567" s="8"/>
      <c r="O59567" s="8"/>
      <c r="P59567" s="8"/>
      <c r="Q59567" s="8"/>
      <c r="R59567" s="103"/>
      <c r="S59567" s="8"/>
      <c r="T59567" s="8"/>
      <c r="U59567" s="8"/>
      <c r="V59567" s="8"/>
      <c r="W59567" s="8"/>
      <c r="X59567" s="8"/>
      <c r="Y59567" s="8"/>
      <c r="Z59567" s="8"/>
      <c r="AA59567" s="8"/>
    </row>
    <row r="59568" spans="1:27" x14ac:dyDescent="0.25">
      <c r="A59568" s="8"/>
      <c r="B59568" s="8"/>
      <c r="C59568" s="99"/>
      <c r="D59568" s="8"/>
      <c r="E59568" s="8"/>
      <c r="F59568" s="8"/>
      <c r="G59568" s="8"/>
      <c r="H59568" s="8"/>
      <c r="I59568" s="102"/>
      <c r="J59568" s="8"/>
      <c r="K59568" s="8"/>
      <c r="L59568" s="8"/>
      <c r="M59568" s="8"/>
      <c r="N59568" s="8"/>
      <c r="O59568" s="8"/>
      <c r="P59568" s="8"/>
      <c r="Q59568" s="8"/>
      <c r="R59568" s="103"/>
      <c r="S59568" s="8"/>
      <c r="T59568" s="8"/>
      <c r="U59568" s="8"/>
      <c r="V59568" s="8"/>
      <c r="W59568" s="8"/>
      <c r="X59568" s="8"/>
      <c r="Y59568" s="8"/>
      <c r="Z59568" s="8"/>
      <c r="AA59568" s="8"/>
    </row>
    <row r="59569" spans="1:27" x14ac:dyDescent="0.25">
      <c r="A59569" s="8"/>
      <c r="B59569" s="8"/>
      <c r="C59569" s="99"/>
      <c r="D59569" s="8"/>
      <c r="E59569" s="8"/>
      <c r="F59569" s="8"/>
      <c r="G59569" s="8"/>
      <c r="H59569" s="8"/>
      <c r="I59569" s="102"/>
      <c r="J59569" s="8"/>
      <c r="K59569" s="8"/>
      <c r="L59569" s="8"/>
      <c r="M59569" s="8"/>
      <c r="N59569" s="8"/>
      <c r="O59569" s="8"/>
      <c r="P59569" s="8"/>
      <c r="Q59569" s="8"/>
      <c r="R59569" s="103"/>
      <c r="S59569" s="8"/>
      <c r="T59569" s="8"/>
      <c r="U59569" s="8"/>
      <c r="V59569" s="8"/>
      <c r="W59569" s="8"/>
      <c r="X59569" s="8"/>
      <c r="Y59569" s="8"/>
      <c r="Z59569" s="8"/>
      <c r="AA59569" s="8"/>
    </row>
    <row r="59570" spans="1:27" x14ac:dyDescent="0.25">
      <c r="A59570" s="8"/>
      <c r="B59570" s="8"/>
      <c r="C59570" s="99"/>
      <c r="D59570" s="8"/>
      <c r="E59570" s="8"/>
      <c r="F59570" s="8"/>
      <c r="G59570" s="8"/>
      <c r="H59570" s="8"/>
      <c r="I59570" s="102"/>
      <c r="J59570" s="8"/>
      <c r="K59570" s="8"/>
      <c r="L59570" s="8"/>
      <c r="M59570" s="8"/>
      <c r="N59570" s="8"/>
      <c r="O59570" s="8"/>
      <c r="P59570" s="8"/>
      <c r="Q59570" s="8"/>
      <c r="R59570" s="103"/>
      <c r="S59570" s="8"/>
      <c r="T59570" s="8"/>
      <c r="U59570" s="8"/>
      <c r="V59570" s="8"/>
      <c r="W59570" s="8"/>
      <c r="X59570" s="8"/>
      <c r="Y59570" s="8"/>
      <c r="Z59570" s="8"/>
      <c r="AA59570" s="8"/>
    </row>
    <row r="59571" spans="1:27" x14ac:dyDescent="0.25">
      <c r="A59571" s="8"/>
      <c r="B59571" s="8"/>
      <c r="C59571" s="99"/>
      <c r="D59571" s="8"/>
      <c r="E59571" s="8"/>
      <c r="F59571" s="8"/>
      <c r="G59571" s="8"/>
      <c r="H59571" s="8"/>
      <c r="I59571" s="102"/>
      <c r="J59571" s="8"/>
      <c r="K59571" s="8"/>
      <c r="L59571" s="8"/>
      <c r="M59571" s="8"/>
      <c r="N59571" s="8"/>
      <c r="O59571" s="8"/>
      <c r="P59571" s="8"/>
      <c r="Q59571" s="8"/>
      <c r="R59571" s="103"/>
      <c r="S59571" s="8"/>
      <c r="T59571" s="8"/>
      <c r="U59571" s="8"/>
      <c r="V59571" s="8"/>
      <c r="W59571" s="8"/>
      <c r="X59571" s="8"/>
      <c r="Y59571" s="8"/>
      <c r="Z59571" s="8"/>
      <c r="AA59571" s="8"/>
    </row>
    <row r="59572" spans="1:27" x14ac:dyDescent="0.25">
      <c r="A59572" s="8"/>
      <c r="B59572" s="8"/>
      <c r="C59572" s="99"/>
      <c r="D59572" s="8"/>
      <c r="E59572" s="8"/>
      <c r="F59572" s="8"/>
      <c r="G59572" s="8"/>
      <c r="H59572" s="8"/>
      <c r="I59572" s="102"/>
      <c r="J59572" s="8"/>
      <c r="K59572" s="8"/>
      <c r="L59572" s="8"/>
      <c r="M59572" s="8"/>
      <c r="N59572" s="8"/>
      <c r="O59572" s="8"/>
      <c r="P59572" s="8"/>
      <c r="Q59572" s="8"/>
      <c r="R59572" s="103"/>
      <c r="S59572" s="8"/>
      <c r="T59572" s="8"/>
      <c r="U59572" s="8"/>
      <c r="V59572" s="8"/>
      <c r="W59572" s="8"/>
      <c r="X59572" s="8"/>
      <c r="Y59572" s="8"/>
      <c r="Z59572" s="8"/>
      <c r="AA59572" s="8"/>
    </row>
    <row r="59573" spans="1:27" x14ac:dyDescent="0.25">
      <c r="A59573" s="8"/>
      <c r="B59573" s="8"/>
      <c r="C59573" s="99"/>
      <c r="D59573" s="8"/>
      <c r="E59573" s="8"/>
      <c r="F59573" s="8"/>
      <c r="G59573" s="8"/>
      <c r="H59573" s="8"/>
      <c r="I59573" s="102"/>
      <c r="J59573" s="8"/>
      <c r="K59573" s="8"/>
      <c r="L59573" s="8"/>
      <c r="M59573" s="8"/>
      <c r="N59573" s="8"/>
      <c r="O59573" s="8"/>
      <c r="P59573" s="8"/>
      <c r="Q59573" s="8"/>
      <c r="R59573" s="103"/>
      <c r="S59573" s="8"/>
      <c r="T59573" s="8"/>
      <c r="U59573" s="8"/>
      <c r="V59573" s="8"/>
      <c r="W59573" s="8"/>
      <c r="X59573" s="8"/>
      <c r="Y59573" s="8"/>
      <c r="Z59573" s="8"/>
      <c r="AA59573" s="8"/>
    </row>
    <row r="59574" spans="1:27" x14ac:dyDescent="0.25">
      <c r="A59574" s="8"/>
      <c r="B59574" s="8"/>
      <c r="C59574" s="99"/>
      <c r="D59574" s="8"/>
      <c r="E59574" s="8"/>
      <c r="F59574" s="8"/>
      <c r="G59574" s="8"/>
      <c r="H59574" s="8"/>
      <c r="I59574" s="102"/>
      <c r="J59574" s="8"/>
      <c r="K59574" s="8"/>
      <c r="L59574" s="8"/>
      <c r="M59574" s="8"/>
      <c r="N59574" s="8"/>
      <c r="O59574" s="8"/>
      <c r="P59574" s="8"/>
      <c r="Q59574" s="8"/>
      <c r="R59574" s="103"/>
      <c r="S59574" s="8"/>
      <c r="T59574" s="8"/>
      <c r="U59574" s="8"/>
      <c r="V59574" s="8"/>
      <c r="W59574" s="8"/>
      <c r="X59574" s="8"/>
      <c r="Y59574" s="8"/>
      <c r="Z59574" s="8"/>
      <c r="AA59574" s="8"/>
    </row>
    <row r="59575" spans="1:27" x14ac:dyDescent="0.25">
      <c r="A59575" s="8"/>
      <c r="B59575" s="8"/>
      <c r="C59575" s="99"/>
      <c r="D59575" s="8"/>
      <c r="E59575" s="8"/>
      <c r="F59575" s="8"/>
      <c r="G59575" s="8"/>
      <c r="H59575" s="8"/>
      <c r="I59575" s="102"/>
      <c r="J59575" s="8"/>
      <c r="K59575" s="8"/>
      <c r="L59575" s="8"/>
      <c r="M59575" s="8"/>
      <c r="N59575" s="8"/>
      <c r="O59575" s="8"/>
      <c r="P59575" s="8"/>
      <c r="Q59575" s="8"/>
      <c r="R59575" s="103"/>
      <c r="S59575" s="8"/>
      <c r="T59575" s="8"/>
      <c r="U59575" s="8"/>
      <c r="V59575" s="8"/>
      <c r="W59575" s="8"/>
      <c r="X59575" s="8"/>
      <c r="Y59575" s="8"/>
      <c r="Z59575" s="8"/>
      <c r="AA59575" s="8"/>
    </row>
    <row r="59576" spans="1:27" x14ac:dyDescent="0.25">
      <c r="A59576" s="8"/>
      <c r="B59576" s="8"/>
      <c r="C59576" s="99"/>
      <c r="D59576" s="8"/>
      <c r="E59576" s="8"/>
      <c r="F59576" s="8"/>
      <c r="G59576" s="8"/>
      <c r="H59576" s="8"/>
      <c r="I59576" s="102"/>
      <c r="J59576" s="8"/>
      <c r="K59576" s="8"/>
      <c r="L59576" s="8"/>
      <c r="M59576" s="8"/>
      <c r="N59576" s="8"/>
      <c r="O59576" s="8"/>
      <c r="P59576" s="8"/>
      <c r="Q59576" s="8"/>
      <c r="R59576" s="103"/>
      <c r="S59576" s="8"/>
      <c r="T59576" s="8"/>
      <c r="U59576" s="8"/>
      <c r="V59576" s="8"/>
      <c r="W59576" s="8"/>
      <c r="X59576" s="8"/>
      <c r="Y59576" s="8"/>
      <c r="Z59576" s="8"/>
      <c r="AA59576" s="8"/>
    </row>
    <row r="59577" spans="1:27" x14ac:dyDescent="0.25">
      <c r="A59577" s="8"/>
      <c r="B59577" s="8"/>
      <c r="C59577" s="99"/>
      <c r="D59577" s="8"/>
      <c r="E59577" s="8"/>
      <c r="F59577" s="8"/>
      <c r="G59577" s="8"/>
      <c r="H59577" s="8"/>
      <c r="I59577" s="102"/>
      <c r="J59577" s="8"/>
      <c r="K59577" s="8"/>
      <c r="L59577" s="8"/>
      <c r="M59577" s="8"/>
      <c r="N59577" s="8"/>
      <c r="O59577" s="8"/>
      <c r="P59577" s="8"/>
      <c r="Q59577" s="8"/>
      <c r="R59577" s="103"/>
      <c r="S59577" s="8"/>
      <c r="T59577" s="8"/>
      <c r="U59577" s="8"/>
      <c r="V59577" s="8"/>
      <c r="W59577" s="8"/>
      <c r="X59577" s="8"/>
      <c r="Y59577" s="8"/>
      <c r="Z59577" s="8"/>
      <c r="AA59577" s="8"/>
    </row>
    <row r="59578" spans="1:27" x14ac:dyDescent="0.25">
      <c r="A59578" s="8"/>
      <c r="B59578" s="8"/>
      <c r="C59578" s="99"/>
      <c r="D59578" s="8"/>
      <c r="E59578" s="8"/>
      <c r="F59578" s="8"/>
      <c r="G59578" s="8"/>
      <c r="H59578" s="8"/>
      <c r="I59578" s="102"/>
      <c r="J59578" s="8"/>
      <c r="K59578" s="8"/>
      <c r="L59578" s="8"/>
      <c r="M59578" s="8"/>
      <c r="N59578" s="8"/>
      <c r="O59578" s="8"/>
      <c r="P59578" s="8"/>
      <c r="Q59578" s="8"/>
      <c r="R59578" s="103"/>
      <c r="S59578" s="8"/>
      <c r="T59578" s="8"/>
      <c r="U59578" s="8"/>
      <c r="V59578" s="8"/>
      <c r="W59578" s="8"/>
      <c r="X59578" s="8"/>
      <c r="Y59578" s="8"/>
      <c r="Z59578" s="8"/>
      <c r="AA59578" s="8"/>
    </row>
    <row r="59579" spans="1:27" x14ac:dyDescent="0.25">
      <c r="A59579" s="8"/>
      <c r="B59579" s="8"/>
      <c r="C59579" s="99"/>
      <c r="D59579" s="8"/>
      <c r="E59579" s="8"/>
      <c r="F59579" s="8"/>
      <c r="G59579" s="8"/>
      <c r="H59579" s="8"/>
      <c r="I59579" s="102"/>
      <c r="J59579" s="8"/>
      <c r="K59579" s="8"/>
      <c r="L59579" s="8"/>
      <c r="M59579" s="8"/>
      <c r="N59579" s="8"/>
      <c r="O59579" s="8"/>
      <c r="P59579" s="8"/>
      <c r="Q59579" s="8"/>
      <c r="R59579" s="103"/>
      <c r="S59579" s="8"/>
      <c r="T59579" s="8"/>
      <c r="U59579" s="8"/>
      <c r="V59579" s="8"/>
      <c r="W59579" s="8"/>
      <c r="X59579" s="8"/>
      <c r="Y59579" s="8"/>
      <c r="Z59579" s="8"/>
      <c r="AA59579" s="8"/>
    </row>
    <row r="59580" spans="1:27" x14ac:dyDescent="0.25">
      <c r="A59580" s="8"/>
      <c r="B59580" s="8"/>
      <c r="C59580" s="99"/>
      <c r="D59580" s="8"/>
      <c r="E59580" s="8"/>
      <c r="F59580" s="8"/>
      <c r="G59580" s="8"/>
      <c r="H59580" s="8"/>
      <c r="I59580" s="102"/>
      <c r="J59580" s="8"/>
      <c r="K59580" s="8"/>
      <c r="L59580" s="8"/>
      <c r="M59580" s="8"/>
      <c r="N59580" s="8"/>
      <c r="O59580" s="8"/>
      <c r="P59580" s="8"/>
      <c r="Q59580" s="8"/>
      <c r="R59580" s="103"/>
      <c r="S59580" s="8"/>
      <c r="T59580" s="8"/>
      <c r="U59580" s="8"/>
      <c r="V59580" s="8"/>
      <c r="W59580" s="8"/>
      <c r="X59580" s="8"/>
      <c r="Y59580" s="8"/>
      <c r="Z59580" s="8"/>
      <c r="AA59580" s="8"/>
    </row>
    <row r="59581" spans="1:27" x14ac:dyDescent="0.25">
      <c r="A59581" s="8"/>
      <c r="B59581" s="8"/>
      <c r="C59581" s="99"/>
      <c r="D59581" s="8"/>
      <c r="E59581" s="8"/>
      <c r="F59581" s="8"/>
      <c r="G59581" s="8"/>
      <c r="H59581" s="8"/>
      <c r="I59581" s="102"/>
      <c r="J59581" s="8"/>
      <c r="K59581" s="8"/>
      <c r="L59581" s="8"/>
      <c r="M59581" s="8"/>
      <c r="N59581" s="8"/>
      <c r="O59581" s="8"/>
      <c r="P59581" s="8"/>
      <c r="Q59581" s="8"/>
      <c r="R59581" s="103"/>
      <c r="S59581" s="8"/>
      <c r="T59581" s="8"/>
      <c r="U59581" s="8"/>
      <c r="V59581" s="8"/>
      <c r="W59581" s="8"/>
      <c r="X59581" s="8"/>
      <c r="Y59581" s="8"/>
      <c r="Z59581" s="8"/>
      <c r="AA59581" s="8"/>
    </row>
    <row r="59582" spans="1:27" x14ac:dyDescent="0.25">
      <c r="A59582" s="8"/>
      <c r="B59582" s="8"/>
      <c r="C59582" s="99"/>
      <c r="D59582" s="8"/>
      <c r="E59582" s="8"/>
      <c r="F59582" s="8"/>
      <c r="G59582" s="8"/>
      <c r="H59582" s="8"/>
      <c r="I59582" s="102"/>
      <c r="J59582" s="8"/>
      <c r="K59582" s="8"/>
      <c r="L59582" s="8"/>
      <c r="M59582" s="8"/>
      <c r="N59582" s="8"/>
      <c r="O59582" s="8"/>
      <c r="P59582" s="8"/>
      <c r="Q59582" s="8"/>
      <c r="R59582" s="103"/>
      <c r="S59582" s="8"/>
      <c r="T59582" s="8"/>
      <c r="U59582" s="8"/>
      <c r="V59582" s="8"/>
      <c r="W59582" s="8"/>
      <c r="X59582" s="8"/>
      <c r="Y59582" s="8"/>
      <c r="Z59582" s="8"/>
      <c r="AA59582" s="8"/>
    </row>
    <row r="59583" spans="1:27" x14ac:dyDescent="0.25">
      <c r="A59583" s="8"/>
      <c r="B59583" s="8"/>
      <c r="C59583" s="99"/>
      <c r="D59583" s="8"/>
      <c r="E59583" s="8"/>
      <c r="F59583" s="8"/>
      <c r="G59583" s="8"/>
      <c r="H59583" s="8"/>
      <c r="I59583" s="102"/>
      <c r="J59583" s="8"/>
      <c r="K59583" s="8"/>
      <c r="L59583" s="8"/>
      <c r="M59583" s="8"/>
      <c r="N59583" s="8"/>
      <c r="O59583" s="8"/>
      <c r="P59583" s="8"/>
      <c r="Q59583" s="8"/>
      <c r="R59583" s="103"/>
      <c r="S59583" s="8"/>
      <c r="T59583" s="8"/>
      <c r="U59583" s="8"/>
      <c r="V59583" s="8"/>
      <c r="W59583" s="8"/>
      <c r="X59583" s="8"/>
      <c r="Y59583" s="8"/>
      <c r="Z59583" s="8"/>
      <c r="AA59583" s="8"/>
    </row>
    <row r="59584" spans="1:27" x14ac:dyDescent="0.25">
      <c r="A59584" s="8"/>
      <c r="B59584" s="8"/>
      <c r="C59584" s="99"/>
      <c r="D59584" s="8"/>
      <c r="E59584" s="8"/>
      <c r="F59584" s="8"/>
      <c r="G59584" s="8"/>
      <c r="H59584" s="8"/>
      <c r="I59584" s="102"/>
      <c r="J59584" s="8"/>
      <c r="K59584" s="8"/>
      <c r="L59584" s="8"/>
      <c r="M59584" s="8"/>
      <c r="N59584" s="8"/>
      <c r="O59584" s="8"/>
      <c r="P59584" s="8"/>
      <c r="Q59584" s="8"/>
      <c r="R59584" s="103"/>
      <c r="S59584" s="8"/>
      <c r="T59584" s="8"/>
      <c r="U59584" s="8"/>
      <c r="V59584" s="8"/>
      <c r="W59584" s="8"/>
      <c r="X59584" s="8"/>
      <c r="Y59584" s="8"/>
      <c r="Z59584" s="8"/>
      <c r="AA59584" s="8"/>
    </row>
    <row r="59585" spans="1:27" x14ac:dyDescent="0.25">
      <c r="A59585" s="8"/>
      <c r="B59585" s="8"/>
      <c r="C59585" s="99"/>
      <c r="D59585" s="8"/>
      <c r="E59585" s="8"/>
      <c r="F59585" s="8"/>
      <c r="G59585" s="8"/>
      <c r="H59585" s="8"/>
      <c r="I59585" s="102"/>
      <c r="J59585" s="8"/>
      <c r="K59585" s="8"/>
      <c r="L59585" s="8"/>
      <c r="M59585" s="8"/>
      <c r="N59585" s="8"/>
      <c r="O59585" s="8"/>
      <c r="P59585" s="8"/>
      <c r="Q59585" s="8"/>
      <c r="R59585" s="103"/>
      <c r="S59585" s="8"/>
      <c r="T59585" s="8"/>
      <c r="U59585" s="8"/>
      <c r="V59585" s="8"/>
      <c r="W59585" s="8"/>
      <c r="X59585" s="8"/>
      <c r="Y59585" s="8"/>
      <c r="Z59585" s="8"/>
      <c r="AA59585" s="8"/>
    </row>
    <row r="59586" spans="1:27" x14ac:dyDescent="0.25">
      <c r="A59586" s="8"/>
      <c r="B59586" s="8"/>
      <c r="C59586" s="99"/>
      <c r="D59586" s="8"/>
      <c r="E59586" s="8"/>
      <c r="F59586" s="8"/>
      <c r="G59586" s="8"/>
      <c r="H59586" s="8"/>
      <c r="I59586" s="102"/>
      <c r="J59586" s="8"/>
      <c r="K59586" s="8"/>
      <c r="L59586" s="8"/>
      <c r="M59586" s="8"/>
      <c r="N59586" s="8"/>
      <c r="O59586" s="8"/>
      <c r="P59586" s="8"/>
      <c r="Q59586" s="8"/>
      <c r="R59586" s="103"/>
      <c r="S59586" s="8"/>
      <c r="T59586" s="8"/>
      <c r="U59586" s="8"/>
      <c r="V59586" s="8"/>
      <c r="W59586" s="8"/>
      <c r="X59586" s="8"/>
      <c r="Y59586" s="8"/>
      <c r="Z59586" s="8"/>
      <c r="AA59586" s="8"/>
    </row>
    <row r="59587" spans="1:27" x14ac:dyDescent="0.25">
      <c r="A59587" s="8"/>
      <c r="B59587" s="8"/>
      <c r="C59587" s="99"/>
      <c r="D59587" s="8"/>
      <c r="E59587" s="8"/>
      <c r="F59587" s="8"/>
      <c r="G59587" s="8"/>
      <c r="H59587" s="8"/>
      <c r="I59587" s="102"/>
      <c r="J59587" s="8"/>
      <c r="K59587" s="8"/>
      <c r="L59587" s="8"/>
      <c r="M59587" s="8"/>
      <c r="N59587" s="8"/>
      <c r="O59587" s="8"/>
      <c r="P59587" s="8"/>
      <c r="Q59587" s="8"/>
      <c r="R59587" s="103"/>
      <c r="S59587" s="8"/>
      <c r="T59587" s="8"/>
      <c r="U59587" s="8"/>
      <c r="V59587" s="8"/>
      <c r="W59587" s="8"/>
      <c r="X59587" s="8"/>
      <c r="Y59587" s="8"/>
      <c r="Z59587" s="8"/>
      <c r="AA59587" s="8"/>
    </row>
    <row r="59588" spans="1:27" x14ac:dyDescent="0.25">
      <c r="A59588" s="8"/>
      <c r="B59588" s="8"/>
      <c r="C59588" s="99"/>
      <c r="D59588" s="8"/>
      <c r="E59588" s="8"/>
      <c r="F59588" s="8"/>
      <c r="G59588" s="8"/>
      <c r="H59588" s="8"/>
      <c r="I59588" s="102"/>
      <c r="J59588" s="8"/>
      <c r="K59588" s="8"/>
      <c r="L59588" s="8"/>
      <c r="M59588" s="8"/>
      <c r="N59588" s="8"/>
      <c r="O59588" s="8"/>
      <c r="P59588" s="8"/>
      <c r="Q59588" s="8"/>
      <c r="R59588" s="103"/>
      <c r="S59588" s="8"/>
      <c r="T59588" s="8"/>
      <c r="U59588" s="8"/>
      <c r="V59588" s="8"/>
      <c r="W59588" s="8"/>
      <c r="X59588" s="8"/>
      <c r="Y59588" s="8"/>
      <c r="Z59588" s="8"/>
      <c r="AA59588" s="8"/>
    </row>
    <row r="59589" spans="1:27" x14ac:dyDescent="0.25">
      <c r="A59589" s="8"/>
      <c r="B59589" s="8"/>
      <c r="C59589" s="99"/>
      <c r="D59589" s="8"/>
      <c r="E59589" s="8"/>
      <c r="F59589" s="8"/>
      <c r="G59589" s="8"/>
      <c r="H59589" s="8"/>
      <c r="I59589" s="102"/>
      <c r="J59589" s="8"/>
      <c r="K59589" s="8"/>
      <c r="L59589" s="8"/>
      <c r="M59589" s="8"/>
      <c r="N59589" s="8"/>
      <c r="O59589" s="8"/>
      <c r="P59589" s="8"/>
      <c r="Q59589" s="8"/>
      <c r="R59589" s="103"/>
      <c r="S59589" s="8"/>
      <c r="T59589" s="8"/>
      <c r="U59589" s="8"/>
      <c r="V59589" s="8"/>
      <c r="W59589" s="8"/>
      <c r="X59589" s="8"/>
      <c r="Y59589" s="8"/>
      <c r="Z59589" s="8"/>
      <c r="AA59589" s="8"/>
    </row>
    <row r="59590" spans="1:27" x14ac:dyDescent="0.25">
      <c r="A59590" s="8"/>
      <c r="B59590" s="8"/>
      <c r="C59590" s="99"/>
      <c r="D59590" s="8"/>
      <c r="E59590" s="8"/>
      <c r="F59590" s="8"/>
      <c r="G59590" s="8"/>
      <c r="H59590" s="8"/>
      <c r="I59590" s="102"/>
      <c r="J59590" s="8"/>
      <c r="K59590" s="8"/>
      <c r="L59590" s="8"/>
      <c r="M59590" s="8"/>
      <c r="N59590" s="8"/>
      <c r="O59590" s="8"/>
      <c r="P59590" s="8"/>
      <c r="Q59590" s="8"/>
      <c r="R59590" s="103"/>
      <c r="S59590" s="8"/>
      <c r="T59590" s="8"/>
      <c r="U59590" s="8"/>
      <c r="V59590" s="8"/>
      <c r="W59590" s="8"/>
      <c r="X59590" s="8"/>
      <c r="Y59590" s="8"/>
      <c r="Z59590" s="8"/>
      <c r="AA59590" s="8"/>
    </row>
    <row r="59591" spans="1:27" x14ac:dyDescent="0.25">
      <c r="A59591" s="8"/>
      <c r="B59591" s="8"/>
      <c r="C59591" s="99"/>
      <c r="D59591" s="8"/>
      <c r="E59591" s="8"/>
      <c r="F59591" s="8"/>
      <c r="G59591" s="8"/>
      <c r="H59591" s="8"/>
      <c r="I59591" s="102"/>
      <c r="J59591" s="8"/>
      <c r="K59591" s="8"/>
      <c r="L59591" s="8"/>
      <c r="M59591" s="8"/>
      <c r="N59591" s="8"/>
      <c r="O59591" s="8"/>
      <c r="P59591" s="8"/>
      <c r="Q59591" s="8"/>
      <c r="R59591" s="103"/>
      <c r="S59591" s="8"/>
      <c r="T59591" s="8"/>
      <c r="U59591" s="8"/>
      <c r="V59591" s="8"/>
      <c r="W59591" s="8"/>
      <c r="X59591" s="8"/>
      <c r="Y59591" s="8"/>
      <c r="Z59591" s="8"/>
      <c r="AA59591" s="8"/>
    </row>
    <row r="59592" spans="1:27" x14ac:dyDescent="0.25">
      <c r="A59592" s="8"/>
      <c r="B59592" s="8"/>
      <c r="C59592" s="99"/>
      <c r="D59592" s="8"/>
      <c r="E59592" s="8"/>
      <c r="F59592" s="8"/>
      <c r="G59592" s="8"/>
      <c r="H59592" s="8"/>
      <c r="I59592" s="102"/>
      <c r="J59592" s="8"/>
      <c r="K59592" s="8"/>
      <c r="L59592" s="8"/>
      <c r="M59592" s="8"/>
      <c r="N59592" s="8"/>
      <c r="O59592" s="8"/>
      <c r="P59592" s="8"/>
      <c r="Q59592" s="8"/>
      <c r="R59592" s="103"/>
      <c r="S59592" s="8"/>
      <c r="T59592" s="8"/>
      <c r="U59592" s="8"/>
      <c r="V59592" s="8"/>
      <c r="W59592" s="8"/>
      <c r="X59592" s="8"/>
      <c r="Y59592" s="8"/>
      <c r="Z59592" s="8"/>
      <c r="AA59592" s="8"/>
    </row>
    <row r="59593" spans="1:27" x14ac:dyDescent="0.25">
      <c r="A59593" s="8"/>
      <c r="B59593" s="8"/>
      <c r="C59593" s="99"/>
      <c r="D59593" s="8"/>
      <c r="E59593" s="8"/>
      <c r="F59593" s="8"/>
      <c r="G59593" s="8"/>
      <c r="H59593" s="8"/>
      <c r="I59593" s="102"/>
      <c r="J59593" s="8"/>
      <c r="K59593" s="8"/>
      <c r="L59593" s="8"/>
      <c r="M59593" s="8"/>
      <c r="N59593" s="8"/>
      <c r="O59593" s="8"/>
      <c r="P59593" s="8"/>
      <c r="Q59593" s="8"/>
      <c r="R59593" s="103"/>
      <c r="S59593" s="8"/>
      <c r="T59593" s="8"/>
      <c r="U59593" s="8"/>
      <c r="V59593" s="8"/>
      <c r="W59593" s="8"/>
      <c r="X59593" s="8"/>
      <c r="Y59593" s="8"/>
      <c r="Z59593" s="8"/>
      <c r="AA59593" s="8"/>
    </row>
    <row r="59594" spans="1:27" x14ac:dyDescent="0.25">
      <c r="A59594" s="8"/>
      <c r="B59594" s="8"/>
      <c r="C59594" s="99"/>
      <c r="D59594" s="8"/>
      <c r="E59594" s="8"/>
      <c r="F59594" s="8"/>
      <c r="G59594" s="8"/>
      <c r="H59594" s="8"/>
      <c r="I59594" s="102"/>
      <c r="J59594" s="8"/>
      <c r="K59594" s="8"/>
      <c r="L59594" s="8"/>
      <c r="M59594" s="8"/>
      <c r="N59594" s="8"/>
      <c r="O59594" s="8"/>
      <c r="P59594" s="8"/>
      <c r="Q59594" s="8"/>
      <c r="R59594" s="103"/>
      <c r="S59594" s="8"/>
      <c r="T59594" s="8"/>
      <c r="U59594" s="8"/>
      <c r="V59594" s="8"/>
      <c r="W59594" s="8"/>
      <c r="X59594" s="8"/>
      <c r="Y59594" s="8"/>
      <c r="Z59594" s="8"/>
      <c r="AA59594" s="8"/>
    </row>
    <row r="59595" spans="1:27" x14ac:dyDescent="0.25">
      <c r="A59595" s="8"/>
      <c r="B59595" s="8"/>
      <c r="C59595" s="99"/>
      <c r="D59595" s="8"/>
      <c r="E59595" s="8"/>
      <c r="F59595" s="8"/>
      <c r="G59595" s="8"/>
      <c r="H59595" s="8"/>
      <c r="I59595" s="102"/>
      <c r="J59595" s="8"/>
      <c r="K59595" s="8"/>
      <c r="L59595" s="8"/>
      <c r="M59595" s="8"/>
      <c r="N59595" s="8"/>
      <c r="O59595" s="8"/>
      <c r="P59595" s="8"/>
      <c r="Q59595" s="8"/>
      <c r="R59595" s="103"/>
      <c r="S59595" s="8"/>
      <c r="T59595" s="8"/>
      <c r="U59595" s="8"/>
      <c r="V59595" s="8"/>
      <c r="W59595" s="8"/>
      <c r="X59595" s="8"/>
      <c r="Y59595" s="8"/>
      <c r="Z59595" s="8"/>
      <c r="AA59595" s="8"/>
    </row>
    <row r="59596" spans="1:27" x14ac:dyDescent="0.25">
      <c r="A59596" s="8"/>
      <c r="B59596" s="8"/>
      <c r="C59596" s="99"/>
      <c r="D59596" s="8"/>
      <c r="E59596" s="8"/>
      <c r="F59596" s="8"/>
      <c r="G59596" s="8"/>
      <c r="H59596" s="8"/>
      <c r="I59596" s="102"/>
      <c r="J59596" s="8"/>
      <c r="K59596" s="8"/>
      <c r="L59596" s="8"/>
      <c r="M59596" s="8"/>
      <c r="N59596" s="8"/>
      <c r="O59596" s="8"/>
      <c r="P59596" s="8"/>
      <c r="Q59596" s="8"/>
      <c r="R59596" s="103"/>
      <c r="S59596" s="8"/>
      <c r="T59596" s="8"/>
      <c r="U59596" s="8"/>
      <c r="V59596" s="8"/>
      <c r="W59596" s="8"/>
      <c r="X59596" s="8"/>
      <c r="Y59596" s="8"/>
      <c r="Z59596" s="8"/>
      <c r="AA59596" s="8"/>
    </row>
    <row r="59597" spans="1:27" x14ac:dyDescent="0.25">
      <c r="A59597" s="8"/>
      <c r="B59597" s="8"/>
      <c r="C59597" s="99"/>
      <c r="D59597" s="8"/>
      <c r="E59597" s="8"/>
      <c r="F59597" s="8"/>
      <c r="G59597" s="8"/>
      <c r="H59597" s="8"/>
      <c r="I59597" s="102"/>
      <c r="J59597" s="8"/>
      <c r="K59597" s="8"/>
      <c r="L59597" s="8"/>
      <c r="M59597" s="8"/>
      <c r="N59597" s="8"/>
      <c r="O59597" s="8"/>
      <c r="P59597" s="8"/>
      <c r="Q59597" s="8"/>
      <c r="R59597" s="103"/>
      <c r="S59597" s="8"/>
      <c r="T59597" s="8"/>
      <c r="U59597" s="8"/>
      <c r="V59597" s="8"/>
      <c r="W59597" s="8"/>
      <c r="X59597" s="8"/>
      <c r="Y59597" s="8"/>
      <c r="Z59597" s="8"/>
      <c r="AA59597" s="8"/>
    </row>
    <row r="59598" spans="1:27" x14ac:dyDescent="0.25">
      <c r="A59598" s="8"/>
      <c r="B59598" s="8"/>
      <c r="C59598" s="99"/>
      <c r="D59598" s="8"/>
      <c r="E59598" s="8"/>
      <c r="F59598" s="8"/>
      <c r="G59598" s="8"/>
      <c r="H59598" s="8"/>
      <c r="I59598" s="102"/>
      <c r="J59598" s="8"/>
      <c r="K59598" s="8"/>
      <c r="L59598" s="8"/>
      <c r="M59598" s="8"/>
      <c r="N59598" s="8"/>
      <c r="O59598" s="8"/>
      <c r="P59598" s="8"/>
      <c r="Q59598" s="8"/>
      <c r="R59598" s="103"/>
      <c r="S59598" s="8"/>
      <c r="T59598" s="8"/>
      <c r="U59598" s="8"/>
      <c r="V59598" s="8"/>
      <c r="W59598" s="8"/>
      <c r="X59598" s="8"/>
      <c r="Y59598" s="8"/>
      <c r="Z59598" s="8"/>
      <c r="AA59598" s="8"/>
    </row>
    <row r="59599" spans="1:27" x14ac:dyDescent="0.25">
      <c r="A59599" s="8"/>
      <c r="B59599" s="8"/>
      <c r="C59599" s="99"/>
      <c r="D59599" s="8"/>
      <c r="E59599" s="8"/>
      <c r="F59599" s="8"/>
      <c r="G59599" s="8"/>
      <c r="H59599" s="8"/>
      <c r="I59599" s="102"/>
      <c r="J59599" s="8"/>
      <c r="K59599" s="8"/>
      <c r="L59599" s="8"/>
      <c r="M59599" s="8"/>
      <c r="N59599" s="8"/>
      <c r="O59599" s="8"/>
      <c r="P59599" s="8"/>
      <c r="Q59599" s="8"/>
      <c r="R59599" s="103"/>
      <c r="S59599" s="8"/>
      <c r="T59599" s="8"/>
      <c r="U59599" s="8"/>
      <c r="V59599" s="8"/>
      <c r="W59599" s="8"/>
      <c r="X59599" s="8"/>
      <c r="Y59599" s="8"/>
      <c r="Z59599" s="8"/>
      <c r="AA59599" s="8"/>
    </row>
    <row r="59600" spans="1:27" x14ac:dyDescent="0.25">
      <c r="A59600" s="8"/>
      <c r="B59600" s="8"/>
      <c r="C59600" s="99"/>
      <c r="D59600" s="8"/>
      <c r="E59600" s="8"/>
      <c r="F59600" s="8"/>
      <c r="G59600" s="8"/>
      <c r="H59600" s="8"/>
      <c r="I59600" s="102"/>
      <c r="J59600" s="8"/>
      <c r="K59600" s="8"/>
      <c r="L59600" s="8"/>
      <c r="M59600" s="8"/>
      <c r="N59600" s="8"/>
      <c r="O59600" s="8"/>
      <c r="P59600" s="8"/>
      <c r="Q59600" s="8"/>
      <c r="R59600" s="103"/>
      <c r="S59600" s="8"/>
      <c r="T59600" s="8"/>
      <c r="U59600" s="8"/>
      <c r="V59600" s="8"/>
      <c r="W59600" s="8"/>
      <c r="X59600" s="8"/>
      <c r="Y59600" s="8"/>
      <c r="Z59600" s="8"/>
      <c r="AA59600" s="8"/>
    </row>
    <row r="59601" spans="1:27" x14ac:dyDescent="0.25">
      <c r="A59601" s="8"/>
      <c r="B59601" s="8"/>
      <c r="C59601" s="99"/>
      <c r="D59601" s="8"/>
      <c r="E59601" s="8"/>
      <c r="F59601" s="8"/>
      <c r="G59601" s="8"/>
      <c r="H59601" s="8"/>
      <c r="I59601" s="102"/>
      <c r="J59601" s="8"/>
      <c r="K59601" s="8"/>
      <c r="L59601" s="8"/>
      <c r="M59601" s="8"/>
      <c r="N59601" s="8"/>
      <c r="O59601" s="8"/>
      <c r="P59601" s="8"/>
      <c r="Q59601" s="8"/>
      <c r="R59601" s="103"/>
      <c r="S59601" s="8"/>
      <c r="T59601" s="8"/>
      <c r="U59601" s="8"/>
      <c r="V59601" s="8"/>
      <c r="W59601" s="8"/>
      <c r="X59601" s="8"/>
      <c r="Y59601" s="8"/>
      <c r="Z59601" s="8"/>
      <c r="AA59601" s="8"/>
    </row>
    <row r="59602" spans="1:27" x14ac:dyDescent="0.25">
      <c r="A59602" s="8"/>
      <c r="B59602" s="8"/>
      <c r="C59602" s="99"/>
      <c r="D59602" s="8"/>
      <c r="E59602" s="8"/>
      <c r="F59602" s="8"/>
      <c r="G59602" s="8"/>
      <c r="H59602" s="8"/>
      <c r="I59602" s="102"/>
      <c r="J59602" s="8"/>
      <c r="K59602" s="8"/>
      <c r="L59602" s="8"/>
      <c r="M59602" s="8"/>
      <c r="N59602" s="8"/>
      <c r="O59602" s="8"/>
      <c r="P59602" s="8"/>
      <c r="Q59602" s="8"/>
      <c r="R59602" s="103"/>
      <c r="S59602" s="8"/>
      <c r="T59602" s="8"/>
      <c r="U59602" s="8"/>
      <c r="V59602" s="8"/>
      <c r="W59602" s="8"/>
      <c r="X59602" s="8"/>
      <c r="Y59602" s="8"/>
      <c r="Z59602" s="8"/>
      <c r="AA59602" s="8"/>
    </row>
    <row r="59603" spans="1:27" x14ac:dyDescent="0.25">
      <c r="A59603" s="8"/>
      <c r="B59603" s="8"/>
      <c r="C59603" s="99"/>
      <c r="D59603" s="8"/>
      <c r="E59603" s="8"/>
      <c r="F59603" s="8"/>
      <c r="G59603" s="8"/>
      <c r="H59603" s="8"/>
      <c r="I59603" s="102"/>
      <c r="J59603" s="8"/>
      <c r="K59603" s="8"/>
      <c r="L59603" s="8"/>
      <c r="M59603" s="8"/>
      <c r="N59603" s="8"/>
      <c r="O59603" s="8"/>
      <c r="P59603" s="8"/>
      <c r="Q59603" s="8"/>
      <c r="R59603" s="103"/>
      <c r="S59603" s="8"/>
      <c r="T59603" s="8"/>
      <c r="U59603" s="8"/>
      <c r="V59603" s="8"/>
      <c r="W59603" s="8"/>
      <c r="X59603" s="8"/>
      <c r="Y59603" s="8"/>
      <c r="Z59603" s="8"/>
      <c r="AA59603" s="8"/>
    </row>
    <row r="59604" spans="1:27" x14ac:dyDescent="0.25">
      <c r="A59604" s="8"/>
      <c r="B59604" s="8"/>
      <c r="C59604" s="99"/>
      <c r="D59604" s="8"/>
      <c r="E59604" s="8"/>
      <c r="F59604" s="8"/>
      <c r="G59604" s="8"/>
      <c r="H59604" s="8"/>
      <c r="I59604" s="102"/>
      <c r="J59604" s="8"/>
      <c r="K59604" s="8"/>
      <c r="L59604" s="8"/>
      <c r="M59604" s="8"/>
      <c r="N59604" s="8"/>
      <c r="O59604" s="8"/>
      <c r="P59604" s="8"/>
      <c r="Q59604" s="8"/>
      <c r="R59604" s="103"/>
      <c r="S59604" s="8"/>
      <c r="T59604" s="8"/>
      <c r="U59604" s="8"/>
      <c r="V59604" s="8"/>
      <c r="W59604" s="8"/>
      <c r="X59604" s="8"/>
      <c r="Y59604" s="8"/>
      <c r="Z59604" s="8"/>
      <c r="AA59604" s="8"/>
    </row>
    <row r="59605" spans="1:27" x14ac:dyDescent="0.25">
      <c r="A59605" s="8"/>
      <c r="B59605" s="8"/>
      <c r="C59605" s="99"/>
      <c r="D59605" s="8"/>
      <c r="E59605" s="8"/>
      <c r="F59605" s="8"/>
      <c r="G59605" s="8"/>
      <c r="H59605" s="8"/>
      <c r="I59605" s="102"/>
      <c r="J59605" s="8"/>
      <c r="K59605" s="8"/>
      <c r="L59605" s="8"/>
      <c r="M59605" s="8"/>
      <c r="N59605" s="8"/>
      <c r="O59605" s="8"/>
      <c r="P59605" s="8"/>
      <c r="Q59605" s="8"/>
      <c r="R59605" s="103"/>
      <c r="S59605" s="8"/>
      <c r="T59605" s="8"/>
      <c r="U59605" s="8"/>
      <c r="V59605" s="8"/>
      <c r="W59605" s="8"/>
      <c r="X59605" s="8"/>
      <c r="Y59605" s="8"/>
      <c r="Z59605" s="8"/>
      <c r="AA59605" s="8"/>
    </row>
    <row r="59606" spans="1:27" x14ac:dyDescent="0.25">
      <c r="A59606" s="8"/>
      <c r="B59606" s="8"/>
      <c r="C59606" s="99"/>
      <c r="D59606" s="8"/>
      <c r="E59606" s="8"/>
      <c r="F59606" s="8"/>
      <c r="G59606" s="8"/>
      <c r="H59606" s="8"/>
      <c r="I59606" s="102"/>
      <c r="J59606" s="8"/>
      <c r="K59606" s="8"/>
      <c r="L59606" s="8"/>
      <c r="M59606" s="8"/>
      <c r="N59606" s="8"/>
      <c r="O59606" s="8"/>
      <c r="P59606" s="8"/>
      <c r="Q59606" s="8"/>
      <c r="R59606" s="103"/>
      <c r="S59606" s="8"/>
      <c r="T59606" s="8"/>
      <c r="U59606" s="8"/>
      <c r="V59606" s="8"/>
      <c r="W59606" s="8"/>
      <c r="X59606" s="8"/>
      <c r="Y59606" s="8"/>
      <c r="Z59606" s="8"/>
      <c r="AA59606" s="8"/>
    </row>
    <row r="59607" spans="1:27" x14ac:dyDescent="0.25">
      <c r="A59607" s="8"/>
      <c r="B59607" s="8"/>
      <c r="C59607" s="99"/>
      <c r="D59607" s="8"/>
      <c r="E59607" s="8"/>
      <c r="F59607" s="8"/>
      <c r="G59607" s="8"/>
      <c r="H59607" s="8"/>
      <c r="I59607" s="102"/>
      <c r="J59607" s="8"/>
      <c r="K59607" s="8"/>
      <c r="L59607" s="8"/>
      <c r="M59607" s="8"/>
      <c r="N59607" s="8"/>
      <c r="O59607" s="8"/>
      <c r="P59607" s="8"/>
      <c r="Q59607" s="8"/>
      <c r="R59607" s="103"/>
      <c r="S59607" s="8"/>
      <c r="T59607" s="8"/>
      <c r="U59607" s="8"/>
      <c r="V59607" s="8"/>
      <c r="W59607" s="8"/>
      <c r="X59607" s="8"/>
      <c r="Y59607" s="8"/>
      <c r="Z59607" s="8"/>
      <c r="AA59607" s="8"/>
    </row>
    <row r="59608" spans="1:27" x14ac:dyDescent="0.25">
      <c r="A59608" s="8"/>
      <c r="B59608" s="8"/>
      <c r="C59608" s="99"/>
      <c r="D59608" s="8"/>
      <c r="E59608" s="8"/>
      <c r="F59608" s="8"/>
      <c r="G59608" s="8"/>
      <c r="H59608" s="8"/>
      <c r="I59608" s="102"/>
      <c r="J59608" s="8"/>
      <c r="K59608" s="8"/>
      <c r="L59608" s="8"/>
      <c r="M59608" s="8"/>
      <c r="N59608" s="8"/>
      <c r="O59608" s="8"/>
      <c r="P59608" s="8"/>
      <c r="Q59608" s="8"/>
      <c r="R59608" s="103"/>
      <c r="S59608" s="8"/>
      <c r="T59608" s="8"/>
      <c r="U59608" s="8"/>
      <c r="V59608" s="8"/>
      <c r="W59608" s="8"/>
      <c r="X59608" s="8"/>
      <c r="Y59608" s="8"/>
      <c r="Z59608" s="8"/>
      <c r="AA59608" s="8"/>
    </row>
    <row r="59609" spans="1:27" x14ac:dyDescent="0.25">
      <c r="A59609" s="8"/>
      <c r="B59609" s="8"/>
      <c r="C59609" s="99"/>
      <c r="D59609" s="8"/>
      <c r="E59609" s="8"/>
      <c r="F59609" s="8"/>
      <c r="G59609" s="8"/>
      <c r="H59609" s="8"/>
      <c r="I59609" s="102"/>
      <c r="J59609" s="8"/>
      <c r="K59609" s="8"/>
      <c r="L59609" s="8"/>
      <c r="M59609" s="8"/>
      <c r="N59609" s="8"/>
      <c r="O59609" s="8"/>
      <c r="P59609" s="8"/>
      <c r="Q59609" s="8"/>
      <c r="R59609" s="103"/>
      <c r="S59609" s="8"/>
      <c r="T59609" s="8"/>
      <c r="U59609" s="8"/>
      <c r="V59609" s="8"/>
      <c r="W59609" s="8"/>
      <c r="X59609" s="8"/>
      <c r="Y59609" s="8"/>
      <c r="Z59609" s="8"/>
      <c r="AA59609" s="8"/>
    </row>
    <row r="59610" spans="1:27" x14ac:dyDescent="0.25">
      <c r="A59610" s="8"/>
      <c r="B59610" s="8"/>
      <c r="C59610" s="99"/>
      <c r="D59610" s="8"/>
      <c r="E59610" s="8"/>
      <c r="F59610" s="8"/>
      <c r="G59610" s="8"/>
      <c r="H59610" s="8"/>
      <c r="I59610" s="102"/>
      <c r="J59610" s="8"/>
      <c r="K59610" s="8"/>
      <c r="L59610" s="8"/>
      <c r="M59610" s="8"/>
      <c r="N59610" s="8"/>
      <c r="O59610" s="8"/>
      <c r="P59610" s="8"/>
      <c r="Q59610" s="8"/>
      <c r="R59610" s="103"/>
      <c r="S59610" s="8"/>
      <c r="T59610" s="8"/>
      <c r="U59610" s="8"/>
      <c r="V59610" s="8"/>
      <c r="W59610" s="8"/>
      <c r="X59610" s="8"/>
      <c r="Y59610" s="8"/>
      <c r="Z59610" s="8"/>
      <c r="AA59610" s="8"/>
    </row>
    <row r="59611" spans="1:27" x14ac:dyDescent="0.25">
      <c r="A59611" s="8"/>
      <c r="B59611" s="8"/>
      <c r="C59611" s="99"/>
      <c r="D59611" s="8"/>
      <c r="E59611" s="8"/>
      <c r="F59611" s="8"/>
      <c r="G59611" s="8"/>
      <c r="H59611" s="8"/>
      <c r="I59611" s="102"/>
      <c r="J59611" s="8"/>
      <c r="K59611" s="8"/>
      <c r="L59611" s="8"/>
      <c r="M59611" s="8"/>
      <c r="N59611" s="8"/>
      <c r="O59611" s="8"/>
      <c r="P59611" s="8"/>
      <c r="Q59611" s="8"/>
      <c r="R59611" s="103"/>
      <c r="S59611" s="8"/>
      <c r="T59611" s="8"/>
      <c r="U59611" s="8"/>
      <c r="V59611" s="8"/>
      <c r="W59611" s="8"/>
      <c r="X59611" s="8"/>
      <c r="Y59611" s="8"/>
      <c r="Z59611" s="8"/>
      <c r="AA59611" s="8"/>
    </row>
    <row r="59612" spans="1:27" x14ac:dyDescent="0.25">
      <c r="A59612" s="8"/>
      <c r="B59612" s="8"/>
      <c r="C59612" s="99"/>
      <c r="D59612" s="8"/>
      <c r="E59612" s="8"/>
      <c r="F59612" s="8"/>
      <c r="G59612" s="8"/>
      <c r="H59612" s="8"/>
      <c r="I59612" s="102"/>
      <c r="J59612" s="8"/>
      <c r="K59612" s="8"/>
      <c r="L59612" s="8"/>
      <c r="M59612" s="8"/>
      <c r="N59612" s="8"/>
      <c r="O59612" s="8"/>
      <c r="P59612" s="8"/>
      <c r="Q59612" s="8"/>
      <c r="R59612" s="103"/>
      <c r="S59612" s="8"/>
      <c r="T59612" s="8"/>
      <c r="U59612" s="8"/>
      <c r="V59612" s="8"/>
      <c r="W59612" s="8"/>
      <c r="X59612" s="8"/>
      <c r="Y59612" s="8"/>
      <c r="Z59612" s="8"/>
      <c r="AA59612" s="8"/>
    </row>
    <row r="59613" spans="1:27" x14ac:dyDescent="0.25">
      <c r="A59613" s="8"/>
      <c r="B59613" s="8"/>
      <c r="C59613" s="99"/>
      <c r="D59613" s="8"/>
      <c r="E59613" s="8"/>
      <c r="F59613" s="8"/>
      <c r="G59613" s="8"/>
      <c r="H59613" s="8"/>
      <c r="I59613" s="102"/>
      <c r="J59613" s="8"/>
      <c r="K59613" s="8"/>
      <c r="L59613" s="8"/>
      <c r="M59613" s="8"/>
      <c r="N59613" s="8"/>
      <c r="O59613" s="8"/>
      <c r="P59613" s="8"/>
      <c r="Q59613" s="8"/>
      <c r="R59613" s="103"/>
      <c r="S59613" s="8"/>
      <c r="T59613" s="8"/>
      <c r="U59613" s="8"/>
      <c r="V59613" s="8"/>
      <c r="W59613" s="8"/>
      <c r="X59613" s="8"/>
      <c r="Y59613" s="8"/>
      <c r="Z59613" s="8"/>
      <c r="AA59613" s="8"/>
    </row>
    <row r="59614" spans="1:27" x14ac:dyDescent="0.25">
      <c r="A59614" s="8"/>
      <c r="B59614" s="8"/>
      <c r="C59614" s="99"/>
      <c r="D59614" s="8"/>
      <c r="E59614" s="8"/>
      <c r="F59614" s="8"/>
      <c r="G59614" s="8"/>
      <c r="H59614" s="8"/>
      <c r="I59614" s="102"/>
      <c r="J59614" s="8"/>
      <c r="K59614" s="8"/>
      <c r="L59614" s="8"/>
      <c r="M59614" s="8"/>
      <c r="N59614" s="8"/>
      <c r="O59614" s="8"/>
      <c r="P59614" s="8"/>
      <c r="Q59614" s="8"/>
      <c r="R59614" s="103"/>
      <c r="S59614" s="8"/>
      <c r="T59614" s="8"/>
      <c r="U59614" s="8"/>
      <c r="V59614" s="8"/>
      <c r="W59614" s="8"/>
      <c r="X59614" s="8"/>
      <c r="Y59614" s="8"/>
      <c r="Z59614" s="8"/>
      <c r="AA59614" s="8"/>
    </row>
    <row r="59615" spans="1:27" x14ac:dyDescent="0.25">
      <c r="A59615" s="8"/>
      <c r="B59615" s="8"/>
      <c r="C59615" s="99"/>
      <c r="D59615" s="8"/>
      <c r="E59615" s="8"/>
      <c r="F59615" s="8"/>
      <c r="G59615" s="8"/>
      <c r="H59615" s="8"/>
      <c r="I59615" s="102"/>
      <c r="J59615" s="8"/>
      <c r="K59615" s="8"/>
      <c r="L59615" s="8"/>
      <c r="M59615" s="8"/>
      <c r="N59615" s="8"/>
      <c r="O59615" s="8"/>
      <c r="P59615" s="8"/>
      <c r="Q59615" s="8"/>
      <c r="R59615" s="103"/>
      <c r="S59615" s="8"/>
      <c r="T59615" s="8"/>
      <c r="U59615" s="8"/>
      <c r="V59615" s="8"/>
      <c r="W59615" s="8"/>
      <c r="X59615" s="8"/>
      <c r="Y59615" s="8"/>
      <c r="Z59615" s="8"/>
      <c r="AA59615" s="8"/>
    </row>
    <row r="59616" spans="1:27" x14ac:dyDescent="0.25">
      <c r="A59616" s="8"/>
      <c r="B59616" s="8"/>
      <c r="C59616" s="99"/>
      <c r="D59616" s="8"/>
      <c r="E59616" s="8"/>
      <c r="F59616" s="8"/>
      <c r="G59616" s="8"/>
      <c r="H59616" s="8"/>
      <c r="I59616" s="102"/>
      <c r="J59616" s="8"/>
      <c r="K59616" s="8"/>
      <c r="L59616" s="8"/>
      <c r="M59616" s="8"/>
      <c r="N59616" s="8"/>
      <c r="O59616" s="8"/>
      <c r="P59616" s="8"/>
      <c r="Q59616" s="8"/>
      <c r="R59616" s="103"/>
      <c r="S59616" s="8"/>
      <c r="T59616" s="8"/>
      <c r="U59616" s="8"/>
      <c r="V59616" s="8"/>
      <c r="W59616" s="8"/>
      <c r="X59616" s="8"/>
      <c r="Y59616" s="8"/>
      <c r="Z59616" s="8"/>
      <c r="AA59616" s="8"/>
    </row>
    <row r="59617" spans="1:27" x14ac:dyDescent="0.25">
      <c r="A59617" s="8"/>
      <c r="B59617" s="8"/>
      <c r="C59617" s="99"/>
      <c r="D59617" s="8"/>
      <c r="E59617" s="8"/>
      <c r="F59617" s="8"/>
      <c r="G59617" s="8"/>
      <c r="H59617" s="8"/>
      <c r="I59617" s="102"/>
      <c r="J59617" s="8"/>
      <c r="K59617" s="8"/>
      <c r="L59617" s="8"/>
      <c r="M59617" s="8"/>
      <c r="N59617" s="8"/>
      <c r="O59617" s="8"/>
      <c r="P59617" s="8"/>
      <c r="Q59617" s="8"/>
      <c r="R59617" s="103"/>
      <c r="S59617" s="8"/>
      <c r="T59617" s="8"/>
      <c r="U59617" s="8"/>
      <c r="V59617" s="8"/>
      <c r="W59617" s="8"/>
      <c r="X59617" s="8"/>
      <c r="Y59617" s="8"/>
      <c r="Z59617" s="8"/>
      <c r="AA59617" s="8"/>
    </row>
    <row r="59618" spans="1:27" x14ac:dyDescent="0.25">
      <c r="A59618" s="8"/>
      <c r="B59618" s="8"/>
      <c r="C59618" s="99"/>
      <c r="D59618" s="8"/>
      <c r="E59618" s="8"/>
      <c r="F59618" s="8"/>
      <c r="G59618" s="8"/>
      <c r="H59618" s="8"/>
      <c r="I59618" s="102"/>
      <c r="J59618" s="8"/>
      <c r="K59618" s="8"/>
      <c r="L59618" s="8"/>
      <c r="M59618" s="8"/>
      <c r="N59618" s="8"/>
      <c r="O59618" s="8"/>
      <c r="P59618" s="8"/>
      <c r="Q59618" s="8"/>
      <c r="R59618" s="103"/>
      <c r="S59618" s="8"/>
      <c r="T59618" s="8"/>
      <c r="U59618" s="8"/>
      <c r="V59618" s="8"/>
      <c r="W59618" s="8"/>
      <c r="X59618" s="8"/>
      <c r="Y59618" s="8"/>
      <c r="Z59618" s="8"/>
      <c r="AA59618" s="8"/>
    </row>
    <row r="59619" spans="1:27" x14ac:dyDescent="0.25">
      <c r="A59619" s="8"/>
      <c r="B59619" s="8"/>
      <c r="C59619" s="99"/>
      <c r="D59619" s="8"/>
      <c r="E59619" s="8"/>
      <c r="F59619" s="8"/>
      <c r="G59619" s="8"/>
      <c r="H59619" s="8"/>
      <c r="I59619" s="102"/>
      <c r="J59619" s="8"/>
      <c r="K59619" s="8"/>
      <c r="L59619" s="8"/>
      <c r="M59619" s="8"/>
      <c r="N59619" s="8"/>
      <c r="O59619" s="8"/>
      <c r="P59619" s="8"/>
      <c r="Q59619" s="8"/>
      <c r="R59619" s="103"/>
      <c r="S59619" s="8"/>
      <c r="T59619" s="8"/>
      <c r="U59619" s="8"/>
      <c r="V59619" s="8"/>
      <c r="W59619" s="8"/>
      <c r="X59619" s="8"/>
      <c r="Y59619" s="8"/>
      <c r="Z59619" s="8"/>
      <c r="AA59619" s="8"/>
    </row>
    <row r="59620" spans="1:27" x14ac:dyDescent="0.25">
      <c r="A59620" s="8"/>
      <c r="B59620" s="8"/>
      <c r="C59620" s="99"/>
      <c r="D59620" s="8"/>
      <c r="E59620" s="8"/>
      <c r="F59620" s="8"/>
      <c r="G59620" s="8"/>
      <c r="H59620" s="8"/>
      <c r="I59620" s="102"/>
      <c r="J59620" s="8"/>
      <c r="K59620" s="8"/>
      <c r="L59620" s="8"/>
      <c r="M59620" s="8"/>
      <c r="N59620" s="8"/>
      <c r="O59620" s="8"/>
      <c r="P59620" s="8"/>
      <c r="Q59620" s="8"/>
      <c r="R59620" s="103"/>
      <c r="S59620" s="8"/>
      <c r="T59620" s="8"/>
      <c r="U59620" s="8"/>
      <c r="V59620" s="8"/>
      <c r="W59620" s="8"/>
      <c r="X59620" s="8"/>
      <c r="Y59620" s="8"/>
      <c r="Z59620" s="8"/>
      <c r="AA59620" s="8"/>
    </row>
    <row r="59621" spans="1:27" x14ac:dyDescent="0.25">
      <c r="A59621" s="8"/>
      <c r="B59621" s="8"/>
      <c r="C59621" s="99"/>
      <c r="D59621" s="8"/>
      <c r="E59621" s="8"/>
      <c r="F59621" s="8"/>
      <c r="G59621" s="8"/>
      <c r="H59621" s="8"/>
      <c r="I59621" s="102"/>
      <c r="J59621" s="8"/>
      <c r="K59621" s="8"/>
      <c r="L59621" s="8"/>
      <c r="M59621" s="8"/>
      <c r="N59621" s="8"/>
      <c r="O59621" s="8"/>
      <c r="P59621" s="8"/>
      <c r="Q59621" s="8"/>
      <c r="R59621" s="103"/>
      <c r="S59621" s="8"/>
      <c r="T59621" s="8"/>
      <c r="U59621" s="8"/>
      <c r="V59621" s="8"/>
      <c r="W59621" s="8"/>
      <c r="X59621" s="8"/>
      <c r="Y59621" s="8"/>
      <c r="Z59621" s="8"/>
      <c r="AA59621" s="8"/>
    </row>
    <row r="59622" spans="1:27" x14ac:dyDescent="0.25">
      <c r="A59622" s="8"/>
      <c r="B59622" s="8"/>
      <c r="C59622" s="99"/>
      <c r="D59622" s="8"/>
      <c r="E59622" s="8"/>
      <c r="F59622" s="8"/>
      <c r="G59622" s="8"/>
      <c r="H59622" s="8"/>
      <c r="I59622" s="102"/>
      <c r="J59622" s="8"/>
      <c r="K59622" s="8"/>
      <c r="L59622" s="8"/>
      <c r="M59622" s="8"/>
      <c r="N59622" s="8"/>
      <c r="O59622" s="8"/>
      <c r="P59622" s="8"/>
      <c r="Q59622" s="8"/>
      <c r="R59622" s="103"/>
      <c r="S59622" s="8"/>
      <c r="T59622" s="8"/>
      <c r="U59622" s="8"/>
      <c r="V59622" s="8"/>
      <c r="W59622" s="8"/>
      <c r="X59622" s="8"/>
      <c r="Y59622" s="8"/>
      <c r="Z59622" s="8"/>
      <c r="AA59622" s="8"/>
    </row>
    <row r="59623" spans="1:27" x14ac:dyDescent="0.25">
      <c r="A59623" s="8"/>
      <c r="B59623" s="8"/>
      <c r="C59623" s="99"/>
      <c r="D59623" s="8"/>
      <c r="E59623" s="8"/>
      <c r="F59623" s="8"/>
      <c r="G59623" s="8"/>
      <c r="H59623" s="8"/>
      <c r="I59623" s="102"/>
      <c r="J59623" s="8"/>
      <c r="K59623" s="8"/>
      <c r="L59623" s="8"/>
      <c r="M59623" s="8"/>
      <c r="N59623" s="8"/>
      <c r="O59623" s="8"/>
      <c r="P59623" s="8"/>
      <c r="Q59623" s="8"/>
      <c r="R59623" s="103"/>
      <c r="S59623" s="8"/>
      <c r="T59623" s="8"/>
      <c r="U59623" s="8"/>
      <c r="V59623" s="8"/>
      <c r="W59623" s="8"/>
      <c r="X59623" s="8"/>
      <c r="Y59623" s="8"/>
      <c r="Z59623" s="8"/>
      <c r="AA59623" s="8"/>
    </row>
    <row r="59624" spans="1:27" x14ac:dyDescent="0.25">
      <c r="A59624" s="8"/>
      <c r="B59624" s="8"/>
      <c r="C59624" s="99"/>
      <c r="D59624" s="8"/>
      <c r="E59624" s="8"/>
      <c r="F59624" s="8"/>
      <c r="G59624" s="8"/>
      <c r="H59624" s="8"/>
      <c r="I59624" s="102"/>
      <c r="J59624" s="8"/>
      <c r="K59624" s="8"/>
      <c r="L59624" s="8"/>
      <c r="M59624" s="8"/>
      <c r="N59624" s="8"/>
      <c r="O59624" s="8"/>
      <c r="P59624" s="8"/>
      <c r="Q59624" s="8"/>
      <c r="R59624" s="103"/>
      <c r="S59624" s="8"/>
      <c r="T59624" s="8"/>
      <c r="U59624" s="8"/>
      <c r="V59624" s="8"/>
      <c r="W59624" s="8"/>
      <c r="X59624" s="8"/>
      <c r="Y59624" s="8"/>
      <c r="Z59624" s="8"/>
      <c r="AA59624" s="8"/>
    </row>
    <row r="59625" spans="1:27" x14ac:dyDescent="0.25">
      <c r="A59625" s="8"/>
      <c r="B59625" s="8"/>
      <c r="C59625" s="99"/>
      <c r="D59625" s="8"/>
      <c r="E59625" s="8"/>
      <c r="F59625" s="8"/>
      <c r="G59625" s="8"/>
      <c r="H59625" s="8"/>
      <c r="I59625" s="102"/>
      <c r="J59625" s="8"/>
      <c r="K59625" s="8"/>
      <c r="L59625" s="8"/>
      <c r="M59625" s="8"/>
      <c r="N59625" s="8"/>
      <c r="O59625" s="8"/>
      <c r="P59625" s="8"/>
      <c r="Q59625" s="8"/>
      <c r="R59625" s="103"/>
      <c r="S59625" s="8"/>
      <c r="T59625" s="8"/>
      <c r="U59625" s="8"/>
      <c r="V59625" s="8"/>
      <c r="W59625" s="8"/>
      <c r="X59625" s="8"/>
      <c r="Y59625" s="8"/>
      <c r="Z59625" s="8"/>
      <c r="AA59625" s="8"/>
    </row>
    <row r="59626" spans="1:27" x14ac:dyDescent="0.25">
      <c r="A59626" s="8"/>
      <c r="B59626" s="8"/>
      <c r="C59626" s="99"/>
      <c r="D59626" s="8"/>
      <c r="E59626" s="8"/>
      <c r="F59626" s="8"/>
      <c r="G59626" s="8"/>
      <c r="H59626" s="8"/>
      <c r="I59626" s="102"/>
      <c r="J59626" s="8"/>
      <c r="K59626" s="8"/>
      <c r="L59626" s="8"/>
      <c r="M59626" s="8"/>
      <c r="N59626" s="8"/>
      <c r="O59626" s="8"/>
      <c r="P59626" s="8"/>
      <c r="Q59626" s="8"/>
      <c r="R59626" s="103"/>
      <c r="S59626" s="8"/>
      <c r="T59626" s="8"/>
      <c r="U59626" s="8"/>
      <c r="V59626" s="8"/>
      <c r="W59626" s="8"/>
      <c r="X59626" s="8"/>
      <c r="Y59626" s="8"/>
      <c r="Z59626" s="8"/>
      <c r="AA59626" s="8"/>
    </row>
    <row r="59627" spans="1:27" x14ac:dyDescent="0.25">
      <c r="A59627" s="8"/>
      <c r="B59627" s="8"/>
      <c r="C59627" s="99"/>
      <c r="D59627" s="8"/>
      <c r="E59627" s="8"/>
      <c r="F59627" s="8"/>
      <c r="G59627" s="8"/>
      <c r="H59627" s="8"/>
      <c r="I59627" s="102"/>
      <c r="J59627" s="8"/>
      <c r="K59627" s="8"/>
      <c r="L59627" s="8"/>
      <c r="M59627" s="8"/>
      <c r="N59627" s="8"/>
      <c r="O59627" s="8"/>
      <c r="P59627" s="8"/>
      <c r="Q59627" s="8"/>
      <c r="R59627" s="103"/>
      <c r="S59627" s="8"/>
      <c r="T59627" s="8"/>
      <c r="U59627" s="8"/>
      <c r="V59627" s="8"/>
      <c r="W59627" s="8"/>
      <c r="X59627" s="8"/>
      <c r="Y59627" s="8"/>
      <c r="Z59627" s="8"/>
      <c r="AA59627" s="8"/>
    </row>
    <row r="59628" spans="1:27" x14ac:dyDescent="0.25">
      <c r="A59628" s="8"/>
      <c r="B59628" s="8"/>
      <c r="C59628" s="99"/>
      <c r="D59628" s="8"/>
      <c r="E59628" s="8"/>
      <c r="F59628" s="8"/>
      <c r="G59628" s="8"/>
      <c r="H59628" s="8"/>
      <c r="I59628" s="102"/>
      <c r="J59628" s="8"/>
      <c r="K59628" s="8"/>
      <c r="L59628" s="8"/>
      <c r="M59628" s="8"/>
      <c r="N59628" s="8"/>
      <c r="O59628" s="8"/>
      <c r="P59628" s="8"/>
      <c r="Q59628" s="8"/>
      <c r="R59628" s="103"/>
      <c r="S59628" s="8"/>
      <c r="T59628" s="8"/>
      <c r="U59628" s="8"/>
      <c r="V59628" s="8"/>
      <c r="W59628" s="8"/>
      <c r="X59628" s="8"/>
      <c r="Y59628" s="8"/>
      <c r="Z59628" s="8"/>
      <c r="AA59628" s="8"/>
    </row>
    <row r="59629" spans="1:27" x14ac:dyDescent="0.25">
      <c r="A59629" s="8"/>
      <c r="B59629" s="8"/>
      <c r="C59629" s="99"/>
      <c r="D59629" s="8"/>
      <c r="E59629" s="8"/>
      <c r="F59629" s="8"/>
      <c r="G59629" s="8"/>
      <c r="H59629" s="8"/>
      <c r="I59629" s="102"/>
      <c r="J59629" s="8"/>
      <c r="K59629" s="8"/>
      <c r="L59629" s="8"/>
      <c r="M59629" s="8"/>
      <c r="N59629" s="8"/>
      <c r="O59629" s="8"/>
      <c r="P59629" s="8"/>
      <c r="Q59629" s="8"/>
      <c r="R59629" s="103"/>
      <c r="S59629" s="8"/>
      <c r="T59629" s="8"/>
      <c r="U59629" s="8"/>
      <c r="V59629" s="8"/>
      <c r="W59629" s="8"/>
      <c r="X59629" s="8"/>
      <c r="Y59629" s="8"/>
      <c r="Z59629" s="8"/>
      <c r="AA59629" s="8"/>
    </row>
    <row r="59630" spans="1:27" x14ac:dyDescent="0.25">
      <c r="A59630" s="8"/>
      <c r="B59630" s="8"/>
      <c r="C59630" s="99"/>
      <c r="D59630" s="8"/>
      <c r="E59630" s="8"/>
      <c r="F59630" s="8"/>
      <c r="G59630" s="8"/>
      <c r="H59630" s="8"/>
      <c r="I59630" s="102"/>
      <c r="J59630" s="8"/>
      <c r="K59630" s="8"/>
      <c r="L59630" s="8"/>
      <c r="M59630" s="8"/>
      <c r="N59630" s="8"/>
      <c r="O59630" s="8"/>
      <c r="P59630" s="8"/>
      <c r="Q59630" s="8"/>
      <c r="R59630" s="103"/>
      <c r="S59630" s="8"/>
      <c r="T59630" s="8"/>
      <c r="U59630" s="8"/>
      <c r="V59630" s="8"/>
      <c r="W59630" s="8"/>
      <c r="X59630" s="8"/>
      <c r="Y59630" s="8"/>
      <c r="Z59630" s="8"/>
      <c r="AA59630" s="8"/>
    </row>
    <row r="59631" spans="1:27" x14ac:dyDescent="0.25">
      <c r="A59631" s="8"/>
      <c r="B59631" s="8"/>
      <c r="C59631" s="99"/>
      <c r="D59631" s="8"/>
      <c r="E59631" s="8"/>
      <c r="F59631" s="8"/>
      <c r="G59631" s="8"/>
      <c r="H59631" s="8"/>
      <c r="I59631" s="102"/>
      <c r="J59631" s="8"/>
      <c r="K59631" s="8"/>
      <c r="L59631" s="8"/>
      <c r="M59631" s="8"/>
      <c r="N59631" s="8"/>
      <c r="O59631" s="8"/>
      <c r="P59631" s="8"/>
      <c r="Q59631" s="8"/>
      <c r="R59631" s="103"/>
      <c r="S59631" s="8"/>
      <c r="T59631" s="8"/>
      <c r="U59631" s="8"/>
      <c r="V59631" s="8"/>
      <c r="W59631" s="8"/>
      <c r="X59631" s="8"/>
      <c r="Y59631" s="8"/>
      <c r="Z59631" s="8"/>
      <c r="AA59631" s="8"/>
    </row>
    <row r="59632" spans="1:27" x14ac:dyDescent="0.25">
      <c r="A59632" s="8"/>
      <c r="B59632" s="8"/>
      <c r="C59632" s="99"/>
      <c r="D59632" s="8"/>
      <c r="E59632" s="8"/>
      <c r="F59632" s="8"/>
      <c r="G59632" s="8"/>
      <c r="H59632" s="8"/>
      <c r="I59632" s="102"/>
      <c r="J59632" s="8"/>
      <c r="K59632" s="8"/>
      <c r="L59632" s="8"/>
      <c r="M59632" s="8"/>
      <c r="N59632" s="8"/>
      <c r="O59632" s="8"/>
      <c r="P59632" s="8"/>
      <c r="Q59632" s="8"/>
      <c r="R59632" s="103"/>
      <c r="S59632" s="8"/>
      <c r="T59632" s="8"/>
      <c r="U59632" s="8"/>
      <c r="V59632" s="8"/>
      <c r="W59632" s="8"/>
      <c r="X59632" s="8"/>
      <c r="Y59632" s="8"/>
      <c r="Z59632" s="8"/>
      <c r="AA59632" s="8"/>
    </row>
    <row r="59633" spans="1:27" x14ac:dyDescent="0.25">
      <c r="A59633" s="8"/>
      <c r="B59633" s="8"/>
      <c r="C59633" s="99"/>
      <c r="D59633" s="8"/>
      <c r="E59633" s="8"/>
      <c r="F59633" s="8"/>
      <c r="G59633" s="8"/>
      <c r="H59633" s="8"/>
      <c r="I59633" s="102"/>
      <c r="J59633" s="8"/>
      <c r="K59633" s="8"/>
      <c r="L59633" s="8"/>
      <c r="M59633" s="8"/>
      <c r="N59633" s="8"/>
      <c r="O59633" s="8"/>
      <c r="P59633" s="8"/>
      <c r="Q59633" s="8"/>
      <c r="R59633" s="103"/>
      <c r="S59633" s="8"/>
      <c r="T59633" s="8"/>
      <c r="U59633" s="8"/>
      <c r="V59633" s="8"/>
      <c r="W59633" s="8"/>
      <c r="X59633" s="8"/>
      <c r="Y59633" s="8"/>
      <c r="Z59633" s="8"/>
      <c r="AA59633" s="8"/>
    </row>
    <row r="59634" spans="1:27" x14ac:dyDescent="0.25">
      <c r="A59634" s="8"/>
      <c r="B59634" s="8"/>
      <c r="C59634" s="99"/>
      <c r="D59634" s="8"/>
      <c r="E59634" s="8"/>
      <c r="F59634" s="8"/>
      <c r="G59634" s="8"/>
      <c r="H59634" s="8"/>
      <c r="I59634" s="102"/>
      <c r="J59634" s="8"/>
      <c r="K59634" s="8"/>
      <c r="L59634" s="8"/>
      <c r="M59634" s="8"/>
      <c r="N59634" s="8"/>
      <c r="O59634" s="8"/>
      <c r="P59634" s="8"/>
      <c r="Q59634" s="8"/>
      <c r="R59634" s="103"/>
      <c r="S59634" s="8"/>
      <c r="T59634" s="8"/>
      <c r="U59634" s="8"/>
      <c r="V59634" s="8"/>
      <c r="W59634" s="8"/>
      <c r="X59634" s="8"/>
      <c r="Y59634" s="8"/>
      <c r="Z59634" s="8"/>
      <c r="AA59634" s="8"/>
    </row>
    <row r="59635" spans="1:27" x14ac:dyDescent="0.25">
      <c r="A59635" s="8"/>
      <c r="B59635" s="8"/>
      <c r="C59635" s="99"/>
      <c r="D59635" s="8"/>
      <c r="E59635" s="8"/>
      <c r="F59635" s="8"/>
      <c r="G59635" s="8"/>
      <c r="H59635" s="8"/>
      <c r="I59635" s="102"/>
      <c r="J59635" s="8"/>
      <c r="K59635" s="8"/>
      <c r="L59635" s="8"/>
      <c r="M59635" s="8"/>
      <c r="N59635" s="8"/>
      <c r="O59635" s="8"/>
      <c r="P59635" s="8"/>
      <c r="Q59635" s="8"/>
      <c r="R59635" s="103"/>
      <c r="S59635" s="8"/>
      <c r="T59635" s="8"/>
      <c r="U59635" s="8"/>
      <c r="V59635" s="8"/>
      <c r="W59635" s="8"/>
      <c r="X59635" s="8"/>
      <c r="Y59635" s="8"/>
      <c r="Z59635" s="8"/>
      <c r="AA59635" s="8"/>
    </row>
    <row r="59636" spans="1:27" x14ac:dyDescent="0.25">
      <c r="A59636" s="8"/>
      <c r="B59636" s="8"/>
      <c r="C59636" s="99"/>
      <c r="D59636" s="8"/>
      <c r="E59636" s="8"/>
      <c r="F59636" s="8"/>
      <c r="G59636" s="8"/>
      <c r="H59636" s="8"/>
      <c r="I59636" s="102"/>
      <c r="J59636" s="8"/>
      <c r="K59636" s="8"/>
      <c r="L59636" s="8"/>
      <c r="M59636" s="8"/>
      <c r="N59636" s="8"/>
      <c r="O59636" s="8"/>
      <c r="P59636" s="8"/>
      <c r="Q59636" s="8"/>
      <c r="R59636" s="103"/>
      <c r="S59636" s="8"/>
      <c r="T59636" s="8"/>
      <c r="U59636" s="8"/>
      <c r="V59636" s="8"/>
      <c r="W59636" s="8"/>
      <c r="X59636" s="8"/>
      <c r="Y59636" s="8"/>
      <c r="Z59636" s="8"/>
      <c r="AA59636" s="8"/>
    </row>
    <row r="59637" spans="1:27" x14ac:dyDescent="0.25">
      <c r="A59637" s="8"/>
      <c r="B59637" s="8"/>
      <c r="C59637" s="99"/>
      <c r="D59637" s="8"/>
      <c r="E59637" s="8"/>
      <c r="F59637" s="8"/>
      <c r="G59637" s="8"/>
      <c r="H59637" s="8"/>
      <c r="I59637" s="102"/>
      <c r="J59637" s="8"/>
      <c r="K59637" s="8"/>
      <c r="L59637" s="8"/>
      <c r="M59637" s="8"/>
      <c r="N59637" s="8"/>
      <c r="O59637" s="8"/>
      <c r="P59637" s="8"/>
      <c r="Q59637" s="8"/>
      <c r="R59637" s="103"/>
      <c r="S59637" s="8"/>
      <c r="T59637" s="8"/>
      <c r="U59637" s="8"/>
      <c r="V59637" s="8"/>
      <c r="W59637" s="8"/>
      <c r="X59637" s="8"/>
      <c r="Y59637" s="8"/>
      <c r="Z59637" s="8"/>
      <c r="AA59637" s="8"/>
    </row>
    <row r="59638" spans="1:27" x14ac:dyDescent="0.25">
      <c r="A59638" s="8"/>
      <c r="B59638" s="8"/>
      <c r="C59638" s="99"/>
      <c r="D59638" s="8"/>
      <c r="E59638" s="8"/>
      <c r="F59638" s="8"/>
      <c r="G59638" s="8"/>
      <c r="H59638" s="8"/>
      <c r="I59638" s="102"/>
      <c r="J59638" s="8"/>
      <c r="K59638" s="8"/>
      <c r="L59638" s="8"/>
      <c r="M59638" s="8"/>
      <c r="N59638" s="8"/>
      <c r="O59638" s="8"/>
      <c r="P59638" s="8"/>
      <c r="Q59638" s="8"/>
      <c r="R59638" s="103"/>
      <c r="S59638" s="8"/>
      <c r="T59638" s="8"/>
      <c r="U59638" s="8"/>
      <c r="V59638" s="8"/>
      <c r="W59638" s="8"/>
      <c r="X59638" s="8"/>
      <c r="Y59638" s="8"/>
      <c r="Z59638" s="8"/>
      <c r="AA59638" s="8"/>
    </row>
    <row r="59639" spans="1:27" x14ac:dyDescent="0.25">
      <c r="A59639" s="8"/>
      <c r="B59639" s="8"/>
      <c r="C59639" s="99"/>
      <c r="D59639" s="8"/>
      <c r="E59639" s="8"/>
      <c r="F59639" s="8"/>
      <c r="G59639" s="8"/>
      <c r="H59639" s="8"/>
      <c r="I59639" s="102"/>
      <c r="J59639" s="8"/>
      <c r="K59639" s="8"/>
      <c r="L59639" s="8"/>
      <c r="M59639" s="8"/>
      <c r="N59639" s="8"/>
      <c r="O59639" s="8"/>
      <c r="P59639" s="8"/>
      <c r="Q59639" s="8"/>
      <c r="R59639" s="103"/>
      <c r="S59639" s="8"/>
      <c r="T59639" s="8"/>
      <c r="U59639" s="8"/>
      <c r="V59639" s="8"/>
      <c r="W59639" s="8"/>
      <c r="X59639" s="8"/>
      <c r="Y59639" s="8"/>
      <c r="Z59639" s="8"/>
      <c r="AA59639" s="8"/>
    </row>
    <row r="59640" spans="1:27" x14ac:dyDescent="0.25">
      <c r="A59640" s="8"/>
      <c r="B59640" s="8"/>
      <c r="C59640" s="99"/>
      <c r="D59640" s="8"/>
      <c r="E59640" s="8"/>
      <c r="F59640" s="8"/>
      <c r="G59640" s="8"/>
      <c r="H59640" s="8"/>
      <c r="I59640" s="102"/>
      <c r="J59640" s="8"/>
      <c r="K59640" s="8"/>
      <c r="L59640" s="8"/>
      <c r="M59640" s="8"/>
      <c r="N59640" s="8"/>
      <c r="O59640" s="8"/>
      <c r="P59640" s="8"/>
      <c r="Q59640" s="8"/>
      <c r="R59640" s="103"/>
      <c r="S59640" s="8"/>
      <c r="T59640" s="8"/>
      <c r="U59640" s="8"/>
      <c r="V59640" s="8"/>
      <c r="W59640" s="8"/>
      <c r="X59640" s="8"/>
      <c r="Y59640" s="8"/>
      <c r="Z59640" s="8"/>
      <c r="AA59640" s="8"/>
    </row>
    <row r="59641" spans="1:27" x14ac:dyDescent="0.25">
      <c r="A59641" s="8"/>
      <c r="B59641" s="8"/>
      <c r="C59641" s="99"/>
      <c r="D59641" s="8"/>
      <c r="E59641" s="8"/>
      <c r="F59641" s="8"/>
      <c r="G59641" s="8"/>
      <c r="H59641" s="8"/>
      <c r="I59641" s="102"/>
      <c r="J59641" s="8"/>
      <c r="K59641" s="8"/>
      <c r="L59641" s="8"/>
      <c r="M59641" s="8"/>
      <c r="N59641" s="8"/>
      <c r="O59641" s="8"/>
      <c r="P59641" s="8"/>
      <c r="Q59641" s="8"/>
      <c r="R59641" s="103"/>
      <c r="S59641" s="8"/>
      <c r="T59641" s="8"/>
      <c r="U59641" s="8"/>
      <c r="V59641" s="8"/>
      <c r="W59641" s="8"/>
      <c r="X59641" s="8"/>
      <c r="Y59641" s="8"/>
      <c r="Z59641" s="8"/>
      <c r="AA59641" s="8"/>
    </row>
    <row r="59642" spans="1:27" x14ac:dyDescent="0.25">
      <c r="A59642" s="8"/>
      <c r="B59642" s="8"/>
      <c r="C59642" s="99"/>
      <c r="D59642" s="8"/>
      <c r="E59642" s="8"/>
      <c r="F59642" s="8"/>
      <c r="G59642" s="8"/>
      <c r="H59642" s="8"/>
      <c r="I59642" s="102"/>
      <c r="J59642" s="8"/>
      <c r="K59642" s="8"/>
      <c r="L59642" s="8"/>
      <c r="M59642" s="8"/>
      <c r="N59642" s="8"/>
      <c r="O59642" s="8"/>
      <c r="P59642" s="8"/>
      <c r="Q59642" s="8"/>
      <c r="R59642" s="103"/>
      <c r="S59642" s="8"/>
      <c r="T59642" s="8"/>
      <c r="U59642" s="8"/>
      <c r="V59642" s="8"/>
      <c r="W59642" s="8"/>
      <c r="X59642" s="8"/>
      <c r="Y59642" s="8"/>
      <c r="Z59642" s="8"/>
      <c r="AA59642" s="8"/>
    </row>
    <row r="59643" spans="1:27" x14ac:dyDescent="0.25">
      <c r="A59643" s="8"/>
      <c r="B59643" s="8"/>
      <c r="C59643" s="99"/>
      <c r="D59643" s="8"/>
      <c r="E59643" s="8"/>
      <c r="F59643" s="8"/>
      <c r="G59643" s="8"/>
      <c r="H59643" s="8"/>
      <c r="I59643" s="102"/>
      <c r="J59643" s="8"/>
      <c r="K59643" s="8"/>
      <c r="L59643" s="8"/>
      <c r="M59643" s="8"/>
      <c r="N59643" s="8"/>
      <c r="O59643" s="8"/>
      <c r="P59643" s="8"/>
      <c r="Q59643" s="8"/>
      <c r="R59643" s="103"/>
      <c r="S59643" s="8"/>
      <c r="T59643" s="8"/>
      <c r="U59643" s="8"/>
      <c r="V59643" s="8"/>
      <c r="W59643" s="8"/>
      <c r="X59643" s="8"/>
      <c r="Y59643" s="8"/>
      <c r="Z59643" s="8"/>
      <c r="AA59643" s="8"/>
    </row>
    <row r="59644" spans="1:27" x14ac:dyDescent="0.25">
      <c r="A59644" s="8"/>
      <c r="B59644" s="8"/>
      <c r="C59644" s="99"/>
      <c r="D59644" s="8"/>
      <c r="E59644" s="8"/>
      <c r="F59644" s="8"/>
      <c r="G59644" s="8"/>
      <c r="H59644" s="8"/>
      <c r="I59644" s="102"/>
      <c r="J59644" s="8"/>
      <c r="K59644" s="8"/>
      <c r="L59644" s="8"/>
      <c r="M59644" s="8"/>
      <c r="N59644" s="8"/>
      <c r="O59644" s="8"/>
      <c r="P59644" s="8"/>
      <c r="Q59644" s="8"/>
      <c r="R59644" s="103"/>
      <c r="S59644" s="8"/>
      <c r="T59644" s="8"/>
      <c r="U59644" s="8"/>
      <c r="V59644" s="8"/>
      <c r="W59644" s="8"/>
      <c r="X59644" s="8"/>
      <c r="Y59644" s="8"/>
      <c r="Z59644" s="8"/>
      <c r="AA59644" s="8"/>
    </row>
    <row r="59645" spans="1:27" x14ac:dyDescent="0.25">
      <c r="A59645" s="8"/>
      <c r="B59645" s="8"/>
      <c r="C59645" s="99"/>
      <c r="D59645" s="8"/>
      <c r="E59645" s="8"/>
      <c r="F59645" s="8"/>
      <c r="G59645" s="8"/>
      <c r="H59645" s="8"/>
      <c r="I59645" s="102"/>
      <c r="J59645" s="8"/>
      <c r="K59645" s="8"/>
      <c r="L59645" s="8"/>
      <c r="M59645" s="8"/>
      <c r="N59645" s="8"/>
      <c r="O59645" s="8"/>
      <c r="P59645" s="8"/>
      <c r="Q59645" s="8"/>
      <c r="R59645" s="103"/>
      <c r="S59645" s="8"/>
      <c r="T59645" s="8"/>
      <c r="U59645" s="8"/>
      <c r="V59645" s="8"/>
      <c r="W59645" s="8"/>
      <c r="X59645" s="8"/>
      <c r="Y59645" s="8"/>
      <c r="Z59645" s="8"/>
      <c r="AA59645" s="8"/>
    </row>
    <row r="59646" spans="1:27" x14ac:dyDescent="0.25">
      <c r="A59646" s="8"/>
      <c r="B59646" s="8"/>
      <c r="C59646" s="99"/>
      <c r="D59646" s="8"/>
      <c r="E59646" s="8"/>
      <c r="F59646" s="8"/>
      <c r="G59646" s="8"/>
      <c r="H59646" s="8"/>
      <c r="I59646" s="102"/>
      <c r="J59646" s="8"/>
      <c r="K59646" s="8"/>
      <c r="L59646" s="8"/>
      <c r="M59646" s="8"/>
      <c r="N59646" s="8"/>
      <c r="O59646" s="8"/>
      <c r="P59646" s="8"/>
      <c r="Q59646" s="8"/>
      <c r="R59646" s="103"/>
      <c r="S59646" s="8"/>
      <c r="T59646" s="8"/>
      <c r="U59646" s="8"/>
      <c r="V59646" s="8"/>
      <c r="W59646" s="8"/>
      <c r="X59646" s="8"/>
      <c r="Y59646" s="8"/>
      <c r="Z59646" s="8"/>
      <c r="AA59646" s="8"/>
    </row>
    <row r="59647" spans="1:27" x14ac:dyDescent="0.25">
      <c r="A59647" s="8"/>
      <c r="B59647" s="8"/>
      <c r="C59647" s="99"/>
      <c r="D59647" s="8"/>
      <c r="E59647" s="8"/>
      <c r="F59647" s="8"/>
      <c r="G59647" s="8"/>
      <c r="H59647" s="8"/>
      <c r="I59647" s="102"/>
      <c r="J59647" s="8"/>
      <c r="K59647" s="8"/>
      <c r="L59647" s="8"/>
      <c r="M59647" s="8"/>
      <c r="N59647" s="8"/>
      <c r="O59647" s="8"/>
      <c r="P59647" s="8"/>
      <c r="Q59647" s="8"/>
      <c r="R59647" s="103"/>
      <c r="S59647" s="8"/>
      <c r="T59647" s="8"/>
      <c r="U59647" s="8"/>
      <c r="V59647" s="8"/>
      <c r="W59647" s="8"/>
      <c r="X59647" s="8"/>
      <c r="Y59647" s="8"/>
      <c r="Z59647" s="8"/>
      <c r="AA59647" s="8"/>
    </row>
    <row r="59648" spans="1:27" x14ac:dyDescent="0.25">
      <c r="A59648" s="8"/>
      <c r="B59648" s="8"/>
      <c r="C59648" s="99"/>
      <c r="D59648" s="8"/>
      <c r="E59648" s="8"/>
      <c r="F59648" s="8"/>
      <c r="G59648" s="8"/>
      <c r="H59648" s="8"/>
      <c r="I59648" s="102"/>
      <c r="J59648" s="8"/>
      <c r="K59648" s="8"/>
      <c r="L59648" s="8"/>
      <c r="M59648" s="8"/>
      <c r="N59648" s="8"/>
      <c r="O59648" s="8"/>
      <c r="P59648" s="8"/>
      <c r="Q59648" s="8"/>
      <c r="R59648" s="103"/>
      <c r="S59648" s="8"/>
      <c r="T59648" s="8"/>
      <c r="U59648" s="8"/>
      <c r="V59648" s="8"/>
      <c r="W59648" s="8"/>
      <c r="X59648" s="8"/>
      <c r="Y59648" s="8"/>
      <c r="Z59648" s="8"/>
      <c r="AA59648" s="8"/>
    </row>
    <row r="59649" spans="1:27" x14ac:dyDescent="0.25">
      <c r="A59649" s="8"/>
      <c r="B59649" s="8"/>
      <c r="C59649" s="99"/>
      <c r="D59649" s="8"/>
      <c r="E59649" s="8"/>
      <c r="F59649" s="8"/>
      <c r="G59649" s="8"/>
      <c r="H59649" s="8"/>
      <c r="I59649" s="102"/>
      <c r="J59649" s="8"/>
      <c r="K59649" s="8"/>
      <c r="L59649" s="8"/>
      <c r="M59649" s="8"/>
      <c r="N59649" s="8"/>
      <c r="O59649" s="8"/>
      <c r="P59649" s="8"/>
      <c r="Q59649" s="8"/>
      <c r="R59649" s="103"/>
      <c r="S59649" s="8"/>
      <c r="T59649" s="8"/>
      <c r="U59649" s="8"/>
      <c r="V59649" s="8"/>
      <c r="W59649" s="8"/>
      <c r="X59649" s="8"/>
      <c r="Y59649" s="8"/>
      <c r="Z59649" s="8"/>
      <c r="AA59649" s="8"/>
    </row>
    <row r="59650" spans="1:27" x14ac:dyDescent="0.25">
      <c r="A59650" s="8"/>
      <c r="B59650" s="8"/>
      <c r="C59650" s="99"/>
      <c r="D59650" s="8"/>
      <c r="E59650" s="8"/>
      <c r="F59650" s="8"/>
      <c r="G59650" s="8"/>
      <c r="H59650" s="8"/>
      <c r="I59650" s="102"/>
      <c r="J59650" s="8"/>
      <c r="K59650" s="8"/>
      <c r="L59650" s="8"/>
      <c r="M59650" s="8"/>
      <c r="N59650" s="8"/>
      <c r="O59650" s="8"/>
      <c r="P59650" s="8"/>
      <c r="Q59650" s="8"/>
      <c r="R59650" s="103"/>
      <c r="S59650" s="8"/>
      <c r="T59650" s="8"/>
      <c r="U59650" s="8"/>
      <c r="V59650" s="8"/>
      <c r="W59650" s="8"/>
      <c r="X59650" s="8"/>
      <c r="Y59650" s="8"/>
      <c r="Z59650" s="8"/>
      <c r="AA59650" s="8"/>
    </row>
    <row r="59651" spans="1:27" x14ac:dyDescent="0.25">
      <c r="A59651" s="8"/>
      <c r="B59651" s="8"/>
      <c r="C59651" s="99"/>
      <c r="D59651" s="8"/>
      <c r="E59651" s="8"/>
      <c r="F59651" s="8"/>
      <c r="G59651" s="8"/>
      <c r="H59651" s="8"/>
      <c r="I59651" s="102"/>
      <c r="J59651" s="8"/>
      <c r="K59651" s="8"/>
      <c r="L59651" s="8"/>
      <c r="M59651" s="8"/>
      <c r="N59651" s="8"/>
      <c r="O59651" s="8"/>
      <c r="P59651" s="8"/>
      <c r="Q59651" s="8"/>
      <c r="R59651" s="103"/>
      <c r="S59651" s="8"/>
      <c r="T59651" s="8"/>
      <c r="U59651" s="8"/>
      <c r="V59651" s="8"/>
      <c r="W59651" s="8"/>
      <c r="X59651" s="8"/>
      <c r="Y59651" s="8"/>
      <c r="Z59651" s="8"/>
      <c r="AA59651" s="8"/>
    </row>
    <row r="59652" spans="1:27" x14ac:dyDescent="0.25">
      <c r="A59652" s="8"/>
      <c r="B59652" s="8"/>
      <c r="C59652" s="99"/>
      <c r="D59652" s="8"/>
      <c r="E59652" s="8"/>
      <c r="F59652" s="8"/>
      <c r="G59652" s="8"/>
      <c r="H59652" s="8"/>
      <c r="I59652" s="102"/>
      <c r="J59652" s="8"/>
      <c r="K59652" s="8"/>
      <c r="L59652" s="8"/>
      <c r="M59652" s="8"/>
      <c r="N59652" s="8"/>
      <c r="O59652" s="8"/>
      <c r="P59652" s="8"/>
      <c r="Q59652" s="8"/>
      <c r="R59652" s="103"/>
      <c r="S59652" s="8"/>
      <c r="T59652" s="8"/>
      <c r="U59652" s="8"/>
      <c r="V59652" s="8"/>
      <c r="W59652" s="8"/>
      <c r="X59652" s="8"/>
      <c r="Y59652" s="8"/>
      <c r="Z59652" s="8"/>
      <c r="AA59652" s="8"/>
    </row>
    <row r="59653" spans="1:27" x14ac:dyDescent="0.25">
      <c r="A59653" s="8"/>
      <c r="B59653" s="8"/>
      <c r="C59653" s="99"/>
      <c r="D59653" s="8"/>
      <c r="E59653" s="8"/>
      <c r="F59653" s="8"/>
      <c r="G59653" s="8"/>
      <c r="H59653" s="8"/>
      <c r="I59653" s="102"/>
      <c r="J59653" s="8"/>
      <c r="K59653" s="8"/>
      <c r="L59653" s="8"/>
      <c r="M59653" s="8"/>
      <c r="N59653" s="8"/>
      <c r="O59653" s="8"/>
      <c r="P59653" s="8"/>
      <c r="Q59653" s="8"/>
      <c r="R59653" s="103"/>
      <c r="S59653" s="8"/>
      <c r="T59653" s="8"/>
      <c r="U59653" s="8"/>
      <c r="V59653" s="8"/>
      <c r="W59653" s="8"/>
      <c r="X59653" s="8"/>
      <c r="Y59653" s="8"/>
      <c r="Z59653" s="8"/>
      <c r="AA59653" s="8"/>
    </row>
    <row r="59654" spans="1:27" x14ac:dyDescent="0.25">
      <c r="A59654" s="8"/>
      <c r="B59654" s="8"/>
      <c r="C59654" s="99"/>
      <c r="D59654" s="8"/>
      <c r="E59654" s="8"/>
      <c r="F59654" s="8"/>
      <c r="G59654" s="8"/>
      <c r="H59654" s="8"/>
      <c r="I59654" s="102"/>
      <c r="J59654" s="8"/>
      <c r="K59654" s="8"/>
      <c r="L59654" s="8"/>
      <c r="M59654" s="8"/>
      <c r="N59654" s="8"/>
      <c r="O59654" s="8"/>
      <c r="P59654" s="8"/>
      <c r="Q59654" s="8"/>
      <c r="R59654" s="103"/>
      <c r="S59654" s="8"/>
      <c r="T59654" s="8"/>
      <c r="U59654" s="8"/>
      <c r="V59654" s="8"/>
      <c r="W59654" s="8"/>
      <c r="X59654" s="8"/>
      <c r="Y59654" s="8"/>
      <c r="Z59654" s="8"/>
      <c r="AA59654" s="8"/>
    </row>
    <row r="59655" spans="1:27" x14ac:dyDescent="0.25">
      <c r="A59655" s="8"/>
      <c r="B59655" s="8"/>
      <c r="C59655" s="99"/>
      <c r="D59655" s="8"/>
      <c r="E59655" s="8"/>
      <c r="F59655" s="8"/>
      <c r="G59655" s="8"/>
      <c r="H59655" s="8"/>
      <c r="I59655" s="102"/>
      <c r="J59655" s="8"/>
      <c r="K59655" s="8"/>
      <c r="L59655" s="8"/>
      <c r="M59655" s="8"/>
      <c r="N59655" s="8"/>
      <c r="O59655" s="8"/>
      <c r="P59655" s="8"/>
      <c r="Q59655" s="8"/>
      <c r="R59655" s="103"/>
      <c r="S59655" s="8"/>
      <c r="T59655" s="8"/>
      <c r="U59655" s="8"/>
      <c r="V59655" s="8"/>
      <c r="W59655" s="8"/>
      <c r="X59655" s="8"/>
      <c r="Y59655" s="8"/>
      <c r="Z59655" s="8"/>
      <c r="AA59655" s="8"/>
    </row>
    <row r="59656" spans="1:27" x14ac:dyDescent="0.25">
      <c r="A59656" s="8"/>
      <c r="B59656" s="8"/>
      <c r="C59656" s="99"/>
      <c r="D59656" s="8"/>
      <c r="E59656" s="8"/>
      <c r="F59656" s="8"/>
      <c r="G59656" s="8"/>
      <c r="H59656" s="8"/>
      <c r="I59656" s="102"/>
      <c r="J59656" s="8"/>
      <c r="K59656" s="8"/>
      <c r="L59656" s="8"/>
      <c r="M59656" s="8"/>
      <c r="N59656" s="8"/>
      <c r="O59656" s="8"/>
      <c r="P59656" s="8"/>
      <c r="Q59656" s="8"/>
      <c r="R59656" s="103"/>
      <c r="S59656" s="8"/>
      <c r="T59656" s="8"/>
      <c r="U59656" s="8"/>
      <c r="V59656" s="8"/>
      <c r="W59656" s="8"/>
      <c r="X59656" s="8"/>
      <c r="Y59656" s="8"/>
      <c r="Z59656" s="8"/>
      <c r="AA59656" s="8"/>
    </row>
    <row r="59657" spans="1:27" x14ac:dyDescent="0.25">
      <c r="A59657" s="8"/>
      <c r="B59657" s="8"/>
      <c r="C59657" s="99"/>
      <c r="D59657" s="8"/>
      <c r="E59657" s="8"/>
      <c r="F59657" s="8"/>
      <c r="G59657" s="8"/>
      <c r="H59657" s="8"/>
      <c r="I59657" s="102"/>
      <c r="J59657" s="8"/>
      <c r="K59657" s="8"/>
      <c r="L59657" s="8"/>
      <c r="M59657" s="8"/>
      <c r="N59657" s="8"/>
      <c r="O59657" s="8"/>
      <c r="P59657" s="8"/>
      <c r="Q59657" s="8"/>
      <c r="R59657" s="103"/>
      <c r="S59657" s="8"/>
      <c r="T59657" s="8"/>
      <c r="U59657" s="8"/>
      <c r="V59657" s="8"/>
      <c r="W59657" s="8"/>
      <c r="X59657" s="8"/>
      <c r="Y59657" s="8"/>
      <c r="Z59657" s="8"/>
      <c r="AA59657" s="8"/>
    </row>
    <row r="59658" spans="1:27" x14ac:dyDescent="0.25">
      <c r="A59658" s="8"/>
      <c r="B59658" s="8"/>
      <c r="C59658" s="99"/>
      <c r="D59658" s="8"/>
      <c r="E59658" s="8"/>
      <c r="F59658" s="8"/>
      <c r="G59658" s="8"/>
      <c r="H59658" s="8"/>
      <c r="I59658" s="102"/>
      <c r="J59658" s="8"/>
      <c r="K59658" s="8"/>
      <c r="L59658" s="8"/>
      <c r="M59658" s="8"/>
      <c r="N59658" s="8"/>
      <c r="O59658" s="8"/>
      <c r="P59658" s="8"/>
      <c r="Q59658" s="8"/>
      <c r="R59658" s="103"/>
      <c r="S59658" s="8"/>
      <c r="T59658" s="8"/>
      <c r="U59658" s="8"/>
      <c r="V59658" s="8"/>
      <c r="W59658" s="8"/>
      <c r="X59658" s="8"/>
      <c r="Y59658" s="8"/>
      <c r="Z59658" s="8"/>
      <c r="AA59658" s="8"/>
    </row>
    <row r="59659" spans="1:27" x14ac:dyDescent="0.25">
      <c r="A59659" s="8"/>
      <c r="B59659" s="8"/>
      <c r="C59659" s="99"/>
      <c r="D59659" s="8"/>
      <c r="E59659" s="8"/>
      <c r="F59659" s="8"/>
      <c r="G59659" s="8"/>
      <c r="H59659" s="8"/>
      <c r="I59659" s="102"/>
      <c r="J59659" s="8"/>
      <c r="K59659" s="8"/>
      <c r="L59659" s="8"/>
      <c r="M59659" s="8"/>
      <c r="N59659" s="8"/>
      <c r="O59659" s="8"/>
      <c r="P59659" s="8"/>
      <c r="Q59659" s="8"/>
      <c r="R59659" s="103"/>
      <c r="S59659" s="8"/>
      <c r="T59659" s="8"/>
      <c r="U59659" s="8"/>
      <c r="V59659" s="8"/>
      <c r="W59659" s="8"/>
      <c r="X59659" s="8"/>
      <c r="Y59659" s="8"/>
      <c r="Z59659" s="8"/>
      <c r="AA59659" s="8"/>
    </row>
    <row r="59660" spans="1:27" x14ac:dyDescent="0.25">
      <c r="A59660" s="8"/>
      <c r="B59660" s="8"/>
      <c r="C59660" s="99"/>
      <c r="D59660" s="8"/>
      <c r="E59660" s="8"/>
      <c r="F59660" s="8"/>
      <c r="G59660" s="8"/>
      <c r="H59660" s="8"/>
      <c r="I59660" s="102"/>
      <c r="J59660" s="8"/>
      <c r="K59660" s="8"/>
      <c r="L59660" s="8"/>
      <c r="M59660" s="8"/>
      <c r="N59660" s="8"/>
      <c r="O59660" s="8"/>
      <c r="P59660" s="8"/>
      <c r="Q59660" s="8"/>
      <c r="R59660" s="103"/>
      <c r="S59660" s="8"/>
      <c r="T59660" s="8"/>
      <c r="U59660" s="8"/>
      <c r="V59660" s="8"/>
      <c r="W59660" s="8"/>
      <c r="X59660" s="8"/>
      <c r="Y59660" s="8"/>
      <c r="Z59660" s="8"/>
      <c r="AA59660" s="8"/>
    </row>
    <row r="59661" spans="1:27" x14ac:dyDescent="0.25">
      <c r="A59661" s="8"/>
      <c r="B59661" s="8"/>
      <c r="C59661" s="99"/>
      <c r="D59661" s="8"/>
      <c r="E59661" s="8"/>
      <c r="F59661" s="8"/>
      <c r="G59661" s="8"/>
      <c r="H59661" s="8"/>
      <c r="I59661" s="102"/>
      <c r="J59661" s="8"/>
      <c r="K59661" s="8"/>
      <c r="L59661" s="8"/>
      <c r="M59661" s="8"/>
      <c r="N59661" s="8"/>
      <c r="O59661" s="8"/>
      <c r="P59661" s="8"/>
      <c r="Q59661" s="8"/>
      <c r="R59661" s="103"/>
      <c r="S59661" s="8"/>
      <c r="T59661" s="8"/>
      <c r="U59661" s="8"/>
      <c r="V59661" s="8"/>
      <c r="W59661" s="8"/>
      <c r="X59661" s="8"/>
      <c r="Y59661" s="8"/>
      <c r="Z59661" s="8"/>
      <c r="AA59661" s="8"/>
    </row>
    <row r="59662" spans="1:27" x14ac:dyDescent="0.25">
      <c r="A59662" s="8"/>
      <c r="B59662" s="8"/>
      <c r="C59662" s="99"/>
      <c r="D59662" s="8"/>
      <c r="E59662" s="8"/>
      <c r="F59662" s="8"/>
      <c r="G59662" s="8"/>
      <c r="H59662" s="8"/>
      <c r="I59662" s="102"/>
      <c r="J59662" s="8"/>
      <c r="K59662" s="8"/>
      <c r="L59662" s="8"/>
      <c r="M59662" s="8"/>
      <c r="N59662" s="8"/>
      <c r="O59662" s="8"/>
      <c r="P59662" s="8"/>
      <c r="Q59662" s="8"/>
      <c r="R59662" s="103"/>
      <c r="S59662" s="8"/>
      <c r="T59662" s="8"/>
      <c r="U59662" s="8"/>
      <c r="V59662" s="8"/>
      <c r="W59662" s="8"/>
      <c r="X59662" s="8"/>
      <c r="Y59662" s="8"/>
      <c r="Z59662" s="8"/>
      <c r="AA59662" s="8"/>
    </row>
    <row r="59663" spans="1:27" x14ac:dyDescent="0.25">
      <c r="A59663" s="8"/>
      <c r="B59663" s="8"/>
      <c r="C59663" s="99"/>
      <c r="D59663" s="8"/>
      <c r="E59663" s="8"/>
      <c r="F59663" s="8"/>
      <c r="G59663" s="8"/>
      <c r="H59663" s="8"/>
      <c r="I59663" s="102"/>
      <c r="J59663" s="8"/>
      <c r="K59663" s="8"/>
      <c r="L59663" s="8"/>
      <c r="M59663" s="8"/>
      <c r="N59663" s="8"/>
      <c r="O59663" s="8"/>
      <c r="P59663" s="8"/>
      <c r="Q59663" s="8"/>
      <c r="R59663" s="103"/>
      <c r="S59663" s="8"/>
      <c r="T59663" s="8"/>
      <c r="U59663" s="8"/>
      <c r="V59663" s="8"/>
      <c r="W59663" s="8"/>
      <c r="X59663" s="8"/>
      <c r="Y59663" s="8"/>
      <c r="Z59663" s="8"/>
      <c r="AA59663" s="8"/>
    </row>
    <row r="59664" spans="1:27" x14ac:dyDescent="0.25">
      <c r="A59664" s="8"/>
      <c r="B59664" s="8"/>
      <c r="C59664" s="99"/>
      <c r="D59664" s="8"/>
      <c r="E59664" s="8"/>
      <c r="F59664" s="8"/>
      <c r="G59664" s="8"/>
      <c r="H59664" s="8"/>
      <c r="I59664" s="102"/>
      <c r="J59664" s="8"/>
      <c r="K59664" s="8"/>
      <c r="L59664" s="8"/>
      <c r="M59664" s="8"/>
      <c r="N59664" s="8"/>
      <c r="O59664" s="8"/>
      <c r="P59664" s="8"/>
      <c r="Q59664" s="8"/>
      <c r="R59664" s="103"/>
      <c r="S59664" s="8"/>
      <c r="T59664" s="8"/>
      <c r="U59664" s="8"/>
      <c r="V59664" s="8"/>
      <c r="W59664" s="8"/>
      <c r="X59664" s="8"/>
      <c r="Y59664" s="8"/>
      <c r="Z59664" s="8"/>
      <c r="AA59664" s="8"/>
    </row>
    <row r="59665" spans="1:27" x14ac:dyDescent="0.25">
      <c r="A59665" s="8"/>
      <c r="B59665" s="8"/>
      <c r="C59665" s="99"/>
      <c r="D59665" s="8"/>
      <c r="E59665" s="8"/>
      <c r="F59665" s="8"/>
      <c r="G59665" s="8"/>
      <c r="H59665" s="8"/>
      <c r="I59665" s="102"/>
      <c r="J59665" s="8"/>
      <c r="K59665" s="8"/>
      <c r="L59665" s="8"/>
      <c r="M59665" s="8"/>
      <c r="N59665" s="8"/>
      <c r="O59665" s="8"/>
      <c r="P59665" s="8"/>
      <c r="Q59665" s="8"/>
      <c r="R59665" s="103"/>
      <c r="S59665" s="8"/>
      <c r="T59665" s="8"/>
      <c r="U59665" s="8"/>
      <c r="V59665" s="8"/>
      <c r="W59665" s="8"/>
      <c r="X59665" s="8"/>
      <c r="Y59665" s="8"/>
      <c r="Z59665" s="8"/>
      <c r="AA59665" s="8"/>
    </row>
    <row r="59666" spans="1:27" x14ac:dyDescent="0.25">
      <c r="A59666" s="8"/>
      <c r="B59666" s="8"/>
      <c r="C59666" s="99"/>
      <c r="D59666" s="8"/>
      <c r="E59666" s="8"/>
      <c r="F59666" s="8"/>
      <c r="G59666" s="8"/>
      <c r="H59666" s="8"/>
      <c r="I59666" s="102"/>
      <c r="J59666" s="8"/>
      <c r="K59666" s="8"/>
      <c r="L59666" s="8"/>
      <c r="M59666" s="8"/>
      <c r="N59666" s="8"/>
      <c r="O59666" s="8"/>
      <c r="P59666" s="8"/>
      <c r="Q59666" s="8"/>
      <c r="R59666" s="103"/>
      <c r="S59666" s="8"/>
      <c r="T59666" s="8"/>
      <c r="U59666" s="8"/>
      <c r="V59666" s="8"/>
      <c r="W59666" s="8"/>
      <c r="X59666" s="8"/>
      <c r="Y59666" s="8"/>
      <c r="Z59666" s="8"/>
      <c r="AA59666" s="8"/>
    </row>
    <row r="59667" spans="1:27" x14ac:dyDescent="0.25">
      <c r="A59667" s="8"/>
      <c r="B59667" s="8"/>
      <c r="C59667" s="99"/>
      <c r="D59667" s="8"/>
      <c r="E59667" s="8"/>
      <c r="F59667" s="8"/>
      <c r="G59667" s="8"/>
      <c r="H59667" s="8"/>
      <c r="I59667" s="102"/>
      <c r="J59667" s="8"/>
      <c r="K59667" s="8"/>
      <c r="L59667" s="8"/>
      <c r="M59667" s="8"/>
      <c r="N59667" s="8"/>
      <c r="O59667" s="8"/>
      <c r="P59667" s="8"/>
      <c r="Q59667" s="8"/>
      <c r="R59667" s="103"/>
      <c r="S59667" s="8"/>
      <c r="T59667" s="8"/>
      <c r="U59667" s="8"/>
      <c r="V59667" s="8"/>
      <c r="W59667" s="8"/>
      <c r="X59667" s="8"/>
      <c r="Y59667" s="8"/>
      <c r="Z59667" s="8"/>
      <c r="AA59667" s="8"/>
    </row>
    <row r="59668" spans="1:27" x14ac:dyDescent="0.25">
      <c r="A59668" s="8"/>
      <c r="B59668" s="8"/>
      <c r="C59668" s="99"/>
      <c r="D59668" s="8"/>
      <c r="E59668" s="8"/>
      <c r="F59668" s="8"/>
      <c r="G59668" s="8"/>
      <c r="H59668" s="8"/>
      <c r="I59668" s="102"/>
      <c r="J59668" s="8"/>
      <c r="K59668" s="8"/>
      <c r="L59668" s="8"/>
      <c r="M59668" s="8"/>
      <c r="N59668" s="8"/>
      <c r="O59668" s="8"/>
      <c r="P59668" s="8"/>
      <c r="Q59668" s="8"/>
      <c r="R59668" s="103"/>
      <c r="S59668" s="8"/>
      <c r="T59668" s="8"/>
      <c r="U59668" s="8"/>
      <c r="V59668" s="8"/>
      <c r="W59668" s="8"/>
      <c r="X59668" s="8"/>
      <c r="Y59668" s="8"/>
      <c r="Z59668" s="8"/>
      <c r="AA59668" s="8"/>
    </row>
    <row r="59669" spans="1:27" x14ac:dyDescent="0.25">
      <c r="A59669" s="8"/>
      <c r="B59669" s="8"/>
      <c r="C59669" s="99"/>
      <c r="D59669" s="8"/>
      <c r="E59669" s="8"/>
      <c r="F59669" s="8"/>
      <c r="G59669" s="8"/>
      <c r="H59669" s="8"/>
      <c r="I59669" s="102"/>
      <c r="J59669" s="8"/>
      <c r="K59669" s="8"/>
      <c r="L59669" s="8"/>
      <c r="M59669" s="8"/>
      <c r="N59669" s="8"/>
      <c r="O59669" s="8"/>
      <c r="P59669" s="8"/>
      <c r="Q59669" s="8"/>
      <c r="R59669" s="103"/>
      <c r="S59669" s="8"/>
      <c r="T59669" s="8"/>
      <c r="U59669" s="8"/>
      <c r="V59669" s="8"/>
      <c r="W59669" s="8"/>
      <c r="X59669" s="8"/>
      <c r="Y59669" s="8"/>
      <c r="Z59669" s="8"/>
      <c r="AA59669" s="8"/>
    </row>
    <row r="59670" spans="1:27" x14ac:dyDescent="0.25">
      <c r="A59670" s="8"/>
      <c r="B59670" s="8"/>
      <c r="C59670" s="99"/>
      <c r="D59670" s="8"/>
      <c r="E59670" s="8"/>
      <c r="F59670" s="8"/>
      <c r="G59670" s="8"/>
      <c r="H59670" s="8"/>
      <c r="I59670" s="102"/>
      <c r="J59670" s="8"/>
      <c r="K59670" s="8"/>
      <c r="L59670" s="8"/>
      <c r="M59670" s="8"/>
      <c r="N59670" s="8"/>
      <c r="O59670" s="8"/>
      <c r="P59670" s="8"/>
      <c r="Q59670" s="8"/>
      <c r="R59670" s="103"/>
      <c r="S59670" s="8"/>
      <c r="T59670" s="8"/>
      <c r="U59670" s="8"/>
      <c r="V59670" s="8"/>
      <c r="W59670" s="8"/>
      <c r="X59670" s="8"/>
      <c r="Y59670" s="8"/>
      <c r="Z59670" s="8"/>
      <c r="AA59670" s="8"/>
    </row>
    <row r="59671" spans="1:27" x14ac:dyDescent="0.25">
      <c r="A59671" s="8"/>
      <c r="B59671" s="8"/>
      <c r="C59671" s="99"/>
      <c r="D59671" s="8"/>
      <c r="E59671" s="8"/>
      <c r="F59671" s="8"/>
      <c r="G59671" s="8"/>
      <c r="H59671" s="8"/>
      <c r="I59671" s="102"/>
      <c r="J59671" s="8"/>
      <c r="K59671" s="8"/>
      <c r="L59671" s="8"/>
      <c r="M59671" s="8"/>
      <c r="N59671" s="8"/>
      <c r="O59671" s="8"/>
      <c r="P59671" s="8"/>
      <c r="Q59671" s="8"/>
      <c r="R59671" s="103"/>
      <c r="S59671" s="8"/>
      <c r="T59671" s="8"/>
      <c r="U59671" s="8"/>
      <c r="V59671" s="8"/>
      <c r="W59671" s="8"/>
      <c r="X59671" s="8"/>
      <c r="Y59671" s="8"/>
      <c r="Z59671" s="8"/>
      <c r="AA59671" s="8"/>
    </row>
    <row r="59672" spans="1:27" x14ac:dyDescent="0.25">
      <c r="A59672" s="8"/>
      <c r="B59672" s="8"/>
      <c r="C59672" s="99"/>
      <c r="D59672" s="8"/>
      <c r="E59672" s="8"/>
      <c r="F59672" s="8"/>
      <c r="G59672" s="8"/>
      <c r="H59672" s="8"/>
      <c r="I59672" s="102"/>
      <c r="J59672" s="8"/>
      <c r="K59672" s="8"/>
      <c r="L59672" s="8"/>
      <c r="M59672" s="8"/>
      <c r="N59672" s="8"/>
      <c r="O59672" s="8"/>
      <c r="P59672" s="8"/>
      <c r="Q59672" s="8"/>
      <c r="R59672" s="103"/>
      <c r="S59672" s="8"/>
      <c r="T59672" s="8"/>
      <c r="U59672" s="8"/>
      <c r="V59672" s="8"/>
      <c r="W59672" s="8"/>
      <c r="X59672" s="8"/>
      <c r="Y59672" s="8"/>
      <c r="Z59672" s="8"/>
      <c r="AA59672" s="8"/>
    </row>
    <row r="59673" spans="1:27" x14ac:dyDescent="0.25">
      <c r="A59673" s="8"/>
      <c r="B59673" s="8"/>
      <c r="C59673" s="99"/>
      <c r="D59673" s="8"/>
      <c r="E59673" s="8"/>
      <c r="F59673" s="8"/>
      <c r="G59673" s="8"/>
      <c r="H59673" s="8"/>
      <c r="I59673" s="102"/>
      <c r="J59673" s="8"/>
      <c r="K59673" s="8"/>
      <c r="L59673" s="8"/>
      <c r="M59673" s="8"/>
      <c r="N59673" s="8"/>
      <c r="O59673" s="8"/>
      <c r="P59673" s="8"/>
      <c r="Q59673" s="8"/>
      <c r="R59673" s="103"/>
      <c r="S59673" s="8"/>
      <c r="T59673" s="8"/>
      <c r="U59673" s="8"/>
      <c r="V59673" s="8"/>
      <c r="W59673" s="8"/>
      <c r="X59673" s="8"/>
      <c r="Y59673" s="8"/>
      <c r="Z59673" s="8"/>
      <c r="AA59673" s="8"/>
    </row>
    <row r="59674" spans="1:27" x14ac:dyDescent="0.25">
      <c r="A59674" s="8"/>
      <c r="B59674" s="8"/>
      <c r="C59674" s="99"/>
      <c r="D59674" s="8"/>
      <c r="E59674" s="8"/>
      <c r="F59674" s="8"/>
      <c r="G59674" s="8"/>
      <c r="H59674" s="8"/>
      <c r="I59674" s="102"/>
      <c r="J59674" s="8"/>
      <c r="K59674" s="8"/>
      <c r="L59674" s="8"/>
      <c r="M59674" s="8"/>
      <c r="N59674" s="8"/>
      <c r="O59674" s="8"/>
      <c r="P59674" s="8"/>
      <c r="Q59674" s="8"/>
      <c r="R59674" s="103"/>
      <c r="S59674" s="8"/>
      <c r="T59674" s="8"/>
      <c r="U59674" s="8"/>
      <c r="V59674" s="8"/>
      <c r="W59674" s="8"/>
      <c r="X59674" s="8"/>
      <c r="Y59674" s="8"/>
      <c r="Z59674" s="8"/>
      <c r="AA59674" s="8"/>
    </row>
    <row r="59675" spans="1:27" x14ac:dyDescent="0.25">
      <c r="A59675" s="8"/>
      <c r="B59675" s="8"/>
      <c r="C59675" s="99"/>
      <c r="D59675" s="8"/>
      <c r="E59675" s="8"/>
      <c r="F59675" s="8"/>
      <c r="G59675" s="8"/>
      <c r="H59675" s="8"/>
      <c r="I59675" s="102"/>
      <c r="J59675" s="8"/>
      <c r="K59675" s="8"/>
      <c r="L59675" s="8"/>
      <c r="M59675" s="8"/>
      <c r="N59675" s="8"/>
      <c r="O59675" s="8"/>
      <c r="P59675" s="8"/>
      <c r="Q59675" s="8"/>
      <c r="R59675" s="103"/>
      <c r="S59675" s="8"/>
      <c r="T59675" s="8"/>
      <c r="U59675" s="8"/>
      <c r="V59675" s="8"/>
      <c r="W59675" s="8"/>
      <c r="X59675" s="8"/>
      <c r="Y59675" s="8"/>
      <c r="Z59675" s="8"/>
      <c r="AA59675" s="8"/>
    </row>
    <row r="59676" spans="1:27" x14ac:dyDescent="0.25">
      <c r="A59676" s="8"/>
      <c r="B59676" s="8"/>
      <c r="C59676" s="99"/>
      <c r="D59676" s="8"/>
      <c r="E59676" s="8"/>
      <c r="F59676" s="8"/>
      <c r="G59676" s="8"/>
      <c r="H59676" s="8"/>
      <c r="I59676" s="102"/>
      <c r="J59676" s="8"/>
      <c r="K59676" s="8"/>
      <c r="L59676" s="8"/>
      <c r="M59676" s="8"/>
      <c r="N59676" s="8"/>
      <c r="O59676" s="8"/>
      <c r="P59676" s="8"/>
      <c r="Q59676" s="8"/>
      <c r="R59676" s="103"/>
      <c r="S59676" s="8"/>
      <c r="T59676" s="8"/>
      <c r="U59676" s="8"/>
      <c r="V59676" s="8"/>
      <c r="W59676" s="8"/>
      <c r="X59676" s="8"/>
      <c r="Y59676" s="8"/>
      <c r="Z59676" s="8"/>
      <c r="AA59676" s="8"/>
    </row>
    <row r="59677" spans="1:27" x14ac:dyDescent="0.25">
      <c r="A59677" s="8"/>
      <c r="B59677" s="8"/>
      <c r="C59677" s="99"/>
      <c r="D59677" s="8"/>
      <c r="E59677" s="8"/>
      <c r="F59677" s="8"/>
      <c r="G59677" s="8"/>
      <c r="H59677" s="8"/>
      <c r="I59677" s="102"/>
      <c r="J59677" s="8"/>
      <c r="K59677" s="8"/>
      <c r="L59677" s="8"/>
      <c r="M59677" s="8"/>
      <c r="N59677" s="8"/>
      <c r="O59677" s="8"/>
      <c r="P59677" s="8"/>
      <c r="Q59677" s="8"/>
      <c r="R59677" s="103"/>
      <c r="S59677" s="8"/>
      <c r="T59677" s="8"/>
      <c r="U59677" s="8"/>
      <c r="V59677" s="8"/>
      <c r="W59677" s="8"/>
      <c r="X59677" s="8"/>
      <c r="Y59677" s="8"/>
      <c r="Z59677" s="8"/>
      <c r="AA59677" s="8"/>
    </row>
    <row r="59678" spans="1:27" x14ac:dyDescent="0.25">
      <c r="A59678" s="8"/>
      <c r="B59678" s="8"/>
      <c r="C59678" s="99"/>
      <c r="D59678" s="8"/>
      <c r="E59678" s="8"/>
      <c r="F59678" s="8"/>
      <c r="G59678" s="8"/>
      <c r="H59678" s="8"/>
      <c r="I59678" s="102"/>
      <c r="J59678" s="8"/>
      <c r="K59678" s="8"/>
      <c r="L59678" s="8"/>
      <c r="M59678" s="8"/>
      <c r="N59678" s="8"/>
      <c r="O59678" s="8"/>
      <c r="P59678" s="8"/>
      <c r="Q59678" s="8"/>
      <c r="R59678" s="103"/>
      <c r="S59678" s="8"/>
      <c r="T59678" s="8"/>
      <c r="U59678" s="8"/>
      <c r="V59678" s="8"/>
      <c r="W59678" s="8"/>
      <c r="X59678" s="8"/>
      <c r="Y59678" s="8"/>
      <c r="Z59678" s="8"/>
      <c r="AA59678" s="8"/>
    </row>
    <row r="59679" spans="1:27" x14ac:dyDescent="0.25">
      <c r="A59679" s="8"/>
      <c r="B59679" s="8"/>
      <c r="C59679" s="99"/>
      <c r="D59679" s="8"/>
      <c r="E59679" s="8"/>
      <c r="F59679" s="8"/>
      <c r="G59679" s="8"/>
      <c r="H59679" s="8"/>
      <c r="I59679" s="102"/>
      <c r="J59679" s="8"/>
      <c r="K59679" s="8"/>
      <c r="L59679" s="8"/>
      <c r="M59679" s="8"/>
      <c r="N59679" s="8"/>
      <c r="O59679" s="8"/>
      <c r="P59679" s="8"/>
      <c r="Q59679" s="8"/>
      <c r="R59679" s="103"/>
      <c r="S59679" s="8"/>
      <c r="T59679" s="8"/>
      <c r="U59679" s="8"/>
      <c r="V59679" s="8"/>
      <c r="W59679" s="8"/>
      <c r="X59679" s="8"/>
      <c r="Y59679" s="8"/>
      <c r="Z59679" s="8"/>
      <c r="AA59679" s="8"/>
    </row>
    <row r="59680" spans="1:27" x14ac:dyDescent="0.25">
      <c r="A59680" s="8"/>
      <c r="B59680" s="8"/>
      <c r="C59680" s="99"/>
      <c r="D59680" s="8"/>
      <c r="E59680" s="8"/>
      <c r="F59680" s="8"/>
      <c r="G59680" s="8"/>
      <c r="H59680" s="8"/>
      <c r="I59680" s="102"/>
      <c r="J59680" s="8"/>
      <c r="K59680" s="8"/>
      <c r="L59680" s="8"/>
      <c r="M59680" s="8"/>
      <c r="N59680" s="8"/>
      <c r="O59680" s="8"/>
      <c r="P59680" s="8"/>
      <c r="Q59680" s="8"/>
      <c r="R59680" s="103"/>
      <c r="S59680" s="8"/>
      <c r="T59680" s="8"/>
      <c r="U59680" s="8"/>
      <c r="V59680" s="8"/>
      <c r="W59680" s="8"/>
      <c r="X59680" s="8"/>
      <c r="Y59680" s="8"/>
      <c r="Z59680" s="8"/>
      <c r="AA59680" s="8"/>
    </row>
    <row r="59681" spans="1:27" x14ac:dyDescent="0.25">
      <c r="A59681" s="8"/>
      <c r="B59681" s="8"/>
      <c r="C59681" s="99"/>
      <c r="D59681" s="8"/>
      <c r="E59681" s="8"/>
      <c r="F59681" s="8"/>
      <c r="G59681" s="8"/>
      <c r="H59681" s="8"/>
      <c r="I59681" s="102"/>
      <c r="J59681" s="8"/>
      <c r="K59681" s="8"/>
      <c r="L59681" s="8"/>
      <c r="M59681" s="8"/>
      <c r="N59681" s="8"/>
      <c r="O59681" s="8"/>
      <c r="P59681" s="8"/>
      <c r="Q59681" s="8"/>
      <c r="R59681" s="103"/>
      <c r="S59681" s="8"/>
      <c r="T59681" s="8"/>
      <c r="U59681" s="8"/>
      <c r="V59681" s="8"/>
      <c r="W59681" s="8"/>
      <c r="X59681" s="8"/>
      <c r="Y59681" s="8"/>
      <c r="Z59681" s="8"/>
      <c r="AA59681" s="8"/>
    </row>
    <row r="59682" spans="1:27" x14ac:dyDescent="0.25">
      <c r="A59682" s="8"/>
      <c r="B59682" s="8"/>
      <c r="C59682" s="99"/>
      <c r="D59682" s="8"/>
      <c r="E59682" s="8"/>
      <c r="F59682" s="8"/>
      <c r="G59682" s="8"/>
      <c r="H59682" s="8"/>
      <c r="I59682" s="102"/>
      <c r="J59682" s="8"/>
      <c r="K59682" s="8"/>
      <c r="L59682" s="8"/>
      <c r="M59682" s="8"/>
      <c r="N59682" s="8"/>
      <c r="O59682" s="8"/>
      <c r="P59682" s="8"/>
      <c r="Q59682" s="8"/>
      <c r="R59682" s="103"/>
      <c r="S59682" s="8"/>
      <c r="T59682" s="8"/>
      <c r="U59682" s="8"/>
      <c r="V59682" s="8"/>
      <c r="W59682" s="8"/>
      <c r="X59682" s="8"/>
      <c r="Y59682" s="8"/>
      <c r="Z59682" s="8"/>
      <c r="AA59682" s="8"/>
    </row>
    <row r="59683" spans="1:27" x14ac:dyDescent="0.25">
      <c r="A59683" s="8"/>
      <c r="B59683" s="8"/>
      <c r="C59683" s="99"/>
      <c r="D59683" s="8"/>
      <c r="E59683" s="8"/>
      <c r="F59683" s="8"/>
      <c r="G59683" s="8"/>
      <c r="H59683" s="8"/>
      <c r="I59683" s="102"/>
      <c r="J59683" s="8"/>
      <c r="K59683" s="8"/>
      <c r="L59683" s="8"/>
      <c r="M59683" s="8"/>
      <c r="N59683" s="8"/>
      <c r="O59683" s="8"/>
      <c r="P59683" s="8"/>
      <c r="Q59683" s="8"/>
      <c r="R59683" s="103"/>
      <c r="S59683" s="8"/>
      <c r="T59683" s="8"/>
      <c r="U59683" s="8"/>
      <c r="V59683" s="8"/>
      <c r="W59683" s="8"/>
      <c r="X59683" s="8"/>
      <c r="Y59683" s="8"/>
      <c r="Z59683" s="8"/>
      <c r="AA59683" s="8"/>
    </row>
    <row r="59684" spans="1:27" x14ac:dyDescent="0.25">
      <c r="A59684" s="8"/>
      <c r="B59684" s="8"/>
      <c r="C59684" s="99"/>
      <c r="D59684" s="8"/>
      <c r="E59684" s="8"/>
      <c r="F59684" s="8"/>
      <c r="G59684" s="8"/>
      <c r="H59684" s="8"/>
      <c r="I59684" s="102"/>
      <c r="J59684" s="8"/>
      <c r="K59684" s="8"/>
      <c r="L59684" s="8"/>
      <c r="M59684" s="8"/>
      <c r="N59684" s="8"/>
      <c r="O59684" s="8"/>
      <c r="P59684" s="8"/>
      <c r="Q59684" s="8"/>
      <c r="R59684" s="103"/>
      <c r="S59684" s="8"/>
      <c r="T59684" s="8"/>
      <c r="U59684" s="8"/>
      <c r="V59684" s="8"/>
      <c r="W59684" s="8"/>
      <c r="X59684" s="8"/>
      <c r="Y59684" s="8"/>
      <c r="Z59684" s="8"/>
      <c r="AA59684" s="8"/>
    </row>
    <row r="59685" spans="1:27" x14ac:dyDescent="0.25">
      <c r="A59685" s="8"/>
      <c r="B59685" s="8"/>
      <c r="C59685" s="99"/>
      <c r="D59685" s="8"/>
      <c r="E59685" s="8"/>
      <c r="F59685" s="8"/>
      <c r="G59685" s="8"/>
      <c r="H59685" s="8"/>
      <c r="I59685" s="102"/>
      <c r="J59685" s="8"/>
      <c r="K59685" s="8"/>
      <c r="L59685" s="8"/>
      <c r="M59685" s="8"/>
      <c r="N59685" s="8"/>
      <c r="O59685" s="8"/>
      <c r="P59685" s="8"/>
      <c r="Q59685" s="8"/>
      <c r="R59685" s="103"/>
      <c r="S59685" s="8"/>
      <c r="T59685" s="8"/>
      <c r="U59685" s="8"/>
      <c r="V59685" s="8"/>
      <c r="W59685" s="8"/>
      <c r="X59685" s="8"/>
      <c r="Y59685" s="8"/>
      <c r="Z59685" s="8"/>
      <c r="AA59685" s="8"/>
    </row>
    <row r="59686" spans="1:27" x14ac:dyDescent="0.25">
      <c r="A59686" s="8"/>
      <c r="B59686" s="8"/>
      <c r="C59686" s="99"/>
      <c r="D59686" s="8"/>
      <c r="E59686" s="8"/>
      <c r="F59686" s="8"/>
      <c r="G59686" s="8"/>
      <c r="H59686" s="8"/>
      <c r="I59686" s="102"/>
      <c r="J59686" s="8"/>
      <c r="K59686" s="8"/>
      <c r="L59686" s="8"/>
      <c r="M59686" s="8"/>
      <c r="N59686" s="8"/>
      <c r="O59686" s="8"/>
      <c r="P59686" s="8"/>
      <c r="Q59686" s="8"/>
      <c r="R59686" s="103"/>
      <c r="S59686" s="8"/>
      <c r="T59686" s="8"/>
      <c r="U59686" s="8"/>
      <c r="V59686" s="8"/>
      <c r="W59686" s="8"/>
      <c r="X59686" s="8"/>
      <c r="Y59686" s="8"/>
      <c r="Z59686" s="8"/>
      <c r="AA59686" s="8"/>
    </row>
    <row r="59687" spans="1:27" x14ac:dyDescent="0.25">
      <c r="A59687" s="8"/>
      <c r="B59687" s="8"/>
      <c r="C59687" s="99"/>
      <c r="D59687" s="8"/>
      <c r="E59687" s="8"/>
      <c r="F59687" s="8"/>
      <c r="G59687" s="8"/>
      <c r="H59687" s="8"/>
      <c r="I59687" s="102"/>
      <c r="J59687" s="8"/>
      <c r="K59687" s="8"/>
      <c r="L59687" s="8"/>
      <c r="M59687" s="8"/>
      <c r="N59687" s="8"/>
      <c r="O59687" s="8"/>
      <c r="P59687" s="8"/>
      <c r="Q59687" s="8"/>
      <c r="R59687" s="103"/>
      <c r="S59687" s="8"/>
      <c r="T59687" s="8"/>
      <c r="U59687" s="8"/>
      <c r="V59687" s="8"/>
      <c r="W59687" s="8"/>
      <c r="X59687" s="8"/>
      <c r="Y59687" s="8"/>
      <c r="Z59687" s="8"/>
      <c r="AA59687" s="8"/>
    </row>
    <row r="59688" spans="1:27" x14ac:dyDescent="0.25">
      <c r="A59688" s="8"/>
      <c r="B59688" s="8"/>
      <c r="C59688" s="99"/>
      <c r="D59688" s="8"/>
      <c r="E59688" s="8"/>
      <c r="F59688" s="8"/>
      <c r="G59688" s="8"/>
      <c r="H59688" s="8"/>
      <c r="I59688" s="102"/>
      <c r="J59688" s="8"/>
      <c r="K59688" s="8"/>
      <c r="L59688" s="8"/>
      <c r="M59688" s="8"/>
      <c r="N59688" s="8"/>
      <c r="O59688" s="8"/>
      <c r="P59688" s="8"/>
      <c r="Q59688" s="8"/>
      <c r="R59688" s="103"/>
      <c r="S59688" s="8"/>
      <c r="T59688" s="8"/>
      <c r="U59688" s="8"/>
      <c r="V59688" s="8"/>
      <c r="W59688" s="8"/>
      <c r="X59688" s="8"/>
      <c r="Y59688" s="8"/>
      <c r="Z59688" s="8"/>
      <c r="AA59688" s="8"/>
    </row>
    <row r="59689" spans="1:27" x14ac:dyDescent="0.25">
      <c r="A59689" s="8"/>
      <c r="B59689" s="8"/>
      <c r="C59689" s="99"/>
      <c r="D59689" s="8"/>
      <c r="E59689" s="8"/>
      <c r="F59689" s="8"/>
      <c r="G59689" s="8"/>
      <c r="H59689" s="8"/>
      <c r="I59689" s="102"/>
      <c r="J59689" s="8"/>
      <c r="K59689" s="8"/>
      <c r="L59689" s="8"/>
      <c r="M59689" s="8"/>
      <c r="N59689" s="8"/>
      <c r="O59689" s="8"/>
      <c r="P59689" s="8"/>
      <c r="Q59689" s="8"/>
      <c r="R59689" s="103"/>
      <c r="S59689" s="8"/>
      <c r="T59689" s="8"/>
      <c r="U59689" s="8"/>
      <c r="V59689" s="8"/>
      <c r="W59689" s="8"/>
      <c r="X59689" s="8"/>
      <c r="Y59689" s="8"/>
      <c r="Z59689" s="8"/>
      <c r="AA59689" s="8"/>
    </row>
    <row r="59690" spans="1:27" x14ac:dyDescent="0.25">
      <c r="A59690" s="8"/>
      <c r="B59690" s="8"/>
      <c r="C59690" s="99"/>
      <c r="D59690" s="8"/>
      <c r="E59690" s="8"/>
      <c r="F59690" s="8"/>
      <c r="G59690" s="8"/>
      <c r="H59690" s="8"/>
      <c r="I59690" s="102"/>
      <c r="J59690" s="8"/>
      <c r="K59690" s="8"/>
      <c r="L59690" s="8"/>
      <c r="M59690" s="8"/>
      <c r="N59690" s="8"/>
      <c r="O59690" s="8"/>
      <c r="P59690" s="8"/>
      <c r="Q59690" s="8"/>
      <c r="R59690" s="103"/>
      <c r="S59690" s="8"/>
      <c r="T59690" s="8"/>
      <c r="U59690" s="8"/>
      <c r="V59690" s="8"/>
      <c r="W59690" s="8"/>
      <c r="X59690" s="8"/>
      <c r="Y59690" s="8"/>
      <c r="Z59690" s="8"/>
      <c r="AA59690" s="8"/>
    </row>
    <row r="59691" spans="1:27" x14ac:dyDescent="0.25">
      <c r="A59691" s="8"/>
      <c r="B59691" s="8"/>
      <c r="C59691" s="99"/>
      <c r="D59691" s="8"/>
      <c r="E59691" s="8"/>
      <c r="F59691" s="8"/>
      <c r="G59691" s="8"/>
      <c r="H59691" s="8"/>
      <c r="I59691" s="102"/>
      <c r="J59691" s="8"/>
      <c r="K59691" s="8"/>
      <c r="L59691" s="8"/>
      <c r="M59691" s="8"/>
      <c r="N59691" s="8"/>
      <c r="O59691" s="8"/>
      <c r="P59691" s="8"/>
      <c r="Q59691" s="8"/>
      <c r="R59691" s="103"/>
      <c r="S59691" s="8"/>
      <c r="T59691" s="8"/>
      <c r="U59691" s="8"/>
      <c r="V59691" s="8"/>
      <c r="W59691" s="8"/>
      <c r="X59691" s="8"/>
      <c r="Y59691" s="8"/>
      <c r="Z59691" s="8"/>
      <c r="AA59691" s="8"/>
    </row>
    <row r="59692" spans="1:27" x14ac:dyDescent="0.25">
      <c r="A59692" s="8"/>
      <c r="B59692" s="8"/>
      <c r="C59692" s="99"/>
      <c r="D59692" s="8"/>
      <c r="E59692" s="8"/>
      <c r="F59692" s="8"/>
      <c r="G59692" s="8"/>
      <c r="H59692" s="8"/>
      <c r="I59692" s="102"/>
      <c r="J59692" s="8"/>
      <c r="K59692" s="8"/>
      <c r="L59692" s="8"/>
      <c r="M59692" s="8"/>
      <c r="N59692" s="8"/>
      <c r="O59692" s="8"/>
      <c r="P59692" s="8"/>
      <c r="Q59692" s="8"/>
      <c r="R59692" s="103"/>
      <c r="S59692" s="8"/>
      <c r="T59692" s="8"/>
      <c r="U59692" s="8"/>
      <c r="V59692" s="8"/>
      <c r="W59692" s="8"/>
      <c r="X59692" s="8"/>
      <c r="Y59692" s="8"/>
      <c r="Z59692" s="8"/>
      <c r="AA59692" s="8"/>
    </row>
    <row r="59693" spans="1:27" x14ac:dyDescent="0.25">
      <c r="A59693" s="8"/>
      <c r="B59693" s="8"/>
      <c r="C59693" s="99"/>
      <c r="D59693" s="8"/>
      <c r="E59693" s="8"/>
      <c r="F59693" s="8"/>
      <c r="G59693" s="8"/>
      <c r="H59693" s="8"/>
      <c r="I59693" s="102"/>
      <c r="J59693" s="8"/>
      <c r="K59693" s="8"/>
      <c r="L59693" s="8"/>
      <c r="M59693" s="8"/>
      <c r="N59693" s="8"/>
      <c r="O59693" s="8"/>
      <c r="P59693" s="8"/>
      <c r="Q59693" s="8"/>
      <c r="R59693" s="103"/>
      <c r="S59693" s="8"/>
      <c r="T59693" s="8"/>
      <c r="U59693" s="8"/>
      <c r="V59693" s="8"/>
      <c r="W59693" s="8"/>
      <c r="X59693" s="8"/>
      <c r="Y59693" s="8"/>
      <c r="Z59693" s="8"/>
      <c r="AA59693" s="8"/>
    </row>
    <row r="59694" spans="1:27" x14ac:dyDescent="0.25">
      <c r="A59694" s="8"/>
      <c r="B59694" s="8"/>
      <c r="C59694" s="99"/>
      <c r="D59694" s="8"/>
      <c r="E59694" s="8"/>
      <c r="F59694" s="8"/>
      <c r="G59694" s="8"/>
      <c r="H59694" s="8"/>
      <c r="I59694" s="102"/>
      <c r="J59694" s="8"/>
      <c r="K59694" s="8"/>
      <c r="L59694" s="8"/>
      <c r="M59694" s="8"/>
      <c r="N59694" s="8"/>
      <c r="O59694" s="8"/>
      <c r="P59694" s="8"/>
      <c r="Q59694" s="8"/>
      <c r="R59694" s="103"/>
      <c r="S59694" s="8"/>
      <c r="T59694" s="8"/>
      <c r="U59694" s="8"/>
      <c r="V59694" s="8"/>
      <c r="W59694" s="8"/>
      <c r="X59694" s="8"/>
      <c r="Y59694" s="8"/>
      <c r="Z59694" s="8"/>
      <c r="AA59694" s="8"/>
    </row>
    <row r="59695" spans="1:27" x14ac:dyDescent="0.25">
      <c r="A59695" s="8"/>
      <c r="B59695" s="8"/>
      <c r="C59695" s="99"/>
      <c r="D59695" s="8"/>
      <c r="E59695" s="8"/>
      <c r="F59695" s="8"/>
      <c r="G59695" s="8"/>
      <c r="H59695" s="8"/>
      <c r="I59695" s="102"/>
      <c r="J59695" s="8"/>
      <c r="K59695" s="8"/>
      <c r="L59695" s="8"/>
      <c r="M59695" s="8"/>
      <c r="N59695" s="8"/>
      <c r="O59695" s="8"/>
      <c r="P59695" s="8"/>
      <c r="Q59695" s="8"/>
      <c r="R59695" s="103"/>
      <c r="S59695" s="8"/>
      <c r="T59695" s="8"/>
      <c r="U59695" s="8"/>
      <c r="V59695" s="8"/>
      <c r="W59695" s="8"/>
      <c r="X59695" s="8"/>
      <c r="Y59695" s="8"/>
      <c r="Z59695" s="8"/>
      <c r="AA59695" s="8"/>
    </row>
    <row r="59696" spans="1:27" x14ac:dyDescent="0.25">
      <c r="A59696" s="8"/>
      <c r="B59696" s="8"/>
      <c r="C59696" s="99"/>
      <c r="D59696" s="8"/>
      <c r="E59696" s="8"/>
      <c r="F59696" s="8"/>
      <c r="G59696" s="8"/>
      <c r="H59696" s="8"/>
      <c r="I59696" s="102"/>
      <c r="J59696" s="8"/>
      <c r="K59696" s="8"/>
      <c r="L59696" s="8"/>
      <c r="M59696" s="8"/>
      <c r="N59696" s="8"/>
      <c r="O59696" s="8"/>
      <c r="P59696" s="8"/>
      <c r="Q59696" s="8"/>
      <c r="R59696" s="103"/>
      <c r="S59696" s="8"/>
      <c r="T59696" s="8"/>
      <c r="U59696" s="8"/>
      <c r="V59696" s="8"/>
      <c r="W59696" s="8"/>
      <c r="X59696" s="8"/>
      <c r="Y59696" s="8"/>
      <c r="Z59696" s="8"/>
      <c r="AA59696" s="8"/>
    </row>
    <row r="59697" spans="1:27" x14ac:dyDescent="0.25">
      <c r="A59697" s="8"/>
      <c r="B59697" s="8"/>
      <c r="C59697" s="99"/>
      <c r="D59697" s="8"/>
      <c r="E59697" s="8"/>
      <c r="F59697" s="8"/>
      <c r="G59697" s="8"/>
      <c r="H59697" s="8"/>
      <c r="I59697" s="102"/>
      <c r="J59697" s="8"/>
      <c r="K59697" s="8"/>
      <c r="L59697" s="8"/>
      <c r="M59697" s="8"/>
      <c r="N59697" s="8"/>
      <c r="O59697" s="8"/>
      <c r="P59697" s="8"/>
      <c r="Q59697" s="8"/>
      <c r="R59697" s="103"/>
      <c r="S59697" s="8"/>
      <c r="T59697" s="8"/>
      <c r="U59697" s="8"/>
      <c r="V59697" s="8"/>
      <c r="W59697" s="8"/>
      <c r="X59697" s="8"/>
      <c r="Y59697" s="8"/>
      <c r="Z59697" s="8"/>
      <c r="AA59697" s="8"/>
    </row>
    <row r="59698" spans="1:27" x14ac:dyDescent="0.25">
      <c r="A59698" s="8"/>
      <c r="B59698" s="8"/>
      <c r="C59698" s="99"/>
      <c r="D59698" s="8"/>
      <c r="E59698" s="8"/>
      <c r="F59698" s="8"/>
      <c r="G59698" s="8"/>
      <c r="H59698" s="8"/>
      <c r="I59698" s="102"/>
      <c r="J59698" s="8"/>
      <c r="K59698" s="8"/>
      <c r="L59698" s="8"/>
      <c r="M59698" s="8"/>
      <c r="N59698" s="8"/>
      <c r="O59698" s="8"/>
      <c r="P59698" s="8"/>
      <c r="Q59698" s="8"/>
      <c r="R59698" s="103"/>
      <c r="S59698" s="8"/>
      <c r="T59698" s="8"/>
      <c r="U59698" s="8"/>
      <c r="V59698" s="8"/>
      <c r="W59698" s="8"/>
      <c r="X59698" s="8"/>
      <c r="Y59698" s="8"/>
      <c r="Z59698" s="8"/>
      <c r="AA59698" s="8"/>
    </row>
    <row r="59699" spans="1:27" x14ac:dyDescent="0.25">
      <c r="A59699" s="8"/>
      <c r="B59699" s="8"/>
      <c r="C59699" s="99"/>
      <c r="D59699" s="8"/>
      <c r="E59699" s="8"/>
      <c r="F59699" s="8"/>
      <c r="G59699" s="8"/>
      <c r="H59699" s="8"/>
      <c r="I59699" s="102"/>
      <c r="J59699" s="8"/>
      <c r="K59699" s="8"/>
      <c r="L59699" s="8"/>
      <c r="M59699" s="8"/>
      <c r="N59699" s="8"/>
      <c r="O59699" s="8"/>
      <c r="P59699" s="8"/>
      <c r="Q59699" s="8"/>
      <c r="R59699" s="103"/>
      <c r="S59699" s="8"/>
      <c r="T59699" s="8"/>
      <c r="U59699" s="8"/>
      <c r="V59699" s="8"/>
      <c r="W59699" s="8"/>
      <c r="X59699" s="8"/>
      <c r="Y59699" s="8"/>
      <c r="Z59699" s="8"/>
      <c r="AA59699" s="8"/>
    </row>
    <row r="59700" spans="1:27" x14ac:dyDescent="0.25">
      <c r="A59700" s="8"/>
      <c r="B59700" s="8"/>
      <c r="C59700" s="99"/>
      <c r="D59700" s="8"/>
      <c r="E59700" s="8"/>
      <c r="F59700" s="8"/>
      <c r="G59700" s="8"/>
      <c r="H59700" s="8"/>
      <c r="I59700" s="102"/>
      <c r="J59700" s="8"/>
      <c r="K59700" s="8"/>
      <c r="L59700" s="8"/>
      <c r="M59700" s="8"/>
      <c r="N59700" s="8"/>
      <c r="O59700" s="8"/>
      <c r="P59700" s="8"/>
      <c r="Q59700" s="8"/>
      <c r="R59700" s="103"/>
      <c r="S59700" s="8"/>
      <c r="T59700" s="8"/>
      <c r="U59700" s="8"/>
      <c r="V59700" s="8"/>
      <c r="W59700" s="8"/>
      <c r="X59700" s="8"/>
      <c r="Y59700" s="8"/>
      <c r="Z59700" s="8"/>
      <c r="AA59700" s="8"/>
    </row>
    <row r="59701" spans="1:27" x14ac:dyDescent="0.25">
      <c r="A59701" s="8"/>
      <c r="B59701" s="8"/>
      <c r="C59701" s="99"/>
      <c r="D59701" s="8"/>
      <c r="E59701" s="8"/>
      <c r="F59701" s="8"/>
      <c r="G59701" s="8"/>
      <c r="H59701" s="8"/>
      <c r="I59701" s="102"/>
      <c r="J59701" s="8"/>
      <c r="K59701" s="8"/>
      <c r="L59701" s="8"/>
      <c r="M59701" s="8"/>
      <c r="N59701" s="8"/>
      <c r="O59701" s="8"/>
      <c r="P59701" s="8"/>
      <c r="Q59701" s="8"/>
      <c r="R59701" s="103"/>
      <c r="S59701" s="8"/>
      <c r="T59701" s="8"/>
      <c r="U59701" s="8"/>
      <c r="V59701" s="8"/>
      <c r="W59701" s="8"/>
      <c r="X59701" s="8"/>
      <c r="Y59701" s="8"/>
      <c r="Z59701" s="8"/>
      <c r="AA59701" s="8"/>
    </row>
    <row r="59702" spans="1:27" x14ac:dyDescent="0.25">
      <c r="A59702" s="8"/>
      <c r="B59702" s="8"/>
      <c r="C59702" s="99"/>
      <c r="D59702" s="8"/>
      <c r="E59702" s="8"/>
      <c r="F59702" s="8"/>
      <c r="G59702" s="8"/>
      <c r="H59702" s="8"/>
      <c r="I59702" s="102"/>
      <c r="J59702" s="8"/>
      <c r="K59702" s="8"/>
      <c r="L59702" s="8"/>
      <c r="M59702" s="8"/>
      <c r="N59702" s="8"/>
      <c r="O59702" s="8"/>
      <c r="P59702" s="8"/>
      <c r="Q59702" s="8"/>
      <c r="R59702" s="103"/>
      <c r="S59702" s="8"/>
      <c r="T59702" s="8"/>
      <c r="U59702" s="8"/>
      <c r="V59702" s="8"/>
      <c r="W59702" s="8"/>
      <c r="X59702" s="8"/>
      <c r="Y59702" s="8"/>
      <c r="Z59702" s="8"/>
      <c r="AA59702" s="8"/>
    </row>
    <row r="59703" spans="1:27" x14ac:dyDescent="0.25">
      <c r="A59703" s="8"/>
      <c r="B59703" s="8"/>
      <c r="C59703" s="99"/>
      <c r="D59703" s="8"/>
      <c r="E59703" s="8"/>
      <c r="F59703" s="8"/>
      <c r="G59703" s="8"/>
      <c r="H59703" s="8"/>
      <c r="I59703" s="102"/>
      <c r="J59703" s="8"/>
      <c r="K59703" s="8"/>
      <c r="L59703" s="8"/>
      <c r="M59703" s="8"/>
      <c r="N59703" s="8"/>
      <c r="O59703" s="8"/>
      <c r="P59703" s="8"/>
      <c r="Q59703" s="8"/>
      <c r="R59703" s="103"/>
      <c r="S59703" s="8"/>
      <c r="T59703" s="8"/>
      <c r="U59703" s="8"/>
      <c r="V59703" s="8"/>
      <c r="W59703" s="8"/>
      <c r="X59703" s="8"/>
      <c r="Y59703" s="8"/>
      <c r="Z59703" s="8"/>
      <c r="AA59703" s="8"/>
    </row>
    <row r="59704" spans="1:27" x14ac:dyDescent="0.25">
      <c r="A59704" s="8"/>
      <c r="B59704" s="8"/>
      <c r="C59704" s="99"/>
      <c r="D59704" s="8"/>
      <c r="E59704" s="8"/>
      <c r="F59704" s="8"/>
      <c r="G59704" s="8"/>
      <c r="H59704" s="8"/>
      <c r="I59704" s="102"/>
      <c r="J59704" s="8"/>
      <c r="K59704" s="8"/>
      <c r="L59704" s="8"/>
      <c r="M59704" s="8"/>
      <c r="N59704" s="8"/>
      <c r="O59704" s="8"/>
      <c r="P59704" s="8"/>
      <c r="Q59704" s="8"/>
      <c r="R59704" s="103"/>
      <c r="S59704" s="8"/>
      <c r="T59704" s="8"/>
      <c r="U59704" s="8"/>
      <c r="V59704" s="8"/>
      <c r="W59704" s="8"/>
      <c r="X59704" s="8"/>
      <c r="Y59704" s="8"/>
      <c r="Z59704" s="8"/>
      <c r="AA59704" s="8"/>
    </row>
    <row r="59705" spans="1:27" x14ac:dyDescent="0.25">
      <c r="A59705" s="8"/>
      <c r="B59705" s="8"/>
      <c r="C59705" s="99"/>
      <c r="D59705" s="8"/>
      <c r="E59705" s="8"/>
      <c r="F59705" s="8"/>
      <c r="G59705" s="8"/>
      <c r="H59705" s="8"/>
      <c r="I59705" s="102"/>
      <c r="J59705" s="8"/>
      <c r="K59705" s="8"/>
      <c r="L59705" s="8"/>
      <c r="M59705" s="8"/>
      <c r="N59705" s="8"/>
      <c r="O59705" s="8"/>
      <c r="P59705" s="8"/>
      <c r="Q59705" s="8"/>
      <c r="R59705" s="103"/>
      <c r="S59705" s="8"/>
      <c r="T59705" s="8"/>
      <c r="U59705" s="8"/>
      <c r="V59705" s="8"/>
      <c r="W59705" s="8"/>
      <c r="X59705" s="8"/>
      <c r="Y59705" s="8"/>
      <c r="Z59705" s="8"/>
      <c r="AA59705" s="8"/>
    </row>
    <row r="59706" spans="1:27" x14ac:dyDescent="0.25">
      <c r="A59706" s="8"/>
      <c r="B59706" s="8"/>
      <c r="C59706" s="99"/>
      <c r="D59706" s="8"/>
      <c r="E59706" s="8"/>
      <c r="F59706" s="8"/>
      <c r="G59706" s="8"/>
      <c r="H59706" s="8"/>
      <c r="I59706" s="102"/>
      <c r="J59706" s="8"/>
      <c r="K59706" s="8"/>
      <c r="L59706" s="8"/>
      <c r="M59706" s="8"/>
      <c r="N59706" s="8"/>
      <c r="O59706" s="8"/>
      <c r="P59706" s="8"/>
      <c r="Q59706" s="8"/>
      <c r="R59706" s="103"/>
      <c r="S59706" s="8"/>
      <c r="T59706" s="8"/>
      <c r="U59706" s="8"/>
      <c r="V59706" s="8"/>
      <c r="W59706" s="8"/>
      <c r="X59706" s="8"/>
      <c r="Y59706" s="8"/>
      <c r="Z59706" s="8"/>
      <c r="AA59706" s="8"/>
    </row>
    <row r="59707" spans="1:27" x14ac:dyDescent="0.25">
      <c r="A59707" s="8"/>
      <c r="B59707" s="8"/>
      <c r="C59707" s="99"/>
      <c r="D59707" s="8"/>
      <c r="E59707" s="8"/>
      <c r="F59707" s="8"/>
      <c r="G59707" s="8"/>
      <c r="H59707" s="8"/>
      <c r="I59707" s="102"/>
      <c r="J59707" s="8"/>
      <c r="K59707" s="8"/>
      <c r="L59707" s="8"/>
      <c r="M59707" s="8"/>
      <c r="N59707" s="8"/>
      <c r="O59707" s="8"/>
      <c r="P59707" s="8"/>
      <c r="Q59707" s="8"/>
      <c r="R59707" s="103"/>
      <c r="S59707" s="8"/>
      <c r="T59707" s="8"/>
      <c r="U59707" s="8"/>
      <c r="V59707" s="8"/>
      <c r="W59707" s="8"/>
      <c r="X59707" s="8"/>
      <c r="Y59707" s="8"/>
      <c r="Z59707" s="8"/>
      <c r="AA59707" s="8"/>
    </row>
    <row r="59708" spans="1:27" x14ac:dyDescent="0.25">
      <c r="A59708" s="8"/>
      <c r="B59708" s="8"/>
      <c r="C59708" s="99"/>
      <c r="D59708" s="8"/>
      <c r="E59708" s="8"/>
      <c r="F59708" s="8"/>
      <c r="G59708" s="8"/>
      <c r="H59708" s="8"/>
      <c r="I59708" s="102"/>
      <c r="J59708" s="8"/>
      <c r="K59708" s="8"/>
      <c r="L59708" s="8"/>
      <c r="M59708" s="8"/>
      <c r="N59708" s="8"/>
      <c r="O59708" s="8"/>
      <c r="P59708" s="8"/>
      <c r="Q59708" s="8"/>
      <c r="R59708" s="103"/>
      <c r="S59708" s="8"/>
      <c r="T59708" s="8"/>
      <c r="U59708" s="8"/>
      <c r="V59708" s="8"/>
      <c r="W59708" s="8"/>
      <c r="X59708" s="8"/>
      <c r="Y59708" s="8"/>
      <c r="Z59708" s="8"/>
      <c r="AA59708" s="8"/>
    </row>
    <row r="59709" spans="1:27" x14ac:dyDescent="0.25">
      <c r="A59709" s="8"/>
      <c r="B59709" s="8"/>
      <c r="C59709" s="99"/>
      <c r="D59709" s="8"/>
      <c r="E59709" s="8"/>
      <c r="F59709" s="8"/>
      <c r="G59709" s="8"/>
      <c r="H59709" s="8"/>
      <c r="I59709" s="102"/>
      <c r="J59709" s="8"/>
      <c r="K59709" s="8"/>
      <c r="L59709" s="8"/>
      <c r="M59709" s="8"/>
      <c r="N59709" s="8"/>
      <c r="O59709" s="8"/>
      <c r="P59709" s="8"/>
      <c r="Q59709" s="8"/>
      <c r="R59709" s="103"/>
      <c r="S59709" s="8"/>
      <c r="T59709" s="8"/>
      <c r="U59709" s="8"/>
      <c r="V59709" s="8"/>
      <c r="W59709" s="8"/>
      <c r="X59709" s="8"/>
      <c r="Y59709" s="8"/>
      <c r="Z59709" s="8"/>
      <c r="AA59709" s="8"/>
    </row>
    <row r="59710" spans="1:27" x14ac:dyDescent="0.25">
      <c r="A59710" s="8"/>
      <c r="B59710" s="8"/>
      <c r="C59710" s="99"/>
      <c r="D59710" s="8"/>
      <c r="E59710" s="8"/>
      <c r="F59710" s="8"/>
      <c r="G59710" s="8"/>
      <c r="H59710" s="8"/>
      <c r="I59710" s="102"/>
      <c r="J59710" s="8"/>
      <c r="K59710" s="8"/>
      <c r="L59710" s="8"/>
      <c r="M59710" s="8"/>
      <c r="N59710" s="8"/>
      <c r="O59710" s="8"/>
      <c r="P59710" s="8"/>
      <c r="Q59710" s="8"/>
      <c r="R59710" s="103"/>
      <c r="S59710" s="8"/>
      <c r="T59710" s="8"/>
      <c r="U59710" s="8"/>
      <c r="V59710" s="8"/>
      <c r="W59710" s="8"/>
      <c r="X59710" s="8"/>
      <c r="Y59710" s="8"/>
      <c r="Z59710" s="8"/>
      <c r="AA59710" s="8"/>
    </row>
    <row r="59711" spans="1:27" x14ac:dyDescent="0.25">
      <c r="A59711" s="8"/>
      <c r="B59711" s="8"/>
      <c r="C59711" s="99"/>
      <c r="D59711" s="8"/>
      <c r="E59711" s="8"/>
      <c r="F59711" s="8"/>
      <c r="G59711" s="8"/>
      <c r="H59711" s="8"/>
      <c r="I59711" s="102"/>
      <c r="J59711" s="8"/>
      <c r="K59711" s="8"/>
      <c r="L59711" s="8"/>
      <c r="M59711" s="8"/>
      <c r="N59711" s="8"/>
      <c r="O59711" s="8"/>
      <c r="P59711" s="8"/>
      <c r="Q59711" s="8"/>
      <c r="R59711" s="103"/>
      <c r="S59711" s="8"/>
      <c r="T59711" s="8"/>
      <c r="U59711" s="8"/>
      <c r="V59711" s="8"/>
      <c r="W59711" s="8"/>
      <c r="X59711" s="8"/>
      <c r="Y59711" s="8"/>
      <c r="Z59711" s="8"/>
      <c r="AA59711" s="8"/>
    </row>
    <row r="59712" spans="1:27" x14ac:dyDescent="0.25">
      <c r="A59712" s="8"/>
      <c r="B59712" s="8"/>
      <c r="C59712" s="99"/>
      <c r="D59712" s="8"/>
      <c r="E59712" s="8"/>
      <c r="F59712" s="8"/>
      <c r="G59712" s="8"/>
      <c r="H59712" s="8"/>
      <c r="I59712" s="102"/>
      <c r="J59712" s="8"/>
      <c r="K59712" s="8"/>
      <c r="L59712" s="8"/>
      <c r="M59712" s="8"/>
      <c r="N59712" s="8"/>
      <c r="O59712" s="8"/>
      <c r="P59712" s="8"/>
      <c r="Q59712" s="8"/>
      <c r="R59712" s="103"/>
      <c r="S59712" s="8"/>
      <c r="T59712" s="8"/>
      <c r="U59712" s="8"/>
      <c r="V59712" s="8"/>
      <c r="W59712" s="8"/>
      <c r="X59712" s="8"/>
      <c r="Y59712" s="8"/>
      <c r="Z59712" s="8"/>
      <c r="AA59712" s="8"/>
    </row>
    <row r="59713" spans="1:27" x14ac:dyDescent="0.25">
      <c r="A59713" s="8"/>
      <c r="B59713" s="8"/>
      <c r="C59713" s="99"/>
      <c r="D59713" s="8"/>
      <c r="E59713" s="8"/>
      <c r="F59713" s="8"/>
      <c r="G59713" s="8"/>
      <c r="H59713" s="8"/>
      <c r="I59713" s="102"/>
      <c r="J59713" s="8"/>
      <c r="K59713" s="8"/>
      <c r="L59713" s="8"/>
      <c r="M59713" s="8"/>
      <c r="N59713" s="8"/>
      <c r="O59713" s="8"/>
      <c r="P59713" s="8"/>
      <c r="Q59713" s="8"/>
      <c r="R59713" s="103"/>
      <c r="S59713" s="8"/>
      <c r="T59713" s="8"/>
      <c r="U59713" s="8"/>
      <c r="V59713" s="8"/>
      <c r="W59713" s="8"/>
      <c r="X59713" s="8"/>
      <c r="Y59713" s="8"/>
      <c r="Z59713" s="8"/>
      <c r="AA59713" s="8"/>
    </row>
    <row r="59714" spans="1:27" x14ac:dyDescent="0.25">
      <c r="A59714" s="8"/>
      <c r="B59714" s="8"/>
      <c r="C59714" s="99"/>
      <c r="D59714" s="8"/>
      <c r="E59714" s="8"/>
      <c r="F59714" s="8"/>
      <c r="G59714" s="8"/>
      <c r="H59714" s="8"/>
      <c r="I59714" s="102"/>
      <c r="J59714" s="8"/>
      <c r="K59714" s="8"/>
      <c r="L59714" s="8"/>
      <c r="M59714" s="8"/>
      <c r="N59714" s="8"/>
      <c r="O59714" s="8"/>
      <c r="P59714" s="8"/>
      <c r="Q59714" s="8"/>
      <c r="R59714" s="103"/>
      <c r="S59714" s="8"/>
      <c r="T59714" s="8"/>
      <c r="U59714" s="8"/>
      <c r="V59714" s="8"/>
      <c r="W59714" s="8"/>
      <c r="X59714" s="8"/>
      <c r="Y59714" s="8"/>
      <c r="Z59714" s="8"/>
      <c r="AA59714" s="8"/>
    </row>
    <row r="59715" spans="1:27" x14ac:dyDescent="0.25">
      <c r="A59715" s="8"/>
      <c r="B59715" s="8"/>
      <c r="C59715" s="99"/>
      <c r="D59715" s="8"/>
      <c r="E59715" s="8"/>
      <c r="F59715" s="8"/>
      <c r="G59715" s="8"/>
      <c r="H59715" s="8"/>
      <c r="I59715" s="102"/>
      <c r="J59715" s="8"/>
      <c r="K59715" s="8"/>
      <c r="L59715" s="8"/>
      <c r="M59715" s="8"/>
      <c r="N59715" s="8"/>
      <c r="O59715" s="8"/>
      <c r="P59715" s="8"/>
      <c r="Q59715" s="8"/>
      <c r="R59715" s="103"/>
      <c r="S59715" s="8"/>
      <c r="T59715" s="8"/>
      <c r="U59715" s="8"/>
      <c r="V59715" s="8"/>
      <c r="W59715" s="8"/>
      <c r="X59715" s="8"/>
      <c r="Y59715" s="8"/>
      <c r="Z59715" s="8"/>
      <c r="AA59715" s="8"/>
    </row>
    <row r="59716" spans="1:27" x14ac:dyDescent="0.25">
      <c r="A59716" s="8"/>
      <c r="B59716" s="8"/>
      <c r="C59716" s="99"/>
      <c r="D59716" s="8"/>
      <c r="E59716" s="8"/>
      <c r="F59716" s="8"/>
      <c r="G59716" s="8"/>
      <c r="H59716" s="8"/>
      <c r="I59716" s="102"/>
      <c r="J59716" s="8"/>
      <c r="K59716" s="8"/>
      <c r="L59716" s="8"/>
      <c r="M59716" s="8"/>
      <c r="N59716" s="8"/>
      <c r="O59716" s="8"/>
      <c r="P59716" s="8"/>
      <c r="Q59716" s="8"/>
      <c r="R59716" s="103"/>
      <c r="S59716" s="8"/>
      <c r="T59716" s="8"/>
      <c r="U59716" s="8"/>
      <c r="V59716" s="8"/>
      <c r="W59716" s="8"/>
      <c r="X59716" s="8"/>
      <c r="Y59716" s="8"/>
      <c r="Z59716" s="8"/>
      <c r="AA59716" s="8"/>
    </row>
    <row r="59717" spans="1:27" x14ac:dyDescent="0.25">
      <c r="A59717" s="8"/>
      <c r="B59717" s="8"/>
      <c r="C59717" s="99"/>
      <c r="D59717" s="8"/>
      <c r="E59717" s="8"/>
      <c r="F59717" s="8"/>
      <c r="G59717" s="8"/>
      <c r="H59717" s="8"/>
      <c r="I59717" s="102"/>
      <c r="J59717" s="8"/>
      <c r="K59717" s="8"/>
      <c r="L59717" s="8"/>
      <c r="M59717" s="8"/>
      <c r="N59717" s="8"/>
      <c r="O59717" s="8"/>
      <c r="P59717" s="8"/>
      <c r="Q59717" s="8"/>
      <c r="R59717" s="103"/>
      <c r="S59717" s="8"/>
      <c r="T59717" s="8"/>
      <c r="U59717" s="8"/>
      <c r="V59717" s="8"/>
      <c r="W59717" s="8"/>
      <c r="X59717" s="8"/>
      <c r="Y59717" s="8"/>
      <c r="Z59717" s="8"/>
      <c r="AA59717" s="8"/>
    </row>
    <row r="59718" spans="1:27" x14ac:dyDescent="0.25">
      <c r="A59718" s="8"/>
      <c r="B59718" s="8"/>
      <c r="C59718" s="99"/>
      <c r="D59718" s="8"/>
      <c r="E59718" s="8"/>
      <c r="F59718" s="8"/>
      <c r="G59718" s="8"/>
      <c r="H59718" s="8"/>
      <c r="I59718" s="102"/>
      <c r="J59718" s="8"/>
      <c r="K59718" s="8"/>
      <c r="L59718" s="8"/>
      <c r="M59718" s="8"/>
      <c r="N59718" s="8"/>
      <c r="O59718" s="8"/>
      <c r="P59718" s="8"/>
      <c r="Q59718" s="8"/>
      <c r="R59718" s="103"/>
      <c r="S59718" s="8"/>
      <c r="T59718" s="8"/>
      <c r="U59718" s="8"/>
      <c r="V59718" s="8"/>
      <c r="W59718" s="8"/>
      <c r="X59718" s="8"/>
      <c r="Y59718" s="8"/>
      <c r="Z59718" s="8"/>
      <c r="AA59718" s="8"/>
    </row>
    <row r="59719" spans="1:27" x14ac:dyDescent="0.25">
      <c r="A59719" s="8"/>
      <c r="B59719" s="8"/>
      <c r="C59719" s="99"/>
      <c r="D59719" s="8"/>
      <c r="E59719" s="8"/>
      <c r="F59719" s="8"/>
      <c r="G59719" s="8"/>
      <c r="H59719" s="8"/>
      <c r="I59719" s="102"/>
      <c r="J59719" s="8"/>
      <c r="K59719" s="8"/>
      <c r="L59719" s="8"/>
      <c r="M59719" s="8"/>
      <c r="N59719" s="8"/>
      <c r="O59719" s="8"/>
      <c r="P59719" s="8"/>
      <c r="Q59719" s="8"/>
      <c r="R59719" s="103"/>
      <c r="S59719" s="8"/>
      <c r="T59719" s="8"/>
      <c r="U59719" s="8"/>
      <c r="V59719" s="8"/>
      <c r="W59719" s="8"/>
      <c r="X59719" s="8"/>
      <c r="Y59719" s="8"/>
      <c r="Z59719" s="8"/>
      <c r="AA59719" s="8"/>
    </row>
    <row r="59720" spans="1:27" x14ac:dyDescent="0.25">
      <c r="A59720" s="8"/>
      <c r="B59720" s="8"/>
      <c r="C59720" s="99"/>
      <c r="D59720" s="8"/>
      <c r="E59720" s="8"/>
      <c r="F59720" s="8"/>
      <c r="G59720" s="8"/>
      <c r="H59720" s="8"/>
      <c r="I59720" s="102"/>
      <c r="J59720" s="8"/>
      <c r="K59720" s="8"/>
      <c r="L59720" s="8"/>
      <c r="M59720" s="8"/>
      <c r="N59720" s="8"/>
      <c r="O59720" s="8"/>
      <c r="P59720" s="8"/>
      <c r="Q59720" s="8"/>
      <c r="R59720" s="103"/>
      <c r="S59720" s="8"/>
      <c r="T59720" s="8"/>
      <c r="U59720" s="8"/>
      <c r="V59720" s="8"/>
      <c r="W59720" s="8"/>
      <c r="X59720" s="8"/>
      <c r="Y59720" s="8"/>
      <c r="Z59720" s="8"/>
      <c r="AA59720" s="8"/>
    </row>
    <row r="59721" spans="1:27" x14ac:dyDescent="0.25">
      <c r="A59721" s="8"/>
      <c r="B59721" s="8"/>
      <c r="C59721" s="99"/>
      <c r="D59721" s="8"/>
      <c r="E59721" s="8"/>
      <c r="F59721" s="8"/>
      <c r="G59721" s="8"/>
      <c r="H59721" s="8"/>
      <c r="I59721" s="102"/>
      <c r="J59721" s="8"/>
      <c r="K59721" s="8"/>
      <c r="L59721" s="8"/>
      <c r="M59721" s="8"/>
      <c r="N59721" s="8"/>
      <c r="O59721" s="8"/>
      <c r="P59721" s="8"/>
      <c r="Q59721" s="8"/>
      <c r="R59721" s="103"/>
      <c r="S59721" s="8"/>
      <c r="T59721" s="8"/>
      <c r="U59721" s="8"/>
      <c r="V59721" s="8"/>
      <c r="W59721" s="8"/>
      <c r="X59721" s="8"/>
      <c r="Y59721" s="8"/>
      <c r="Z59721" s="8"/>
      <c r="AA59721" s="8"/>
    </row>
    <row r="59722" spans="1:27" x14ac:dyDescent="0.25">
      <c r="A59722" s="8"/>
      <c r="B59722" s="8"/>
      <c r="C59722" s="99"/>
      <c r="D59722" s="8"/>
      <c r="E59722" s="8"/>
      <c r="F59722" s="8"/>
      <c r="G59722" s="8"/>
      <c r="H59722" s="8"/>
      <c r="I59722" s="102"/>
      <c r="J59722" s="8"/>
      <c r="K59722" s="8"/>
      <c r="L59722" s="8"/>
      <c r="M59722" s="8"/>
      <c r="N59722" s="8"/>
      <c r="O59722" s="8"/>
      <c r="P59722" s="8"/>
      <c r="Q59722" s="8"/>
      <c r="R59722" s="103"/>
      <c r="S59722" s="8"/>
      <c r="T59722" s="8"/>
      <c r="U59722" s="8"/>
      <c r="V59722" s="8"/>
      <c r="W59722" s="8"/>
      <c r="X59722" s="8"/>
      <c r="Y59722" s="8"/>
      <c r="Z59722" s="8"/>
      <c r="AA59722" s="8"/>
    </row>
    <row r="59723" spans="1:27" x14ac:dyDescent="0.25">
      <c r="A59723" s="8"/>
      <c r="B59723" s="8"/>
      <c r="C59723" s="99"/>
      <c r="D59723" s="8"/>
      <c r="E59723" s="8"/>
      <c r="F59723" s="8"/>
      <c r="G59723" s="8"/>
      <c r="H59723" s="8"/>
      <c r="I59723" s="102"/>
      <c r="J59723" s="8"/>
      <c r="K59723" s="8"/>
      <c r="L59723" s="8"/>
      <c r="M59723" s="8"/>
      <c r="N59723" s="8"/>
      <c r="O59723" s="8"/>
      <c r="P59723" s="8"/>
      <c r="Q59723" s="8"/>
      <c r="R59723" s="103"/>
      <c r="S59723" s="8"/>
      <c r="T59723" s="8"/>
      <c r="U59723" s="8"/>
      <c r="V59723" s="8"/>
      <c r="W59723" s="8"/>
      <c r="X59723" s="8"/>
      <c r="Y59723" s="8"/>
      <c r="Z59723" s="8"/>
      <c r="AA59723" s="8"/>
    </row>
    <row r="59724" spans="1:27" x14ac:dyDescent="0.25">
      <c r="A59724" s="8"/>
      <c r="B59724" s="8"/>
      <c r="C59724" s="99"/>
      <c r="D59724" s="8"/>
      <c r="E59724" s="8"/>
      <c r="F59724" s="8"/>
      <c r="G59724" s="8"/>
      <c r="H59724" s="8"/>
      <c r="I59724" s="102"/>
      <c r="J59724" s="8"/>
      <c r="K59724" s="8"/>
      <c r="L59724" s="8"/>
      <c r="M59724" s="8"/>
      <c r="N59724" s="8"/>
      <c r="O59724" s="8"/>
      <c r="P59724" s="8"/>
      <c r="Q59724" s="8"/>
      <c r="R59724" s="103"/>
      <c r="S59724" s="8"/>
      <c r="T59724" s="8"/>
      <c r="U59724" s="8"/>
      <c r="V59724" s="8"/>
      <c r="W59724" s="8"/>
      <c r="X59724" s="8"/>
      <c r="Y59724" s="8"/>
      <c r="Z59724" s="8"/>
      <c r="AA59724" s="8"/>
    </row>
    <row r="59725" spans="1:27" x14ac:dyDescent="0.25">
      <c r="A59725" s="8"/>
      <c r="B59725" s="8"/>
      <c r="C59725" s="99"/>
      <c r="D59725" s="8"/>
      <c r="E59725" s="8"/>
      <c r="F59725" s="8"/>
      <c r="G59725" s="8"/>
      <c r="H59725" s="8"/>
      <c r="I59725" s="102"/>
      <c r="J59725" s="8"/>
      <c r="K59725" s="8"/>
      <c r="L59725" s="8"/>
      <c r="M59725" s="8"/>
      <c r="N59725" s="8"/>
      <c r="O59725" s="8"/>
      <c r="P59725" s="8"/>
      <c r="Q59725" s="8"/>
      <c r="R59725" s="103"/>
      <c r="S59725" s="8"/>
      <c r="T59725" s="8"/>
      <c r="U59725" s="8"/>
      <c r="V59725" s="8"/>
      <c r="W59725" s="8"/>
      <c r="X59725" s="8"/>
      <c r="Y59725" s="8"/>
      <c r="Z59725" s="8"/>
      <c r="AA59725" s="8"/>
    </row>
    <row r="59726" spans="1:27" x14ac:dyDescent="0.25">
      <c r="A59726" s="8"/>
      <c r="B59726" s="8"/>
      <c r="C59726" s="99"/>
      <c r="D59726" s="8"/>
      <c r="E59726" s="8"/>
      <c r="F59726" s="8"/>
      <c r="G59726" s="8"/>
      <c r="H59726" s="8"/>
      <c r="I59726" s="102"/>
      <c r="J59726" s="8"/>
      <c r="K59726" s="8"/>
      <c r="L59726" s="8"/>
      <c r="M59726" s="8"/>
      <c r="N59726" s="8"/>
      <c r="O59726" s="8"/>
      <c r="P59726" s="8"/>
      <c r="Q59726" s="8"/>
      <c r="R59726" s="103"/>
      <c r="S59726" s="8"/>
      <c r="T59726" s="8"/>
      <c r="U59726" s="8"/>
      <c r="V59726" s="8"/>
      <c r="W59726" s="8"/>
      <c r="X59726" s="8"/>
      <c r="Y59726" s="8"/>
      <c r="Z59726" s="8"/>
      <c r="AA59726" s="8"/>
    </row>
    <row r="59727" spans="1:27" x14ac:dyDescent="0.25">
      <c r="A59727" s="8"/>
      <c r="B59727" s="8"/>
      <c r="C59727" s="99"/>
      <c r="D59727" s="8"/>
      <c r="E59727" s="8"/>
      <c r="F59727" s="8"/>
      <c r="G59727" s="8"/>
      <c r="H59727" s="8"/>
      <c r="I59727" s="102"/>
      <c r="J59727" s="8"/>
      <c r="K59727" s="8"/>
      <c r="L59727" s="8"/>
      <c r="M59727" s="8"/>
      <c r="N59727" s="8"/>
      <c r="O59727" s="8"/>
      <c r="P59727" s="8"/>
      <c r="Q59727" s="8"/>
      <c r="R59727" s="103"/>
      <c r="S59727" s="8"/>
      <c r="T59727" s="8"/>
      <c r="U59727" s="8"/>
      <c r="V59727" s="8"/>
      <c r="W59727" s="8"/>
      <c r="X59727" s="8"/>
      <c r="Y59727" s="8"/>
      <c r="Z59727" s="8"/>
      <c r="AA59727" s="8"/>
    </row>
    <row r="59728" spans="1:27" x14ac:dyDescent="0.25">
      <c r="A59728" s="8"/>
      <c r="B59728" s="8"/>
      <c r="C59728" s="99"/>
      <c r="D59728" s="8"/>
      <c r="E59728" s="8"/>
      <c r="F59728" s="8"/>
      <c r="G59728" s="8"/>
      <c r="H59728" s="8"/>
      <c r="I59728" s="102"/>
      <c r="J59728" s="8"/>
      <c r="K59728" s="8"/>
      <c r="L59728" s="8"/>
      <c r="M59728" s="8"/>
      <c r="N59728" s="8"/>
      <c r="O59728" s="8"/>
      <c r="P59728" s="8"/>
      <c r="Q59728" s="8"/>
      <c r="R59728" s="103"/>
      <c r="S59728" s="8"/>
      <c r="T59728" s="8"/>
      <c r="U59728" s="8"/>
      <c r="V59728" s="8"/>
      <c r="W59728" s="8"/>
      <c r="X59728" s="8"/>
      <c r="Y59728" s="8"/>
      <c r="Z59728" s="8"/>
      <c r="AA59728" s="8"/>
    </row>
    <row r="59729" spans="1:27" x14ac:dyDescent="0.25">
      <c r="A59729" s="8"/>
      <c r="B59729" s="8"/>
      <c r="C59729" s="99"/>
      <c r="D59729" s="8"/>
      <c r="E59729" s="8"/>
      <c r="F59729" s="8"/>
      <c r="G59729" s="8"/>
      <c r="H59729" s="8"/>
      <c r="I59729" s="102"/>
      <c r="J59729" s="8"/>
      <c r="K59729" s="8"/>
      <c r="L59729" s="8"/>
      <c r="M59729" s="8"/>
      <c r="N59729" s="8"/>
      <c r="O59729" s="8"/>
      <c r="P59729" s="8"/>
      <c r="Q59729" s="8"/>
      <c r="R59729" s="103"/>
      <c r="S59729" s="8"/>
      <c r="T59729" s="8"/>
      <c r="U59729" s="8"/>
      <c r="V59729" s="8"/>
      <c r="W59729" s="8"/>
      <c r="X59729" s="8"/>
      <c r="Y59729" s="8"/>
      <c r="Z59729" s="8"/>
      <c r="AA59729" s="8"/>
    </row>
    <row r="59730" spans="1:27" x14ac:dyDescent="0.25">
      <c r="A59730" s="8"/>
      <c r="B59730" s="8"/>
      <c r="C59730" s="99"/>
      <c r="D59730" s="8"/>
      <c r="E59730" s="8"/>
      <c r="F59730" s="8"/>
      <c r="G59730" s="8"/>
      <c r="H59730" s="8"/>
      <c r="I59730" s="102"/>
      <c r="J59730" s="8"/>
      <c r="K59730" s="8"/>
      <c r="L59730" s="8"/>
      <c r="M59730" s="8"/>
      <c r="N59730" s="8"/>
      <c r="O59730" s="8"/>
      <c r="P59730" s="8"/>
      <c r="Q59730" s="8"/>
      <c r="R59730" s="103"/>
      <c r="S59730" s="8"/>
      <c r="T59730" s="8"/>
      <c r="U59730" s="8"/>
      <c r="V59730" s="8"/>
      <c r="W59730" s="8"/>
      <c r="X59730" s="8"/>
      <c r="Y59730" s="8"/>
      <c r="Z59730" s="8"/>
      <c r="AA59730" s="8"/>
    </row>
    <row r="59731" spans="1:27" x14ac:dyDescent="0.25">
      <c r="A59731" s="8"/>
      <c r="B59731" s="8"/>
      <c r="C59731" s="99"/>
      <c r="D59731" s="8"/>
      <c r="E59731" s="8"/>
      <c r="F59731" s="8"/>
      <c r="G59731" s="8"/>
      <c r="H59731" s="8"/>
      <c r="I59731" s="102"/>
      <c r="J59731" s="8"/>
      <c r="K59731" s="8"/>
      <c r="L59731" s="8"/>
      <c r="M59731" s="8"/>
      <c r="N59731" s="8"/>
      <c r="O59731" s="8"/>
      <c r="P59731" s="8"/>
      <c r="Q59731" s="8"/>
      <c r="R59731" s="103"/>
      <c r="S59731" s="8"/>
      <c r="T59731" s="8"/>
      <c r="U59731" s="8"/>
      <c r="V59731" s="8"/>
      <c r="W59731" s="8"/>
      <c r="X59731" s="8"/>
      <c r="Y59731" s="8"/>
      <c r="Z59731" s="8"/>
      <c r="AA59731" s="8"/>
    </row>
    <row r="59732" spans="1:27" x14ac:dyDescent="0.25">
      <c r="A59732" s="8"/>
      <c r="B59732" s="8"/>
      <c r="C59732" s="99"/>
      <c r="D59732" s="8"/>
      <c r="E59732" s="8"/>
      <c r="F59732" s="8"/>
      <c r="G59732" s="8"/>
      <c r="H59732" s="8"/>
      <c r="I59732" s="102"/>
      <c r="J59732" s="8"/>
      <c r="K59732" s="8"/>
      <c r="L59732" s="8"/>
      <c r="M59732" s="8"/>
      <c r="N59732" s="8"/>
      <c r="O59732" s="8"/>
      <c r="P59732" s="8"/>
      <c r="Q59732" s="8"/>
      <c r="R59732" s="103"/>
      <c r="S59732" s="8"/>
      <c r="T59732" s="8"/>
      <c r="U59732" s="8"/>
      <c r="V59732" s="8"/>
      <c r="W59732" s="8"/>
      <c r="X59732" s="8"/>
      <c r="Y59732" s="8"/>
      <c r="Z59732" s="8"/>
      <c r="AA59732" s="8"/>
    </row>
    <row r="59733" spans="1:27" x14ac:dyDescent="0.25">
      <c r="A59733" s="8"/>
      <c r="B59733" s="8"/>
      <c r="C59733" s="99"/>
      <c r="D59733" s="8"/>
      <c r="E59733" s="8"/>
      <c r="F59733" s="8"/>
      <c r="G59733" s="8"/>
      <c r="H59733" s="8"/>
      <c r="I59733" s="102"/>
      <c r="J59733" s="8"/>
      <c r="K59733" s="8"/>
      <c r="L59733" s="8"/>
      <c r="M59733" s="8"/>
      <c r="N59733" s="8"/>
      <c r="O59733" s="8"/>
      <c r="P59733" s="8"/>
      <c r="Q59733" s="8"/>
      <c r="R59733" s="103"/>
      <c r="S59733" s="8"/>
      <c r="T59733" s="8"/>
      <c r="U59733" s="8"/>
      <c r="V59733" s="8"/>
      <c r="W59733" s="8"/>
      <c r="X59733" s="8"/>
      <c r="Y59733" s="8"/>
      <c r="Z59733" s="8"/>
      <c r="AA59733" s="8"/>
    </row>
    <row r="59734" spans="1:27" x14ac:dyDescent="0.25">
      <c r="A59734" s="8"/>
      <c r="B59734" s="8"/>
      <c r="C59734" s="99"/>
      <c r="D59734" s="8"/>
      <c r="E59734" s="8"/>
      <c r="F59734" s="8"/>
      <c r="G59734" s="8"/>
      <c r="H59734" s="8"/>
      <c r="I59734" s="102"/>
      <c r="J59734" s="8"/>
      <c r="K59734" s="8"/>
      <c r="L59734" s="8"/>
      <c r="M59734" s="8"/>
      <c r="N59734" s="8"/>
      <c r="O59734" s="8"/>
      <c r="P59734" s="8"/>
      <c r="Q59734" s="8"/>
      <c r="R59734" s="103"/>
      <c r="S59734" s="8"/>
      <c r="T59734" s="8"/>
      <c r="U59734" s="8"/>
      <c r="V59734" s="8"/>
      <c r="W59734" s="8"/>
      <c r="X59734" s="8"/>
      <c r="Y59734" s="8"/>
      <c r="Z59734" s="8"/>
      <c r="AA59734" s="8"/>
    </row>
    <row r="59735" spans="1:27" x14ac:dyDescent="0.25">
      <c r="A59735" s="8"/>
      <c r="B59735" s="8"/>
      <c r="C59735" s="99"/>
      <c r="D59735" s="8"/>
      <c r="E59735" s="8"/>
      <c r="F59735" s="8"/>
      <c r="G59735" s="8"/>
      <c r="H59735" s="8"/>
      <c r="I59735" s="102"/>
      <c r="J59735" s="8"/>
      <c r="K59735" s="8"/>
      <c r="L59735" s="8"/>
      <c r="M59735" s="8"/>
      <c r="N59735" s="8"/>
      <c r="O59735" s="8"/>
      <c r="P59735" s="8"/>
      <c r="Q59735" s="8"/>
      <c r="R59735" s="103"/>
      <c r="S59735" s="8"/>
      <c r="T59735" s="8"/>
      <c r="U59735" s="8"/>
      <c r="V59735" s="8"/>
      <c r="W59735" s="8"/>
      <c r="X59735" s="8"/>
      <c r="Y59735" s="8"/>
      <c r="Z59735" s="8"/>
      <c r="AA59735" s="8"/>
    </row>
    <row r="59736" spans="1:27" x14ac:dyDescent="0.25">
      <c r="A59736" s="8"/>
      <c r="B59736" s="8"/>
      <c r="C59736" s="99"/>
      <c r="D59736" s="8"/>
      <c r="E59736" s="8"/>
      <c r="F59736" s="8"/>
      <c r="G59736" s="8"/>
      <c r="H59736" s="8"/>
      <c r="I59736" s="102"/>
      <c r="J59736" s="8"/>
      <c r="K59736" s="8"/>
      <c r="L59736" s="8"/>
      <c r="M59736" s="8"/>
      <c r="N59736" s="8"/>
      <c r="O59736" s="8"/>
      <c r="P59736" s="8"/>
      <c r="Q59736" s="8"/>
      <c r="R59736" s="103"/>
      <c r="S59736" s="8"/>
      <c r="T59736" s="8"/>
      <c r="U59736" s="8"/>
      <c r="V59736" s="8"/>
      <c r="W59736" s="8"/>
      <c r="X59736" s="8"/>
      <c r="Y59736" s="8"/>
      <c r="Z59736" s="8"/>
      <c r="AA59736" s="8"/>
    </row>
    <row r="59737" spans="1:27" x14ac:dyDescent="0.25">
      <c r="A59737" s="8"/>
      <c r="B59737" s="8"/>
      <c r="C59737" s="99"/>
      <c r="D59737" s="8"/>
      <c r="E59737" s="8"/>
      <c r="F59737" s="8"/>
      <c r="G59737" s="8"/>
      <c r="H59737" s="8"/>
      <c r="I59737" s="102"/>
      <c r="J59737" s="8"/>
      <c r="K59737" s="8"/>
      <c r="L59737" s="8"/>
      <c r="M59737" s="8"/>
      <c r="N59737" s="8"/>
      <c r="O59737" s="8"/>
      <c r="P59737" s="8"/>
      <c r="Q59737" s="8"/>
      <c r="R59737" s="103"/>
      <c r="S59737" s="8"/>
      <c r="T59737" s="8"/>
      <c r="U59737" s="8"/>
      <c r="V59737" s="8"/>
      <c r="W59737" s="8"/>
      <c r="X59737" s="8"/>
      <c r="Y59737" s="8"/>
      <c r="Z59737" s="8"/>
      <c r="AA59737" s="8"/>
    </row>
    <row r="59738" spans="1:27" x14ac:dyDescent="0.25">
      <c r="A59738" s="8"/>
      <c r="B59738" s="8"/>
      <c r="C59738" s="99"/>
      <c r="D59738" s="8"/>
      <c r="E59738" s="8"/>
      <c r="F59738" s="8"/>
      <c r="G59738" s="8"/>
      <c r="H59738" s="8"/>
      <c r="I59738" s="102"/>
      <c r="J59738" s="8"/>
      <c r="K59738" s="8"/>
      <c r="L59738" s="8"/>
      <c r="M59738" s="8"/>
      <c r="N59738" s="8"/>
      <c r="O59738" s="8"/>
      <c r="P59738" s="8"/>
      <c r="Q59738" s="8"/>
      <c r="R59738" s="103"/>
      <c r="S59738" s="8"/>
      <c r="T59738" s="8"/>
      <c r="U59738" s="8"/>
      <c r="V59738" s="8"/>
      <c r="W59738" s="8"/>
      <c r="X59738" s="8"/>
      <c r="Y59738" s="8"/>
      <c r="Z59738" s="8"/>
      <c r="AA59738" s="8"/>
    </row>
    <row r="59739" spans="1:27" x14ac:dyDescent="0.25">
      <c r="A59739" s="8"/>
      <c r="B59739" s="8"/>
      <c r="C59739" s="99"/>
      <c r="D59739" s="8"/>
      <c r="E59739" s="8"/>
      <c r="F59739" s="8"/>
      <c r="G59739" s="8"/>
      <c r="H59739" s="8"/>
      <c r="I59739" s="102"/>
      <c r="J59739" s="8"/>
      <c r="K59739" s="8"/>
      <c r="L59739" s="8"/>
      <c r="M59739" s="8"/>
      <c r="N59739" s="8"/>
      <c r="O59739" s="8"/>
      <c r="P59739" s="8"/>
      <c r="Q59739" s="8"/>
      <c r="R59739" s="103"/>
      <c r="S59739" s="8"/>
      <c r="T59739" s="8"/>
      <c r="U59739" s="8"/>
      <c r="V59739" s="8"/>
      <c r="W59739" s="8"/>
      <c r="X59739" s="8"/>
      <c r="Y59739" s="8"/>
      <c r="Z59739" s="8"/>
      <c r="AA59739" s="8"/>
    </row>
    <row r="59740" spans="1:27" x14ac:dyDescent="0.25">
      <c r="A59740" s="8"/>
      <c r="B59740" s="8"/>
      <c r="C59740" s="99"/>
      <c r="D59740" s="8"/>
      <c r="E59740" s="8"/>
      <c r="F59740" s="8"/>
      <c r="G59740" s="8"/>
      <c r="H59740" s="8"/>
      <c r="I59740" s="102"/>
      <c r="J59740" s="8"/>
      <c r="K59740" s="8"/>
      <c r="L59740" s="8"/>
      <c r="M59740" s="8"/>
      <c r="N59740" s="8"/>
      <c r="O59740" s="8"/>
      <c r="P59740" s="8"/>
      <c r="Q59740" s="8"/>
      <c r="R59740" s="103"/>
      <c r="S59740" s="8"/>
      <c r="T59740" s="8"/>
      <c r="U59740" s="8"/>
      <c r="V59740" s="8"/>
      <c r="W59740" s="8"/>
      <c r="X59740" s="8"/>
      <c r="Y59740" s="8"/>
      <c r="Z59740" s="8"/>
      <c r="AA59740" s="8"/>
    </row>
    <row r="59741" spans="1:27" x14ac:dyDescent="0.25">
      <c r="A59741" s="8"/>
      <c r="B59741" s="8"/>
      <c r="C59741" s="99"/>
      <c r="D59741" s="8"/>
      <c r="E59741" s="8"/>
      <c r="F59741" s="8"/>
      <c r="G59741" s="8"/>
      <c r="H59741" s="8"/>
      <c r="I59741" s="102"/>
      <c r="J59741" s="8"/>
      <c r="K59741" s="8"/>
      <c r="L59741" s="8"/>
      <c r="M59741" s="8"/>
      <c r="N59741" s="8"/>
      <c r="O59741" s="8"/>
      <c r="P59741" s="8"/>
      <c r="Q59741" s="8"/>
      <c r="R59741" s="103"/>
      <c r="S59741" s="8"/>
      <c r="T59741" s="8"/>
      <c r="U59741" s="8"/>
      <c r="V59741" s="8"/>
      <c r="W59741" s="8"/>
      <c r="X59741" s="8"/>
      <c r="Y59741" s="8"/>
      <c r="Z59741" s="8"/>
      <c r="AA59741" s="8"/>
    </row>
    <row r="59742" spans="1:27" x14ac:dyDescent="0.25">
      <c r="A59742" s="8"/>
      <c r="B59742" s="8"/>
      <c r="C59742" s="99"/>
      <c r="D59742" s="8"/>
      <c r="E59742" s="8"/>
      <c r="F59742" s="8"/>
      <c r="G59742" s="8"/>
      <c r="H59742" s="8"/>
      <c r="I59742" s="102"/>
      <c r="J59742" s="8"/>
      <c r="K59742" s="8"/>
      <c r="L59742" s="8"/>
      <c r="M59742" s="8"/>
      <c r="N59742" s="8"/>
      <c r="O59742" s="8"/>
      <c r="P59742" s="8"/>
      <c r="Q59742" s="8"/>
      <c r="R59742" s="103"/>
      <c r="S59742" s="8"/>
      <c r="T59742" s="8"/>
      <c r="U59742" s="8"/>
      <c r="V59742" s="8"/>
      <c r="W59742" s="8"/>
      <c r="X59742" s="8"/>
      <c r="Y59742" s="8"/>
      <c r="Z59742" s="8"/>
      <c r="AA59742" s="8"/>
    </row>
    <row r="59743" spans="1:27" x14ac:dyDescent="0.25">
      <c r="A59743" s="8"/>
      <c r="B59743" s="8"/>
      <c r="C59743" s="99"/>
      <c r="D59743" s="8"/>
      <c r="E59743" s="8"/>
      <c r="F59743" s="8"/>
      <c r="G59743" s="8"/>
      <c r="H59743" s="8"/>
      <c r="I59743" s="102"/>
      <c r="J59743" s="8"/>
      <c r="K59743" s="8"/>
      <c r="L59743" s="8"/>
      <c r="M59743" s="8"/>
      <c r="N59743" s="8"/>
      <c r="O59743" s="8"/>
      <c r="P59743" s="8"/>
      <c r="Q59743" s="8"/>
      <c r="R59743" s="103"/>
      <c r="S59743" s="8"/>
      <c r="T59743" s="8"/>
      <c r="U59743" s="8"/>
      <c r="V59743" s="8"/>
      <c r="W59743" s="8"/>
      <c r="X59743" s="8"/>
      <c r="Y59743" s="8"/>
      <c r="Z59743" s="8"/>
      <c r="AA59743" s="8"/>
    </row>
    <row r="59744" spans="1:27" x14ac:dyDescent="0.25">
      <c r="A59744" s="8"/>
      <c r="B59744" s="8"/>
      <c r="C59744" s="99"/>
      <c r="D59744" s="8"/>
      <c r="E59744" s="8"/>
      <c r="F59744" s="8"/>
      <c r="G59744" s="8"/>
      <c r="H59744" s="8"/>
      <c r="I59744" s="102"/>
      <c r="J59744" s="8"/>
      <c r="K59744" s="8"/>
      <c r="L59744" s="8"/>
      <c r="M59744" s="8"/>
      <c r="N59744" s="8"/>
      <c r="O59744" s="8"/>
      <c r="P59744" s="8"/>
      <c r="Q59744" s="8"/>
      <c r="R59744" s="103"/>
      <c r="S59744" s="8"/>
      <c r="T59744" s="8"/>
      <c r="U59744" s="8"/>
      <c r="V59744" s="8"/>
      <c r="W59744" s="8"/>
      <c r="X59744" s="8"/>
      <c r="Y59744" s="8"/>
      <c r="Z59744" s="8"/>
      <c r="AA59744" s="8"/>
    </row>
    <row r="59745" spans="1:27" x14ac:dyDescent="0.25">
      <c r="A59745" s="8"/>
      <c r="B59745" s="8"/>
      <c r="C59745" s="99"/>
      <c r="D59745" s="8"/>
      <c r="E59745" s="8"/>
      <c r="F59745" s="8"/>
      <c r="G59745" s="8"/>
      <c r="H59745" s="8"/>
      <c r="I59745" s="102"/>
      <c r="J59745" s="8"/>
      <c r="K59745" s="8"/>
      <c r="L59745" s="8"/>
      <c r="M59745" s="8"/>
      <c r="N59745" s="8"/>
      <c r="O59745" s="8"/>
      <c r="P59745" s="8"/>
      <c r="Q59745" s="8"/>
      <c r="R59745" s="103"/>
      <c r="S59745" s="8"/>
      <c r="T59745" s="8"/>
      <c r="U59745" s="8"/>
      <c r="V59745" s="8"/>
      <c r="W59745" s="8"/>
      <c r="X59745" s="8"/>
      <c r="Y59745" s="8"/>
      <c r="Z59745" s="8"/>
      <c r="AA59745" s="8"/>
    </row>
    <row r="59746" spans="1:27" x14ac:dyDescent="0.25">
      <c r="A59746" s="8"/>
      <c r="B59746" s="8"/>
      <c r="C59746" s="99"/>
      <c r="D59746" s="8"/>
      <c r="E59746" s="8"/>
      <c r="F59746" s="8"/>
      <c r="G59746" s="8"/>
      <c r="H59746" s="8"/>
      <c r="I59746" s="102"/>
      <c r="J59746" s="8"/>
      <c r="K59746" s="8"/>
      <c r="L59746" s="8"/>
      <c r="M59746" s="8"/>
      <c r="N59746" s="8"/>
      <c r="O59746" s="8"/>
      <c r="P59746" s="8"/>
      <c r="Q59746" s="8"/>
      <c r="R59746" s="103"/>
      <c r="S59746" s="8"/>
      <c r="T59746" s="8"/>
      <c r="U59746" s="8"/>
      <c r="V59746" s="8"/>
      <c r="W59746" s="8"/>
      <c r="X59746" s="8"/>
      <c r="Y59746" s="8"/>
      <c r="Z59746" s="8"/>
      <c r="AA59746" s="8"/>
    </row>
    <row r="59747" spans="1:27" x14ac:dyDescent="0.25">
      <c r="A59747" s="8"/>
      <c r="B59747" s="8"/>
      <c r="C59747" s="99"/>
      <c r="D59747" s="8"/>
      <c r="E59747" s="8"/>
      <c r="F59747" s="8"/>
      <c r="G59747" s="8"/>
      <c r="H59747" s="8"/>
      <c r="I59747" s="102"/>
      <c r="J59747" s="8"/>
      <c r="K59747" s="8"/>
      <c r="L59747" s="8"/>
      <c r="M59747" s="8"/>
      <c r="N59747" s="8"/>
      <c r="O59747" s="8"/>
      <c r="P59747" s="8"/>
      <c r="Q59747" s="8"/>
      <c r="R59747" s="103"/>
      <c r="S59747" s="8"/>
      <c r="T59747" s="8"/>
      <c r="U59747" s="8"/>
      <c r="V59747" s="8"/>
      <c r="W59747" s="8"/>
      <c r="X59747" s="8"/>
      <c r="Y59747" s="8"/>
      <c r="Z59747" s="8"/>
      <c r="AA59747" s="8"/>
    </row>
    <row r="59748" spans="1:27" x14ac:dyDescent="0.25">
      <c r="A59748" s="8"/>
      <c r="B59748" s="8"/>
      <c r="C59748" s="99"/>
      <c r="D59748" s="8"/>
      <c r="E59748" s="8"/>
      <c r="F59748" s="8"/>
      <c r="G59748" s="8"/>
      <c r="H59748" s="8"/>
      <c r="I59748" s="102"/>
      <c r="J59748" s="8"/>
      <c r="K59748" s="8"/>
      <c r="L59748" s="8"/>
      <c r="M59748" s="8"/>
      <c r="N59748" s="8"/>
      <c r="O59748" s="8"/>
      <c r="P59748" s="8"/>
      <c r="Q59748" s="8"/>
      <c r="R59748" s="103"/>
      <c r="S59748" s="8"/>
      <c r="T59748" s="8"/>
      <c r="U59748" s="8"/>
      <c r="V59748" s="8"/>
      <c r="W59748" s="8"/>
      <c r="X59748" s="8"/>
      <c r="Y59748" s="8"/>
      <c r="Z59748" s="8"/>
      <c r="AA59748" s="8"/>
    </row>
    <row r="59749" spans="1:27" x14ac:dyDescent="0.25">
      <c r="A59749" s="8"/>
      <c r="B59749" s="8"/>
      <c r="C59749" s="99"/>
      <c r="D59749" s="8"/>
      <c r="E59749" s="8"/>
      <c r="F59749" s="8"/>
      <c r="G59749" s="8"/>
      <c r="H59749" s="8"/>
      <c r="I59749" s="102"/>
      <c r="J59749" s="8"/>
      <c r="K59749" s="8"/>
      <c r="L59749" s="8"/>
      <c r="M59749" s="8"/>
      <c r="N59749" s="8"/>
      <c r="O59749" s="8"/>
      <c r="P59749" s="8"/>
      <c r="Q59749" s="8"/>
      <c r="R59749" s="103"/>
      <c r="S59749" s="8"/>
      <c r="T59749" s="8"/>
      <c r="U59749" s="8"/>
      <c r="V59749" s="8"/>
      <c r="W59749" s="8"/>
      <c r="X59749" s="8"/>
      <c r="Y59749" s="8"/>
      <c r="Z59749" s="8"/>
      <c r="AA59749" s="8"/>
    </row>
    <row r="59750" spans="1:27" x14ac:dyDescent="0.25">
      <c r="A59750" s="8"/>
      <c r="B59750" s="8"/>
      <c r="C59750" s="99"/>
      <c r="D59750" s="8"/>
      <c r="E59750" s="8"/>
      <c r="F59750" s="8"/>
      <c r="G59750" s="8"/>
      <c r="H59750" s="8"/>
      <c r="I59750" s="102"/>
      <c r="J59750" s="8"/>
      <c r="K59750" s="8"/>
      <c r="L59750" s="8"/>
      <c r="M59750" s="8"/>
      <c r="N59750" s="8"/>
      <c r="O59750" s="8"/>
      <c r="P59750" s="8"/>
      <c r="Q59750" s="8"/>
      <c r="R59750" s="103"/>
      <c r="S59750" s="8"/>
      <c r="T59750" s="8"/>
      <c r="U59750" s="8"/>
      <c r="V59750" s="8"/>
      <c r="W59750" s="8"/>
      <c r="X59750" s="8"/>
      <c r="Y59750" s="8"/>
      <c r="Z59750" s="8"/>
      <c r="AA59750" s="8"/>
    </row>
    <row r="59751" spans="1:27" x14ac:dyDescent="0.25">
      <c r="A59751" s="8"/>
      <c r="B59751" s="8"/>
      <c r="C59751" s="99"/>
      <c r="D59751" s="8"/>
      <c r="E59751" s="8"/>
      <c r="F59751" s="8"/>
      <c r="G59751" s="8"/>
      <c r="H59751" s="8"/>
      <c r="I59751" s="102"/>
      <c r="J59751" s="8"/>
      <c r="K59751" s="8"/>
      <c r="L59751" s="8"/>
      <c r="M59751" s="8"/>
      <c r="N59751" s="8"/>
      <c r="O59751" s="8"/>
      <c r="P59751" s="8"/>
      <c r="Q59751" s="8"/>
      <c r="R59751" s="103"/>
      <c r="S59751" s="8"/>
      <c r="T59751" s="8"/>
      <c r="U59751" s="8"/>
      <c r="V59751" s="8"/>
      <c r="W59751" s="8"/>
      <c r="X59751" s="8"/>
      <c r="Y59751" s="8"/>
      <c r="Z59751" s="8"/>
      <c r="AA59751" s="8"/>
    </row>
    <row r="59752" spans="1:27" x14ac:dyDescent="0.25">
      <c r="A59752" s="8"/>
      <c r="B59752" s="8"/>
      <c r="C59752" s="99"/>
      <c r="D59752" s="8"/>
      <c r="E59752" s="8"/>
      <c r="F59752" s="8"/>
      <c r="G59752" s="8"/>
      <c r="H59752" s="8"/>
      <c r="I59752" s="102"/>
      <c r="J59752" s="8"/>
      <c r="K59752" s="8"/>
      <c r="L59752" s="8"/>
      <c r="M59752" s="8"/>
      <c r="N59752" s="8"/>
      <c r="O59752" s="8"/>
      <c r="P59752" s="8"/>
      <c r="Q59752" s="8"/>
      <c r="R59752" s="103"/>
      <c r="S59752" s="8"/>
      <c r="T59752" s="8"/>
      <c r="U59752" s="8"/>
      <c r="V59752" s="8"/>
      <c r="W59752" s="8"/>
      <c r="X59752" s="8"/>
      <c r="Y59752" s="8"/>
      <c r="Z59752" s="8"/>
      <c r="AA59752" s="8"/>
    </row>
    <row r="59753" spans="1:27" x14ac:dyDescent="0.25">
      <c r="A59753" s="8"/>
      <c r="B59753" s="8"/>
      <c r="C59753" s="99"/>
      <c r="D59753" s="8"/>
      <c r="E59753" s="8"/>
      <c r="F59753" s="8"/>
      <c r="G59753" s="8"/>
      <c r="H59753" s="8"/>
      <c r="I59753" s="102"/>
      <c r="J59753" s="8"/>
      <c r="K59753" s="8"/>
      <c r="L59753" s="8"/>
      <c r="M59753" s="8"/>
      <c r="N59753" s="8"/>
      <c r="O59753" s="8"/>
      <c r="P59753" s="8"/>
      <c r="Q59753" s="8"/>
      <c r="R59753" s="103"/>
      <c r="S59753" s="8"/>
      <c r="T59753" s="8"/>
      <c r="U59753" s="8"/>
      <c r="V59753" s="8"/>
      <c r="W59753" s="8"/>
      <c r="X59753" s="8"/>
      <c r="Y59753" s="8"/>
      <c r="Z59753" s="8"/>
      <c r="AA59753" s="8"/>
    </row>
    <row r="59754" spans="1:27" x14ac:dyDescent="0.25">
      <c r="A59754" s="8"/>
      <c r="B59754" s="8"/>
      <c r="C59754" s="99"/>
      <c r="D59754" s="8"/>
      <c r="E59754" s="8"/>
      <c r="F59754" s="8"/>
      <c r="G59754" s="8"/>
      <c r="H59754" s="8"/>
      <c r="I59754" s="102"/>
      <c r="J59754" s="8"/>
      <c r="K59754" s="8"/>
      <c r="L59754" s="8"/>
      <c r="M59754" s="8"/>
      <c r="N59754" s="8"/>
      <c r="O59754" s="8"/>
      <c r="P59754" s="8"/>
      <c r="Q59754" s="8"/>
      <c r="R59754" s="103"/>
      <c r="S59754" s="8"/>
      <c r="T59754" s="8"/>
      <c r="U59754" s="8"/>
      <c r="V59754" s="8"/>
      <c r="W59754" s="8"/>
      <c r="X59754" s="8"/>
      <c r="Y59754" s="8"/>
      <c r="Z59754" s="8"/>
      <c r="AA59754" s="8"/>
    </row>
    <row r="59755" spans="1:27" x14ac:dyDescent="0.25">
      <c r="A59755" s="8"/>
      <c r="B59755" s="8"/>
      <c r="C59755" s="99"/>
      <c r="D59755" s="8"/>
      <c r="E59755" s="8"/>
      <c r="F59755" s="8"/>
      <c r="G59755" s="8"/>
      <c r="H59755" s="8"/>
      <c r="I59755" s="102"/>
      <c r="J59755" s="8"/>
      <c r="K59755" s="8"/>
      <c r="L59755" s="8"/>
      <c r="M59755" s="8"/>
      <c r="N59755" s="8"/>
      <c r="O59755" s="8"/>
      <c r="P59755" s="8"/>
      <c r="Q59755" s="8"/>
      <c r="R59755" s="103"/>
      <c r="S59755" s="8"/>
      <c r="T59755" s="8"/>
      <c r="U59755" s="8"/>
      <c r="V59755" s="8"/>
      <c r="W59755" s="8"/>
      <c r="X59755" s="8"/>
      <c r="Y59755" s="8"/>
      <c r="Z59755" s="8"/>
      <c r="AA59755" s="8"/>
    </row>
    <row r="59756" spans="1:27" x14ac:dyDescent="0.25">
      <c r="A59756" s="8"/>
      <c r="B59756" s="8"/>
      <c r="C59756" s="99"/>
      <c r="D59756" s="8"/>
      <c r="E59756" s="8"/>
      <c r="F59756" s="8"/>
      <c r="G59756" s="8"/>
      <c r="H59756" s="8"/>
      <c r="I59756" s="102"/>
      <c r="J59756" s="8"/>
      <c r="K59756" s="8"/>
      <c r="L59756" s="8"/>
      <c r="M59756" s="8"/>
      <c r="N59756" s="8"/>
      <c r="O59756" s="8"/>
      <c r="P59756" s="8"/>
      <c r="Q59756" s="8"/>
      <c r="R59756" s="103"/>
      <c r="S59756" s="8"/>
      <c r="T59756" s="8"/>
      <c r="U59756" s="8"/>
      <c r="V59756" s="8"/>
      <c r="W59756" s="8"/>
      <c r="X59756" s="8"/>
      <c r="Y59756" s="8"/>
      <c r="Z59756" s="8"/>
      <c r="AA59756" s="8"/>
    </row>
    <row r="59757" spans="1:27" x14ac:dyDescent="0.25">
      <c r="A59757" s="8"/>
      <c r="B59757" s="8"/>
      <c r="C59757" s="99"/>
      <c r="D59757" s="8"/>
      <c r="E59757" s="8"/>
      <c r="F59757" s="8"/>
      <c r="G59757" s="8"/>
      <c r="H59757" s="8"/>
      <c r="I59757" s="102"/>
      <c r="J59757" s="8"/>
      <c r="K59757" s="8"/>
      <c r="L59757" s="8"/>
      <c r="M59757" s="8"/>
      <c r="N59757" s="8"/>
      <c r="O59757" s="8"/>
      <c r="P59757" s="8"/>
      <c r="Q59757" s="8"/>
      <c r="R59757" s="103"/>
      <c r="S59757" s="8"/>
      <c r="T59757" s="8"/>
      <c r="U59757" s="8"/>
      <c r="V59757" s="8"/>
      <c r="W59757" s="8"/>
      <c r="X59757" s="8"/>
      <c r="Y59757" s="8"/>
      <c r="Z59757" s="8"/>
      <c r="AA59757" s="8"/>
    </row>
    <row r="59758" spans="1:27" x14ac:dyDescent="0.25">
      <c r="A59758" s="8"/>
      <c r="B59758" s="8"/>
      <c r="C59758" s="99"/>
      <c r="D59758" s="8"/>
      <c r="E59758" s="8"/>
      <c r="F59758" s="8"/>
      <c r="G59758" s="8"/>
      <c r="H59758" s="8"/>
      <c r="I59758" s="102"/>
      <c r="J59758" s="8"/>
      <c r="K59758" s="8"/>
      <c r="L59758" s="8"/>
      <c r="M59758" s="8"/>
      <c r="N59758" s="8"/>
      <c r="O59758" s="8"/>
      <c r="P59758" s="8"/>
      <c r="Q59758" s="8"/>
      <c r="R59758" s="103"/>
      <c r="S59758" s="8"/>
      <c r="T59758" s="8"/>
      <c r="U59758" s="8"/>
      <c r="V59758" s="8"/>
      <c r="W59758" s="8"/>
      <c r="X59758" s="8"/>
      <c r="Y59758" s="8"/>
      <c r="Z59758" s="8"/>
      <c r="AA59758" s="8"/>
    </row>
    <row r="59759" spans="1:27" x14ac:dyDescent="0.25">
      <c r="A59759" s="8"/>
      <c r="B59759" s="8"/>
      <c r="C59759" s="99"/>
      <c r="D59759" s="8"/>
      <c r="E59759" s="8"/>
      <c r="F59759" s="8"/>
      <c r="G59759" s="8"/>
      <c r="H59759" s="8"/>
      <c r="I59759" s="102"/>
      <c r="J59759" s="8"/>
      <c r="K59759" s="8"/>
      <c r="L59759" s="8"/>
      <c r="M59759" s="8"/>
      <c r="N59759" s="8"/>
      <c r="O59759" s="8"/>
      <c r="P59759" s="8"/>
      <c r="Q59759" s="8"/>
      <c r="R59759" s="103"/>
      <c r="S59759" s="8"/>
      <c r="T59759" s="8"/>
      <c r="U59759" s="8"/>
      <c r="V59759" s="8"/>
      <c r="W59759" s="8"/>
      <c r="X59759" s="8"/>
      <c r="Y59759" s="8"/>
      <c r="Z59759" s="8"/>
      <c r="AA59759" s="8"/>
    </row>
    <row r="59760" spans="1:27" x14ac:dyDescent="0.25">
      <c r="A59760" s="8"/>
      <c r="B59760" s="8"/>
      <c r="C59760" s="99"/>
      <c r="D59760" s="8"/>
      <c r="E59760" s="8"/>
      <c r="F59760" s="8"/>
      <c r="G59760" s="8"/>
      <c r="H59760" s="8"/>
      <c r="I59760" s="102"/>
      <c r="J59760" s="8"/>
      <c r="K59760" s="8"/>
      <c r="L59760" s="8"/>
      <c r="M59760" s="8"/>
      <c r="N59760" s="8"/>
      <c r="O59760" s="8"/>
      <c r="P59760" s="8"/>
      <c r="Q59760" s="8"/>
      <c r="R59760" s="103"/>
      <c r="S59760" s="8"/>
      <c r="T59760" s="8"/>
      <c r="U59760" s="8"/>
      <c r="V59760" s="8"/>
      <c r="W59760" s="8"/>
      <c r="X59760" s="8"/>
      <c r="Y59760" s="8"/>
      <c r="Z59760" s="8"/>
      <c r="AA59760" s="8"/>
    </row>
    <row r="59761" spans="1:27" x14ac:dyDescent="0.25">
      <c r="A59761" s="8"/>
      <c r="B59761" s="8"/>
      <c r="C59761" s="99"/>
      <c r="D59761" s="8"/>
      <c r="E59761" s="8"/>
      <c r="F59761" s="8"/>
      <c r="G59761" s="8"/>
      <c r="H59761" s="8"/>
      <c r="I59761" s="102"/>
      <c r="J59761" s="8"/>
      <c r="K59761" s="8"/>
      <c r="L59761" s="8"/>
      <c r="M59761" s="8"/>
      <c r="N59761" s="8"/>
      <c r="O59761" s="8"/>
      <c r="P59761" s="8"/>
      <c r="Q59761" s="8"/>
      <c r="R59761" s="103"/>
      <c r="S59761" s="8"/>
      <c r="T59761" s="8"/>
      <c r="U59761" s="8"/>
      <c r="V59761" s="8"/>
      <c r="W59761" s="8"/>
      <c r="X59761" s="8"/>
      <c r="Y59761" s="8"/>
      <c r="Z59761" s="8"/>
      <c r="AA59761" s="8"/>
    </row>
    <row r="59762" spans="1:27" x14ac:dyDescent="0.25">
      <c r="A59762" s="8"/>
      <c r="B59762" s="8"/>
      <c r="C59762" s="99"/>
      <c r="D59762" s="8"/>
      <c r="E59762" s="8"/>
      <c r="F59762" s="8"/>
      <c r="G59762" s="8"/>
      <c r="H59762" s="8"/>
      <c r="I59762" s="102"/>
      <c r="J59762" s="8"/>
      <c r="K59762" s="8"/>
      <c r="L59762" s="8"/>
      <c r="M59762" s="8"/>
      <c r="N59762" s="8"/>
      <c r="O59762" s="8"/>
      <c r="P59762" s="8"/>
      <c r="Q59762" s="8"/>
      <c r="R59762" s="103"/>
      <c r="S59762" s="8"/>
      <c r="T59762" s="8"/>
      <c r="U59762" s="8"/>
      <c r="V59762" s="8"/>
      <c r="W59762" s="8"/>
      <c r="X59762" s="8"/>
      <c r="Y59762" s="8"/>
      <c r="Z59762" s="8"/>
      <c r="AA59762" s="8"/>
    </row>
    <row r="59763" spans="1:27" x14ac:dyDescent="0.25">
      <c r="A59763" s="8"/>
      <c r="B59763" s="8"/>
      <c r="C59763" s="99"/>
      <c r="D59763" s="8"/>
      <c r="E59763" s="8"/>
      <c r="F59763" s="8"/>
      <c r="G59763" s="8"/>
      <c r="H59763" s="8"/>
      <c r="I59763" s="102"/>
      <c r="J59763" s="8"/>
      <c r="K59763" s="8"/>
      <c r="L59763" s="8"/>
      <c r="M59763" s="8"/>
      <c r="N59763" s="8"/>
      <c r="O59763" s="8"/>
      <c r="P59763" s="8"/>
      <c r="Q59763" s="8"/>
      <c r="R59763" s="103"/>
      <c r="S59763" s="8"/>
      <c r="T59763" s="8"/>
      <c r="U59763" s="8"/>
      <c r="V59763" s="8"/>
      <c r="W59763" s="8"/>
      <c r="X59763" s="8"/>
      <c r="Y59763" s="8"/>
      <c r="Z59763" s="8"/>
      <c r="AA59763" s="8"/>
    </row>
    <row r="59764" spans="1:27" x14ac:dyDescent="0.25">
      <c r="A59764" s="8"/>
      <c r="B59764" s="8"/>
      <c r="C59764" s="99"/>
      <c r="D59764" s="8"/>
      <c r="E59764" s="8"/>
      <c r="F59764" s="8"/>
      <c r="G59764" s="8"/>
      <c r="H59764" s="8"/>
      <c r="I59764" s="102"/>
      <c r="J59764" s="8"/>
      <c r="K59764" s="8"/>
      <c r="L59764" s="8"/>
      <c r="M59764" s="8"/>
      <c r="N59764" s="8"/>
      <c r="O59764" s="8"/>
      <c r="P59764" s="8"/>
      <c r="Q59764" s="8"/>
      <c r="R59764" s="103"/>
      <c r="S59764" s="8"/>
      <c r="T59764" s="8"/>
      <c r="U59764" s="8"/>
      <c r="V59764" s="8"/>
      <c r="W59764" s="8"/>
      <c r="X59764" s="8"/>
      <c r="Y59764" s="8"/>
      <c r="Z59764" s="8"/>
      <c r="AA59764" s="8"/>
    </row>
    <row r="59765" spans="1:27" x14ac:dyDescent="0.25">
      <c r="A59765" s="8"/>
      <c r="B59765" s="8"/>
      <c r="C59765" s="99"/>
      <c r="D59765" s="8"/>
      <c r="E59765" s="8"/>
      <c r="F59765" s="8"/>
      <c r="G59765" s="8"/>
      <c r="H59765" s="8"/>
      <c r="I59765" s="102"/>
      <c r="J59765" s="8"/>
      <c r="K59765" s="8"/>
      <c r="L59765" s="8"/>
      <c r="M59765" s="8"/>
      <c r="N59765" s="8"/>
      <c r="O59765" s="8"/>
      <c r="P59765" s="8"/>
      <c r="Q59765" s="8"/>
      <c r="R59765" s="103"/>
      <c r="S59765" s="8"/>
      <c r="T59765" s="8"/>
      <c r="U59765" s="8"/>
      <c r="V59765" s="8"/>
      <c r="W59765" s="8"/>
      <c r="X59765" s="8"/>
      <c r="Y59765" s="8"/>
      <c r="Z59765" s="8"/>
      <c r="AA59765" s="8"/>
    </row>
    <row r="59766" spans="1:27" x14ac:dyDescent="0.25">
      <c r="A59766" s="8"/>
      <c r="B59766" s="8"/>
      <c r="C59766" s="99"/>
      <c r="D59766" s="8"/>
      <c r="E59766" s="8"/>
      <c r="F59766" s="8"/>
      <c r="G59766" s="8"/>
      <c r="H59766" s="8"/>
      <c r="I59766" s="102"/>
      <c r="J59766" s="8"/>
      <c r="K59766" s="8"/>
      <c r="L59766" s="8"/>
      <c r="M59766" s="8"/>
      <c r="N59766" s="8"/>
      <c r="O59766" s="8"/>
      <c r="P59766" s="8"/>
      <c r="Q59766" s="8"/>
      <c r="R59766" s="103"/>
      <c r="S59766" s="8"/>
      <c r="T59766" s="8"/>
      <c r="U59766" s="8"/>
      <c r="V59766" s="8"/>
      <c r="W59766" s="8"/>
      <c r="X59766" s="8"/>
      <c r="Y59766" s="8"/>
      <c r="Z59766" s="8"/>
      <c r="AA59766" s="8"/>
    </row>
    <row r="59767" spans="1:27" x14ac:dyDescent="0.25">
      <c r="A59767" s="8"/>
      <c r="B59767" s="8"/>
      <c r="C59767" s="99"/>
      <c r="D59767" s="8"/>
      <c r="E59767" s="8"/>
      <c r="F59767" s="8"/>
      <c r="G59767" s="8"/>
      <c r="H59767" s="8"/>
      <c r="I59767" s="102"/>
      <c r="J59767" s="8"/>
      <c r="K59767" s="8"/>
      <c r="L59767" s="8"/>
      <c r="M59767" s="8"/>
      <c r="N59767" s="8"/>
      <c r="O59767" s="8"/>
      <c r="P59767" s="8"/>
      <c r="Q59767" s="8"/>
      <c r="R59767" s="103"/>
      <c r="S59767" s="8"/>
      <c r="T59767" s="8"/>
      <c r="U59767" s="8"/>
      <c r="V59767" s="8"/>
      <c r="W59767" s="8"/>
      <c r="X59767" s="8"/>
      <c r="Y59767" s="8"/>
      <c r="Z59767" s="8"/>
      <c r="AA59767" s="8"/>
    </row>
    <row r="59768" spans="1:27" x14ac:dyDescent="0.25">
      <c r="A59768" s="8"/>
      <c r="B59768" s="8"/>
      <c r="C59768" s="99"/>
      <c r="D59768" s="8"/>
      <c r="E59768" s="8"/>
      <c r="F59768" s="8"/>
      <c r="G59768" s="8"/>
      <c r="H59768" s="8"/>
      <c r="I59768" s="102"/>
      <c r="J59768" s="8"/>
      <c r="K59768" s="8"/>
      <c r="L59768" s="8"/>
      <c r="M59768" s="8"/>
      <c r="N59768" s="8"/>
      <c r="O59768" s="8"/>
      <c r="P59768" s="8"/>
      <c r="Q59768" s="8"/>
      <c r="R59768" s="103"/>
      <c r="S59768" s="8"/>
      <c r="T59768" s="8"/>
      <c r="U59768" s="8"/>
      <c r="V59768" s="8"/>
      <c r="W59768" s="8"/>
      <c r="X59768" s="8"/>
      <c r="Y59768" s="8"/>
      <c r="Z59768" s="8"/>
      <c r="AA59768" s="8"/>
    </row>
    <row r="59769" spans="1:27" x14ac:dyDescent="0.25">
      <c r="A59769" s="8"/>
      <c r="B59769" s="8"/>
      <c r="C59769" s="99"/>
      <c r="D59769" s="8"/>
      <c r="E59769" s="8"/>
      <c r="F59769" s="8"/>
      <c r="G59769" s="8"/>
      <c r="H59769" s="8"/>
      <c r="I59769" s="102"/>
      <c r="J59769" s="8"/>
      <c r="K59769" s="8"/>
      <c r="L59769" s="8"/>
      <c r="M59769" s="8"/>
      <c r="N59769" s="8"/>
      <c r="O59769" s="8"/>
      <c r="P59769" s="8"/>
      <c r="Q59769" s="8"/>
      <c r="R59769" s="103"/>
      <c r="S59769" s="8"/>
      <c r="T59769" s="8"/>
      <c r="U59769" s="8"/>
      <c r="V59769" s="8"/>
      <c r="W59769" s="8"/>
      <c r="X59769" s="8"/>
      <c r="Y59769" s="8"/>
      <c r="Z59769" s="8"/>
      <c r="AA59769" s="8"/>
    </row>
    <row r="59770" spans="1:27" x14ac:dyDescent="0.25">
      <c r="A59770" s="8"/>
      <c r="B59770" s="8"/>
      <c r="C59770" s="99"/>
      <c r="D59770" s="8"/>
      <c r="E59770" s="8"/>
      <c r="F59770" s="8"/>
      <c r="G59770" s="8"/>
      <c r="H59770" s="8"/>
      <c r="I59770" s="102"/>
      <c r="J59770" s="8"/>
      <c r="K59770" s="8"/>
      <c r="L59770" s="8"/>
      <c r="M59770" s="8"/>
      <c r="N59770" s="8"/>
      <c r="O59770" s="8"/>
      <c r="P59770" s="8"/>
      <c r="Q59770" s="8"/>
      <c r="R59770" s="103"/>
      <c r="S59770" s="8"/>
      <c r="T59770" s="8"/>
      <c r="U59770" s="8"/>
      <c r="V59770" s="8"/>
      <c r="W59770" s="8"/>
      <c r="X59770" s="8"/>
      <c r="Y59770" s="8"/>
      <c r="Z59770" s="8"/>
      <c r="AA59770" s="8"/>
    </row>
    <row r="59771" spans="1:27" x14ac:dyDescent="0.25">
      <c r="A59771" s="8"/>
      <c r="B59771" s="8"/>
      <c r="C59771" s="99"/>
      <c r="D59771" s="8"/>
      <c r="E59771" s="8"/>
      <c r="F59771" s="8"/>
      <c r="G59771" s="8"/>
      <c r="H59771" s="8"/>
      <c r="I59771" s="102"/>
      <c r="J59771" s="8"/>
      <c r="K59771" s="8"/>
      <c r="L59771" s="8"/>
      <c r="M59771" s="8"/>
      <c r="N59771" s="8"/>
      <c r="O59771" s="8"/>
      <c r="P59771" s="8"/>
      <c r="Q59771" s="8"/>
      <c r="R59771" s="103"/>
      <c r="S59771" s="8"/>
      <c r="T59771" s="8"/>
      <c r="U59771" s="8"/>
      <c r="V59771" s="8"/>
      <c r="W59771" s="8"/>
      <c r="X59771" s="8"/>
      <c r="Y59771" s="8"/>
      <c r="Z59771" s="8"/>
      <c r="AA59771" s="8"/>
    </row>
    <row r="59772" spans="1:27" x14ac:dyDescent="0.25">
      <c r="A59772" s="8"/>
      <c r="B59772" s="8"/>
      <c r="C59772" s="99"/>
      <c r="D59772" s="8"/>
      <c r="E59772" s="8"/>
      <c r="F59772" s="8"/>
      <c r="G59772" s="8"/>
      <c r="H59772" s="8"/>
      <c r="I59772" s="102"/>
      <c r="J59772" s="8"/>
      <c r="K59772" s="8"/>
      <c r="L59772" s="8"/>
      <c r="M59772" s="8"/>
      <c r="N59772" s="8"/>
      <c r="O59772" s="8"/>
      <c r="P59772" s="8"/>
      <c r="Q59772" s="8"/>
      <c r="R59772" s="103"/>
      <c r="S59772" s="8"/>
      <c r="T59772" s="8"/>
      <c r="U59772" s="8"/>
      <c r="V59772" s="8"/>
      <c r="W59772" s="8"/>
      <c r="X59772" s="8"/>
      <c r="Y59772" s="8"/>
      <c r="Z59772" s="8"/>
      <c r="AA59772" s="8"/>
    </row>
    <row r="59773" spans="1:27" x14ac:dyDescent="0.25">
      <c r="A59773" s="8"/>
      <c r="B59773" s="8"/>
      <c r="C59773" s="99"/>
      <c r="D59773" s="8"/>
      <c r="E59773" s="8"/>
      <c r="F59773" s="8"/>
      <c r="G59773" s="8"/>
      <c r="H59773" s="8"/>
      <c r="I59773" s="102"/>
      <c r="J59773" s="8"/>
      <c r="K59773" s="8"/>
      <c r="L59773" s="8"/>
      <c r="M59773" s="8"/>
      <c r="N59773" s="8"/>
      <c r="O59773" s="8"/>
      <c r="P59773" s="8"/>
      <c r="Q59773" s="8"/>
      <c r="R59773" s="103"/>
      <c r="S59773" s="8"/>
      <c r="T59773" s="8"/>
      <c r="U59773" s="8"/>
      <c r="V59773" s="8"/>
      <c r="W59773" s="8"/>
      <c r="X59773" s="8"/>
      <c r="Y59773" s="8"/>
      <c r="Z59773" s="8"/>
      <c r="AA59773" s="8"/>
    </row>
    <row r="59774" spans="1:27" x14ac:dyDescent="0.25">
      <c r="A59774" s="8"/>
      <c r="B59774" s="8"/>
      <c r="C59774" s="99"/>
      <c r="D59774" s="8"/>
      <c r="E59774" s="8"/>
      <c r="F59774" s="8"/>
      <c r="G59774" s="8"/>
      <c r="H59774" s="8"/>
      <c r="I59774" s="102"/>
      <c r="J59774" s="8"/>
      <c r="K59774" s="8"/>
      <c r="L59774" s="8"/>
      <c r="M59774" s="8"/>
      <c r="N59774" s="8"/>
      <c r="O59774" s="8"/>
      <c r="P59774" s="8"/>
      <c r="Q59774" s="8"/>
      <c r="R59774" s="103"/>
      <c r="S59774" s="8"/>
      <c r="T59774" s="8"/>
      <c r="U59774" s="8"/>
      <c r="V59774" s="8"/>
      <c r="W59774" s="8"/>
      <c r="X59774" s="8"/>
      <c r="Y59774" s="8"/>
      <c r="Z59774" s="8"/>
      <c r="AA59774" s="8"/>
    </row>
    <row r="59775" spans="1:27" x14ac:dyDescent="0.25">
      <c r="A59775" s="8"/>
      <c r="B59775" s="8"/>
      <c r="C59775" s="99"/>
      <c r="D59775" s="8"/>
      <c r="E59775" s="8"/>
      <c r="F59775" s="8"/>
      <c r="G59775" s="8"/>
      <c r="H59775" s="8"/>
      <c r="I59775" s="102"/>
      <c r="J59775" s="8"/>
      <c r="K59775" s="8"/>
      <c r="L59775" s="8"/>
      <c r="M59775" s="8"/>
      <c r="N59775" s="8"/>
      <c r="O59775" s="8"/>
      <c r="P59775" s="8"/>
      <c r="Q59775" s="8"/>
      <c r="R59775" s="103"/>
      <c r="S59775" s="8"/>
      <c r="T59775" s="8"/>
      <c r="U59775" s="8"/>
      <c r="V59775" s="8"/>
      <c r="W59775" s="8"/>
      <c r="X59775" s="8"/>
      <c r="Y59775" s="8"/>
      <c r="Z59775" s="8"/>
      <c r="AA59775" s="8"/>
    </row>
    <row r="59776" spans="1:27" x14ac:dyDescent="0.25">
      <c r="A59776" s="8"/>
      <c r="B59776" s="8"/>
      <c r="C59776" s="99"/>
      <c r="D59776" s="8"/>
      <c r="E59776" s="8"/>
      <c r="F59776" s="8"/>
      <c r="G59776" s="8"/>
      <c r="H59776" s="8"/>
      <c r="I59776" s="102"/>
      <c r="J59776" s="8"/>
      <c r="K59776" s="8"/>
      <c r="L59776" s="8"/>
      <c r="M59776" s="8"/>
      <c r="N59776" s="8"/>
      <c r="O59776" s="8"/>
      <c r="P59776" s="8"/>
      <c r="Q59776" s="8"/>
      <c r="R59776" s="103"/>
      <c r="S59776" s="8"/>
      <c r="T59776" s="8"/>
      <c r="U59776" s="8"/>
      <c r="V59776" s="8"/>
      <c r="W59776" s="8"/>
      <c r="X59776" s="8"/>
      <c r="Y59776" s="8"/>
      <c r="Z59776" s="8"/>
      <c r="AA59776" s="8"/>
    </row>
    <row r="59777" spans="1:27" x14ac:dyDescent="0.25">
      <c r="A59777" s="8"/>
      <c r="B59777" s="8"/>
      <c r="C59777" s="99"/>
      <c r="D59777" s="8"/>
      <c r="E59777" s="8"/>
      <c r="F59777" s="8"/>
      <c r="G59777" s="8"/>
      <c r="H59777" s="8"/>
      <c r="I59777" s="102"/>
      <c r="J59777" s="8"/>
      <c r="K59777" s="8"/>
      <c r="L59777" s="8"/>
      <c r="M59777" s="8"/>
      <c r="N59777" s="8"/>
      <c r="O59777" s="8"/>
      <c r="P59777" s="8"/>
      <c r="Q59777" s="8"/>
      <c r="R59777" s="103"/>
      <c r="S59777" s="8"/>
      <c r="T59777" s="8"/>
      <c r="U59777" s="8"/>
      <c r="V59777" s="8"/>
      <c r="W59777" s="8"/>
      <c r="X59777" s="8"/>
      <c r="Y59777" s="8"/>
      <c r="Z59777" s="8"/>
      <c r="AA59777" s="8"/>
    </row>
    <row r="59778" spans="1:27" x14ac:dyDescent="0.25">
      <c r="A59778" s="8"/>
      <c r="B59778" s="8"/>
      <c r="C59778" s="99"/>
      <c r="D59778" s="8"/>
      <c r="E59778" s="8"/>
      <c r="F59778" s="8"/>
      <c r="G59778" s="8"/>
      <c r="H59778" s="8"/>
      <c r="I59778" s="102"/>
      <c r="J59778" s="8"/>
      <c r="K59778" s="8"/>
      <c r="L59778" s="8"/>
      <c r="M59778" s="8"/>
      <c r="N59778" s="8"/>
      <c r="O59778" s="8"/>
      <c r="P59778" s="8"/>
      <c r="Q59778" s="8"/>
      <c r="R59778" s="103"/>
      <c r="S59778" s="8"/>
      <c r="T59778" s="8"/>
      <c r="U59778" s="8"/>
      <c r="V59778" s="8"/>
      <c r="W59778" s="8"/>
      <c r="X59778" s="8"/>
      <c r="Y59778" s="8"/>
      <c r="Z59778" s="8"/>
      <c r="AA59778" s="8"/>
    </row>
    <row r="59779" spans="1:27" x14ac:dyDescent="0.25">
      <c r="A59779" s="8"/>
      <c r="B59779" s="8"/>
      <c r="C59779" s="99"/>
      <c r="D59779" s="8"/>
      <c r="E59779" s="8"/>
      <c r="F59779" s="8"/>
      <c r="G59779" s="8"/>
      <c r="H59779" s="8"/>
      <c r="I59779" s="102"/>
      <c r="J59779" s="8"/>
      <c r="K59779" s="8"/>
      <c r="L59779" s="8"/>
      <c r="M59779" s="8"/>
      <c r="N59779" s="8"/>
      <c r="O59779" s="8"/>
      <c r="P59779" s="8"/>
      <c r="Q59779" s="8"/>
      <c r="R59779" s="103"/>
      <c r="S59779" s="8"/>
      <c r="T59779" s="8"/>
      <c r="U59779" s="8"/>
      <c r="V59779" s="8"/>
      <c r="W59779" s="8"/>
      <c r="X59779" s="8"/>
      <c r="Y59779" s="8"/>
      <c r="Z59779" s="8"/>
      <c r="AA59779" s="8"/>
    </row>
    <row r="59780" spans="1:27" x14ac:dyDescent="0.25">
      <c r="A59780" s="8"/>
      <c r="B59780" s="8"/>
      <c r="C59780" s="99"/>
      <c r="D59780" s="8"/>
      <c r="E59780" s="8"/>
      <c r="F59780" s="8"/>
      <c r="G59780" s="8"/>
      <c r="H59780" s="8"/>
      <c r="I59780" s="102"/>
      <c r="J59780" s="8"/>
      <c r="K59780" s="8"/>
      <c r="L59780" s="8"/>
      <c r="M59780" s="8"/>
      <c r="N59780" s="8"/>
      <c r="O59780" s="8"/>
      <c r="P59780" s="8"/>
      <c r="Q59780" s="8"/>
      <c r="R59780" s="103"/>
      <c r="S59780" s="8"/>
      <c r="T59780" s="8"/>
      <c r="U59780" s="8"/>
      <c r="V59780" s="8"/>
      <c r="W59780" s="8"/>
      <c r="X59780" s="8"/>
      <c r="Y59780" s="8"/>
      <c r="Z59780" s="8"/>
      <c r="AA59780" s="8"/>
    </row>
    <row r="59781" spans="1:27" x14ac:dyDescent="0.25">
      <c r="A59781" s="8"/>
      <c r="B59781" s="8"/>
      <c r="C59781" s="99"/>
      <c r="D59781" s="8"/>
      <c r="E59781" s="8"/>
      <c r="F59781" s="8"/>
      <c r="G59781" s="8"/>
      <c r="H59781" s="8"/>
      <c r="I59781" s="102"/>
      <c r="J59781" s="8"/>
      <c r="K59781" s="8"/>
      <c r="L59781" s="8"/>
      <c r="M59781" s="8"/>
      <c r="N59781" s="8"/>
      <c r="O59781" s="8"/>
      <c r="P59781" s="8"/>
      <c r="Q59781" s="8"/>
      <c r="R59781" s="103"/>
      <c r="S59781" s="8"/>
      <c r="T59781" s="8"/>
      <c r="U59781" s="8"/>
      <c r="V59781" s="8"/>
      <c r="W59781" s="8"/>
      <c r="X59781" s="8"/>
      <c r="Y59781" s="8"/>
      <c r="Z59781" s="8"/>
      <c r="AA59781" s="8"/>
    </row>
    <row r="59782" spans="1:27" x14ac:dyDescent="0.25">
      <c r="A59782" s="8"/>
      <c r="B59782" s="8"/>
      <c r="C59782" s="99"/>
      <c r="D59782" s="8"/>
      <c r="E59782" s="8"/>
      <c r="F59782" s="8"/>
      <c r="G59782" s="8"/>
      <c r="H59782" s="8"/>
      <c r="I59782" s="102"/>
      <c r="J59782" s="8"/>
      <c r="K59782" s="8"/>
      <c r="L59782" s="8"/>
      <c r="M59782" s="8"/>
      <c r="N59782" s="8"/>
      <c r="O59782" s="8"/>
      <c r="P59782" s="8"/>
      <c r="Q59782" s="8"/>
      <c r="R59782" s="103"/>
      <c r="S59782" s="8"/>
      <c r="T59782" s="8"/>
      <c r="U59782" s="8"/>
      <c r="V59782" s="8"/>
      <c r="W59782" s="8"/>
      <c r="X59782" s="8"/>
      <c r="Y59782" s="8"/>
      <c r="Z59782" s="8"/>
      <c r="AA59782" s="8"/>
    </row>
    <row r="59783" spans="1:27" x14ac:dyDescent="0.25">
      <c r="A59783" s="8"/>
      <c r="B59783" s="8"/>
      <c r="C59783" s="99"/>
      <c r="D59783" s="8"/>
      <c r="E59783" s="8"/>
      <c r="F59783" s="8"/>
      <c r="G59783" s="8"/>
      <c r="H59783" s="8"/>
      <c r="I59783" s="102"/>
      <c r="J59783" s="8"/>
      <c r="K59783" s="8"/>
      <c r="L59783" s="8"/>
      <c r="M59783" s="8"/>
      <c r="N59783" s="8"/>
      <c r="O59783" s="8"/>
      <c r="P59783" s="8"/>
      <c r="Q59783" s="8"/>
      <c r="R59783" s="103"/>
      <c r="S59783" s="8"/>
      <c r="T59783" s="8"/>
      <c r="U59783" s="8"/>
      <c r="V59783" s="8"/>
      <c r="W59783" s="8"/>
      <c r="X59783" s="8"/>
      <c r="Y59783" s="8"/>
      <c r="Z59783" s="8"/>
      <c r="AA59783" s="8"/>
    </row>
    <row r="59784" spans="1:27" x14ac:dyDescent="0.25">
      <c r="A59784" s="8"/>
      <c r="B59784" s="8"/>
      <c r="C59784" s="99"/>
      <c r="D59784" s="8"/>
      <c r="E59784" s="8"/>
      <c r="F59784" s="8"/>
      <c r="G59784" s="8"/>
      <c r="H59784" s="8"/>
      <c r="I59784" s="102"/>
      <c r="J59784" s="8"/>
      <c r="K59784" s="8"/>
      <c r="L59784" s="8"/>
      <c r="M59784" s="8"/>
      <c r="N59784" s="8"/>
      <c r="O59784" s="8"/>
      <c r="P59784" s="8"/>
      <c r="Q59784" s="8"/>
      <c r="R59784" s="103"/>
      <c r="S59784" s="8"/>
      <c r="T59784" s="8"/>
      <c r="U59784" s="8"/>
      <c r="V59784" s="8"/>
      <c r="W59784" s="8"/>
      <c r="X59784" s="8"/>
      <c r="Y59784" s="8"/>
      <c r="Z59784" s="8"/>
      <c r="AA59784" s="8"/>
    </row>
    <row r="59785" spans="1:27" x14ac:dyDescent="0.25">
      <c r="A59785" s="8"/>
      <c r="B59785" s="8"/>
      <c r="C59785" s="99"/>
      <c r="D59785" s="8"/>
      <c r="E59785" s="8"/>
      <c r="F59785" s="8"/>
      <c r="G59785" s="8"/>
      <c r="H59785" s="8"/>
      <c r="I59785" s="102"/>
      <c r="J59785" s="8"/>
      <c r="K59785" s="8"/>
      <c r="L59785" s="8"/>
      <c r="M59785" s="8"/>
      <c r="N59785" s="8"/>
      <c r="O59785" s="8"/>
      <c r="P59785" s="8"/>
      <c r="Q59785" s="8"/>
      <c r="R59785" s="103"/>
      <c r="S59785" s="8"/>
      <c r="T59785" s="8"/>
      <c r="U59785" s="8"/>
      <c r="V59785" s="8"/>
      <c r="W59785" s="8"/>
      <c r="X59785" s="8"/>
      <c r="Y59785" s="8"/>
      <c r="Z59785" s="8"/>
      <c r="AA59785" s="8"/>
    </row>
    <row r="59786" spans="1:27" x14ac:dyDescent="0.25">
      <c r="A59786" s="8"/>
      <c r="B59786" s="8"/>
      <c r="C59786" s="99"/>
      <c r="D59786" s="8"/>
      <c r="E59786" s="8"/>
      <c r="F59786" s="8"/>
      <c r="G59786" s="8"/>
      <c r="H59786" s="8"/>
      <c r="I59786" s="102"/>
      <c r="J59786" s="8"/>
      <c r="K59786" s="8"/>
      <c r="L59786" s="8"/>
      <c r="M59786" s="8"/>
      <c r="N59786" s="8"/>
      <c r="O59786" s="8"/>
      <c r="P59786" s="8"/>
      <c r="Q59786" s="8"/>
      <c r="R59786" s="103"/>
      <c r="S59786" s="8"/>
      <c r="T59786" s="8"/>
      <c r="U59786" s="8"/>
      <c r="V59786" s="8"/>
      <c r="W59786" s="8"/>
      <c r="X59786" s="8"/>
      <c r="Y59786" s="8"/>
      <c r="Z59786" s="8"/>
      <c r="AA59786" s="8"/>
    </row>
    <row r="59787" spans="1:27" x14ac:dyDescent="0.25">
      <c r="A59787" s="8"/>
      <c r="B59787" s="8"/>
      <c r="C59787" s="99"/>
      <c r="D59787" s="8"/>
      <c r="E59787" s="8"/>
      <c r="F59787" s="8"/>
      <c r="G59787" s="8"/>
      <c r="H59787" s="8"/>
      <c r="I59787" s="102"/>
      <c r="J59787" s="8"/>
      <c r="K59787" s="8"/>
      <c r="L59787" s="8"/>
      <c r="M59787" s="8"/>
      <c r="N59787" s="8"/>
      <c r="O59787" s="8"/>
      <c r="P59787" s="8"/>
      <c r="Q59787" s="8"/>
      <c r="R59787" s="103"/>
      <c r="S59787" s="8"/>
      <c r="T59787" s="8"/>
      <c r="U59787" s="8"/>
      <c r="V59787" s="8"/>
      <c r="W59787" s="8"/>
      <c r="X59787" s="8"/>
      <c r="Y59787" s="8"/>
      <c r="Z59787" s="8"/>
      <c r="AA59787" s="8"/>
    </row>
    <row r="59788" spans="1:27" x14ac:dyDescent="0.25">
      <c r="A59788" s="8"/>
      <c r="B59788" s="8"/>
      <c r="C59788" s="99"/>
      <c r="D59788" s="8"/>
      <c r="E59788" s="8"/>
      <c r="F59788" s="8"/>
      <c r="G59788" s="8"/>
      <c r="H59788" s="8"/>
      <c r="I59788" s="102"/>
      <c r="J59788" s="8"/>
      <c r="K59788" s="8"/>
      <c r="L59788" s="8"/>
      <c r="M59788" s="8"/>
      <c r="N59788" s="8"/>
      <c r="O59788" s="8"/>
      <c r="P59788" s="8"/>
      <c r="Q59788" s="8"/>
      <c r="R59788" s="103"/>
      <c r="S59788" s="8"/>
      <c r="T59788" s="8"/>
      <c r="U59788" s="8"/>
      <c r="V59788" s="8"/>
      <c r="W59788" s="8"/>
      <c r="X59788" s="8"/>
      <c r="Y59788" s="8"/>
      <c r="Z59788" s="8"/>
      <c r="AA59788" s="8"/>
    </row>
    <row r="59789" spans="1:27" x14ac:dyDescent="0.25">
      <c r="A59789" s="8"/>
      <c r="B59789" s="8"/>
      <c r="C59789" s="99"/>
      <c r="D59789" s="8"/>
      <c r="E59789" s="8"/>
      <c r="F59789" s="8"/>
      <c r="G59789" s="8"/>
      <c r="H59789" s="8"/>
      <c r="I59789" s="102"/>
      <c r="J59789" s="8"/>
      <c r="K59789" s="8"/>
      <c r="L59789" s="8"/>
      <c r="M59789" s="8"/>
      <c r="N59789" s="8"/>
      <c r="O59789" s="8"/>
      <c r="P59789" s="8"/>
      <c r="Q59789" s="8"/>
      <c r="R59789" s="103"/>
      <c r="S59789" s="8"/>
      <c r="T59789" s="8"/>
      <c r="U59789" s="8"/>
      <c r="V59789" s="8"/>
      <c r="W59789" s="8"/>
      <c r="X59789" s="8"/>
      <c r="Y59789" s="8"/>
      <c r="Z59789" s="8"/>
      <c r="AA59789" s="8"/>
    </row>
    <row r="59790" spans="1:27" x14ac:dyDescent="0.25">
      <c r="A59790" s="8"/>
      <c r="B59790" s="8"/>
      <c r="C59790" s="99"/>
      <c r="D59790" s="8"/>
      <c r="E59790" s="8"/>
      <c r="F59790" s="8"/>
      <c r="G59790" s="8"/>
      <c r="H59790" s="8"/>
      <c r="I59790" s="102"/>
      <c r="J59790" s="8"/>
      <c r="K59790" s="8"/>
      <c r="L59790" s="8"/>
      <c r="M59790" s="8"/>
      <c r="N59790" s="8"/>
      <c r="O59790" s="8"/>
      <c r="P59790" s="8"/>
      <c r="Q59790" s="8"/>
      <c r="R59790" s="103"/>
      <c r="S59790" s="8"/>
      <c r="T59790" s="8"/>
      <c r="U59790" s="8"/>
      <c r="V59790" s="8"/>
      <c r="W59790" s="8"/>
      <c r="X59790" s="8"/>
      <c r="Y59790" s="8"/>
      <c r="Z59790" s="8"/>
      <c r="AA59790" s="8"/>
    </row>
    <row r="59791" spans="1:27" x14ac:dyDescent="0.25">
      <c r="A59791" s="8"/>
      <c r="B59791" s="8"/>
      <c r="C59791" s="99"/>
      <c r="D59791" s="8"/>
      <c r="E59791" s="8"/>
      <c r="F59791" s="8"/>
      <c r="G59791" s="8"/>
      <c r="H59791" s="8"/>
      <c r="I59791" s="102"/>
      <c r="J59791" s="8"/>
      <c r="K59791" s="8"/>
      <c r="L59791" s="8"/>
      <c r="M59791" s="8"/>
      <c r="N59791" s="8"/>
      <c r="O59791" s="8"/>
      <c r="P59791" s="8"/>
      <c r="Q59791" s="8"/>
      <c r="R59791" s="103"/>
      <c r="S59791" s="8"/>
      <c r="T59791" s="8"/>
      <c r="U59791" s="8"/>
      <c r="V59791" s="8"/>
      <c r="W59791" s="8"/>
      <c r="X59791" s="8"/>
      <c r="Y59791" s="8"/>
      <c r="Z59791" s="8"/>
      <c r="AA59791" s="8"/>
    </row>
    <row r="59792" spans="1:27" x14ac:dyDescent="0.25">
      <c r="A59792" s="8"/>
      <c r="B59792" s="8"/>
      <c r="C59792" s="99"/>
      <c r="D59792" s="8"/>
      <c r="E59792" s="8"/>
      <c r="F59792" s="8"/>
      <c r="G59792" s="8"/>
      <c r="H59792" s="8"/>
      <c r="I59792" s="102"/>
      <c r="J59792" s="8"/>
      <c r="K59792" s="8"/>
      <c r="L59792" s="8"/>
      <c r="M59792" s="8"/>
      <c r="N59792" s="8"/>
      <c r="O59792" s="8"/>
      <c r="P59792" s="8"/>
      <c r="Q59792" s="8"/>
      <c r="R59792" s="103"/>
      <c r="S59792" s="8"/>
      <c r="T59792" s="8"/>
      <c r="U59792" s="8"/>
      <c r="V59792" s="8"/>
      <c r="W59792" s="8"/>
      <c r="X59792" s="8"/>
      <c r="Y59792" s="8"/>
      <c r="Z59792" s="8"/>
      <c r="AA59792" s="8"/>
    </row>
    <row r="59793" spans="1:27" x14ac:dyDescent="0.25">
      <c r="A59793" s="8"/>
      <c r="B59793" s="8"/>
      <c r="C59793" s="99"/>
      <c r="D59793" s="8"/>
      <c r="E59793" s="8"/>
      <c r="F59793" s="8"/>
      <c r="G59793" s="8"/>
      <c r="H59793" s="8"/>
      <c r="I59793" s="102"/>
      <c r="J59793" s="8"/>
      <c r="K59793" s="8"/>
      <c r="L59793" s="8"/>
      <c r="M59793" s="8"/>
      <c r="N59793" s="8"/>
      <c r="O59793" s="8"/>
      <c r="P59793" s="8"/>
      <c r="Q59793" s="8"/>
      <c r="R59793" s="103"/>
      <c r="S59793" s="8"/>
      <c r="T59793" s="8"/>
      <c r="U59793" s="8"/>
      <c r="V59793" s="8"/>
      <c r="W59793" s="8"/>
      <c r="X59793" s="8"/>
      <c r="Y59793" s="8"/>
      <c r="Z59793" s="8"/>
      <c r="AA59793" s="8"/>
    </row>
    <row r="59794" spans="1:27" x14ac:dyDescent="0.25">
      <c r="A59794" s="8"/>
      <c r="B59794" s="8"/>
      <c r="C59794" s="99"/>
      <c r="D59794" s="8"/>
      <c r="E59794" s="8"/>
      <c r="F59794" s="8"/>
      <c r="G59794" s="8"/>
      <c r="H59794" s="8"/>
      <c r="I59794" s="102"/>
      <c r="J59794" s="8"/>
      <c r="K59794" s="8"/>
      <c r="L59794" s="8"/>
      <c r="M59794" s="8"/>
      <c r="N59794" s="8"/>
      <c r="O59794" s="8"/>
      <c r="P59794" s="8"/>
      <c r="Q59794" s="8"/>
      <c r="R59794" s="103"/>
      <c r="S59794" s="8"/>
      <c r="T59794" s="8"/>
      <c r="U59794" s="8"/>
      <c r="V59794" s="8"/>
      <c r="W59794" s="8"/>
      <c r="X59794" s="8"/>
      <c r="Y59794" s="8"/>
      <c r="Z59794" s="8"/>
      <c r="AA59794" s="8"/>
    </row>
    <row r="59795" spans="1:27" x14ac:dyDescent="0.25">
      <c r="A59795" s="8"/>
      <c r="B59795" s="8"/>
      <c r="C59795" s="99"/>
      <c r="D59795" s="8"/>
      <c r="E59795" s="8"/>
      <c r="F59795" s="8"/>
      <c r="G59795" s="8"/>
      <c r="H59795" s="8"/>
      <c r="I59795" s="102"/>
      <c r="J59795" s="8"/>
      <c r="K59795" s="8"/>
      <c r="L59795" s="8"/>
      <c r="M59795" s="8"/>
      <c r="N59795" s="8"/>
      <c r="O59795" s="8"/>
      <c r="P59795" s="8"/>
      <c r="Q59795" s="8"/>
      <c r="R59795" s="103"/>
      <c r="S59795" s="8"/>
      <c r="T59795" s="8"/>
      <c r="U59795" s="8"/>
      <c r="V59795" s="8"/>
      <c r="W59795" s="8"/>
      <c r="X59795" s="8"/>
      <c r="Y59795" s="8"/>
      <c r="Z59795" s="8"/>
      <c r="AA59795" s="8"/>
    </row>
    <row r="59796" spans="1:27" x14ac:dyDescent="0.25">
      <c r="A59796" s="8"/>
      <c r="B59796" s="8"/>
      <c r="C59796" s="99"/>
      <c r="D59796" s="8"/>
      <c r="E59796" s="8"/>
      <c r="F59796" s="8"/>
      <c r="G59796" s="8"/>
      <c r="H59796" s="8"/>
      <c r="I59796" s="102"/>
      <c r="J59796" s="8"/>
      <c r="K59796" s="8"/>
      <c r="L59796" s="8"/>
      <c r="M59796" s="8"/>
      <c r="N59796" s="8"/>
      <c r="O59796" s="8"/>
      <c r="P59796" s="8"/>
      <c r="Q59796" s="8"/>
      <c r="R59796" s="103"/>
      <c r="S59796" s="8"/>
      <c r="T59796" s="8"/>
      <c r="U59796" s="8"/>
      <c r="V59796" s="8"/>
      <c r="W59796" s="8"/>
      <c r="X59796" s="8"/>
      <c r="Y59796" s="8"/>
      <c r="Z59796" s="8"/>
      <c r="AA59796" s="8"/>
    </row>
    <row r="59797" spans="1:27" x14ac:dyDescent="0.25">
      <c r="A59797" s="8"/>
      <c r="B59797" s="8"/>
      <c r="C59797" s="99"/>
      <c r="D59797" s="8"/>
      <c r="E59797" s="8"/>
      <c r="F59797" s="8"/>
      <c r="G59797" s="8"/>
      <c r="H59797" s="8"/>
      <c r="I59797" s="102"/>
      <c r="J59797" s="8"/>
      <c r="K59797" s="8"/>
      <c r="L59797" s="8"/>
      <c r="M59797" s="8"/>
      <c r="N59797" s="8"/>
      <c r="O59797" s="8"/>
      <c r="P59797" s="8"/>
      <c r="Q59797" s="8"/>
      <c r="R59797" s="103"/>
      <c r="S59797" s="8"/>
      <c r="T59797" s="8"/>
      <c r="U59797" s="8"/>
      <c r="V59797" s="8"/>
      <c r="W59797" s="8"/>
      <c r="X59797" s="8"/>
      <c r="Y59797" s="8"/>
      <c r="Z59797" s="8"/>
      <c r="AA59797" s="8"/>
    </row>
    <row r="59798" spans="1:27" x14ac:dyDescent="0.25">
      <c r="A59798" s="8"/>
      <c r="B59798" s="8"/>
      <c r="C59798" s="99"/>
      <c r="D59798" s="8"/>
      <c r="E59798" s="8"/>
      <c r="F59798" s="8"/>
      <c r="G59798" s="8"/>
      <c r="H59798" s="8"/>
      <c r="I59798" s="102"/>
      <c r="J59798" s="8"/>
      <c r="K59798" s="8"/>
      <c r="L59798" s="8"/>
      <c r="M59798" s="8"/>
      <c r="N59798" s="8"/>
      <c r="O59798" s="8"/>
      <c r="P59798" s="8"/>
      <c r="Q59798" s="8"/>
      <c r="R59798" s="103"/>
      <c r="S59798" s="8"/>
      <c r="T59798" s="8"/>
      <c r="U59798" s="8"/>
      <c r="V59798" s="8"/>
      <c r="W59798" s="8"/>
      <c r="X59798" s="8"/>
      <c r="Y59798" s="8"/>
      <c r="Z59798" s="8"/>
      <c r="AA59798" s="8"/>
    </row>
    <row r="59799" spans="1:27" x14ac:dyDescent="0.25">
      <c r="A59799" s="8"/>
      <c r="B59799" s="8"/>
      <c r="C59799" s="99"/>
      <c r="D59799" s="8"/>
      <c r="E59799" s="8"/>
      <c r="F59799" s="8"/>
      <c r="G59799" s="8"/>
      <c r="H59799" s="8"/>
      <c r="I59799" s="102"/>
      <c r="J59799" s="8"/>
      <c r="K59799" s="8"/>
      <c r="L59799" s="8"/>
      <c r="M59799" s="8"/>
      <c r="N59799" s="8"/>
      <c r="O59799" s="8"/>
      <c r="P59799" s="8"/>
      <c r="Q59799" s="8"/>
      <c r="R59799" s="103"/>
      <c r="S59799" s="8"/>
      <c r="T59799" s="8"/>
      <c r="U59799" s="8"/>
      <c r="V59799" s="8"/>
      <c r="W59799" s="8"/>
      <c r="X59799" s="8"/>
      <c r="Y59799" s="8"/>
      <c r="Z59799" s="8"/>
      <c r="AA59799" s="8"/>
    </row>
    <row r="59800" spans="1:27" x14ac:dyDescent="0.25">
      <c r="A59800" s="8"/>
      <c r="B59800" s="8"/>
      <c r="C59800" s="99"/>
      <c r="D59800" s="8"/>
      <c r="E59800" s="8"/>
      <c r="F59800" s="8"/>
      <c r="G59800" s="8"/>
      <c r="H59800" s="8"/>
      <c r="I59800" s="102"/>
      <c r="J59800" s="8"/>
      <c r="K59800" s="8"/>
      <c r="L59800" s="8"/>
      <c r="M59800" s="8"/>
      <c r="N59800" s="8"/>
      <c r="O59800" s="8"/>
      <c r="P59800" s="8"/>
      <c r="Q59800" s="8"/>
      <c r="R59800" s="103"/>
      <c r="S59800" s="8"/>
      <c r="T59800" s="8"/>
      <c r="U59800" s="8"/>
      <c r="V59800" s="8"/>
      <c r="W59800" s="8"/>
      <c r="X59800" s="8"/>
      <c r="Y59800" s="8"/>
      <c r="Z59800" s="8"/>
      <c r="AA59800" s="8"/>
    </row>
    <row r="59801" spans="1:27" x14ac:dyDescent="0.25">
      <c r="A59801" s="8"/>
      <c r="B59801" s="8"/>
      <c r="C59801" s="99"/>
      <c r="D59801" s="8"/>
      <c r="E59801" s="8"/>
      <c r="F59801" s="8"/>
      <c r="G59801" s="8"/>
      <c r="H59801" s="8"/>
      <c r="I59801" s="102"/>
      <c r="J59801" s="8"/>
      <c r="K59801" s="8"/>
      <c r="L59801" s="8"/>
      <c r="M59801" s="8"/>
      <c r="N59801" s="8"/>
      <c r="O59801" s="8"/>
      <c r="P59801" s="8"/>
      <c r="Q59801" s="8"/>
      <c r="R59801" s="103"/>
      <c r="S59801" s="8"/>
      <c r="T59801" s="8"/>
      <c r="U59801" s="8"/>
      <c r="V59801" s="8"/>
      <c r="W59801" s="8"/>
      <c r="X59801" s="8"/>
      <c r="Y59801" s="8"/>
      <c r="Z59801" s="8"/>
      <c r="AA59801" s="8"/>
    </row>
    <row r="59802" spans="1:27" x14ac:dyDescent="0.25">
      <c r="A59802" s="8"/>
      <c r="B59802" s="8"/>
      <c r="C59802" s="99"/>
      <c r="D59802" s="8"/>
      <c r="E59802" s="8"/>
      <c r="F59802" s="8"/>
      <c r="G59802" s="8"/>
      <c r="H59802" s="8"/>
      <c r="I59802" s="102"/>
      <c r="J59802" s="8"/>
      <c r="K59802" s="8"/>
      <c r="L59802" s="8"/>
      <c r="M59802" s="8"/>
      <c r="N59802" s="8"/>
      <c r="O59802" s="8"/>
      <c r="P59802" s="8"/>
      <c r="Q59802" s="8"/>
      <c r="R59802" s="103"/>
      <c r="S59802" s="8"/>
      <c r="T59802" s="8"/>
      <c r="U59802" s="8"/>
      <c r="V59802" s="8"/>
      <c r="W59802" s="8"/>
      <c r="X59802" s="8"/>
      <c r="Y59802" s="8"/>
      <c r="Z59802" s="8"/>
      <c r="AA59802" s="8"/>
    </row>
    <row r="59803" spans="1:27" x14ac:dyDescent="0.25">
      <c r="A59803" s="8"/>
      <c r="B59803" s="8"/>
      <c r="C59803" s="99"/>
      <c r="D59803" s="8"/>
      <c r="E59803" s="8"/>
      <c r="F59803" s="8"/>
      <c r="G59803" s="8"/>
      <c r="H59803" s="8"/>
      <c r="I59803" s="102"/>
      <c r="J59803" s="8"/>
      <c r="K59803" s="8"/>
      <c r="L59803" s="8"/>
      <c r="M59803" s="8"/>
      <c r="N59803" s="8"/>
      <c r="O59803" s="8"/>
      <c r="P59803" s="8"/>
      <c r="Q59803" s="8"/>
      <c r="R59803" s="103"/>
      <c r="S59803" s="8"/>
      <c r="T59803" s="8"/>
      <c r="U59803" s="8"/>
      <c r="V59803" s="8"/>
      <c r="W59803" s="8"/>
      <c r="X59803" s="8"/>
      <c r="Y59803" s="8"/>
      <c r="Z59803" s="8"/>
      <c r="AA59803" s="8"/>
    </row>
    <row r="59804" spans="1:27" x14ac:dyDescent="0.25">
      <c r="A59804" s="8"/>
      <c r="B59804" s="8"/>
      <c r="C59804" s="99"/>
      <c r="D59804" s="8"/>
      <c r="E59804" s="8"/>
      <c r="F59804" s="8"/>
      <c r="G59804" s="8"/>
      <c r="H59804" s="8"/>
      <c r="I59804" s="102"/>
      <c r="J59804" s="8"/>
      <c r="K59804" s="8"/>
      <c r="L59804" s="8"/>
      <c r="M59804" s="8"/>
      <c r="N59804" s="8"/>
      <c r="O59804" s="8"/>
      <c r="P59804" s="8"/>
      <c r="Q59804" s="8"/>
      <c r="R59804" s="103"/>
      <c r="S59804" s="8"/>
      <c r="T59804" s="8"/>
      <c r="U59804" s="8"/>
      <c r="V59804" s="8"/>
      <c r="W59804" s="8"/>
      <c r="X59804" s="8"/>
      <c r="Y59804" s="8"/>
      <c r="Z59804" s="8"/>
      <c r="AA59804" s="8"/>
    </row>
    <row r="59805" spans="1:27" x14ac:dyDescent="0.25">
      <c r="A59805" s="8"/>
      <c r="B59805" s="8"/>
      <c r="C59805" s="99"/>
      <c r="D59805" s="8"/>
      <c r="E59805" s="8"/>
      <c r="F59805" s="8"/>
      <c r="G59805" s="8"/>
      <c r="H59805" s="8"/>
      <c r="I59805" s="102"/>
      <c r="J59805" s="8"/>
      <c r="K59805" s="8"/>
      <c r="L59805" s="8"/>
      <c r="M59805" s="8"/>
      <c r="N59805" s="8"/>
      <c r="O59805" s="8"/>
      <c r="P59805" s="8"/>
      <c r="Q59805" s="8"/>
      <c r="R59805" s="103"/>
      <c r="S59805" s="8"/>
      <c r="T59805" s="8"/>
      <c r="U59805" s="8"/>
      <c r="V59805" s="8"/>
      <c r="W59805" s="8"/>
      <c r="X59805" s="8"/>
      <c r="Y59805" s="8"/>
      <c r="Z59805" s="8"/>
      <c r="AA59805" s="8"/>
    </row>
    <row r="59806" spans="1:27" x14ac:dyDescent="0.25">
      <c r="A59806" s="8"/>
      <c r="B59806" s="8"/>
      <c r="C59806" s="99"/>
      <c r="D59806" s="8"/>
      <c r="E59806" s="8"/>
      <c r="F59806" s="8"/>
      <c r="G59806" s="8"/>
      <c r="H59806" s="8"/>
      <c r="I59806" s="102"/>
      <c r="J59806" s="8"/>
      <c r="K59806" s="8"/>
      <c r="L59806" s="8"/>
      <c r="M59806" s="8"/>
      <c r="N59806" s="8"/>
      <c r="O59806" s="8"/>
      <c r="P59806" s="8"/>
      <c r="Q59806" s="8"/>
      <c r="R59806" s="103"/>
      <c r="S59806" s="8"/>
      <c r="T59806" s="8"/>
      <c r="U59806" s="8"/>
      <c r="V59806" s="8"/>
      <c r="W59806" s="8"/>
      <c r="X59806" s="8"/>
      <c r="Y59806" s="8"/>
      <c r="Z59806" s="8"/>
      <c r="AA59806" s="8"/>
    </row>
    <row r="59807" spans="1:27" x14ac:dyDescent="0.25">
      <c r="A59807" s="8"/>
      <c r="B59807" s="8"/>
      <c r="C59807" s="99"/>
      <c r="D59807" s="8"/>
      <c r="E59807" s="8"/>
      <c r="F59807" s="8"/>
      <c r="G59807" s="8"/>
      <c r="H59807" s="8"/>
      <c r="I59807" s="102"/>
      <c r="J59807" s="8"/>
      <c r="K59807" s="8"/>
      <c r="L59807" s="8"/>
      <c r="M59807" s="8"/>
      <c r="N59807" s="8"/>
      <c r="O59807" s="8"/>
      <c r="P59807" s="8"/>
      <c r="Q59807" s="8"/>
      <c r="R59807" s="103"/>
      <c r="S59807" s="8"/>
      <c r="T59807" s="8"/>
      <c r="U59807" s="8"/>
      <c r="V59807" s="8"/>
      <c r="W59807" s="8"/>
      <c r="X59807" s="8"/>
      <c r="Y59807" s="8"/>
      <c r="Z59807" s="8"/>
      <c r="AA59807" s="8"/>
    </row>
    <row r="59808" spans="1:27" x14ac:dyDescent="0.25">
      <c r="A59808" s="8"/>
      <c r="B59808" s="8"/>
      <c r="C59808" s="99"/>
      <c r="D59808" s="8"/>
      <c r="E59808" s="8"/>
      <c r="F59808" s="8"/>
      <c r="G59808" s="8"/>
      <c r="H59808" s="8"/>
      <c r="I59808" s="102"/>
      <c r="J59808" s="8"/>
      <c r="K59808" s="8"/>
      <c r="L59808" s="8"/>
      <c r="M59808" s="8"/>
      <c r="N59808" s="8"/>
      <c r="O59808" s="8"/>
      <c r="P59808" s="8"/>
      <c r="Q59808" s="8"/>
      <c r="R59808" s="103"/>
      <c r="S59808" s="8"/>
      <c r="T59808" s="8"/>
      <c r="U59808" s="8"/>
      <c r="V59808" s="8"/>
      <c r="W59808" s="8"/>
      <c r="X59808" s="8"/>
      <c r="Y59808" s="8"/>
      <c r="Z59808" s="8"/>
      <c r="AA59808" s="8"/>
    </row>
    <row r="59809" spans="1:27" x14ac:dyDescent="0.25">
      <c r="A59809" s="8"/>
      <c r="B59809" s="8"/>
      <c r="C59809" s="99"/>
      <c r="D59809" s="8"/>
      <c r="E59809" s="8"/>
      <c r="F59809" s="8"/>
      <c r="G59809" s="8"/>
      <c r="H59809" s="8"/>
      <c r="I59809" s="102"/>
      <c r="J59809" s="8"/>
      <c r="K59809" s="8"/>
      <c r="L59809" s="8"/>
      <c r="M59809" s="8"/>
      <c r="N59809" s="8"/>
      <c r="O59809" s="8"/>
      <c r="P59809" s="8"/>
      <c r="Q59809" s="8"/>
      <c r="R59809" s="103"/>
      <c r="S59809" s="8"/>
      <c r="T59809" s="8"/>
      <c r="U59809" s="8"/>
      <c r="V59809" s="8"/>
      <c r="W59809" s="8"/>
      <c r="X59809" s="8"/>
      <c r="Y59809" s="8"/>
      <c r="Z59809" s="8"/>
      <c r="AA59809" s="8"/>
    </row>
    <row r="59810" spans="1:27" x14ac:dyDescent="0.25">
      <c r="A59810" s="8"/>
      <c r="B59810" s="8"/>
      <c r="C59810" s="99"/>
      <c r="D59810" s="8"/>
      <c r="E59810" s="8"/>
      <c r="F59810" s="8"/>
      <c r="G59810" s="8"/>
      <c r="H59810" s="8"/>
      <c r="I59810" s="102"/>
      <c r="J59810" s="8"/>
      <c r="K59810" s="8"/>
      <c r="L59810" s="8"/>
      <c r="M59810" s="8"/>
      <c r="N59810" s="8"/>
      <c r="O59810" s="8"/>
      <c r="P59810" s="8"/>
      <c r="Q59810" s="8"/>
      <c r="R59810" s="103"/>
      <c r="S59810" s="8"/>
      <c r="T59810" s="8"/>
      <c r="U59810" s="8"/>
      <c r="V59810" s="8"/>
      <c r="W59810" s="8"/>
      <c r="X59810" s="8"/>
      <c r="Y59810" s="8"/>
      <c r="Z59810" s="8"/>
      <c r="AA59810" s="8"/>
    </row>
    <row r="59811" spans="1:27" x14ac:dyDescent="0.25">
      <c r="A59811" s="8"/>
      <c r="B59811" s="8"/>
      <c r="C59811" s="99"/>
      <c r="D59811" s="8"/>
      <c r="E59811" s="8"/>
      <c r="F59811" s="8"/>
      <c r="G59811" s="8"/>
      <c r="H59811" s="8"/>
      <c r="I59811" s="102"/>
      <c r="J59811" s="8"/>
      <c r="K59811" s="8"/>
      <c r="L59811" s="8"/>
      <c r="M59811" s="8"/>
      <c r="N59811" s="8"/>
      <c r="O59811" s="8"/>
      <c r="P59811" s="8"/>
      <c r="Q59811" s="8"/>
      <c r="R59811" s="103"/>
      <c r="S59811" s="8"/>
      <c r="T59811" s="8"/>
      <c r="U59811" s="8"/>
      <c r="V59811" s="8"/>
      <c r="W59811" s="8"/>
      <c r="X59811" s="8"/>
      <c r="Y59811" s="8"/>
      <c r="Z59811" s="8"/>
      <c r="AA59811" s="8"/>
    </row>
    <row r="59812" spans="1:27" x14ac:dyDescent="0.25">
      <c r="A59812" s="8"/>
      <c r="B59812" s="8"/>
      <c r="C59812" s="99"/>
      <c r="D59812" s="8"/>
      <c r="E59812" s="8"/>
      <c r="F59812" s="8"/>
      <c r="G59812" s="8"/>
      <c r="H59812" s="8"/>
      <c r="I59812" s="102"/>
      <c r="J59812" s="8"/>
      <c r="K59812" s="8"/>
      <c r="L59812" s="8"/>
      <c r="M59812" s="8"/>
      <c r="N59812" s="8"/>
      <c r="O59812" s="8"/>
      <c r="P59812" s="8"/>
      <c r="Q59812" s="8"/>
      <c r="R59812" s="103"/>
      <c r="S59812" s="8"/>
      <c r="T59812" s="8"/>
      <c r="U59812" s="8"/>
      <c r="V59812" s="8"/>
      <c r="W59812" s="8"/>
      <c r="X59812" s="8"/>
      <c r="Y59812" s="8"/>
      <c r="Z59812" s="8"/>
      <c r="AA59812" s="8"/>
    </row>
    <row r="59813" spans="1:27" x14ac:dyDescent="0.25">
      <c r="A59813" s="8"/>
      <c r="B59813" s="8"/>
      <c r="C59813" s="99"/>
      <c r="D59813" s="8"/>
      <c r="E59813" s="8"/>
      <c r="F59813" s="8"/>
      <c r="G59813" s="8"/>
      <c r="H59813" s="8"/>
      <c r="I59813" s="102"/>
      <c r="J59813" s="8"/>
      <c r="K59813" s="8"/>
      <c r="L59813" s="8"/>
      <c r="M59813" s="8"/>
      <c r="N59813" s="8"/>
      <c r="O59813" s="8"/>
      <c r="P59813" s="8"/>
      <c r="Q59813" s="8"/>
      <c r="R59813" s="103"/>
      <c r="S59813" s="8"/>
      <c r="T59813" s="8"/>
      <c r="U59813" s="8"/>
      <c r="V59813" s="8"/>
      <c r="W59813" s="8"/>
      <c r="X59813" s="8"/>
      <c r="Y59813" s="8"/>
      <c r="Z59813" s="8"/>
      <c r="AA59813" s="8"/>
    </row>
    <row r="59814" spans="1:27" x14ac:dyDescent="0.25">
      <c r="A59814" s="8"/>
      <c r="B59814" s="8"/>
      <c r="C59814" s="99"/>
      <c r="D59814" s="8"/>
      <c r="E59814" s="8"/>
      <c r="F59814" s="8"/>
      <c r="G59814" s="8"/>
      <c r="H59814" s="8"/>
      <c r="I59814" s="102"/>
      <c r="J59814" s="8"/>
      <c r="K59814" s="8"/>
      <c r="L59814" s="8"/>
      <c r="M59814" s="8"/>
      <c r="N59814" s="8"/>
      <c r="O59814" s="8"/>
      <c r="P59814" s="8"/>
      <c r="Q59814" s="8"/>
      <c r="R59814" s="103"/>
      <c r="S59814" s="8"/>
      <c r="T59814" s="8"/>
      <c r="U59814" s="8"/>
      <c r="V59814" s="8"/>
      <c r="W59814" s="8"/>
      <c r="X59814" s="8"/>
      <c r="Y59814" s="8"/>
      <c r="Z59814" s="8"/>
      <c r="AA59814" s="8"/>
    </row>
    <row r="59815" spans="1:27" x14ac:dyDescent="0.25">
      <c r="A59815" s="8"/>
      <c r="B59815" s="8"/>
      <c r="C59815" s="99"/>
      <c r="D59815" s="8"/>
      <c r="E59815" s="8"/>
      <c r="F59815" s="8"/>
      <c r="G59815" s="8"/>
      <c r="H59815" s="8"/>
      <c r="I59815" s="102"/>
      <c r="J59815" s="8"/>
      <c r="K59815" s="8"/>
      <c r="L59815" s="8"/>
      <c r="M59815" s="8"/>
      <c r="N59815" s="8"/>
      <c r="O59815" s="8"/>
      <c r="P59815" s="8"/>
      <c r="Q59815" s="8"/>
      <c r="R59815" s="103"/>
      <c r="S59815" s="8"/>
      <c r="T59815" s="8"/>
      <c r="U59815" s="8"/>
      <c r="V59815" s="8"/>
      <c r="W59815" s="8"/>
      <c r="X59815" s="8"/>
      <c r="Y59815" s="8"/>
      <c r="Z59815" s="8"/>
      <c r="AA59815" s="8"/>
    </row>
    <row r="59816" spans="1:27" x14ac:dyDescent="0.25">
      <c r="A59816" s="8"/>
      <c r="B59816" s="8"/>
      <c r="C59816" s="99"/>
      <c r="D59816" s="8"/>
      <c r="E59816" s="8"/>
      <c r="F59816" s="8"/>
      <c r="G59816" s="8"/>
      <c r="H59816" s="8"/>
      <c r="I59816" s="102"/>
      <c r="J59816" s="8"/>
      <c r="K59816" s="8"/>
      <c r="L59816" s="8"/>
      <c r="M59816" s="8"/>
      <c r="N59816" s="8"/>
      <c r="O59816" s="8"/>
      <c r="P59816" s="8"/>
      <c r="Q59816" s="8"/>
      <c r="R59816" s="103"/>
      <c r="S59816" s="8"/>
      <c r="T59816" s="8"/>
      <c r="U59816" s="8"/>
      <c r="V59816" s="8"/>
      <c r="W59816" s="8"/>
      <c r="X59816" s="8"/>
      <c r="Y59816" s="8"/>
      <c r="Z59816" s="8"/>
      <c r="AA59816" s="8"/>
    </row>
    <row r="59817" spans="1:27" x14ac:dyDescent="0.25">
      <c r="A59817" s="8"/>
      <c r="B59817" s="8"/>
      <c r="C59817" s="99"/>
      <c r="D59817" s="8"/>
      <c r="E59817" s="8"/>
      <c r="F59817" s="8"/>
      <c r="G59817" s="8"/>
      <c r="H59817" s="8"/>
      <c r="I59817" s="102"/>
      <c r="J59817" s="8"/>
      <c r="K59817" s="8"/>
      <c r="L59817" s="8"/>
      <c r="M59817" s="8"/>
      <c r="N59817" s="8"/>
      <c r="O59817" s="8"/>
      <c r="P59817" s="8"/>
      <c r="Q59817" s="8"/>
      <c r="R59817" s="103"/>
      <c r="S59817" s="8"/>
      <c r="T59817" s="8"/>
      <c r="U59817" s="8"/>
      <c r="V59817" s="8"/>
      <c r="W59817" s="8"/>
      <c r="X59817" s="8"/>
      <c r="Y59817" s="8"/>
      <c r="Z59817" s="8"/>
      <c r="AA59817" s="8"/>
    </row>
    <row r="59818" spans="1:27" x14ac:dyDescent="0.25">
      <c r="A59818" s="8"/>
      <c r="B59818" s="8"/>
      <c r="C59818" s="99"/>
      <c r="D59818" s="8"/>
      <c r="E59818" s="8"/>
      <c r="F59818" s="8"/>
      <c r="G59818" s="8"/>
      <c r="H59818" s="8"/>
      <c r="I59818" s="102"/>
      <c r="J59818" s="8"/>
      <c r="K59818" s="8"/>
      <c r="L59818" s="8"/>
      <c r="M59818" s="8"/>
      <c r="N59818" s="8"/>
      <c r="O59818" s="8"/>
      <c r="P59818" s="8"/>
      <c r="Q59818" s="8"/>
      <c r="R59818" s="103"/>
      <c r="S59818" s="8"/>
      <c r="T59818" s="8"/>
      <c r="U59818" s="8"/>
      <c r="V59818" s="8"/>
      <c r="W59818" s="8"/>
      <c r="X59818" s="8"/>
      <c r="Y59818" s="8"/>
      <c r="Z59818" s="8"/>
      <c r="AA59818" s="8"/>
    </row>
    <row r="59819" spans="1:27" x14ac:dyDescent="0.25">
      <c r="A59819" s="8"/>
      <c r="B59819" s="8"/>
      <c r="C59819" s="99"/>
      <c r="D59819" s="8"/>
      <c r="E59819" s="8"/>
      <c r="F59819" s="8"/>
      <c r="G59819" s="8"/>
      <c r="H59819" s="8"/>
      <c r="I59819" s="102"/>
      <c r="J59819" s="8"/>
      <c r="K59819" s="8"/>
      <c r="L59819" s="8"/>
      <c r="M59819" s="8"/>
      <c r="N59819" s="8"/>
      <c r="O59819" s="8"/>
      <c r="P59819" s="8"/>
      <c r="Q59819" s="8"/>
      <c r="R59819" s="103"/>
      <c r="S59819" s="8"/>
      <c r="T59819" s="8"/>
      <c r="U59819" s="8"/>
      <c r="V59819" s="8"/>
      <c r="W59819" s="8"/>
      <c r="X59819" s="8"/>
      <c r="Y59819" s="8"/>
      <c r="Z59819" s="8"/>
      <c r="AA59819" s="8"/>
    </row>
    <row r="59820" spans="1:27" x14ac:dyDescent="0.25">
      <c r="A59820" s="8"/>
      <c r="B59820" s="8"/>
      <c r="C59820" s="99"/>
      <c r="D59820" s="8"/>
      <c r="E59820" s="8"/>
      <c r="F59820" s="8"/>
      <c r="G59820" s="8"/>
      <c r="H59820" s="8"/>
      <c r="I59820" s="102"/>
      <c r="J59820" s="8"/>
      <c r="K59820" s="8"/>
      <c r="L59820" s="8"/>
      <c r="M59820" s="8"/>
      <c r="N59820" s="8"/>
      <c r="O59820" s="8"/>
      <c r="P59820" s="8"/>
      <c r="Q59820" s="8"/>
      <c r="R59820" s="103"/>
      <c r="S59820" s="8"/>
      <c r="T59820" s="8"/>
      <c r="U59820" s="8"/>
      <c r="V59820" s="8"/>
      <c r="W59820" s="8"/>
      <c r="X59820" s="8"/>
      <c r="Y59820" s="8"/>
      <c r="Z59820" s="8"/>
      <c r="AA59820" s="8"/>
    </row>
    <row r="59821" spans="1:27" x14ac:dyDescent="0.25">
      <c r="A59821" s="8"/>
      <c r="B59821" s="8"/>
      <c r="C59821" s="99"/>
      <c r="D59821" s="8"/>
      <c r="E59821" s="8"/>
      <c r="F59821" s="8"/>
      <c r="G59821" s="8"/>
      <c r="H59821" s="8"/>
      <c r="I59821" s="102"/>
      <c r="J59821" s="8"/>
      <c r="K59821" s="8"/>
      <c r="L59821" s="8"/>
      <c r="M59821" s="8"/>
      <c r="N59821" s="8"/>
      <c r="O59821" s="8"/>
      <c r="P59821" s="8"/>
      <c r="Q59821" s="8"/>
      <c r="R59821" s="103"/>
      <c r="S59821" s="8"/>
      <c r="T59821" s="8"/>
      <c r="U59821" s="8"/>
      <c r="V59821" s="8"/>
      <c r="W59821" s="8"/>
      <c r="X59821" s="8"/>
      <c r="Y59821" s="8"/>
      <c r="Z59821" s="8"/>
      <c r="AA59821" s="8"/>
    </row>
    <row r="59822" spans="1:27" x14ac:dyDescent="0.25">
      <c r="A59822" s="8"/>
      <c r="B59822" s="8"/>
      <c r="C59822" s="99"/>
      <c r="D59822" s="8"/>
      <c r="E59822" s="8"/>
      <c r="F59822" s="8"/>
      <c r="G59822" s="8"/>
      <c r="H59822" s="8"/>
      <c r="I59822" s="102"/>
      <c r="J59822" s="8"/>
      <c r="K59822" s="8"/>
      <c r="L59822" s="8"/>
      <c r="M59822" s="8"/>
      <c r="N59822" s="8"/>
      <c r="O59822" s="8"/>
      <c r="P59822" s="8"/>
      <c r="Q59822" s="8"/>
      <c r="R59822" s="103"/>
      <c r="S59822" s="8"/>
      <c r="T59822" s="8"/>
      <c r="U59822" s="8"/>
      <c r="V59822" s="8"/>
      <c r="W59822" s="8"/>
      <c r="X59822" s="8"/>
      <c r="Y59822" s="8"/>
      <c r="Z59822" s="8"/>
      <c r="AA59822" s="8"/>
    </row>
    <row r="59823" spans="1:27" x14ac:dyDescent="0.25">
      <c r="A59823" s="8"/>
      <c r="B59823" s="8"/>
      <c r="C59823" s="99"/>
      <c r="D59823" s="8"/>
      <c r="E59823" s="8"/>
      <c r="F59823" s="8"/>
      <c r="G59823" s="8"/>
      <c r="H59823" s="8"/>
      <c r="I59823" s="102"/>
      <c r="J59823" s="8"/>
      <c r="K59823" s="8"/>
      <c r="L59823" s="8"/>
      <c r="M59823" s="8"/>
      <c r="N59823" s="8"/>
      <c r="O59823" s="8"/>
      <c r="P59823" s="8"/>
      <c r="Q59823" s="8"/>
      <c r="R59823" s="103"/>
      <c r="S59823" s="8"/>
      <c r="T59823" s="8"/>
      <c r="U59823" s="8"/>
      <c r="V59823" s="8"/>
      <c r="W59823" s="8"/>
      <c r="X59823" s="8"/>
      <c r="Y59823" s="8"/>
      <c r="Z59823" s="8"/>
      <c r="AA59823" s="8"/>
    </row>
    <row r="59824" spans="1:27" x14ac:dyDescent="0.25">
      <c r="A59824" s="8"/>
      <c r="B59824" s="8"/>
      <c r="C59824" s="99"/>
      <c r="D59824" s="8"/>
      <c r="E59824" s="8"/>
      <c r="F59824" s="8"/>
      <c r="G59824" s="8"/>
      <c r="H59824" s="8"/>
      <c r="I59824" s="102"/>
      <c r="J59824" s="8"/>
      <c r="K59824" s="8"/>
      <c r="L59824" s="8"/>
      <c r="M59824" s="8"/>
      <c r="N59824" s="8"/>
      <c r="O59824" s="8"/>
      <c r="P59824" s="8"/>
      <c r="Q59824" s="8"/>
      <c r="R59824" s="103"/>
      <c r="S59824" s="8"/>
      <c r="T59824" s="8"/>
      <c r="U59824" s="8"/>
      <c r="V59824" s="8"/>
      <c r="W59824" s="8"/>
      <c r="X59824" s="8"/>
      <c r="Y59824" s="8"/>
      <c r="Z59824" s="8"/>
      <c r="AA59824" s="8"/>
    </row>
    <row r="59825" spans="1:27" x14ac:dyDescent="0.25">
      <c r="A59825" s="8"/>
      <c r="B59825" s="8"/>
      <c r="C59825" s="99"/>
      <c r="D59825" s="8"/>
      <c r="E59825" s="8"/>
      <c r="F59825" s="8"/>
      <c r="G59825" s="8"/>
      <c r="H59825" s="8"/>
      <c r="I59825" s="102"/>
      <c r="J59825" s="8"/>
      <c r="K59825" s="8"/>
      <c r="L59825" s="8"/>
      <c r="M59825" s="8"/>
      <c r="N59825" s="8"/>
      <c r="O59825" s="8"/>
      <c r="P59825" s="8"/>
      <c r="Q59825" s="8"/>
      <c r="R59825" s="103"/>
      <c r="S59825" s="8"/>
      <c r="T59825" s="8"/>
      <c r="U59825" s="8"/>
      <c r="V59825" s="8"/>
      <c r="W59825" s="8"/>
      <c r="X59825" s="8"/>
      <c r="Y59825" s="8"/>
      <c r="Z59825" s="8"/>
      <c r="AA59825" s="8"/>
    </row>
    <row r="59826" spans="1:27" x14ac:dyDescent="0.25">
      <c r="A59826" s="8"/>
      <c r="B59826" s="8"/>
      <c r="C59826" s="99"/>
      <c r="D59826" s="8"/>
      <c r="E59826" s="8"/>
      <c r="F59826" s="8"/>
      <c r="G59826" s="8"/>
      <c r="H59826" s="8"/>
      <c r="I59826" s="102"/>
      <c r="J59826" s="8"/>
      <c r="K59826" s="8"/>
      <c r="L59826" s="8"/>
      <c r="M59826" s="8"/>
      <c r="N59826" s="8"/>
      <c r="O59826" s="8"/>
      <c r="P59826" s="8"/>
      <c r="Q59826" s="8"/>
      <c r="R59826" s="103"/>
      <c r="S59826" s="8"/>
      <c r="T59826" s="8"/>
      <c r="U59826" s="8"/>
      <c r="V59826" s="8"/>
      <c r="W59826" s="8"/>
      <c r="X59826" s="8"/>
      <c r="Y59826" s="8"/>
      <c r="Z59826" s="8"/>
      <c r="AA59826" s="8"/>
    </row>
    <row r="59827" spans="1:27" x14ac:dyDescent="0.25">
      <c r="A59827" s="8"/>
      <c r="B59827" s="8"/>
      <c r="C59827" s="99"/>
      <c r="D59827" s="8"/>
      <c r="E59827" s="8"/>
      <c r="F59827" s="8"/>
      <c r="G59827" s="8"/>
      <c r="H59827" s="8"/>
      <c r="I59827" s="102"/>
      <c r="J59827" s="8"/>
      <c r="K59827" s="8"/>
      <c r="L59827" s="8"/>
      <c r="M59827" s="8"/>
      <c r="N59827" s="8"/>
      <c r="O59827" s="8"/>
      <c r="P59827" s="8"/>
      <c r="Q59827" s="8"/>
      <c r="R59827" s="103"/>
      <c r="S59827" s="8"/>
      <c r="T59827" s="8"/>
      <c r="U59827" s="8"/>
      <c r="V59827" s="8"/>
      <c r="W59827" s="8"/>
      <c r="X59827" s="8"/>
      <c r="Y59827" s="8"/>
      <c r="Z59827" s="8"/>
      <c r="AA59827" s="8"/>
    </row>
    <row r="59828" spans="1:27" x14ac:dyDescent="0.25">
      <c r="A59828" s="8"/>
      <c r="B59828" s="8"/>
      <c r="C59828" s="99"/>
      <c r="D59828" s="8"/>
      <c r="E59828" s="8"/>
      <c r="F59828" s="8"/>
      <c r="G59828" s="8"/>
      <c r="H59828" s="8"/>
      <c r="I59828" s="102"/>
      <c r="J59828" s="8"/>
      <c r="K59828" s="8"/>
      <c r="L59828" s="8"/>
      <c r="M59828" s="8"/>
      <c r="N59828" s="8"/>
      <c r="O59828" s="8"/>
      <c r="P59828" s="8"/>
      <c r="Q59828" s="8"/>
      <c r="R59828" s="103"/>
      <c r="S59828" s="8"/>
      <c r="T59828" s="8"/>
      <c r="U59828" s="8"/>
      <c r="V59828" s="8"/>
      <c r="W59828" s="8"/>
      <c r="X59828" s="8"/>
      <c r="Y59828" s="8"/>
      <c r="Z59828" s="8"/>
      <c r="AA59828" s="8"/>
    </row>
    <row r="59829" spans="1:27" x14ac:dyDescent="0.25">
      <c r="A59829" s="8"/>
      <c r="B59829" s="8"/>
      <c r="C59829" s="99"/>
      <c r="D59829" s="8"/>
      <c r="E59829" s="8"/>
      <c r="F59829" s="8"/>
      <c r="G59829" s="8"/>
      <c r="H59829" s="8"/>
      <c r="I59829" s="102"/>
      <c r="J59829" s="8"/>
      <c r="K59829" s="8"/>
      <c r="L59829" s="8"/>
      <c r="M59829" s="8"/>
      <c r="N59829" s="8"/>
      <c r="O59829" s="8"/>
      <c r="P59829" s="8"/>
      <c r="Q59829" s="8"/>
      <c r="R59829" s="103"/>
      <c r="S59829" s="8"/>
      <c r="T59829" s="8"/>
      <c r="U59829" s="8"/>
      <c r="V59829" s="8"/>
      <c r="W59829" s="8"/>
      <c r="X59829" s="8"/>
      <c r="Y59829" s="8"/>
      <c r="Z59829" s="8"/>
      <c r="AA59829" s="8"/>
    </row>
    <row r="59830" spans="1:27" x14ac:dyDescent="0.25">
      <c r="A59830" s="8"/>
      <c r="B59830" s="8"/>
      <c r="C59830" s="99"/>
      <c r="D59830" s="8"/>
      <c r="E59830" s="8"/>
      <c r="F59830" s="8"/>
      <c r="G59830" s="8"/>
      <c r="H59830" s="8"/>
      <c r="I59830" s="102"/>
      <c r="J59830" s="8"/>
      <c r="K59830" s="8"/>
      <c r="L59830" s="8"/>
      <c r="M59830" s="8"/>
      <c r="N59830" s="8"/>
      <c r="O59830" s="8"/>
      <c r="P59830" s="8"/>
      <c r="Q59830" s="8"/>
      <c r="R59830" s="103"/>
      <c r="S59830" s="8"/>
      <c r="T59830" s="8"/>
      <c r="U59830" s="8"/>
      <c r="V59830" s="8"/>
      <c r="W59830" s="8"/>
      <c r="X59830" s="8"/>
      <c r="Y59830" s="8"/>
      <c r="Z59830" s="8"/>
      <c r="AA59830" s="8"/>
    </row>
    <row r="59831" spans="1:27" x14ac:dyDescent="0.25">
      <c r="A59831" s="8"/>
      <c r="B59831" s="8"/>
      <c r="C59831" s="99"/>
      <c r="D59831" s="8"/>
      <c r="E59831" s="8"/>
      <c r="F59831" s="8"/>
      <c r="G59831" s="8"/>
      <c r="H59831" s="8"/>
      <c r="I59831" s="102"/>
      <c r="J59831" s="8"/>
      <c r="K59831" s="8"/>
      <c r="L59831" s="8"/>
      <c r="M59831" s="8"/>
      <c r="N59831" s="8"/>
      <c r="O59831" s="8"/>
      <c r="P59831" s="8"/>
      <c r="Q59831" s="8"/>
      <c r="R59831" s="103"/>
      <c r="S59831" s="8"/>
      <c r="T59831" s="8"/>
      <c r="U59831" s="8"/>
      <c r="V59831" s="8"/>
      <c r="W59831" s="8"/>
      <c r="X59831" s="8"/>
      <c r="Y59831" s="8"/>
      <c r="Z59831" s="8"/>
      <c r="AA59831" s="8"/>
    </row>
    <row r="59832" spans="1:27" x14ac:dyDescent="0.25">
      <c r="A59832" s="8"/>
      <c r="B59832" s="8"/>
      <c r="C59832" s="99"/>
      <c r="D59832" s="8"/>
      <c r="E59832" s="8"/>
      <c r="F59832" s="8"/>
      <c r="G59832" s="8"/>
      <c r="H59832" s="8"/>
      <c r="I59832" s="102"/>
      <c r="J59832" s="8"/>
      <c r="K59832" s="8"/>
      <c r="L59832" s="8"/>
      <c r="M59832" s="8"/>
      <c r="N59832" s="8"/>
      <c r="O59832" s="8"/>
      <c r="P59832" s="8"/>
      <c r="Q59832" s="8"/>
      <c r="R59832" s="103"/>
      <c r="S59832" s="8"/>
      <c r="T59832" s="8"/>
      <c r="U59832" s="8"/>
      <c r="V59832" s="8"/>
      <c r="W59832" s="8"/>
      <c r="X59832" s="8"/>
      <c r="Y59832" s="8"/>
      <c r="Z59832" s="8"/>
      <c r="AA59832" s="8"/>
    </row>
    <row r="59833" spans="1:27" x14ac:dyDescent="0.25">
      <c r="A59833" s="8"/>
      <c r="B59833" s="8"/>
      <c r="C59833" s="99"/>
      <c r="D59833" s="8"/>
      <c r="E59833" s="8"/>
      <c r="F59833" s="8"/>
      <c r="G59833" s="8"/>
      <c r="H59833" s="8"/>
      <c r="I59833" s="102"/>
      <c r="J59833" s="8"/>
      <c r="K59833" s="8"/>
      <c r="L59833" s="8"/>
      <c r="M59833" s="8"/>
      <c r="N59833" s="8"/>
      <c r="O59833" s="8"/>
      <c r="P59833" s="8"/>
      <c r="Q59833" s="8"/>
      <c r="R59833" s="103"/>
      <c r="S59833" s="8"/>
      <c r="T59833" s="8"/>
      <c r="U59833" s="8"/>
      <c r="V59833" s="8"/>
      <c r="W59833" s="8"/>
      <c r="X59833" s="8"/>
      <c r="Y59833" s="8"/>
      <c r="Z59833" s="8"/>
      <c r="AA59833" s="8"/>
    </row>
    <row r="59834" spans="1:27" x14ac:dyDescent="0.25">
      <c r="A59834" s="8"/>
      <c r="B59834" s="8"/>
      <c r="C59834" s="99"/>
      <c r="D59834" s="8"/>
      <c r="E59834" s="8"/>
      <c r="F59834" s="8"/>
      <c r="G59834" s="8"/>
      <c r="H59834" s="8"/>
      <c r="I59834" s="102"/>
      <c r="J59834" s="8"/>
      <c r="K59834" s="8"/>
      <c r="L59834" s="8"/>
      <c r="M59834" s="8"/>
      <c r="N59834" s="8"/>
      <c r="O59834" s="8"/>
      <c r="P59834" s="8"/>
      <c r="Q59834" s="8"/>
      <c r="R59834" s="103"/>
      <c r="S59834" s="8"/>
      <c r="T59834" s="8"/>
      <c r="U59834" s="8"/>
      <c r="V59834" s="8"/>
      <c r="W59834" s="8"/>
      <c r="X59834" s="8"/>
      <c r="Y59834" s="8"/>
      <c r="Z59834" s="8"/>
      <c r="AA59834" s="8"/>
    </row>
    <row r="59835" spans="1:27" x14ac:dyDescent="0.25">
      <c r="A59835" s="8"/>
      <c r="B59835" s="8"/>
      <c r="C59835" s="99"/>
      <c r="D59835" s="8"/>
      <c r="E59835" s="8"/>
      <c r="F59835" s="8"/>
      <c r="G59835" s="8"/>
      <c r="H59835" s="8"/>
      <c r="I59835" s="102"/>
      <c r="J59835" s="8"/>
      <c r="K59835" s="8"/>
      <c r="L59835" s="8"/>
      <c r="M59835" s="8"/>
      <c r="N59835" s="8"/>
      <c r="O59835" s="8"/>
      <c r="P59835" s="8"/>
      <c r="Q59835" s="8"/>
      <c r="R59835" s="103"/>
      <c r="S59835" s="8"/>
      <c r="T59835" s="8"/>
      <c r="U59835" s="8"/>
      <c r="V59835" s="8"/>
      <c r="W59835" s="8"/>
      <c r="X59835" s="8"/>
      <c r="Y59835" s="8"/>
      <c r="Z59835" s="8"/>
      <c r="AA59835" s="8"/>
    </row>
    <row r="59836" spans="1:27" x14ac:dyDescent="0.25">
      <c r="A59836" s="8"/>
      <c r="B59836" s="8"/>
      <c r="C59836" s="99"/>
      <c r="D59836" s="8"/>
      <c r="E59836" s="8"/>
      <c r="F59836" s="8"/>
      <c r="G59836" s="8"/>
      <c r="H59836" s="8"/>
      <c r="I59836" s="102"/>
      <c r="J59836" s="8"/>
      <c r="K59836" s="8"/>
      <c r="L59836" s="8"/>
      <c r="M59836" s="8"/>
      <c r="N59836" s="8"/>
      <c r="O59836" s="8"/>
      <c r="P59836" s="8"/>
      <c r="Q59836" s="8"/>
      <c r="R59836" s="103"/>
      <c r="S59836" s="8"/>
      <c r="T59836" s="8"/>
      <c r="U59836" s="8"/>
      <c r="V59836" s="8"/>
      <c r="W59836" s="8"/>
      <c r="X59836" s="8"/>
      <c r="Y59836" s="8"/>
      <c r="Z59836" s="8"/>
      <c r="AA59836" s="8"/>
    </row>
    <row r="59837" spans="1:27" x14ac:dyDescent="0.25">
      <c r="A59837" s="8"/>
      <c r="B59837" s="8"/>
      <c r="C59837" s="99"/>
      <c r="D59837" s="8"/>
      <c r="E59837" s="8"/>
      <c r="F59837" s="8"/>
      <c r="G59837" s="8"/>
      <c r="H59837" s="8"/>
      <c r="I59837" s="102"/>
      <c r="J59837" s="8"/>
      <c r="K59837" s="8"/>
      <c r="L59837" s="8"/>
      <c r="M59837" s="8"/>
      <c r="N59837" s="8"/>
      <c r="O59837" s="8"/>
      <c r="P59837" s="8"/>
      <c r="Q59837" s="8"/>
      <c r="R59837" s="103"/>
      <c r="S59837" s="8"/>
      <c r="T59837" s="8"/>
      <c r="U59837" s="8"/>
      <c r="V59837" s="8"/>
      <c r="W59837" s="8"/>
      <c r="X59837" s="8"/>
      <c r="Y59837" s="8"/>
      <c r="Z59837" s="8"/>
      <c r="AA59837" s="8"/>
    </row>
    <row r="59838" spans="1:27" x14ac:dyDescent="0.25">
      <c r="A59838" s="8"/>
      <c r="B59838" s="8"/>
      <c r="C59838" s="99"/>
      <c r="D59838" s="8"/>
      <c r="E59838" s="8"/>
      <c r="F59838" s="8"/>
      <c r="G59838" s="8"/>
      <c r="H59838" s="8"/>
      <c r="I59838" s="102"/>
      <c r="J59838" s="8"/>
      <c r="K59838" s="8"/>
      <c r="L59838" s="8"/>
      <c r="M59838" s="8"/>
      <c r="N59838" s="8"/>
      <c r="O59838" s="8"/>
      <c r="P59838" s="8"/>
      <c r="Q59838" s="8"/>
      <c r="R59838" s="103"/>
      <c r="S59838" s="8"/>
      <c r="T59838" s="8"/>
      <c r="U59838" s="8"/>
      <c r="V59838" s="8"/>
      <c r="W59838" s="8"/>
      <c r="X59838" s="8"/>
      <c r="Y59838" s="8"/>
      <c r="Z59838" s="8"/>
      <c r="AA59838" s="8"/>
    </row>
    <row r="59839" spans="1:27" x14ac:dyDescent="0.25">
      <c r="A59839" s="8"/>
      <c r="B59839" s="8"/>
      <c r="C59839" s="99"/>
      <c r="D59839" s="8"/>
      <c r="E59839" s="8"/>
      <c r="F59839" s="8"/>
      <c r="G59839" s="8"/>
      <c r="H59839" s="8"/>
      <c r="I59839" s="102"/>
      <c r="J59839" s="8"/>
      <c r="K59839" s="8"/>
      <c r="L59839" s="8"/>
      <c r="M59839" s="8"/>
      <c r="N59839" s="8"/>
      <c r="O59839" s="8"/>
      <c r="P59839" s="8"/>
      <c r="Q59839" s="8"/>
      <c r="R59839" s="103"/>
      <c r="S59839" s="8"/>
      <c r="T59839" s="8"/>
      <c r="U59839" s="8"/>
      <c r="V59839" s="8"/>
      <c r="W59839" s="8"/>
      <c r="X59839" s="8"/>
      <c r="Y59839" s="8"/>
      <c r="Z59839" s="8"/>
      <c r="AA59839" s="8"/>
    </row>
    <row r="59840" spans="1:27" x14ac:dyDescent="0.25">
      <c r="A59840" s="8"/>
      <c r="B59840" s="8"/>
      <c r="C59840" s="99"/>
      <c r="D59840" s="8"/>
      <c r="E59840" s="8"/>
      <c r="F59840" s="8"/>
      <c r="G59840" s="8"/>
      <c r="H59840" s="8"/>
      <c r="I59840" s="102"/>
      <c r="J59840" s="8"/>
      <c r="K59840" s="8"/>
      <c r="L59840" s="8"/>
      <c r="M59840" s="8"/>
      <c r="N59840" s="8"/>
      <c r="O59840" s="8"/>
      <c r="P59840" s="8"/>
      <c r="Q59840" s="8"/>
      <c r="R59840" s="103"/>
      <c r="S59840" s="8"/>
      <c r="T59840" s="8"/>
      <c r="U59840" s="8"/>
      <c r="V59840" s="8"/>
      <c r="W59840" s="8"/>
      <c r="X59840" s="8"/>
      <c r="Y59840" s="8"/>
      <c r="Z59840" s="8"/>
      <c r="AA59840" s="8"/>
    </row>
    <row r="59841" spans="1:27" x14ac:dyDescent="0.25">
      <c r="A59841" s="8"/>
      <c r="B59841" s="8"/>
      <c r="C59841" s="99"/>
      <c r="D59841" s="8"/>
      <c r="E59841" s="8"/>
      <c r="F59841" s="8"/>
      <c r="G59841" s="8"/>
      <c r="H59841" s="8"/>
      <c r="I59841" s="102"/>
      <c r="J59841" s="8"/>
      <c r="K59841" s="8"/>
      <c r="L59841" s="8"/>
      <c r="M59841" s="8"/>
      <c r="N59841" s="8"/>
      <c r="O59841" s="8"/>
      <c r="P59841" s="8"/>
      <c r="Q59841" s="8"/>
      <c r="R59841" s="103"/>
      <c r="S59841" s="8"/>
      <c r="T59841" s="8"/>
      <c r="U59841" s="8"/>
      <c r="V59841" s="8"/>
      <c r="W59841" s="8"/>
      <c r="X59841" s="8"/>
      <c r="Y59841" s="8"/>
      <c r="Z59841" s="8"/>
      <c r="AA59841" s="8"/>
    </row>
    <row r="59842" spans="1:27" x14ac:dyDescent="0.25">
      <c r="A59842" s="8"/>
      <c r="B59842" s="8"/>
      <c r="C59842" s="99"/>
      <c r="D59842" s="8"/>
      <c r="E59842" s="8"/>
      <c r="F59842" s="8"/>
      <c r="G59842" s="8"/>
      <c r="H59842" s="8"/>
      <c r="I59842" s="102"/>
      <c r="J59842" s="8"/>
      <c r="K59842" s="8"/>
      <c r="L59842" s="8"/>
      <c r="M59842" s="8"/>
      <c r="N59842" s="8"/>
      <c r="O59842" s="8"/>
      <c r="P59842" s="8"/>
      <c r="Q59842" s="8"/>
      <c r="R59842" s="103"/>
      <c r="S59842" s="8"/>
      <c r="T59842" s="8"/>
      <c r="U59842" s="8"/>
      <c r="V59842" s="8"/>
      <c r="W59842" s="8"/>
      <c r="X59842" s="8"/>
      <c r="Y59842" s="8"/>
      <c r="Z59842" s="8"/>
      <c r="AA59842" s="8"/>
    </row>
    <row r="59843" spans="1:27" x14ac:dyDescent="0.25">
      <c r="A59843" s="8"/>
      <c r="B59843" s="8"/>
      <c r="C59843" s="99"/>
      <c r="D59843" s="8"/>
      <c r="E59843" s="8"/>
      <c r="F59843" s="8"/>
      <c r="G59843" s="8"/>
      <c r="H59843" s="8"/>
      <c r="I59843" s="102"/>
      <c r="J59843" s="8"/>
      <c r="K59843" s="8"/>
      <c r="L59843" s="8"/>
      <c r="M59843" s="8"/>
      <c r="N59843" s="8"/>
      <c r="O59843" s="8"/>
      <c r="P59843" s="8"/>
      <c r="Q59843" s="8"/>
      <c r="R59843" s="103"/>
      <c r="S59843" s="8"/>
      <c r="T59843" s="8"/>
      <c r="U59843" s="8"/>
      <c r="V59843" s="8"/>
      <c r="W59843" s="8"/>
      <c r="X59843" s="8"/>
      <c r="Y59843" s="8"/>
      <c r="Z59843" s="8"/>
      <c r="AA59843" s="8"/>
    </row>
    <row r="59844" spans="1:27" x14ac:dyDescent="0.25">
      <c r="A59844" s="8"/>
      <c r="B59844" s="8"/>
      <c r="C59844" s="99"/>
      <c r="D59844" s="8"/>
      <c r="E59844" s="8"/>
      <c r="F59844" s="8"/>
      <c r="G59844" s="8"/>
      <c r="H59844" s="8"/>
      <c r="I59844" s="102"/>
      <c r="J59844" s="8"/>
      <c r="K59844" s="8"/>
      <c r="L59844" s="8"/>
      <c r="M59844" s="8"/>
      <c r="N59844" s="8"/>
      <c r="O59844" s="8"/>
      <c r="P59844" s="8"/>
      <c r="Q59844" s="8"/>
      <c r="R59844" s="103"/>
      <c r="S59844" s="8"/>
      <c r="T59844" s="8"/>
      <c r="U59844" s="8"/>
      <c r="V59844" s="8"/>
      <c r="W59844" s="8"/>
      <c r="X59844" s="8"/>
      <c r="Y59844" s="8"/>
      <c r="Z59844" s="8"/>
      <c r="AA59844" s="8"/>
    </row>
    <row r="59845" spans="1:27" x14ac:dyDescent="0.25">
      <c r="A59845" s="8"/>
      <c r="B59845" s="8"/>
      <c r="C59845" s="99"/>
      <c r="D59845" s="8"/>
      <c r="E59845" s="8"/>
      <c r="F59845" s="8"/>
      <c r="G59845" s="8"/>
      <c r="H59845" s="8"/>
      <c r="I59845" s="102"/>
      <c r="J59845" s="8"/>
      <c r="K59845" s="8"/>
      <c r="L59845" s="8"/>
      <c r="M59845" s="8"/>
      <c r="N59845" s="8"/>
      <c r="O59845" s="8"/>
      <c r="P59845" s="8"/>
      <c r="Q59845" s="8"/>
      <c r="R59845" s="103"/>
      <c r="S59845" s="8"/>
      <c r="T59845" s="8"/>
      <c r="U59845" s="8"/>
      <c r="V59845" s="8"/>
      <c r="W59845" s="8"/>
      <c r="X59845" s="8"/>
      <c r="Y59845" s="8"/>
      <c r="Z59845" s="8"/>
      <c r="AA59845" s="8"/>
    </row>
    <row r="59846" spans="1:27" x14ac:dyDescent="0.25">
      <c r="A59846" s="8"/>
      <c r="B59846" s="8"/>
      <c r="C59846" s="99"/>
      <c r="D59846" s="8"/>
      <c r="E59846" s="8"/>
      <c r="F59846" s="8"/>
      <c r="G59846" s="8"/>
      <c r="H59846" s="8"/>
      <c r="I59846" s="102"/>
      <c r="J59846" s="8"/>
      <c r="K59846" s="8"/>
      <c r="L59846" s="8"/>
      <c r="M59846" s="8"/>
      <c r="N59846" s="8"/>
      <c r="O59846" s="8"/>
      <c r="P59846" s="8"/>
      <c r="Q59846" s="8"/>
      <c r="R59846" s="103"/>
      <c r="S59846" s="8"/>
      <c r="T59846" s="8"/>
      <c r="U59846" s="8"/>
      <c r="V59846" s="8"/>
      <c r="W59846" s="8"/>
      <c r="X59846" s="8"/>
      <c r="Y59846" s="8"/>
      <c r="Z59846" s="8"/>
      <c r="AA59846" s="8"/>
    </row>
    <row r="59847" spans="1:27" x14ac:dyDescent="0.25">
      <c r="A59847" s="8"/>
      <c r="B59847" s="8"/>
      <c r="C59847" s="99"/>
      <c r="D59847" s="8"/>
      <c r="E59847" s="8"/>
      <c r="F59847" s="8"/>
      <c r="G59847" s="8"/>
      <c r="H59847" s="8"/>
      <c r="I59847" s="102"/>
      <c r="J59847" s="8"/>
      <c r="K59847" s="8"/>
      <c r="L59847" s="8"/>
      <c r="M59847" s="8"/>
      <c r="N59847" s="8"/>
      <c r="O59847" s="8"/>
      <c r="P59847" s="8"/>
      <c r="Q59847" s="8"/>
      <c r="R59847" s="103"/>
      <c r="S59847" s="8"/>
      <c r="T59847" s="8"/>
      <c r="U59847" s="8"/>
      <c r="V59847" s="8"/>
      <c r="W59847" s="8"/>
      <c r="X59847" s="8"/>
      <c r="Y59847" s="8"/>
      <c r="Z59847" s="8"/>
      <c r="AA59847" s="8"/>
    </row>
    <row r="59848" spans="1:27" x14ac:dyDescent="0.25">
      <c r="A59848" s="8"/>
      <c r="B59848" s="8"/>
      <c r="C59848" s="99"/>
      <c r="D59848" s="8"/>
      <c r="E59848" s="8"/>
      <c r="F59848" s="8"/>
      <c r="G59848" s="8"/>
      <c r="H59848" s="8"/>
      <c r="I59848" s="102"/>
      <c r="J59848" s="8"/>
      <c r="K59848" s="8"/>
      <c r="L59848" s="8"/>
      <c r="M59848" s="8"/>
      <c r="N59848" s="8"/>
      <c r="O59848" s="8"/>
      <c r="P59848" s="8"/>
      <c r="Q59848" s="8"/>
      <c r="R59848" s="103"/>
      <c r="S59848" s="8"/>
      <c r="T59848" s="8"/>
      <c r="U59848" s="8"/>
      <c r="V59848" s="8"/>
      <c r="W59848" s="8"/>
      <c r="X59848" s="8"/>
      <c r="Y59848" s="8"/>
      <c r="Z59848" s="8"/>
      <c r="AA59848" s="8"/>
    </row>
    <row r="59849" spans="1:27" x14ac:dyDescent="0.25">
      <c r="A59849" s="8"/>
      <c r="B59849" s="8"/>
      <c r="C59849" s="99"/>
      <c r="D59849" s="8"/>
      <c r="E59849" s="8"/>
      <c r="F59849" s="8"/>
      <c r="G59849" s="8"/>
      <c r="H59849" s="8"/>
      <c r="I59849" s="102"/>
      <c r="J59849" s="8"/>
      <c r="K59849" s="8"/>
      <c r="L59849" s="8"/>
      <c r="M59849" s="8"/>
      <c r="N59849" s="8"/>
      <c r="O59849" s="8"/>
      <c r="P59849" s="8"/>
      <c r="Q59849" s="8"/>
      <c r="R59849" s="103"/>
      <c r="S59849" s="8"/>
      <c r="T59849" s="8"/>
      <c r="U59849" s="8"/>
      <c r="V59849" s="8"/>
      <c r="W59849" s="8"/>
      <c r="X59849" s="8"/>
      <c r="Y59849" s="8"/>
      <c r="Z59849" s="8"/>
      <c r="AA59849" s="8"/>
    </row>
    <row r="59850" spans="1:27" x14ac:dyDescent="0.25">
      <c r="A59850" s="8"/>
      <c r="B59850" s="8"/>
      <c r="C59850" s="99"/>
      <c r="D59850" s="8"/>
      <c r="E59850" s="8"/>
      <c r="F59850" s="8"/>
      <c r="G59850" s="8"/>
      <c r="H59850" s="8"/>
      <c r="I59850" s="102"/>
      <c r="J59850" s="8"/>
      <c r="K59850" s="8"/>
      <c r="L59850" s="8"/>
      <c r="M59850" s="8"/>
      <c r="N59850" s="8"/>
      <c r="O59850" s="8"/>
      <c r="P59850" s="8"/>
      <c r="Q59850" s="8"/>
      <c r="R59850" s="103"/>
      <c r="S59850" s="8"/>
      <c r="T59850" s="8"/>
      <c r="U59850" s="8"/>
      <c r="V59850" s="8"/>
      <c r="W59850" s="8"/>
      <c r="X59850" s="8"/>
      <c r="Y59850" s="8"/>
      <c r="Z59850" s="8"/>
      <c r="AA59850" s="8"/>
    </row>
    <row r="59851" spans="1:27" x14ac:dyDescent="0.25">
      <c r="A59851" s="8"/>
      <c r="B59851" s="8"/>
      <c r="C59851" s="99"/>
      <c r="D59851" s="8"/>
      <c r="E59851" s="8"/>
      <c r="F59851" s="8"/>
      <c r="G59851" s="8"/>
      <c r="H59851" s="8"/>
      <c r="I59851" s="102"/>
      <c r="J59851" s="8"/>
      <c r="K59851" s="8"/>
      <c r="L59851" s="8"/>
      <c r="M59851" s="8"/>
      <c r="N59851" s="8"/>
      <c r="O59851" s="8"/>
      <c r="P59851" s="8"/>
      <c r="Q59851" s="8"/>
      <c r="R59851" s="103"/>
      <c r="S59851" s="8"/>
      <c r="T59851" s="8"/>
      <c r="U59851" s="8"/>
      <c r="V59851" s="8"/>
      <c r="W59851" s="8"/>
      <c r="X59851" s="8"/>
      <c r="Y59851" s="8"/>
      <c r="Z59851" s="8"/>
      <c r="AA59851" s="8"/>
    </row>
    <row r="59852" spans="1:27" x14ac:dyDescent="0.25">
      <c r="A59852" s="8"/>
      <c r="B59852" s="8"/>
      <c r="C59852" s="99"/>
      <c r="D59852" s="8"/>
      <c r="E59852" s="8"/>
      <c r="F59852" s="8"/>
      <c r="G59852" s="8"/>
      <c r="H59852" s="8"/>
      <c r="I59852" s="102"/>
      <c r="J59852" s="8"/>
      <c r="K59852" s="8"/>
      <c r="L59852" s="8"/>
      <c r="M59852" s="8"/>
      <c r="N59852" s="8"/>
      <c r="O59852" s="8"/>
      <c r="P59852" s="8"/>
      <c r="Q59852" s="8"/>
      <c r="R59852" s="103"/>
      <c r="S59852" s="8"/>
      <c r="T59852" s="8"/>
      <c r="U59852" s="8"/>
      <c r="V59852" s="8"/>
      <c r="W59852" s="8"/>
      <c r="X59852" s="8"/>
      <c r="Y59852" s="8"/>
      <c r="Z59852" s="8"/>
      <c r="AA59852" s="8"/>
    </row>
    <row r="59853" spans="1:27" x14ac:dyDescent="0.25">
      <c r="A59853" s="8"/>
      <c r="B59853" s="8"/>
      <c r="C59853" s="99"/>
      <c r="D59853" s="8"/>
      <c r="E59853" s="8"/>
      <c r="F59853" s="8"/>
      <c r="G59853" s="8"/>
      <c r="H59853" s="8"/>
      <c r="I59853" s="102"/>
      <c r="J59853" s="8"/>
      <c r="K59853" s="8"/>
      <c r="L59853" s="8"/>
      <c r="M59853" s="8"/>
      <c r="N59853" s="8"/>
      <c r="O59853" s="8"/>
      <c r="P59853" s="8"/>
      <c r="Q59853" s="8"/>
      <c r="R59853" s="103"/>
      <c r="S59853" s="8"/>
      <c r="T59853" s="8"/>
      <c r="U59853" s="8"/>
      <c r="V59853" s="8"/>
      <c r="W59853" s="8"/>
      <c r="X59853" s="8"/>
      <c r="Y59853" s="8"/>
      <c r="Z59853" s="8"/>
      <c r="AA59853" s="8"/>
    </row>
    <row r="59854" spans="1:27" x14ac:dyDescent="0.25">
      <c r="A59854" s="8"/>
      <c r="B59854" s="8"/>
      <c r="C59854" s="99"/>
      <c r="D59854" s="8"/>
      <c r="E59854" s="8"/>
      <c r="F59854" s="8"/>
      <c r="G59854" s="8"/>
      <c r="H59854" s="8"/>
      <c r="I59854" s="102"/>
      <c r="J59854" s="8"/>
      <c r="K59854" s="8"/>
      <c r="L59854" s="8"/>
      <c r="M59854" s="8"/>
      <c r="N59854" s="8"/>
      <c r="O59854" s="8"/>
      <c r="P59854" s="8"/>
      <c r="Q59854" s="8"/>
      <c r="R59854" s="103"/>
      <c r="S59854" s="8"/>
      <c r="T59854" s="8"/>
      <c r="U59854" s="8"/>
      <c r="V59854" s="8"/>
      <c r="W59854" s="8"/>
      <c r="X59854" s="8"/>
      <c r="Y59854" s="8"/>
      <c r="Z59854" s="8"/>
      <c r="AA59854" s="8"/>
    </row>
    <row r="59855" spans="1:27" x14ac:dyDescent="0.25">
      <c r="A59855" s="8"/>
      <c r="B59855" s="8"/>
      <c r="C59855" s="99"/>
      <c r="D59855" s="8"/>
      <c r="E59855" s="8"/>
      <c r="F59855" s="8"/>
      <c r="G59855" s="8"/>
      <c r="H59855" s="8"/>
      <c r="I59855" s="102"/>
      <c r="J59855" s="8"/>
      <c r="K59855" s="8"/>
      <c r="L59855" s="8"/>
      <c r="M59855" s="8"/>
      <c r="N59855" s="8"/>
      <c r="O59855" s="8"/>
      <c r="P59855" s="8"/>
      <c r="Q59855" s="8"/>
      <c r="R59855" s="103"/>
      <c r="S59855" s="8"/>
      <c r="T59855" s="8"/>
      <c r="U59855" s="8"/>
      <c r="V59855" s="8"/>
      <c r="W59855" s="8"/>
      <c r="X59855" s="8"/>
      <c r="Y59855" s="8"/>
      <c r="Z59855" s="8"/>
      <c r="AA59855" s="8"/>
    </row>
    <row r="59856" spans="1:27" x14ac:dyDescent="0.25">
      <c r="A59856" s="8"/>
      <c r="B59856" s="8"/>
      <c r="C59856" s="99"/>
      <c r="D59856" s="8"/>
      <c r="E59856" s="8"/>
      <c r="F59856" s="8"/>
      <c r="G59856" s="8"/>
      <c r="H59856" s="8"/>
      <c r="I59856" s="102"/>
      <c r="J59856" s="8"/>
      <c r="K59856" s="8"/>
      <c r="L59856" s="8"/>
      <c r="M59856" s="8"/>
      <c r="N59856" s="8"/>
      <c r="O59856" s="8"/>
      <c r="P59856" s="8"/>
      <c r="Q59856" s="8"/>
      <c r="R59856" s="103"/>
      <c r="S59856" s="8"/>
      <c r="T59856" s="8"/>
      <c r="U59856" s="8"/>
      <c r="V59856" s="8"/>
      <c r="W59856" s="8"/>
      <c r="X59856" s="8"/>
      <c r="Y59856" s="8"/>
      <c r="Z59856" s="8"/>
      <c r="AA59856" s="8"/>
    </row>
    <row r="59857" spans="1:27" x14ac:dyDescent="0.25">
      <c r="A59857" s="8"/>
      <c r="B59857" s="8"/>
      <c r="C59857" s="99"/>
      <c r="D59857" s="8"/>
      <c r="E59857" s="8"/>
      <c r="F59857" s="8"/>
      <c r="G59857" s="8"/>
      <c r="H59857" s="8"/>
      <c r="I59857" s="102"/>
      <c r="J59857" s="8"/>
      <c r="K59857" s="8"/>
      <c r="L59857" s="8"/>
      <c r="M59857" s="8"/>
      <c r="N59857" s="8"/>
      <c r="O59857" s="8"/>
      <c r="P59857" s="8"/>
      <c r="Q59857" s="8"/>
      <c r="R59857" s="103"/>
      <c r="S59857" s="8"/>
      <c r="T59857" s="8"/>
      <c r="U59857" s="8"/>
      <c r="V59857" s="8"/>
      <c r="W59857" s="8"/>
      <c r="X59857" s="8"/>
      <c r="Y59857" s="8"/>
      <c r="Z59857" s="8"/>
      <c r="AA59857" s="8"/>
    </row>
    <row r="59858" spans="1:27" x14ac:dyDescent="0.25">
      <c r="A59858" s="8"/>
      <c r="B59858" s="8"/>
      <c r="C59858" s="99"/>
      <c r="D59858" s="8"/>
      <c r="E59858" s="8"/>
      <c r="F59858" s="8"/>
      <c r="G59858" s="8"/>
      <c r="H59858" s="8"/>
      <c r="I59858" s="102"/>
      <c r="J59858" s="8"/>
      <c r="K59858" s="8"/>
      <c r="L59858" s="8"/>
      <c r="M59858" s="8"/>
      <c r="N59858" s="8"/>
      <c r="O59858" s="8"/>
      <c r="P59858" s="8"/>
      <c r="Q59858" s="8"/>
      <c r="R59858" s="103"/>
      <c r="S59858" s="8"/>
      <c r="T59858" s="8"/>
      <c r="U59858" s="8"/>
      <c r="V59858" s="8"/>
      <c r="W59858" s="8"/>
      <c r="X59858" s="8"/>
      <c r="Y59858" s="8"/>
      <c r="Z59858" s="8"/>
      <c r="AA59858" s="8"/>
    </row>
    <row r="59859" spans="1:27" x14ac:dyDescent="0.25">
      <c r="A59859" s="8"/>
      <c r="B59859" s="8"/>
      <c r="C59859" s="99"/>
      <c r="D59859" s="8"/>
      <c r="E59859" s="8"/>
      <c r="F59859" s="8"/>
      <c r="G59859" s="8"/>
      <c r="H59859" s="8"/>
      <c r="I59859" s="102"/>
      <c r="J59859" s="8"/>
      <c r="K59859" s="8"/>
      <c r="L59859" s="8"/>
      <c r="M59859" s="8"/>
      <c r="N59859" s="8"/>
      <c r="O59859" s="8"/>
      <c r="P59859" s="8"/>
      <c r="Q59859" s="8"/>
      <c r="R59859" s="103"/>
      <c r="S59859" s="8"/>
      <c r="T59859" s="8"/>
      <c r="U59859" s="8"/>
      <c r="V59859" s="8"/>
      <c r="W59859" s="8"/>
      <c r="X59859" s="8"/>
      <c r="Y59859" s="8"/>
      <c r="Z59859" s="8"/>
      <c r="AA59859" s="8"/>
    </row>
    <row r="59860" spans="1:27" x14ac:dyDescent="0.25">
      <c r="A59860" s="8"/>
      <c r="B59860" s="8"/>
      <c r="C59860" s="99"/>
      <c r="D59860" s="8"/>
      <c r="E59860" s="8"/>
      <c r="F59860" s="8"/>
      <c r="G59860" s="8"/>
      <c r="H59860" s="8"/>
      <c r="I59860" s="102"/>
      <c r="J59860" s="8"/>
      <c r="K59860" s="8"/>
      <c r="L59860" s="8"/>
      <c r="M59860" s="8"/>
      <c r="N59860" s="8"/>
      <c r="O59860" s="8"/>
      <c r="P59860" s="8"/>
      <c r="Q59860" s="8"/>
      <c r="R59860" s="103"/>
      <c r="S59860" s="8"/>
      <c r="T59860" s="8"/>
      <c r="U59860" s="8"/>
      <c r="V59860" s="8"/>
      <c r="W59860" s="8"/>
      <c r="X59860" s="8"/>
      <c r="Y59860" s="8"/>
      <c r="Z59860" s="8"/>
      <c r="AA59860" s="8"/>
    </row>
    <row r="59861" spans="1:27" x14ac:dyDescent="0.25">
      <c r="A59861" s="8"/>
      <c r="B59861" s="8"/>
      <c r="C59861" s="99"/>
      <c r="D59861" s="8"/>
      <c r="E59861" s="8"/>
      <c r="F59861" s="8"/>
      <c r="G59861" s="8"/>
      <c r="H59861" s="8"/>
      <c r="I59861" s="102"/>
      <c r="J59861" s="8"/>
      <c r="K59861" s="8"/>
      <c r="L59861" s="8"/>
      <c r="M59861" s="8"/>
      <c r="N59861" s="8"/>
      <c r="O59861" s="8"/>
      <c r="P59861" s="8"/>
      <c r="Q59861" s="8"/>
      <c r="R59861" s="103"/>
      <c r="S59861" s="8"/>
      <c r="T59861" s="8"/>
      <c r="U59861" s="8"/>
      <c r="V59861" s="8"/>
      <c r="W59861" s="8"/>
      <c r="X59861" s="8"/>
      <c r="Y59861" s="8"/>
      <c r="Z59861" s="8"/>
      <c r="AA59861" s="8"/>
    </row>
    <row r="59862" spans="1:27" x14ac:dyDescent="0.25">
      <c r="A59862" s="8"/>
      <c r="B59862" s="8"/>
      <c r="C59862" s="99"/>
      <c r="D59862" s="8"/>
      <c r="E59862" s="8"/>
      <c r="F59862" s="8"/>
      <c r="G59862" s="8"/>
      <c r="H59862" s="8"/>
      <c r="I59862" s="102"/>
      <c r="J59862" s="8"/>
      <c r="K59862" s="8"/>
      <c r="L59862" s="8"/>
      <c r="M59862" s="8"/>
      <c r="N59862" s="8"/>
      <c r="O59862" s="8"/>
      <c r="P59862" s="8"/>
      <c r="Q59862" s="8"/>
      <c r="R59862" s="103"/>
      <c r="S59862" s="8"/>
      <c r="T59862" s="8"/>
      <c r="U59862" s="8"/>
      <c r="V59862" s="8"/>
      <c r="W59862" s="8"/>
      <c r="X59862" s="8"/>
      <c r="Y59862" s="8"/>
      <c r="Z59862" s="8"/>
      <c r="AA59862" s="8"/>
    </row>
    <row r="59863" spans="1:27" x14ac:dyDescent="0.25">
      <c r="A59863" s="8"/>
      <c r="B59863" s="8"/>
      <c r="C59863" s="99"/>
      <c r="D59863" s="8"/>
      <c r="E59863" s="8"/>
      <c r="F59863" s="8"/>
      <c r="G59863" s="8"/>
      <c r="H59863" s="8"/>
      <c r="I59863" s="102"/>
      <c r="J59863" s="8"/>
      <c r="K59863" s="8"/>
      <c r="L59863" s="8"/>
      <c r="M59863" s="8"/>
      <c r="N59863" s="8"/>
      <c r="O59863" s="8"/>
      <c r="P59863" s="8"/>
      <c r="Q59863" s="8"/>
      <c r="R59863" s="103"/>
      <c r="S59863" s="8"/>
      <c r="T59863" s="8"/>
      <c r="U59863" s="8"/>
      <c r="V59863" s="8"/>
      <c r="W59863" s="8"/>
      <c r="X59863" s="8"/>
      <c r="Y59863" s="8"/>
      <c r="Z59863" s="8"/>
      <c r="AA59863" s="8"/>
    </row>
    <row r="59864" spans="1:27" x14ac:dyDescent="0.25">
      <c r="A59864" s="8"/>
      <c r="B59864" s="8"/>
      <c r="C59864" s="99"/>
      <c r="D59864" s="8"/>
      <c r="E59864" s="8"/>
      <c r="F59864" s="8"/>
      <c r="G59864" s="8"/>
      <c r="H59864" s="8"/>
      <c r="I59864" s="102"/>
      <c r="J59864" s="8"/>
      <c r="K59864" s="8"/>
      <c r="L59864" s="8"/>
      <c r="M59864" s="8"/>
      <c r="N59864" s="8"/>
      <c r="O59864" s="8"/>
      <c r="P59864" s="8"/>
      <c r="Q59864" s="8"/>
      <c r="R59864" s="103"/>
      <c r="S59864" s="8"/>
      <c r="T59864" s="8"/>
      <c r="U59864" s="8"/>
      <c r="V59864" s="8"/>
      <c r="W59864" s="8"/>
      <c r="X59864" s="8"/>
      <c r="Y59864" s="8"/>
      <c r="Z59864" s="8"/>
      <c r="AA59864" s="8"/>
    </row>
    <row r="59865" spans="1:27" x14ac:dyDescent="0.25">
      <c r="A59865" s="8"/>
      <c r="B59865" s="8"/>
      <c r="C59865" s="99"/>
      <c r="D59865" s="8"/>
      <c r="E59865" s="8"/>
      <c r="F59865" s="8"/>
      <c r="G59865" s="8"/>
      <c r="H59865" s="8"/>
      <c r="I59865" s="102"/>
      <c r="J59865" s="8"/>
      <c r="K59865" s="8"/>
      <c r="L59865" s="8"/>
      <c r="M59865" s="8"/>
      <c r="N59865" s="8"/>
      <c r="O59865" s="8"/>
      <c r="P59865" s="8"/>
      <c r="Q59865" s="8"/>
      <c r="R59865" s="103"/>
      <c r="S59865" s="8"/>
      <c r="T59865" s="8"/>
      <c r="U59865" s="8"/>
      <c r="V59865" s="8"/>
      <c r="W59865" s="8"/>
      <c r="X59865" s="8"/>
      <c r="Y59865" s="8"/>
      <c r="Z59865" s="8"/>
      <c r="AA59865" s="8"/>
    </row>
    <row r="59866" spans="1:27" x14ac:dyDescent="0.25">
      <c r="A59866" s="8"/>
      <c r="B59866" s="8"/>
      <c r="C59866" s="99"/>
      <c r="D59866" s="8"/>
      <c r="E59866" s="8"/>
      <c r="F59866" s="8"/>
      <c r="G59866" s="8"/>
      <c r="H59866" s="8"/>
      <c r="I59866" s="102"/>
      <c r="J59866" s="8"/>
      <c r="K59866" s="8"/>
      <c r="L59866" s="8"/>
      <c r="M59866" s="8"/>
      <c r="N59866" s="8"/>
      <c r="O59866" s="8"/>
      <c r="P59866" s="8"/>
      <c r="Q59866" s="8"/>
      <c r="R59866" s="103"/>
      <c r="S59866" s="8"/>
      <c r="T59866" s="8"/>
      <c r="U59866" s="8"/>
      <c r="V59866" s="8"/>
      <c r="W59866" s="8"/>
      <c r="X59866" s="8"/>
      <c r="Y59866" s="8"/>
      <c r="Z59866" s="8"/>
      <c r="AA59866" s="8"/>
    </row>
    <row r="59867" spans="1:27" x14ac:dyDescent="0.25">
      <c r="A59867" s="8"/>
      <c r="B59867" s="8"/>
      <c r="C59867" s="99"/>
      <c r="D59867" s="8"/>
      <c r="E59867" s="8"/>
      <c r="F59867" s="8"/>
      <c r="G59867" s="8"/>
      <c r="H59867" s="8"/>
      <c r="I59867" s="102"/>
      <c r="J59867" s="8"/>
      <c r="K59867" s="8"/>
      <c r="L59867" s="8"/>
      <c r="M59867" s="8"/>
      <c r="N59867" s="8"/>
      <c r="O59867" s="8"/>
      <c r="P59867" s="8"/>
      <c r="Q59867" s="8"/>
      <c r="R59867" s="103"/>
      <c r="S59867" s="8"/>
      <c r="T59867" s="8"/>
      <c r="U59867" s="8"/>
      <c r="V59867" s="8"/>
      <c r="W59867" s="8"/>
      <c r="X59867" s="8"/>
      <c r="Y59867" s="8"/>
      <c r="Z59867" s="8"/>
      <c r="AA59867" s="8"/>
    </row>
    <row r="59868" spans="1:27" x14ac:dyDescent="0.25">
      <c r="A59868" s="8"/>
      <c r="B59868" s="8"/>
      <c r="C59868" s="99"/>
      <c r="D59868" s="8"/>
      <c r="E59868" s="8"/>
      <c r="F59868" s="8"/>
      <c r="G59868" s="8"/>
      <c r="H59868" s="8"/>
      <c r="I59868" s="102"/>
      <c r="J59868" s="8"/>
      <c r="K59868" s="8"/>
      <c r="L59868" s="8"/>
      <c r="M59868" s="8"/>
      <c r="N59868" s="8"/>
      <c r="O59868" s="8"/>
      <c r="P59868" s="8"/>
      <c r="Q59868" s="8"/>
      <c r="R59868" s="103"/>
      <c r="S59868" s="8"/>
      <c r="T59868" s="8"/>
      <c r="U59868" s="8"/>
      <c r="V59868" s="8"/>
      <c r="W59868" s="8"/>
      <c r="X59868" s="8"/>
      <c r="Y59868" s="8"/>
      <c r="Z59868" s="8"/>
      <c r="AA59868" s="8"/>
    </row>
    <row r="59869" spans="1:27" x14ac:dyDescent="0.25">
      <c r="A59869" s="8"/>
      <c r="B59869" s="8"/>
      <c r="C59869" s="99"/>
      <c r="D59869" s="8"/>
      <c r="E59869" s="8"/>
      <c r="F59869" s="8"/>
      <c r="G59869" s="8"/>
      <c r="H59869" s="8"/>
      <c r="I59869" s="102"/>
      <c r="J59869" s="8"/>
      <c r="K59869" s="8"/>
      <c r="L59869" s="8"/>
      <c r="M59869" s="8"/>
      <c r="N59869" s="8"/>
      <c r="O59869" s="8"/>
      <c r="P59869" s="8"/>
      <c r="Q59869" s="8"/>
      <c r="R59869" s="103"/>
      <c r="S59869" s="8"/>
      <c r="T59869" s="8"/>
      <c r="U59869" s="8"/>
      <c r="V59869" s="8"/>
      <c r="W59869" s="8"/>
      <c r="X59869" s="8"/>
      <c r="Y59869" s="8"/>
      <c r="Z59869" s="8"/>
      <c r="AA59869" s="8"/>
    </row>
    <row r="59870" spans="1:27" x14ac:dyDescent="0.25">
      <c r="A59870" s="8"/>
      <c r="B59870" s="8"/>
      <c r="C59870" s="99"/>
      <c r="D59870" s="8"/>
      <c r="E59870" s="8"/>
      <c r="F59870" s="8"/>
      <c r="G59870" s="8"/>
      <c r="H59870" s="8"/>
      <c r="I59870" s="102"/>
      <c r="J59870" s="8"/>
      <c r="K59870" s="8"/>
      <c r="L59870" s="8"/>
      <c r="M59870" s="8"/>
      <c r="N59870" s="8"/>
      <c r="O59870" s="8"/>
      <c r="P59870" s="8"/>
      <c r="Q59870" s="8"/>
      <c r="R59870" s="103"/>
      <c r="S59870" s="8"/>
      <c r="T59870" s="8"/>
      <c r="U59870" s="8"/>
      <c r="V59870" s="8"/>
      <c r="W59870" s="8"/>
      <c r="X59870" s="8"/>
      <c r="Y59870" s="8"/>
      <c r="Z59870" s="8"/>
      <c r="AA59870" s="8"/>
    </row>
    <row r="59871" spans="1:27" x14ac:dyDescent="0.25">
      <c r="A59871" s="8"/>
      <c r="B59871" s="8"/>
      <c r="C59871" s="99"/>
      <c r="D59871" s="8"/>
      <c r="E59871" s="8"/>
      <c r="F59871" s="8"/>
      <c r="G59871" s="8"/>
      <c r="H59871" s="8"/>
      <c r="I59871" s="102"/>
      <c r="J59871" s="8"/>
      <c r="K59871" s="8"/>
      <c r="L59871" s="8"/>
      <c r="M59871" s="8"/>
      <c r="N59871" s="8"/>
      <c r="O59871" s="8"/>
      <c r="P59871" s="8"/>
      <c r="Q59871" s="8"/>
      <c r="R59871" s="103"/>
      <c r="S59871" s="8"/>
      <c r="T59871" s="8"/>
      <c r="U59871" s="8"/>
      <c r="V59871" s="8"/>
      <c r="W59871" s="8"/>
      <c r="X59871" s="8"/>
      <c r="Y59871" s="8"/>
      <c r="Z59871" s="8"/>
      <c r="AA59871" s="8"/>
    </row>
    <row r="59872" spans="1:27" x14ac:dyDescent="0.25">
      <c r="A59872" s="8"/>
      <c r="B59872" s="8"/>
      <c r="C59872" s="99"/>
      <c r="D59872" s="8"/>
      <c r="E59872" s="8"/>
      <c r="F59872" s="8"/>
      <c r="G59872" s="8"/>
      <c r="H59872" s="8"/>
      <c r="I59872" s="102"/>
      <c r="J59872" s="8"/>
      <c r="K59872" s="8"/>
      <c r="L59872" s="8"/>
      <c r="M59872" s="8"/>
      <c r="N59872" s="8"/>
      <c r="O59872" s="8"/>
      <c r="P59872" s="8"/>
      <c r="Q59872" s="8"/>
      <c r="R59872" s="103"/>
      <c r="S59872" s="8"/>
      <c r="T59872" s="8"/>
      <c r="U59872" s="8"/>
      <c r="V59872" s="8"/>
      <c r="W59872" s="8"/>
      <c r="X59872" s="8"/>
      <c r="Y59872" s="8"/>
      <c r="Z59872" s="8"/>
      <c r="AA59872" s="8"/>
    </row>
    <row r="59873" spans="1:27" x14ac:dyDescent="0.25">
      <c r="A59873" s="8"/>
      <c r="B59873" s="8"/>
      <c r="C59873" s="99"/>
      <c r="D59873" s="8"/>
      <c r="E59873" s="8"/>
      <c r="F59873" s="8"/>
      <c r="G59873" s="8"/>
      <c r="H59873" s="8"/>
      <c r="I59873" s="102"/>
      <c r="J59873" s="8"/>
      <c r="K59873" s="8"/>
      <c r="L59873" s="8"/>
      <c r="M59873" s="8"/>
      <c r="N59873" s="8"/>
      <c r="O59873" s="8"/>
      <c r="P59873" s="8"/>
      <c r="Q59873" s="8"/>
      <c r="R59873" s="103"/>
      <c r="S59873" s="8"/>
      <c r="T59873" s="8"/>
      <c r="U59873" s="8"/>
      <c r="V59873" s="8"/>
      <c r="W59873" s="8"/>
      <c r="X59873" s="8"/>
      <c r="Y59873" s="8"/>
      <c r="Z59873" s="8"/>
      <c r="AA59873" s="8"/>
    </row>
    <row r="59874" spans="1:27" x14ac:dyDescent="0.25">
      <c r="A59874" s="8"/>
      <c r="B59874" s="8"/>
      <c r="C59874" s="99"/>
      <c r="D59874" s="8"/>
      <c r="E59874" s="8"/>
      <c r="F59874" s="8"/>
      <c r="G59874" s="8"/>
      <c r="H59874" s="8"/>
      <c r="I59874" s="102"/>
      <c r="J59874" s="8"/>
      <c r="K59874" s="8"/>
      <c r="L59874" s="8"/>
      <c r="M59874" s="8"/>
      <c r="N59874" s="8"/>
      <c r="O59874" s="8"/>
      <c r="P59874" s="8"/>
      <c r="Q59874" s="8"/>
      <c r="R59874" s="103"/>
      <c r="S59874" s="8"/>
      <c r="T59874" s="8"/>
      <c r="U59874" s="8"/>
      <c r="V59874" s="8"/>
      <c r="W59874" s="8"/>
      <c r="X59874" s="8"/>
      <c r="Y59874" s="8"/>
      <c r="Z59874" s="8"/>
      <c r="AA59874" s="8"/>
    </row>
    <row r="59875" spans="1:27" x14ac:dyDescent="0.25">
      <c r="A59875" s="8"/>
      <c r="B59875" s="8"/>
      <c r="C59875" s="99"/>
      <c r="D59875" s="8"/>
      <c r="E59875" s="8"/>
      <c r="F59875" s="8"/>
      <c r="G59875" s="8"/>
      <c r="H59875" s="8"/>
      <c r="I59875" s="102"/>
      <c r="J59875" s="8"/>
      <c r="K59875" s="8"/>
      <c r="L59875" s="8"/>
      <c r="M59875" s="8"/>
      <c r="N59875" s="8"/>
      <c r="O59875" s="8"/>
      <c r="P59875" s="8"/>
      <c r="Q59875" s="8"/>
      <c r="R59875" s="103"/>
      <c r="S59875" s="8"/>
      <c r="T59875" s="8"/>
      <c r="U59875" s="8"/>
      <c r="V59875" s="8"/>
      <c r="W59875" s="8"/>
      <c r="X59875" s="8"/>
      <c r="Y59875" s="8"/>
      <c r="Z59875" s="8"/>
      <c r="AA59875" s="8"/>
    </row>
    <row r="59876" spans="1:27" x14ac:dyDescent="0.25">
      <c r="A59876" s="8"/>
      <c r="B59876" s="8"/>
      <c r="C59876" s="99"/>
      <c r="D59876" s="8"/>
      <c r="E59876" s="8"/>
      <c r="F59876" s="8"/>
      <c r="G59876" s="8"/>
      <c r="H59876" s="8"/>
      <c r="I59876" s="102"/>
      <c r="J59876" s="8"/>
      <c r="K59876" s="8"/>
      <c r="L59876" s="8"/>
      <c r="M59876" s="8"/>
      <c r="N59876" s="8"/>
      <c r="O59876" s="8"/>
      <c r="P59876" s="8"/>
      <c r="Q59876" s="8"/>
      <c r="R59876" s="103"/>
      <c r="S59876" s="8"/>
      <c r="T59876" s="8"/>
      <c r="U59876" s="8"/>
      <c r="V59876" s="8"/>
      <c r="W59876" s="8"/>
      <c r="X59876" s="8"/>
      <c r="Y59876" s="8"/>
      <c r="Z59876" s="8"/>
      <c r="AA59876" s="8"/>
    </row>
    <row r="59877" spans="1:27" x14ac:dyDescent="0.25">
      <c r="A59877" s="8"/>
      <c r="B59877" s="8"/>
      <c r="C59877" s="99"/>
      <c r="D59877" s="8"/>
      <c r="E59877" s="8"/>
      <c r="F59877" s="8"/>
      <c r="G59877" s="8"/>
      <c r="H59877" s="8"/>
      <c r="I59877" s="102"/>
      <c r="J59877" s="8"/>
      <c r="K59877" s="8"/>
      <c r="L59877" s="8"/>
      <c r="M59877" s="8"/>
      <c r="N59877" s="8"/>
      <c r="O59877" s="8"/>
      <c r="P59877" s="8"/>
      <c r="Q59877" s="8"/>
      <c r="R59877" s="103"/>
      <c r="S59877" s="8"/>
      <c r="T59877" s="8"/>
      <c r="U59877" s="8"/>
      <c r="V59877" s="8"/>
      <c r="W59877" s="8"/>
      <c r="X59877" s="8"/>
      <c r="Y59877" s="8"/>
      <c r="Z59877" s="8"/>
      <c r="AA59877" s="8"/>
    </row>
    <row r="59878" spans="1:27" x14ac:dyDescent="0.25">
      <c r="A59878" s="8"/>
      <c r="B59878" s="8"/>
      <c r="C59878" s="99"/>
      <c r="D59878" s="8"/>
      <c r="E59878" s="8"/>
      <c r="F59878" s="8"/>
      <c r="G59878" s="8"/>
      <c r="H59878" s="8"/>
      <c r="I59878" s="102"/>
      <c r="J59878" s="8"/>
      <c r="K59878" s="8"/>
      <c r="L59878" s="8"/>
      <c r="M59878" s="8"/>
      <c r="N59878" s="8"/>
      <c r="O59878" s="8"/>
      <c r="P59878" s="8"/>
      <c r="Q59878" s="8"/>
      <c r="R59878" s="103"/>
      <c r="S59878" s="8"/>
      <c r="T59878" s="8"/>
      <c r="U59878" s="8"/>
      <c r="V59878" s="8"/>
      <c r="W59878" s="8"/>
      <c r="X59878" s="8"/>
      <c r="Y59878" s="8"/>
      <c r="Z59878" s="8"/>
      <c r="AA59878" s="8"/>
    </row>
    <row r="59879" spans="1:27" x14ac:dyDescent="0.25">
      <c r="A59879" s="8"/>
      <c r="B59879" s="8"/>
      <c r="C59879" s="99"/>
      <c r="D59879" s="8"/>
      <c r="E59879" s="8"/>
      <c r="F59879" s="8"/>
      <c r="G59879" s="8"/>
      <c r="H59879" s="8"/>
      <c r="I59879" s="102"/>
      <c r="J59879" s="8"/>
      <c r="K59879" s="8"/>
      <c r="L59879" s="8"/>
      <c r="M59879" s="8"/>
      <c r="N59879" s="8"/>
      <c r="O59879" s="8"/>
      <c r="P59879" s="8"/>
      <c r="Q59879" s="8"/>
      <c r="R59879" s="103"/>
      <c r="S59879" s="8"/>
      <c r="T59879" s="8"/>
      <c r="U59879" s="8"/>
      <c r="V59879" s="8"/>
      <c r="W59879" s="8"/>
      <c r="X59879" s="8"/>
      <c r="Y59879" s="8"/>
      <c r="Z59879" s="8"/>
      <c r="AA59879" s="8"/>
    </row>
    <row r="59880" spans="1:27" x14ac:dyDescent="0.25">
      <c r="A59880" s="8"/>
      <c r="B59880" s="8"/>
      <c r="C59880" s="99"/>
      <c r="D59880" s="8"/>
      <c r="E59880" s="8"/>
      <c r="F59880" s="8"/>
      <c r="G59880" s="8"/>
      <c r="H59880" s="8"/>
      <c r="I59880" s="102"/>
      <c r="J59880" s="8"/>
      <c r="K59880" s="8"/>
      <c r="L59880" s="8"/>
      <c r="M59880" s="8"/>
      <c r="N59880" s="8"/>
      <c r="O59880" s="8"/>
      <c r="P59880" s="8"/>
      <c r="Q59880" s="8"/>
      <c r="R59880" s="103"/>
      <c r="S59880" s="8"/>
      <c r="T59880" s="8"/>
      <c r="U59880" s="8"/>
      <c r="V59880" s="8"/>
      <c r="W59880" s="8"/>
      <c r="X59880" s="8"/>
      <c r="Y59880" s="8"/>
      <c r="Z59880" s="8"/>
      <c r="AA59880" s="8"/>
    </row>
    <row r="59881" spans="1:27" x14ac:dyDescent="0.25">
      <c r="A59881" s="8"/>
      <c r="B59881" s="8"/>
      <c r="C59881" s="99"/>
      <c r="D59881" s="8"/>
      <c r="E59881" s="8"/>
      <c r="F59881" s="8"/>
      <c r="G59881" s="8"/>
      <c r="H59881" s="8"/>
      <c r="I59881" s="102"/>
      <c r="J59881" s="8"/>
      <c r="K59881" s="8"/>
      <c r="L59881" s="8"/>
      <c r="M59881" s="8"/>
      <c r="N59881" s="8"/>
      <c r="O59881" s="8"/>
      <c r="P59881" s="8"/>
      <c r="Q59881" s="8"/>
      <c r="R59881" s="103"/>
      <c r="S59881" s="8"/>
      <c r="T59881" s="8"/>
      <c r="U59881" s="8"/>
      <c r="V59881" s="8"/>
      <c r="W59881" s="8"/>
      <c r="X59881" s="8"/>
      <c r="Y59881" s="8"/>
      <c r="Z59881" s="8"/>
      <c r="AA59881" s="8"/>
    </row>
    <row r="59882" spans="1:27" x14ac:dyDescent="0.25">
      <c r="A59882" s="8"/>
      <c r="B59882" s="8"/>
      <c r="C59882" s="99"/>
      <c r="D59882" s="8"/>
      <c r="E59882" s="8"/>
      <c r="F59882" s="8"/>
      <c r="G59882" s="8"/>
      <c r="H59882" s="8"/>
      <c r="I59882" s="102"/>
      <c r="J59882" s="8"/>
      <c r="K59882" s="8"/>
      <c r="L59882" s="8"/>
      <c r="M59882" s="8"/>
      <c r="N59882" s="8"/>
      <c r="O59882" s="8"/>
      <c r="P59882" s="8"/>
      <c r="Q59882" s="8"/>
      <c r="R59882" s="103"/>
      <c r="S59882" s="8"/>
      <c r="T59882" s="8"/>
      <c r="U59882" s="8"/>
      <c r="V59882" s="8"/>
      <c r="W59882" s="8"/>
      <c r="X59882" s="8"/>
      <c r="Y59882" s="8"/>
      <c r="Z59882" s="8"/>
      <c r="AA59882" s="8"/>
    </row>
    <row r="59883" spans="1:27" x14ac:dyDescent="0.25">
      <c r="A59883" s="8"/>
      <c r="B59883" s="8"/>
      <c r="C59883" s="99"/>
      <c r="D59883" s="8"/>
      <c r="E59883" s="8"/>
      <c r="F59883" s="8"/>
      <c r="G59883" s="8"/>
      <c r="H59883" s="8"/>
      <c r="I59883" s="102"/>
      <c r="J59883" s="8"/>
      <c r="K59883" s="8"/>
      <c r="L59883" s="8"/>
      <c r="M59883" s="8"/>
      <c r="N59883" s="8"/>
      <c r="O59883" s="8"/>
      <c r="P59883" s="8"/>
      <c r="Q59883" s="8"/>
      <c r="R59883" s="103"/>
      <c r="S59883" s="8"/>
      <c r="T59883" s="8"/>
      <c r="U59883" s="8"/>
      <c r="V59883" s="8"/>
      <c r="W59883" s="8"/>
      <c r="X59883" s="8"/>
      <c r="Y59883" s="8"/>
      <c r="Z59883" s="8"/>
      <c r="AA59883" s="8"/>
    </row>
    <row r="59884" spans="1:27" x14ac:dyDescent="0.25">
      <c r="A59884" s="8"/>
      <c r="B59884" s="8"/>
      <c r="C59884" s="99"/>
      <c r="D59884" s="8"/>
      <c r="E59884" s="8"/>
      <c r="F59884" s="8"/>
      <c r="G59884" s="8"/>
      <c r="H59884" s="8"/>
      <c r="I59884" s="102"/>
      <c r="J59884" s="8"/>
      <c r="K59884" s="8"/>
      <c r="L59884" s="8"/>
      <c r="M59884" s="8"/>
      <c r="N59884" s="8"/>
      <c r="O59884" s="8"/>
      <c r="P59884" s="8"/>
      <c r="Q59884" s="8"/>
      <c r="R59884" s="103"/>
      <c r="S59884" s="8"/>
      <c r="T59884" s="8"/>
      <c r="U59884" s="8"/>
      <c r="V59884" s="8"/>
      <c r="W59884" s="8"/>
      <c r="X59884" s="8"/>
      <c r="Y59884" s="8"/>
      <c r="Z59884" s="8"/>
      <c r="AA59884" s="8"/>
    </row>
    <row r="59885" spans="1:27" x14ac:dyDescent="0.25">
      <c r="A59885" s="8"/>
      <c r="B59885" s="8"/>
      <c r="C59885" s="99"/>
      <c r="D59885" s="8"/>
      <c r="E59885" s="8"/>
      <c r="F59885" s="8"/>
      <c r="G59885" s="8"/>
      <c r="H59885" s="8"/>
      <c r="I59885" s="102"/>
      <c r="J59885" s="8"/>
      <c r="K59885" s="8"/>
      <c r="L59885" s="8"/>
      <c r="M59885" s="8"/>
      <c r="N59885" s="8"/>
      <c r="O59885" s="8"/>
      <c r="P59885" s="8"/>
      <c r="Q59885" s="8"/>
      <c r="R59885" s="103"/>
      <c r="S59885" s="8"/>
      <c r="T59885" s="8"/>
      <c r="U59885" s="8"/>
      <c r="V59885" s="8"/>
      <c r="W59885" s="8"/>
      <c r="X59885" s="8"/>
      <c r="Y59885" s="8"/>
      <c r="Z59885" s="8"/>
      <c r="AA59885" s="8"/>
    </row>
    <row r="59886" spans="1:27" x14ac:dyDescent="0.25">
      <c r="A59886" s="8"/>
      <c r="B59886" s="8"/>
      <c r="C59886" s="99"/>
      <c r="D59886" s="8"/>
      <c r="E59886" s="8"/>
      <c r="F59886" s="8"/>
      <c r="G59886" s="8"/>
      <c r="H59886" s="8"/>
      <c r="I59886" s="102"/>
      <c r="J59886" s="8"/>
      <c r="K59886" s="8"/>
      <c r="L59886" s="8"/>
      <c r="M59886" s="8"/>
      <c r="N59886" s="8"/>
      <c r="O59886" s="8"/>
      <c r="P59886" s="8"/>
      <c r="Q59886" s="8"/>
      <c r="R59886" s="103"/>
      <c r="S59886" s="8"/>
      <c r="T59886" s="8"/>
      <c r="U59886" s="8"/>
      <c r="V59886" s="8"/>
      <c r="W59886" s="8"/>
      <c r="X59886" s="8"/>
      <c r="Y59886" s="8"/>
      <c r="Z59886" s="8"/>
      <c r="AA59886" s="8"/>
    </row>
    <row r="59887" spans="1:27" x14ac:dyDescent="0.25">
      <c r="A59887" s="8"/>
      <c r="B59887" s="8"/>
      <c r="C59887" s="99"/>
      <c r="D59887" s="8"/>
      <c r="E59887" s="8"/>
      <c r="F59887" s="8"/>
      <c r="G59887" s="8"/>
      <c r="H59887" s="8"/>
      <c r="I59887" s="102"/>
      <c r="J59887" s="8"/>
      <c r="K59887" s="8"/>
      <c r="L59887" s="8"/>
      <c r="M59887" s="8"/>
      <c r="N59887" s="8"/>
      <c r="O59887" s="8"/>
      <c r="P59887" s="8"/>
      <c r="Q59887" s="8"/>
      <c r="R59887" s="103"/>
      <c r="S59887" s="8"/>
      <c r="T59887" s="8"/>
      <c r="U59887" s="8"/>
      <c r="V59887" s="8"/>
      <c r="W59887" s="8"/>
      <c r="X59887" s="8"/>
      <c r="Y59887" s="8"/>
      <c r="Z59887" s="8"/>
      <c r="AA59887" s="8"/>
    </row>
    <row r="59888" spans="1:27" x14ac:dyDescent="0.25">
      <c r="A59888" s="8"/>
      <c r="B59888" s="8"/>
      <c r="C59888" s="99"/>
      <c r="D59888" s="8"/>
      <c r="E59888" s="8"/>
      <c r="F59888" s="8"/>
      <c r="G59888" s="8"/>
      <c r="H59888" s="8"/>
      <c r="I59888" s="102"/>
      <c r="J59888" s="8"/>
      <c r="K59888" s="8"/>
      <c r="L59888" s="8"/>
      <c r="M59888" s="8"/>
      <c r="N59888" s="8"/>
      <c r="O59888" s="8"/>
      <c r="P59888" s="8"/>
      <c r="Q59888" s="8"/>
      <c r="R59888" s="103"/>
      <c r="S59888" s="8"/>
      <c r="T59888" s="8"/>
      <c r="U59888" s="8"/>
      <c r="V59888" s="8"/>
      <c r="W59888" s="8"/>
      <c r="X59888" s="8"/>
      <c r="Y59888" s="8"/>
      <c r="Z59888" s="8"/>
      <c r="AA59888" s="8"/>
    </row>
    <row r="59889" spans="1:27" x14ac:dyDescent="0.25">
      <c r="A59889" s="8"/>
      <c r="B59889" s="8"/>
      <c r="C59889" s="99"/>
      <c r="D59889" s="8"/>
      <c r="E59889" s="8"/>
      <c r="F59889" s="8"/>
      <c r="G59889" s="8"/>
      <c r="H59889" s="8"/>
      <c r="I59889" s="102"/>
      <c r="J59889" s="8"/>
      <c r="K59889" s="8"/>
      <c r="L59889" s="8"/>
      <c r="M59889" s="8"/>
      <c r="N59889" s="8"/>
      <c r="O59889" s="8"/>
      <c r="P59889" s="8"/>
      <c r="Q59889" s="8"/>
      <c r="R59889" s="103"/>
      <c r="S59889" s="8"/>
      <c r="T59889" s="8"/>
      <c r="U59889" s="8"/>
      <c r="V59889" s="8"/>
      <c r="W59889" s="8"/>
      <c r="X59889" s="8"/>
      <c r="Y59889" s="8"/>
      <c r="Z59889" s="8"/>
      <c r="AA59889" s="8"/>
    </row>
    <row r="59890" spans="1:27" x14ac:dyDescent="0.25">
      <c r="A59890" s="8"/>
      <c r="B59890" s="8"/>
      <c r="C59890" s="99"/>
      <c r="D59890" s="8"/>
      <c r="E59890" s="8"/>
      <c r="F59890" s="8"/>
      <c r="G59890" s="8"/>
      <c r="H59890" s="8"/>
      <c r="I59890" s="102"/>
      <c r="J59890" s="8"/>
      <c r="K59890" s="8"/>
      <c r="L59890" s="8"/>
      <c r="M59890" s="8"/>
      <c r="N59890" s="8"/>
      <c r="O59890" s="8"/>
      <c r="P59890" s="8"/>
      <c r="Q59890" s="8"/>
      <c r="R59890" s="103"/>
      <c r="S59890" s="8"/>
      <c r="T59890" s="8"/>
      <c r="U59890" s="8"/>
      <c r="V59890" s="8"/>
      <c r="W59890" s="8"/>
      <c r="X59890" s="8"/>
      <c r="Y59890" s="8"/>
      <c r="Z59890" s="8"/>
      <c r="AA59890" s="8"/>
    </row>
    <row r="59891" spans="1:27" x14ac:dyDescent="0.25">
      <c r="A59891" s="8"/>
      <c r="B59891" s="8"/>
      <c r="C59891" s="99"/>
      <c r="D59891" s="8"/>
      <c r="E59891" s="8"/>
      <c r="F59891" s="8"/>
      <c r="G59891" s="8"/>
      <c r="H59891" s="8"/>
      <c r="I59891" s="102"/>
      <c r="J59891" s="8"/>
      <c r="K59891" s="8"/>
      <c r="L59891" s="8"/>
      <c r="M59891" s="8"/>
      <c r="N59891" s="8"/>
      <c r="O59891" s="8"/>
      <c r="P59891" s="8"/>
      <c r="Q59891" s="8"/>
      <c r="R59891" s="103"/>
      <c r="S59891" s="8"/>
      <c r="T59891" s="8"/>
      <c r="U59891" s="8"/>
      <c r="V59891" s="8"/>
      <c r="W59891" s="8"/>
      <c r="X59891" s="8"/>
      <c r="Y59891" s="8"/>
      <c r="Z59891" s="8"/>
      <c r="AA59891" s="8"/>
    </row>
    <row r="59892" spans="1:27" x14ac:dyDescent="0.25">
      <c r="A59892" s="8"/>
      <c r="B59892" s="8"/>
      <c r="C59892" s="99"/>
      <c r="D59892" s="8"/>
      <c r="E59892" s="8"/>
      <c r="F59892" s="8"/>
      <c r="G59892" s="8"/>
      <c r="H59892" s="8"/>
      <c r="I59892" s="102"/>
      <c r="J59892" s="8"/>
      <c r="K59892" s="8"/>
      <c r="L59892" s="8"/>
      <c r="M59892" s="8"/>
      <c r="N59892" s="8"/>
      <c r="O59892" s="8"/>
      <c r="P59892" s="8"/>
      <c r="Q59892" s="8"/>
      <c r="R59892" s="103"/>
      <c r="S59892" s="8"/>
      <c r="T59892" s="8"/>
      <c r="U59892" s="8"/>
      <c r="V59892" s="8"/>
      <c r="W59892" s="8"/>
      <c r="X59892" s="8"/>
      <c r="Y59892" s="8"/>
      <c r="Z59892" s="8"/>
      <c r="AA59892" s="8"/>
    </row>
    <row r="59893" spans="1:27" x14ac:dyDescent="0.25">
      <c r="A59893" s="8"/>
      <c r="B59893" s="8"/>
      <c r="C59893" s="99"/>
      <c r="D59893" s="8"/>
      <c r="E59893" s="8"/>
      <c r="F59893" s="8"/>
      <c r="G59893" s="8"/>
      <c r="H59893" s="8"/>
      <c r="I59893" s="102"/>
      <c r="J59893" s="8"/>
      <c r="K59893" s="8"/>
      <c r="L59893" s="8"/>
      <c r="M59893" s="8"/>
      <c r="N59893" s="8"/>
      <c r="O59893" s="8"/>
      <c r="P59893" s="8"/>
      <c r="Q59893" s="8"/>
      <c r="R59893" s="103"/>
      <c r="S59893" s="8"/>
      <c r="T59893" s="8"/>
      <c r="U59893" s="8"/>
      <c r="V59893" s="8"/>
      <c r="W59893" s="8"/>
      <c r="X59893" s="8"/>
      <c r="Y59893" s="8"/>
      <c r="Z59893" s="8"/>
      <c r="AA59893" s="8"/>
    </row>
    <row r="59894" spans="1:27" x14ac:dyDescent="0.25">
      <c r="A59894" s="8"/>
      <c r="B59894" s="8"/>
      <c r="C59894" s="99"/>
      <c r="D59894" s="8"/>
      <c r="E59894" s="8"/>
      <c r="F59894" s="8"/>
      <c r="G59894" s="8"/>
      <c r="H59894" s="8"/>
      <c r="I59894" s="102"/>
      <c r="J59894" s="8"/>
      <c r="K59894" s="8"/>
      <c r="L59894" s="8"/>
      <c r="M59894" s="8"/>
      <c r="N59894" s="8"/>
      <c r="O59894" s="8"/>
      <c r="P59894" s="8"/>
      <c r="Q59894" s="8"/>
      <c r="R59894" s="103"/>
      <c r="S59894" s="8"/>
      <c r="T59894" s="8"/>
      <c r="U59894" s="8"/>
      <c r="V59894" s="8"/>
      <c r="W59894" s="8"/>
      <c r="X59894" s="8"/>
      <c r="Y59894" s="8"/>
      <c r="Z59894" s="8"/>
      <c r="AA59894" s="8"/>
    </row>
    <row r="59895" spans="1:27" x14ac:dyDescent="0.25">
      <c r="A59895" s="8"/>
      <c r="B59895" s="8"/>
      <c r="C59895" s="99"/>
      <c r="D59895" s="8"/>
      <c r="E59895" s="8"/>
      <c r="F59895" s="8"/>
      <c r="G59895" s="8"/>
      <c r="H59895" s="8"/>
      <c r="I59895" s="102"/>
      <c r="J59895" s="8"/>
      <c r="K59895" s="8"/>
      <c r="L59895" s="8"/>
      <c r="M59895" s="8"/>
      <c r="N59895" s="8"/>
      <c r="O59895" s="8"/>
      <c r="P59895" s="8"/>
      <c r="Q59895" s="8"/>
      <c r="R59895" s="103"/>
      <c r="S59895" s="8"/>
      <c r="T59895" s="8"/>
      <c r="U59895" s="8"/>
      <c r="V59895" s="8"/>
      <c r="W59895" s="8"/>
      <c r="X59895" s="8"/>
      <c r="Y59895" s="8"/>
      <c r="Z59895" s="8"/>
      <c r="AA59895" s="8"/>
    </row>
    <row r="59896" spans="1:27" x14ac:dyDescent="0.25">
      <c r="A59896" s="8"/>
      <c r="B59896" s="8"/>
      <c r="C59896" s="99"/>
      <c r="D59896" s="8"/>
      <c r="E59896" s="8"/>
      <c r="F59896" s="8"/>
      <c r="G59896" s="8"/>
      <c r="H59896" s="8"/>
      <c r="I59896" s="102"/>
      <c r="J59896" s="8"/>
      <c r="K59896" s="8"/>
      <c r="L59896" s="8"/>
      <c r="M59896" s="8"/>
      <c r="N59896" s="8"/>
      <c r="O59896" s="8"/>
      <c r="P59896" s="8"/>
      <c r="Q59896" s="8"/>
      <c r="R59896" s="103"/>
      <c r="S59896" s="8"/>
      <c r="T59896" s="8"/>
      <c r="U59896" s="8"/>
      <c r="V59896" s="8"/>
      <c r="W59896" s="8"/>
      <c r="X59896" s="8"/>
      <c r="Y59896" s="8"/>
      <c r="Z59896" s="8"/>
      <c r="AA59896" s="8"/>
    </row>
    <row r="59897" spans="1:27" x14ac:dyDescent="0.25">
      <c r="A59897" s="8"/>
      <c r="B59897" s="8"/>
      <c r="C59897" s="99"/>
      <c r="D59897" s="8"/>
      <c r="E59897" s="8"/>
      <c r="F59897" s="8"/>
      <c r="G59897" s="8"/>
      <c r="H59897" s="8"/>
      <c r="I59897" s="102"/>
      <c r="J59897" s="8"/>
      <c r="K59897" s="8"/>
      <c r="L59897" s="8"/>
      <c r="M59897" s="8"/>
      <c r="N59897" s="8"/>
      <c r="O59897" s="8"/>
      <c r="P59897" s="8"/>
      <c r="Q59897" s="8"/>
      <c r="R59897" s="103"/>
      <c r="S59897" s="8"/>
      <c r="T59897" s="8"/>
      <c r="U59897" s="8"/>
      <c r="V59897" s="8"/>
      <c r="W59897" s="8"/>
      <c r="X59897" s="8"/>
      <c r="Y59897" s="8"/>
      <c r="Z59897" s="8"/>
      <c r="AA59897" s="8"/>
    </row>
    <row r="59898" spans="1:27" x14ac:dyDescent="0.25">
      <c r="A59898" s="8"/>
      <c r="B59898" s="8"/>
      <c r="C59898" s="99"/>
      <c r="D59898" s="8"/>
      <c r="E59898" s="8"/>
      <c r="F59898" s="8"/>
      <c r="G59898" s="8"/>
      <c r="H59898" s="8"/>
      <c r="I59898" s="102"/>
      <c r="J59898" s="8"/>
      <c r="K59898" s="8"/>
      <c r="L59898" s="8"/>
      <c r="M59898" s="8"/>
      <c r="N59898" s="8"/>
      <c r="O59898" s="8"/>
      <c r="P59898" s="8"/>
      <c r="Q59898" s="8"/>
      <c r="R59898" s="103"/>
      <c r="S59898" s="8"/>
      <c r="T59898" s="8"/>
      <c r="U59898" s="8"/>
      <c r="V59898" s="8"/>
      <c r="W59898" s="8"/>
      <c r="X59898" s="8"/>
      <c r="Y59898" s="8"/>
      <c r="Z59898" s="8"/>
      <c r="AA59898" s="8"/>
    </row>
    <row r="59899" spans="1:27" x14ac:dyDescent="0.25">
      <c r="A59899" s="8"/>
      <c r="B59899" s="8"/>
      <c r="C59899" s="99"/>
      <c r="D59899" s="8"/>
      <c r="E59899" s="8"/>
      <c r="F59899" s="8"/>
      <c r="G59899" s="8"/>
      <c r="H59899" s="8"/>
      <c r="I59899" s="102"/>
      <c r="J59899" s="8"/>
      <c r="K59899" s="8"/>
      <c r="L59899" s="8"/>
      <c r="M59899" s="8"/>
      <c r="N59899" s="8"/>
      <c r="O59899" s="8"/>
      <c r="P59899" s="8"/>
      <c r="Q59899" s="8"/>
      <c r="R59899" s="103"/>
      <c r="S59899" s="8"/>
      <c r="T59899" s="8"/>
      <c r="U59899" s="8"/>
      <c r="V59899" s="8"/>
      <c r="W59899" s="8"/>
      <c r="X59899" s="8"/>
      <c r="Y59899" s="8"/>
      <c r="Z59899" s="8"/>
      <c r="AA59899" s="8"/>
    </row>
    <row r="59900" spans="1:27" x14ac:dyDescent="0.25">
      <c r="A59900" s="8"/>
      <c r="B59900" s="8"/>
      <c r="C59900" s="99"/>
      <c r="D59900" s="8"/>
      <c r="E59900" s="8"/>
      <c r="F59900" s="8"/>
      <c r="G59900" s="8"/>
      <c r="H59900" s="8"/>
      <c r="I59900" s="102"/>
      <c r="J59900" s="8"/>
      <c r="K59900" s="8"/>
      <c r="L59900" s="8"/>
      <c r="M59900" s="8"/>
      <c r="N59900" s="8"/>
      <c r="O59900" s="8"/>
      <c r="P59900" s="8"/>
      <c r="Q59900" s="8"/>
      <c r="R59900" s="103"/>
      <c r="S59900" s="8"/>
      <c r="T59900" s="8"/>
      <c r="U59900" s="8"/>
      <c r="V59900" s="8"/>
      <c r="W59900" s="8"/>
      <c r="X59900" s="8"/>
      <c r="Y59900" s="8"/>
      <c r="Z59900" s="8"/>
      <c r="AA59900" s="8"/>
    </row>
    <row r="59901" spans="1:27" x14ac:dyDescent="0.25">
      <c r="A59901" s="8"/>
      <c r="B59901" s="8"/>
      <c r="C59901" s="99"/>
      <c r="D59901" s="8"/>
      <c r="E59901" s="8"/>
      <c r="F59901" s="8"/>
      <c r="G59901" s="8"/>
      <c r="H59901" s="8"/>
      <c r="I59901" s="102"/>
      <c r="J59901" s="8"/>
      <c r="K59901" s="8"/>
      <c r="L59901" s="8"/>
      <c r="M59901" s="8"/>
      <c r="N59901" s="8"/>
      <c r="O59901" s="8"/>
      <c r="P59901" s="8"/>
      <c r="Q59901" s="8"/>
      <c r="R59901" s="103"/>
      <c r="S59901" s="8"/>
      <c r="T59901" s="8"/>
      <c r="U59901" s="8"/>
      <c r="V59901" s="8"/>
      <c r="W59901" s="8"/>
      <c r="X59901" s="8"/>
      <c r="Y59901" s="8"/>
      <c r="Z59901" s="8"/>
      <c r="AA59901" s="8"/>
    </row>
    <row r="59902" spans="1:27" x14ac:dyDescent="0.25">
      <c r="A59902" s="8"/>
      <c r="B59902" s="8"/>
      <c r="C59902" s="99"/>
      <c r="D59902" s="8"/>
      <c r="E59902" s="8"/>
      <c r="F59902" s="8"/>
      <c r="G59902" s="8"/>
      <c r="H59902" s="8"/>
      <c r="I59902" s="102"/>
      <c r="J59902" s="8"/>
      <c r="K59902" s="8"/>
      <c r="L59902" s="8"/>
      <c r="M59902" s="8"/>
      <c r="N59902" s="8"/>
      <c r="O59902" s="8"/>
      <c r="P59902" s="8"/>
      <c r="Q59902" s="8"/>
      <c r="R59902" s="103"/>
      <c r="S59902" s="8"/>
      <c r="T59902" s="8"/>
      <c r="U59902" s="8"/>
      <c r="V59902" s="8"/>
      <c r="W59902" s="8"/>
      <c r="X59902" s="8"/>
      <c r="Y59902" s="8"/>
      <c r="Z59902" s="8"/>
      <c r="AA59902" s="8"/>
    </row>
    <row r="59903" spans="1:27" x14ac:dyDescent="0.25">
      <c r="A59903" s="8"/>
      <c r="B59903" s="8"/>
      <c r="C59903" s="99"/>
      <c r="D59903" s="8"/>
      <c r="E59903" s="8"/>
      <c r="F59903" s="8"/>
      <c r="G59903" s="8"/>
      <c r="H59903" s="8"/>
      <c r="I59903" s="102"/>
      <c r="J59903" s="8"/>
      <c r="K59903" s="8"/>
      <c r="L59903" s="8"/>
      <c r="M59903" s="8"/>
      <c r="N59903" s="8"/>
      <c r="O59903" s="8"/>
      <c r="P59903" s="8"/>
      <c r="Q59903" s="8"/>
      <c r="R59903" s="103"/>
      <c r="S59903" s="8"/>
      <c r="T59903" s="8"/>
      <c r="U59903" s="8"/>
      <c r="V59903" s="8"/>
      <c r="W59903" s="8"/>
      <c r="X59903" s="8"/>
      <c r="Y59903" s="8"/>
      <c r="Z59903" s="8"/>
      <c r="AA59903" s="8"/>
    </row>
    <row r="59904" spans="1:27" x14ac:dyDescent="0.25">
      <c r="A59904" s="8"/>
      <c r="B59904" s="8"/>
      <c r="C59904" s="99"/>
      <c r="D59904" s="8"/>
      <c r="E59904" s="8"/>
      <c r="F59904" s="8"/>
      <c r="G59904" s="8"/>
      <c r="H59904" s="8"/>
      <c r="I59904" s="102"/>
      <c r="J59904" s="8"/>
      <c r="K59904" s="8"/>
      <c r="L59904" s="8"/>
      <c r="M59904" s="8"/>
      <c r="N59904" s="8"/>
      <c r="O59904" s="8"/>
      <c r="P59904" s="8"/>
      <c r="Q59904" s="8"/>
      <c r="R59904" s="103"/>
      <c r="S59904" s="8"/>
      <c r="T59904" s="8"/>
      <c r="U59904" s="8"/>
      <c r="V59904" s="8"/>
      <c r="W59904" s="8"/>
      <c r="X59904" s="8"/>
      <c r="Y59904" s="8"/>
      <c r="Z59904" s="8"/>
      <c r="AA59904" s="8"/>
    </row>
    <row r="59905" spans="1:27" x14ac:dyDescent="0.25">
      <c r="A59905" s="8"/>
      <c r="B59905" s="8"/>
      <c r="C59905" s="99"/>
      <c r="D59905" s="8"/>
      <c r="E59905" s="8"/>
      <c r="F59905" s="8"/>
      <c r="G59905" s="8"/>
      <c r="H59905" s="8"/>
      <c r="I59905" s="102"/>
      <c r="J59905" s="8"/>
      <c r="K59905" s="8"/>
      <c r="L59905" s="8"/>
      <c r="M59905" s="8"/>
      <c r="N59905" s="8"/>
      <c r="O59905" s="8"/>
      <c r="P59905" s="8"/>
      <c r="Q59905" s="8"/>
      <c r="R59905" s="103"/>
      <c r="S59905" s="8"/>
      <c r="T59905" s="8"/>
      <c r="U59905" s="8"/>
      <c r="V59905" s="8"/>
      <c r="W59905" s="8"/>
      <c r="X59905" s="8"/>
      <c r="Y59905" s="8"/>
      <c r="Z59905" s="8"/>
      <c r="AA59905" s="8"/>
    </row>
    <row r="59906" spans="1:27" x14ac:dyDescent="0.25">
      <c r="A59906" s="8"/>
      <c r="B59906" s="8"/>
      <c r="C59906" s="99"/>
      <c r="D59906" s="8"/>
      <c r="E59906" s="8"/>
      <c r="F59906" s="8"/>
      <c r="G59906" s="8"/>
      <c r="H59906" s="8"/>
      <c r="I59906" s="102"/>
      <c r="J59906" s="8"/>
      <c r="K59906" s="8"/>
      <c r="L59906" s="8"/>
      <c r="M59906" s="8"/>
      <c r="N59906" s="8"/>
      <c r="O59906" s="8"/>
      <c r="P59906" s="8"/>
      <c r="Q59906" s="8"/>
      <c r="R59906" s="103"/>
      <c r="S59906" s="8"/>
      <c r="T59906" s="8"/>
      <c r="U59906" s="8"/>
      <c r="V59906" s="8"/>
      <c r="W59906" s="8"/>
      <c r="X59906" s="8"/>
      <c r="Y59906" s="8"/>
      <c r="Z59906" s="8"/>
      <c r="AA59906" s="8"/>
    </row>
    <row r="59907" spans="1:27" x14ac:dyDescent="0.25">
      <c r="A59907" s="8"/>
      <c r="B59907" s="8"/>
      <c r="C59907" s="99"/>
      <c r="D59907" s="8"/>
      <c r="E59907" s="8"/>
      <c r="F59907" s="8"/>
      <c r="G59907" s="8"/>
      <c r="H59907" s="8"/>
      <c r="I59907" s="102"/>
      <c r="J59907" s="8"/>
      <c r="K59907" s="8"/>
      <c r="L59907" s="8"/>
      <c r="M59907" s="8"/>
      <c r="N59907" s="8"/>
      <c r="O59907" s="8"/>
      <c r="P59907" s="8"/>
      <c r="Q59907" s="8"/>
      <c r="R59907" s="103"/>
      <c r="S59907" s="8"/>
      <c r="T59907" s="8"/>
      <c r="U59907" s="8"/>
      <c r="V59907" s="8"/>
      <c r="W59907" s="8"/>
      <c r="X59907" s="8"/>
      <c r="Y59907" s="8"/>
      <c r="Z59907" s="8"/>
      <c r="AA59907" s="8"/>
    </row>
    <row r="59908" spans="1:27" x14ac:dyDescent="0.25">
      <c r="A59908" s="8"/>
      <c r="B59908" s="8"/>
      <c r="C59908" s="99"/>
      <c r="D59908" s="8"/>
      <c r="E59908" s="8"/>
      <c r="F59908" s="8"/>
      <c r="G59908" s="8"/>
      <c r="H59908" s="8"/>
      <c r="I59908" s="102"/>
      <c r="J59908" s="8"/>
      <c r="K59908" s="8"/>
      <c r="L59908" s="8"/>
      <c r="M59908" s="8"/>
      <c r="N59908" s="8"/>
      <c r="O59908" s="8"/>
      <c r="P59908" s="8"/>
      <c r="Q59908" s="8"/>
      <c r="R59908" s="103"/>
      <c r="S59908" s="8"/>
      <c r="T59908" s="8"/>
      <c r="U59908" s="8"/>
      <c r="V59908" s="8"/>
      <c r="W59908" s="8"/>
      <c r="X59908" s="8"/>
      <c r="Y59908" s="8"/>
      <c r="Z59908" s="8"/>
      <c r="AA59908" s="8"/>
    </row>
    <row r="59909" spans="1:27" x14ac:dyDescent="0.25">
      <c r="A59909" s="8"/>
      <c r="B59909" s="8"/>
      <c r="C59909" s="99"/>
      <c r="D59909" s="8"/>
      <c r="E59909" s="8"/>
      <c r="F59909" s="8"/>
      <c r="G59909" s="8"/>
      <c r="H59909" s="8"/>
      <c r="I59909" s="102"/>
      <c r="J59909" s="8"/>
      <c r="K59909" s="8"/>
      <c r="L59909" s="8"/>
      <c r="M59909" s="8"/>
      <c r="N59909" s="8"/>
      <c r="O59909" s="8"/>
      <c r="P59909" s="8"/>
      <c r="Q59909" s="8"/>
      <c r="R59909" s="103"/>
      <c r="S59909" s="8"/>
      <c r="T59909" s="8"/>
      <c r="U59909" s="8"/>
      <c r="V59909" s="8"/>
      <c r="W59909" s="8"/>
      <c r="X59909" s="8"/>
      <c r="Y59909" s="8"/>
      <c r="Z59909" s="8"/>
      <c r="AA59909" s="8"/>
    </row>
    <row r="59910" spans="1:27" x14ac:dyDescent="0.25">
      <c r="A59910" s="8"/>
      <c r="B59910" s="8"/>
      <c r="C59910" s="99"/>
      <c r="D59910" s="8"/>
      <c r="E59910" s="8"/>
      <c r="F59910" s="8"/>
      <c r="G59910" s="8"/>
      <c r="H59910" s="8"/>
      <c r="I59910" s="102"/>
      <c r="J59910" s="8"/>
      <c r="K59910" s="8"/>
      <c r="L59910" s="8"/>
      <c r="M59910" s="8"/>
      <c r="N59910" s="8"/>
      <c r="O59910" s="8"/>
      <c r="P59910" s="8"/>
      <c r="Q59910" s="8"/>
      <c r="R59910" s="103"/>
      <c r="S59910" s="8"/>
      <c r="T59910" s="8"/>
      <c r="U59910" s="8"/>
      <c r="V59910" s="8"/>
      <c r="W59910" s="8"/>
      <c r="X59910" s="8"/>
      <c r="Y59910" s="8"/>
      <c r="Z59910" s="8"/>
      <c r="AA59910" s="8"/>
    </row>
    <row r="59911" spans="1:27" x14ac:dyDescent="0.25">
      <c r="A59911" s="8"/>
      <c r="B59911" s="8"/>
      <c r="C59911" s="99"/>
      <c r="D59911" s="8"/>
      <c r="E59911" s="8"/>
      <c r="F59911" s="8"/>
      <c r="G59911" s="8"/>
      <c r="H59911" s="8"/>
      <c r="I59911" s="102"/>
      <c r="J59911" s="8"/>
      <c r="K59911" s="8"/>
      <c r="L59911" s="8"/>
      <c r="M59911" s="8"/>
      <c r="N59911" s="8"/>
      <c r="O59911" s="8"/>
      <c r="P59911" s="8"/>
      <c r="Q59911" s="8"/>
      <c r="R59911" s="103"/>
      <c r="S59911" s="8"/>
      <c r="T59911" s="8"/>
      <c r="U59911" s="8"/>
      <c r="V59911" s="8"/>
      <c r="W59911" s="8"/>
      <c r="X59911" s="8"/>
      <c r="Y59911" s="8"/>
      <c r="Z59911" s="8"/>
      <c r="AA59911" s="8"/>
    </row>
    <row r="59912" spans="1:27" x14ac:dyDescent="0.25">
      <c r="A59912" s="8"/>
      <c r="B59912" s="8"/>
      <c r="C59912" s="99"/>
      <c r="D59912" s="8"/>
      <c r="E59912" s="8"/>
      <c r="F59912" s="8"/>
      <c r="G59912" s="8"/>
      <c r="H59912" s="8"/>
      <c r="I59912" s="102"/>
      <c r="J59912" s="8"/>
      <c r="K59912" s="8"/>
      <c r="L59912" s="8"/>
      <c r="M59912" s="8"/>
      <c r="N59912" s="8"/>
      <c r="O59912" s="8"/>
      <c r="P59912" s="8"/>
      <c r="Q59912" s="8"/>
      <c r="R59912" s="103"/>
      <c r="S59912" s="8"/>
      <c r="T59912" s="8"/>
      <c r="U59912" s="8"/>
      <c r="V59912" s="8"/>
      <c r="W59912" s="8"/>
      <c r="X59912" s="8"/>
      <c r="Y59912" s="8"/>
      <c r="Z59912" s="8"/>
      <c r="AA59912" s="8"/>
    </row>
    <row r="59913" spans="1:27" x14ac:dyDescent="0.25">
      <c r="A59913" s="8"/>
      <c r="B59913" s="8"/>
      <c r="C59913" s="99"/>
      <c r="D59913" s="8"/>
      <c r="E59913" s="8"/>
      <c r="F59913" s="8"/>
      <c r="G59913" s="8"/>
      <c r="H59913" s="8"/>
      <c r="I59913" s="102"/>
      <c r="J59913" s="8"/>
      <c r="K59913" s="8"/>
      <c r="L59913" s="8"/>
      <c r="M59913" s="8"/>
      <c r="N59913" s="8"/>
      <c r="O59913" s="8"/>
      <c r="P59913" s="8"/>
      <c r="Q59913" s="8"/>
      <c r="R59913" s="103"/>
      <c r="S59913" s="8"/>
      <c r="T59913" s="8"/>
      <c r="U59913" s="8"/>
      <c r="V59913" s="8"/>
      <c r="W59913" s="8"/>
      <c r="X59913" s="8"/>
      <c r="Y59913" s="8"/>
      <c r="Z59913" s="8"/>
      <c r="AA59913" s="8"/>
    </row>
    <row r="59914" spans="1:27" x14ac:dyDescent="0.25">
      <c r="A59914" s="8"/>
      <c r="B59914" s="8"/>
      <c r="C59914" s="99"/>
      <c r="D59914" s="8"/>
      <c r="E59914" s="8"/>
      <c r="F59914" s="8"/>
      <c r="G59914" s="8"/>
      <c r="H59914" s="8"/>
      <c r="I59914" s="102"/>
      <c r="J59914" s="8"/>
      <c r="K59914" s="8"/>
      <c r="L59914" s="8"/>
      <c r="M59914" s="8"/>
      <c r="N59914" s="8"/>
      <c r="O59914" s="8"/>
      <c r="P59914" s="8"/>
      <c r="Q59914" s="8"/>
      <c r="R59914" s="103"/>
      <c r="S59914" s="8"/>
      <c r="T59914" s="8"/>
      <c r="U59914" s="8"/>
      <c r="V59914" s="8"/>
      <c r="W59914" s="8"/>
      <c r="X59914" s="8"/>
      <c r="Y59914" s="8"/>
      <c r="Z59914" s="8"/>
      <c r="AA59914" s="8"/>
    </row>
    <row r="59915" spans="1:27" x14ac:dyDescent="0.25">
      <c r="A59915" s="8"/>
      <c r="B59915" s="8"/>
      <c r="C59915" s="99"/>
      <c r="D59915" s="8"/>
      <c r="E59915" s="8"/>
      <c r="F59915" s="8"/>
      <c r="G59915" s="8"/>
      <c r="H59915" s="8"/>
      <c r="I59915" s="102"/>
      <c r="J59915" s="8"/>
      <c r="K59915" s="8"/>
      <c r="L59915" s="8"/>
      <c r="M59915" s="8"/>
      <c r="N59915" s="8"/>
      <c r="O59915" s="8"/>
      <c r="P59915" s="8"/>
      <c r="Q59915" s="8"/>
      <c r="R59915" s="103"/>
      <c r="S59915" s="8"/>
      <c r="T59915" s="8"/>
      <c r="U59915" s="8"/>
      <c r="V59915" s="8"/>
      <c r="W59915" s="8"/>
      <c r="X59915" s="8"/>
      <c r="Y59915" s="8"/>
      <c r="Z59915" s="8"/>
      <c r="AA59915" s="8"/>
    </row>
    <row r="59916" spans="1:27" x14ac:dyDescent="0.25">
      <c r="A59916" s="8"/>
      <c r="B59916" s="8"/>
      <c r="C59916" s="99"/>
      <c r="D59916" s="8"/>
      <c r="E59916" s="8"/>
      <c r="F59916" s="8"/>
      <c r="G59916" s="8"/>
      <c r="H59916" s="8"/>
      <c r="I59916" s="102"/>
      <c r="J59916" s="8"/>
      <c r="K59916" s="8"/>
      <c r="L59916" s="8"/>
      <c r="M59916" s="8"/>
      <c r="N59916" s="8"/>
      <c r="O59916" s="8"/>
      <c r="P59916" s="8"/>
      <c r="Q59916" s="8"/>
      <c r="R59916" s="103"/>
      <c r="S59916" s="8"/>
      <c r="T59916" s="8"/>
      <c r="U59916" s="8"/>
      <c r="V59916" s="8"/>
      <c r="W59916" s="8"/>
      <c r="X59916" s="8"/>
      <c r="Y59916" s="8"/>
      <c r="Z59916" s="8"/>
      <c r="AA59916" s="8"/>
    </row>
    <row r="59917" spans="1:27" x14ac:dyDescent="0.25">
      <c r="A59917" s="8"/>
      <c r="B59917" s="8"/>
      <c r="C59917" s="99"/>
      <c r="D59917" s="8"/>
      <c r="E59917" s="8"/>
      <c r="F59917" s="8"/>
      <c r="G59917" s="8"/>
      <c r="H59917" s="8"/>
      <c r="I59917" s="102"/>
      <c r="J59917" s="8"/>
      <c r="K59917" s="8"/>
      <c r="L59917" s="8"/>
      <c r="M59917" s="8"/>
      <c r="N59917" s="8"/>
      <c r="O59917" s="8"/>
      <c r="P59917" s="8"/>
      <c r="Q59917" s="8"/>
      <c r="R59917" s="103"/>
      <c r="S59917" s="8"/>
      <c r="T59917" s="8"/>
      <c r="U59917" s="8"/>
      <c r="V59917" s="8"/>
      <c r="W59917" s="8"/>
      <c r="X59917" s="8"/>
      <c r="Y59917" s="8"/>
      <c r="Z59917" s="8"/>
      <c r="AA59917" s="8"/>
    </row>
    <row r="59918" spans="1:27" x14ac:dyDescent="0.25">
      <c r="A59918" s="8"/>
      <c r="B59918" s="8"/>
      <c r="C59918" s="99"/>
      <c r="D59918" s="8"/>
      <c r="E59918" s="8"/>
      <c r="F59918" s="8"/>
      <c r="G59918" s="8"/>
      <c r="H59918" s="8"/>
      <c r="I59918" s="102"/>
      <c r="J59918" s="8"/>
      <c r="K59918" s="8"/>
      <c r="L59918" s="8"/>
      <c r="M59918" s="8"/>
      <c r="N59918" s="8"/>
      <c r="O59918" s="8"/>
      <c r="P59918" s="8"/>
      <c r="Q59918" s="8"/>
      <c r="R59918" s="103"/>
      <c r="S59918" s="8"/>
      <c r="T59918" s="8"/>
      <c r="U59918" s="8"/>
      <c r="V59918" s="8"/>
      <c r="W59918" s="8"/>
      <c r="X59918" s="8"/>
      <c r="Y59918" s="8"/>
      <c r="Z59918" s="8"/>
      <c r="AA59918" s="8"/>
    </row>
    <row r="59919" spans="1:27" x14ac:dyDescent="0.25">
      <c r="A59919" s="8"/>
      <c r="B59919" s="8"/>
      <c r="C59919" s="99"/>
      <c r="D59919" s="8"/>
      <c r="E59919" s="8"/>
      <c r="F59919" s="8"/>
      <c r="G59919" s="8"/>
      <c r="H59919" s="8"/>
      <c r="I59919" s="102"/>
      <c r="J59919" s="8"/>
      <c r="K59919" s="8"/>
      <c r="L59919" s="8"/>
      <c r="M59919" s="8"/>
      <c r="N59919" s="8"/>
      <c r="O59919" s="8"/>
      <c r="P59919" s="8"/>
      <c r="Q59919" s="8"/>
      <c r="R59919" s="103"/>
      <c r="S59919" s="8"/>
      <c r="T59919" s="8"/>
      <c r="U59919" s="8"/>
      <c r="V59919" s="8"/>
      <c r="W59919" s="8"/>
      <c r="X59919" s="8"/>
      <c r="Y59919" s="8"/>
      <c r="Z59919" s="8"/>
      <c r="AA59919" s="8"/>
    </row>
    <row r="59920" spans="1:27" x14ac:dyDescent="0.25">
      <c r="A59920" s="8"/>
      <c r="B59920" s="8"/>
      <c r="C59920" s="99"/>
      <c r="D59920" s="8"/>
      <c r="E59920" s="8"/>
      <c r="F59920" s="8"/>
      <c r="G59920" s="8"/>
      <c r="H59920" s="8"/>
      <c r="I59920" s="102"/>
      <c r="J59920" s="8"/>
      <c r="K59920" s="8"/>
      <c r="L59920" s="8"/>
      <c r="M59920" s="8"/>
      <c r="N59920" s="8"/>
      <c r="O59920" s="8"/>
      <c r="P59920" s="8"/>
      <c r="Q59920" s="8"/>
      <c r="R59920" s="103"/>
      <c r="S59920" s="8"/>
      <c r="T59920" s="8"/>
      <c r="U59920" s="8"/>
      <c r="V59920" s="8"/>
      <c r="W59920" s="8"/>
      <c r="X59920" s="8"/>
      <c r="Y59920" s="8"/>
      <c r="Z59920" s="8"/>
      <c r="AA59920" s="8"/>
    </row>
    <row r="59921" spans="1:27" x14ac:dyDescent="0.25">
      <c r="A59921" s="8"/>
      <c r="B59921" s="8"/>
      <c r="C59921" s="99"/>
      <c r="D59921" s="8"/>
      <c r="E59921" s="8"/>
      <c r="F59921" s="8"/>
      <c r="G59921" s="8"/>
      <c r="H59921" s="8"/>
      <c r="I59921" s="102"/>
      <c r="J59921" s="8"/>
      <c r="K59921" s="8"/>
      <c r="L59921" s="8"/>
      <c r="M59921" s="8"/>
      <c r="N59921" s="8"/>
      <c r="O59921" s="8"/>
      <c r="P59921" s="8"/>
      <c r="Q59921" s="8"/>
      <c r="R59921" s="103"/>
      <c r="S59921" s="8"/>
      <c r="T59921" s="8"/>
      <c r="U59921" s="8"/>
      <c r="V59921" s="8"/>
      <c r="W59921" s="8"/>
      <c r="X59921" s="8"/>
      <c r="Y59921" s="8"/>
      <c r="Z59921" s="8"/>
      <c r="AA59921" s="8"/>
    </row>
    <row r="59922" spans="1:27" x14ac:dyDescent="0.25">
      <c r="A59922" s="8"/>
      <c r="B59922" s="8"/>
      <c r="C59922" s="99"/>
      <c r="D59922" s="8"/>
      <c r="E59922" s="8"/>
      <c r="F59922" s="8"/>
      <c r="G59922" s="8"/>
      <c r="H59922" s="8"/>
      <c r="I59922" s="102"/>
      <c r="J59922" s="8"/>
      <c r="K59922" s="8"/>
      <c r="L59922" s="8"/>
      <c r="M59922" s="8"/>
      <c r="N59922" s="8"/>
      <c r="O59922" s="8"/>
      <c r="P59922" s="8"/>
      <c r="Q59922" s="8"/>
      <c r="R59922" s="103"/>
      <c r="S59922" s="8"/>
      <c r="T59922" s="8"/>
      <c r="U59922" s="8"/>
      <c r="V59922" s="8"/>
      <c r="W59922" s="8"/>
      <c r="X59922" s="8"/>
      <c r="Y59922" s="8"/>
      <c r="Z59922" s="8"/>
      <c r="AA59922" s="8"/>
    </row>
    <row r="59923" spans="1:27" x14ac:dyDescent="0.25">
      <c r="A59923" s="8"/>
      <c r="B59923" s="8"/>
      <c r="C59923" s="99"/>
      <c r="D59923" s="8"/>
      <c r="E59923" s="8"/>
      <c r="F59923" s="8"/>
      <c r="G59923" s="8"/>
      <c r="H59923" s="8"/>
      <c r="I59923" s="102"/>
      <c r="J59923" s="8"/>
      <c r="K59923" s="8"/>
      <c r="L59923" s="8"/>
      <c r="M59923" s="8"/>
      <c r="N59923" s="8"/>
      <c r="O59923" s="8"/>
      <c r="P59923" s="8"/>
      <c r="Q59923" s="8"/>
      <c r="R59923" s="103"/>
      <c r="S59923" s="8"/>
      <c r="T59923" s="8"/>
      <c r="U59923" s="8"/>
      <c r="V59923" s="8"/>
      <c r="W59923" s="8"/>
      <c r="X59923" s="8"/>
      <c r="Y59923" s="8"/>
      <c r="Z59923" s="8"/>
      <c r="AA59923" s="8"/>
    </row>
    <row r="59924" spans="1:27" x14ac:dyDescent="0.25">
      <c r="A59924" s="8"/>
      <c r="B59924" s="8"/>
      <c r="C59924" s="99"/>
      <c r="D59924" s="8"/>
      <c r="E59924" s="8"/>
      <c r="F59924" s="8"/>
      <c r="G59924" s="8"/>
      <c r="H59924" s="8"/>
      <c r="I59924" s="102"/>
      <c r="J59924" s="8"/>
      <c r="K59924" s="8"/>
      <c r="L59924" s="8"/>
      <c r="M59924" s="8"/>
      <c r="N59924" s="8"/>
      <c r="O59924" s="8"/>
      <c r="P59924" s="8"/>
      <c r="Q59924" s="8"/>
      <c r="R59924" s="103"/>
      <c r="S59924" s="8"/>
      <c r="T59924" s="8"/>
      <c r="U59924" s="8"/>
      <c r="V59924" s="8"/>
      <c r="W59924" s="8"/>
      <c r="X59924" s="8"/>
      <c r="Y59924" s="8"/>
      <c r="Z59924" s="8"/>
      <c r="AA59924" s="8"/>
    </row>
    <row r="59925" spans="1:27" x14ac:dyDescent="0.25">
      <c r="A59925" s="8"/>
      <c r="B59925" s="8"/>
      <c r="C59925" s="99"/>
      <c r="D59925" s="8"/>
      <c r="E59925" s="8"/>
      <c r="F59925" s="8"/>
      <c r="G59925" s="8"/>
      <c r="H59925" s="8"/>
      <c r="I59925" s="102"/>
      <c r="J59925" s="8"/>
      <c r="K59925" s="8"/>
      <c r="L59925" s="8"/>
      <c r="M59925" s="8"/>
      <c r="N59925" s="8"/>
      <c r="O59925" s="8"/>
      <c r="P59925" s="8"/>
      <c r="Q59925" s="8"/>
      <c r="R59925" s="103"/>
      <c r="S59925" s="8"/>
      <c r="T59925" s="8"/>
      <c r="U59925" s="8"/>
      <c r="V59925" s="8"/>
      <c r="W59925" s="8"/>
      <c r="X59925" s="8"/>
      <c r="Y59925" s="8"/>
      <c r="Z59925" s="8"/>
      <c r="AA59925" s="8"/>
    </row>
    <row r="59926" spans="1:27" x14ac:dyDescent="0.25">
      <c r="A59926" s="8"/>
      <c r="B59926" s="8"/>
      <c r="C59926" s="99"/>
      <c r="D59926" s="8"/>
      <c r="E59926" s="8"/>
      <c r="F59926" s="8"/>
      <c r="G59926" s="8"/>
      <c r="H59926" s="8"/>
      <c r="I59926" s="102"/>
      <c r="J59926" s="8"/>
      <c r="K59926" s="8"/>
      <c r="L59926" s="8"/>
      <c r="M59926" s="8"/>
      <c r="N59926" s="8"/>
      <c r="O59926" s="8"/>
      <c r="P59926" s="8"/>
      <c r="Q59926" s="8"/>
      <c r="R59926" s="103"/>
      <c r="S59926" s="8"/>
      <c r="T59926" s="8"/>
      <c r="U59926" s="8"/>
      <c r="V59926" s="8"/>
      <c r="W59926" s="8"/>
      <c r="X59926" s="8"/>
      <c r="Y59926" s="8"/>
      <c r="Z59926" s="8"/>
      <c r="AA59926" s="8"/>
    </row>
    <row r="59927" spans="1:27" x14ac:dyDescent="0.25">
      <c r="A59927" s="8"/>
      <c r="B59927" s="8"/>
      <c r="C59927" s="99"/>
      <c r="D59927" s="8"/>
      <c r="E59927" s="8"/>
      <c r="F59927" s="8"/>
      <c r="G59927" s="8"/>
      <c r="H59927" s="8"/>
      <c r="I59927" s="102"/>
      <c r="J59927" s="8"/>
      <c r="K59927" s="8"/>
      <c r="L59927" s="8"/>
      <c r="M59927" s="8"/>
      <c r="N59927" s="8"/>
      <c r="O59927" s="8"/>
      <c r="P59927" s="8"/>
      <c r="Q59927" s="8"/>
      <c r="R59927" s="103"/>
      <c r="S59927" s="8"/>
      <c r="T59927" s="8"/>
      <c r="U59927" s="8"/>
      <c r="V59927" s="8"/>
      <c r="W59927" s="8"/>
      <c r="X59927" s="8"/>
      <c r="Y59927" s="8"/>
      <c r="Z59927" s="8"/>
      <c r="AA59927" s="8"/>
    </row>
    <row r="59928" spans="1:27" x14ac:dyDescent="0.25">
      <c r="A59928" s="8"/>
      <c r="B59928" s="8"/>
      <c r="C59928" s="99"/>
      <c r="D59928" s="8"/>
      <c r="E59928" s="8"/>
      <c r="F59928" s="8"/>
      <c r="G59928" s="8"/>
      <c r="H59928" s="8"/>
      <c r="I59928" s="102"/>
      <c r="J59928" s="8"/>
      <c r="K59928" s="8"/>
      <c r="L59928" s="8"/>
      <c r="M59928" s="8"/>
      <c r="N59928" s="8"/>
      <c r="O59928" s="8"/>
      <c r="P59928" s="8"/>
      <c r="Q59928" s="8"/>
      <c r="R59928" s="103"/>
      <c r="S59928" s="8"/>
      <c r="T59928" s="8"/>
      <c r="U59928" s="8"/>
      <c r="V59928" s="8"/>
      <c r="W59928" s="8"/>
      <c r="X59928" s="8"/>
      <c r="Y59928" s="8"/>
      <c r="Z59928" s="8"/>
      <c r="AA59928" s="8"/>
    </row>
    <row r="59929" spans="1:27" x14ac:dyDescent="0.25">
      <c r="A59929" s="8"/>
      <c r="B59929" s="8"/>
      <c r="C59929" s="99"/>
      <c r="D59929" s="8"/>
      <c r="E59929" s="8"/>
      <c r="F59929" s="8"/>
      <c r="G59929" s="8"/>
      <c r="H59929" s="8"/>
      <c r="I59929" s="102"/>
      <c r="J59929" s="8"/>
      <c r="K59929" s="8"/>
      <c r="L59929" s="8"/>
      <c r="M59929" s="8"/>
      <c r="N59929" s="8"/>
      <c r="O59929" s="8"/>
      <c r="P59929" s="8"/>
      <c r="Q59929" s="8"/>
      <c r="R59929" s="103"/>
      <c r="S59929" s="8"/>
      <c r="T59929" s="8"/>
      <c r="U59929" s="8"/>
      <c r="V59929" s="8"/>
      <c r="W59929" s="8"/>
      <c r="X59929" s="8"/>
      <c r="Y59929" s="8"/>
      <c r="Z59929" s="8"/>
      <c r="AA59929" s="8"/>
    </row>
    <row r="59930" spans="1:27" x14ac:dyDescent="0.25">
      <c r="A59930" s="8"/>
      <c r="B59930" s="8"/>
      <c r="C59930" s="99"/>
      <c r="D59930" s="8"/>
      <c r="E59930" s="8"/>
      <c r="F59930" s="8"/>
      <c r="G59930" s="8"/>
      <c r="H59930" s="8"/>
      <c r="I59930" s="102"/>
      <c r="J59930" s="8"/>
      <c r="K59930" s="8"/>
      <c r="L59930" s="8"/>
      <c r="M59930" s="8"/>
      <c r="N59930" s="8"/>
      <c r="O59930" s="8"/>
      <c r="P59930" s="8"/>
      <c r="Q59930" s="8"/>
      <c r="R59930" s="103"/>
      <c r="S59930" s="8"/>
      <c r="T59930" s="8"/>
      <c r="U59930" s="8"/>
      <c r="V59930" s="8"/>
      <c r="W59930" s="8"/>
      <c r="X59930" s="8"/>
      <c r="Y59930" s="8"/>
      <c r="Z59930" s="8"/>
      <c r="AA59930" s="8"/>
    </row>
    <row r="59931" spans="1:27" x14ac:dyDescent="0.25">
      <c r="A59931" s="8"/>
      <c r="B59931" s="8"/>
      <c r="C59931" s="99"/>
      <c r="D59931" s="8"/>
      <c r="E59931" s="8"/>
      <c r="F59931" s="8"/>
      <c r="G59931" s="8"/>
      <c r="H59931" s="8"/>
      <c r="I59931" s="102"/>
      <c r="J59931" s="8"/>
      <c r="K59931" s="8"/>
      <c r="L59931" s="8"/>
      <c r="M59931" s="8"/>
      <c r="N59931" s="8"/>
      <c r="O59931" s="8"/>
      <c r="P59931" s="8"/>
      <c r="Q59931" s="8"/>
      <c r="R59931" s="103"/>
      <c r="S59931" s="8"/>
      <c r="T59931" s="8"/>
      <c r="U59931" s="8"/>
      <c r="V59931" s="8"/>
      <c r="W59931" s="8"/>
      <c r="X59931" s="8"/>
      <c r="Y59931" s="8"/>
      <c r="Z59931" s="8"/>
      <c r="AA59931" s="8"/>
    </row>
    <row r="59932" spans="1:27" x14ac:dyDescent="0.25">
      <c r="A59932" s="8"/>
      <c r="B59932" s="8"/>
      <c r="C59932" s="99"/>
      <c r="D59932" s="8"/>
      <c r="E59932" s="8"/>
      <c r="F59932" s="8"/>
      <c r="G59932" s="8"/>
      <c r="H59932" s="8"/>
      <c r="I59932" s="102"/>
      <c r="J59932" s="8"/>
      <c r="K59932" s="8"/>
      <c r="L59932" s="8"/>
      <c r="M59932" s="8"/>
      <c r="N59932" s="8"/>
      <c r="O59932" s="8"/>
      <c r="P59932" s="8"/>
      <c r="Q59932" s="8"/>
      <c r="R59932" s="103"/>
      <c r="S59932" s="8"/>
      <c r="T59932" s="8"/>
      <c r="U59932" s="8"/>
      <c r="V59932" s="8"/>
      <c r="W59932" s="8"/>
      <c r="X59932" s="8"/>
      <c r="Y59932" s="8"/>
      <c r="Z59932" s="8"/>
      <c r="AA59932" s="8"/>
    </row>
    <row r="59933" spans="1:27" x14ac:dyDescent="0.25">
      <c r="A59933" s="8"/>
      <c r="B59933" s="8"/>
      <c r="C59933" s="99"/>
      <c r="D59933" s="8"/>
      <c r="E59933" s="8"/>
      <c r="F59933" s="8"/>
      <c r="G59933" s="8"/>
      <c r="H59933" s="8"/>
      <c r="I59933" s="102"/>
      <c r="J59933" s="8"/>
      <c r="K59933" s="8"/>
      <c r="L59933" s="8"/>
      <c r="M59933" s="8"/>
      <c r="N59933" s="8"/>
      <c r="O59933" s="8"/>
      <c r="P59933" s="8"/>
      <c r="Q59933" s="8"/>
      <c r="R59933" s="103"/>
      <c r="S59933" s="8"/>
      <c r="T59933" s="8"/>
      <c r="U59933" s="8"/>
      <c r="V59933" s="8"/>
      <c r="W59933" s="8"/>
      <c r="X59933" s="8"/>
      <c r="Y59933" s="8"/>
      <c r="Z59933" s="8"/>
      <c r="AA59933" s="8"/>
    </row>
    <row r="59934" spans="1:27" x14ac:dyDescent="0.25">
      <c r="A59934" s="8"/>
      <c r="B59934" s="8"/>
      <c r="C59934" s="99"/>
      <c r="D59934" s="8"/>
      <c r="E59934" s="8"/>
      <c r="F59934" s="8"/>
      <c r="G59934" s="8"/>
      <c r="H59934" s="8"/>
      <c r="I59934" s="102"/>
      <c r="J59934" s="8"/>
      <c r="K59934" s="8"/>
      <c r="L59934" s="8"/>
      <c r="M59934" s="8"/>
      <c r="N59934" s="8"/>
      <c r="O59934" s="8"/>
      <c r="P59934" s="8"/>
      <c r="Q59934" s="8"/>
      <c r="R59934" s="103"/>
      <c r="S59934" s="8"/>
      <c r="T59934" s="8"/>
      <c r="U59934" s="8"/>
      <c r="V59934" s="8"/>
      <c r="W59934" s="8"/>
      <c r="X59934" s="8"/>
      <c r="Y59934" s="8"/>
      <c r="Z59934" s="8"/>
      <c r="AA59934" s="8"/>
    </row>
    <row r="59935" spans="1:27" x14ac:dyDescent="0.25">
      <c r="A59935" s="8"/>
      <c r="B59935" s="8"/>
      <c r="C59935" s="99"/>
      <c r="D59935" s="8"/>
      <c r="E59935" s="8"/>
      <c r="F59935" s="8"/>
      <c r="G59935" s="8"/>
      <c r="H59935" s="8"/>
      <c r="I59935" s="102"/>
      <c r="J59935" s="8"/>
      <c r="K59935" s="8"/>
      <c r="L59935" s="8"/>
      <c r="M59935" s="8"/>
      <c r="N59935" s="8"/>
      <c r="O59935" s="8"/>
      <c r="P59935" s="8"/>
      <c r="Q59935" s="8"/>
      <c r="R59935" s="103"/>
      <c r="S59935" s="8"/>
      <c r="T59935" s="8"/>
      <c r="U59935" s="8"/>
      <c r="V59935" s="8"/>
      <c r="W59935" s="8"/>
      <c r="X59935" s="8"/>
      <c r="Y59935" s="8"/>
      <c r="Z59935" s="8"/>
      <c r="AA59935" s="8"/>
    </row>
    <row r="59936" spans="1:27" x14ac:dyDescent="0.25">
      <c r="A59936" s="8"/>
      <c r="B59936" s="8"/>
      <c r="C59936" s="99"/>
      <c r="D59936" s="8"/>
      <c r="E59936" s="8"/>
      <c r="F59936" s="8"/>
      <c r="G59936" s="8"/>
      <c r="H59936" s="8"/>
      <c r="I59936" s="102"/>
      <c r="J59936" s="8"/>
      <c r="K59936" s="8"/>
      <c r="L59936" s="8"/>
      <c r="M59936" s="8"/>
      <c r="N59936" s="8"/>
      <c r="O59936" s="8"/>
      <c r="P59936" s="8"/>
      <c r="Q59936" s="8"/>
      <c r="R59936" s="103"/>
      <c r="S59936" s="8"/>
      <c r="T59936" s="8"/>
      <c r="U59936" s="8"/>
      <c r="V59936" s="8"/>
      <c r="W59936" s="8"/>
      <c r="X59936" s="8"/>
      <c r="Y59936" s="8"/>
      <c r="Z59936" s="8"/>
      <c r="AA59936" s="8"/>
    </row>
    <row r="59937" spans="1:27" x14ac:dyDescent="0.25">
      <c r="A59937" s="8"/>
      <c r="B59937" s="8"/>
      <c r="C59937" s="99"/>
      <c r="D59937" s="8"/>
      <c r="E59937" s="8"/>
      <c r="F59937" s="8"/>
      <c r="G59937" s="8"/>
      <c r="H59937" s="8"/>
      <c r="I59937" s="102"/>
      <c r="J59937" s="8"/>
      <c r="K59937" s="8"/>
      <c r="L59937" s="8"/>
      <c r="M59937" s="8"/>
      <c r="N59937" s="8"/>
      <c r="O59937" s="8"/>
      <c r="P59937" s="8"/>
      <c r="Q59937" s="8"/>
      <c r="R59937" s="103"/>
      <c r="S59937" s="8"/>
      <c r="T59937" s="8"/>
      <c r="U59937" s="8"/>
      <c r="V59937" s="8"/>
      <c r="W59937" s="8"/>
      <c r="X59937" s="8"/>
      <c r="Y59937" s="8"/>
      <c r="Z59937" s="8"/>
      <c r="AA59937" s="8"/>
    </row>
    <row r="59938" spans="1:27" x14ac:dyDescent="0.25">
      <c r="A59938" s="8"/>
      <c r="B59938" s="8"/>
      <c r="C59938" s="99"/>
      <c r="D59938" s="8"/>
      <c r="E59938" s="8"/>
      <c r="F59938" s="8"/>
      <c r="G59938" s="8"/>
      <c r="H59938" s="8"/>
      <c r="I59938" s="102"/>
      <c r="J59938" s="8"/>
      <c r="K59938" s="8"/>
      <c r="L59938" s="8"/>
      <c r="M59938" s="8"/>
      <c r="N59938" s="8"/>
      <c r="O59938" s="8"/>
      <c r="P59938" s="8"/>
      <c r="Q59938" s="8"/>
      <c r="R59938" s="103"/>
      <c r="S59938" s="8"/>
      <c r="T59938" s="8"/>
      <c r="U59938" s="8"/>
      <c r="V59938" s="8"/>
      <c r="W59938" s="8"/>
      <c r="X59938" s="8"/>
      <c r="Y59938" s="8"/>
      <c r="Z59938" s="8"/>
      <c r="AA59938" s="8"/>
    </row>
    <row r="59939" spans="1:27" x14ac:dyDescent="0.25">
      <c r="A59939" s="8"/>
      <c r="B59939" s="8"/>
      <c r="C59939" s="99"/>
      <c r="D59939" s="8"/>
      <c r="E59939" s="8"/>
      <c r="F59939" s="8"/>
      <c r="G59939" s="8"/>
      <c r="H59939" s="8"/>
      <c r="I59939" s="102"/>
      <c r="J59939" s="8"/>
      <c r="K59939" s="8"/>
      <c r="L59939" s="8"/>
      <c r="M59939" s="8"/>
      <c r="N59939" s="8"/>
      <c r="O59939" s="8"/>
      <c r="P59939" s="8"/>
      <c r="Q59939" s="8"/>
      <c r="R59939" s="103"/>
      <c r="S59939" s="8"/>
      <c r="T59939" s="8"/>
      <c r="U59939" s="8"/>
      <c r="V59939" s="8"/>
      <c r="W59939" s="8"/>
      <c r="X59939" s="8"/>
      <c r="Y59939" s="8"/>
      <c r="Z59939" s="8"/>
      <c r="AA59939" s="8"/>
    </row>
    <row r="59940" spans="1:27" x14ac:dyDescent="0.25">
      <c r="A59940" s="8"/>
      <c r="B59940" s="8"/>
      <c r="C59940" s="99"/>
      <c r="D59940" s="8"/>
      <c r="E59940" s="8"/>
      <c r="F59940" s="8"/>
      <c r="G59940" s="8"/>
      <c r="H59940" s="8"/>
      <c r="I59940" s="102"/>
      <c r="J59940" s="8"/>
      <c r="K59940" s="8"/>
      <c r="L59940" s="8"/>
      <c r="M59940" s="8"/>
      <c r="N59940" s="8"/>
      <c r="O59940" s="8"/>
      <c r="P59940" s="8"/>
      <c r="Q59940" s="8"/>
      <c r="R59940" s="103"/>
      <c r="S59940" s="8"/>
      <c r="T59940" s="8"/>
      <c r="U59940" s="8"/>
      <c r="V59940" s="8"/>
      <c r="W59940" s="8"/>
      <c r="X59940" s="8"/>
      <c r="Y59940" s="8"/>
      <c r="Z59940" s="8"/>
      <c r="AA59940" s="8"/>
    </row>
    <row r="59941" spans="1:27" x14ac:dyDescent="0.25">
      <c r="A59941" s="8"/>
      <c r="B59941" s="8"/>
      <c r="C59941" s="99"/>
      <c r="D59941" s="8"/>
      <c r="E59941" s="8"/>
      <c r="F59941" s="8"/>
      <c r="G59941" s="8"/>
      <c r="H59941" s="8"/>
      <c r="I59941" s="102"/>
      <c r="J59941" s="8"/>
      <c r="K59941" s="8"/>
      <c r="L59941" s="8"/>
      <c r="M59941" s="8"/>
      <c r="N59941" s="8"/>
      <c r="O59941" s="8"/>
      <c r="P59941" s="8"/>
      <c r="Q59941" s="8"/>
      <c r="R59941" s="103"/>
      <c r="S59941" s="8"/>
      <c r="T59941" s="8"/>
      <c r="U59941" s="8"/>
      <c r="V59941" s="8"/>
      <c r="W59941" s="8"/>
      <c r="X59941" s="8"/>
      <c r="Y59941" s="8"/>
      <c r="Z59941" s="8"/>
      <c r="AA59941" s="8"/>
    </row>
    <row r="59942" spans="1:27" x14ac:dyDescent="0.25">
      <c r="A59942" s="8"/>
      <c r="B59942" s="8"/>
      <c r="C59942" s="99"/>
      <c r="D59942" s="8"/>
      <c r="E59942" s="8"/>
      <c r="F59942" s="8"/>
      <c r="G59942" s="8"/>
      <c r="H59942" s="8"/>
      <c r="I59942" s="102"/>
      <c r="J59942" s="8"/>
      <c r="K59942" s="8"/>
      <c r="L59942" s="8"/>
      <c r="M59942" s="8"/>
      <c r="N59942" s="8"/>
      <c r="O59942" s="8"/>
      <c r="P59942" s="8"/>
      <c r="Q59942" s="8"/>
      <c r="R59942" s="103"/>
      <c r="S59942" s="8"/>
      <c r="T59942" s="8"/>
      <c r="U59942" s="8"/>
      <c r="V59942" s="8"/>
      <c r="W59942" s="8"/>
      <c r="X59942" s="8"/>
      <c r="Y59942" s="8"/>
      <c r="Z59942" s="8"/>
      <c r="AA59942" s="8"/>
    </row>
    <row r="59943" spans="1:27" x14ac:dyDescent="0.25">
      <c r="A59943" s="8"/>
      <c r="B59943" s="8"/>
      <c r="C59943" s="99"/>
      <c r="D59943" s="8"/>
      <c r="E59943" s="8"/>
      <c r="F59943" s="8"/>
      <c r="G59943" s="8"/>
      <c r="H59943" s="8"/>
      <c r="I59943" s="102"/>
      <c r="J59943" s="8"/>
      <c r="K59943" s="8"/>
      <c r="L59943" s="8"/>
      <c r="M59943" s="8"/>
      <c r="N59943" s="8"/>
      <c r="O59943" s="8"/>
      <c r="P59943" s="8"/>
      <c r="Q59943" s="8"/>
      <c r="R59943" s="103"/>
      <c r="S59943" s="8"/>
      <c r="T59943" s="8"/>
      <c r="U59943" s="8"/>
      <c r="V59943" s="8"/>
      <c r="W59943" s="8"/>
      <c r="X59943" s="8"/>
      <c r="Y59943" s="8"/>
      <c r="Z59943" s="8"/>
      <c r="AA59943" s="8"/>
    </row>
    <row r="59944" spans="1:27" x14ac:dyDescent="0.25">
      <c r="A59944" s="8"/>
      <c r="B59944" s="8"/>
      <c r="C59944" s="99"/>
      <c r="D59944" s="8"/>
      <c r="E59944" s="8"/>
      <c r="F59944" s="8"/>
      <c r="G59944" s="8"/>
      <c r="H59944" s="8"/>
      <c r="I59944" s="102"/>
      <c r="J59944" s="8"/>
      <c r="K59944" s="8"/>
      <c r="L59944" s="8"/>
      <c r="M59944" s="8"/>
      <c r="N59944" s="8"/>
      <c r="O59944" s="8"/>
      <c r="P59944" s="8"/>
      <c r="Q59944" s="8"/>
      <c r="R59944" s="103"/>
      <c r="S59944" s="8"/>
      <c r="T59944" s="8"/>
      <c r="U59944" s="8"/>
      <c r="V59944" s="8"/>
      <c r="W59944" s="8"/>
      <c r="X59944" s="8"/>
      <c r="Y59944" s="8"/>
      <c r="Z59944" s="8"/>
      <c r="AA59944" s="8"/>
    </row>
    <row r="59945" spans="1:27" x14ac:dyDescent="0.25">
      <c r="A59945" s="8"/>
      <c r="B59945" s="8"/>
      <c r="C59945" s="99"/>
      <c r="D59945" s="8"/>
      <c r="E59945" s="8"/>
      <c r="F59945" s="8"/>
      <c r="G59945" s="8"/>
      <c r="H59945" s="8"/>
      <c r="I59945" s="102"/>
      <c r="J59945" s="8"/>
      <c r="K59945" s="8"/>
      <c r="L59945" s="8"/>
      <c r="M59945" s="8"/>
      <c r="N59945" s="8"/>
      <c r="O59945" s="8"/>
      <c r="P59945" s="8"/>
      <c r="Q59945" s="8"/>
      <c r="R59945" s="103"/>
      <c r="S59945" s="8"/>
      <c r="T59945" s="8"/>
      <c r="U59945" s="8"/>
      <c r="V59945" s="8"/>
      <c r="W59945" s="8"/>
      <c r="X59945" s="8"/>
      <c r="Y59945" s="8"/>
      <c r="Z59945" s="8"/>
      <c r="AA59945" s="8"/>
    </row>
    <row r="59946" spans="1:27" x14ac:dyDescent="0.25">
      <c r="A59946" s="8"/>
      <c r="B59946" s="8"/>
      <c r="C59946" s="99"/>
      <c r="D59946" s="8"/>
      <c r="E59946" s="8"/>
      <c r="F59946" s="8"/>
      <c r="G59946" s="8"/>
      <c r="H59946" s="8"/>
      <c r="I59946" s="102"/>
      <c r="J59946" s="8"/>
      <c r="K59946" s="8"/>
      <c r="L59946" s="8"/>
      <c r="M59946" s="8"/>
      <c r="N59946" s="8"/>
      <c r="O59946" s="8"/>
      <c r="P59946" s="8"/>
      <c r="Q59946" s="8"/>
      <c r="R59946" s="103"/>
      <c r="S59946" s="8"/>
      <c r="T59946" s="8"/>
      <c r="U59946" s="8"/>
      <c r="V59946" s="8"/>
      <c r="W59946" s="8"/>
      <c r="X59946" s="8"/>
      <c r="Y59946" s="8"/>
      <c r="Z59946" s="8"/>
      <c r="AA59946" s="8"/>
    </row>
    <row r="59947" spans="1:27" x14ac:dyDescent="0.25">
      <c r="A59947" s="8"/>
      <c r="B59947" s="8"/>
      <c r="C59947" s="99"/>
      <c r="D59947" s="8"/>
      <c r="E59947" s="8"/>
      <c r="F59947" s="8"/>
      <c r="G59947" s="8"/>
      <c r="H59947" s="8"/>
      <c r="I59947" s="102"/>
      <c r="J59947" s="8"/>
      <c r="K59947" s="8"/>
      <c r="L59947" s="8"/>
      <c r="M59947" s="8"/>
      <c r="N59947" s="8"/>
      <c r="O59947" s="8"/>
      <c r="P59947" s="8"/>
      <c r="Q59947" s="8"/>
      <c r="R59947" s="103"/>
      <c r="S59947" s="8"/>
      <c r="T59947" s="8"/>
      <c r="U59947" s="8"/>
      <c r="V59947" s="8"/>
      <c r="W59947" s="8"/>
      <c r="X59947" s="8"/>
      <c r="Y59947" s="8"/>
      <c r="Z59947" s="8"/>
      <c r="AA59947" s="8"/>
    </row>
    <row r="59948" spans="1:27" x14ac:dyDescent="0.25">
      <c r="A59948" s="8"/>
      <c r="B59948" s="8"/>
      <c r="C59948" s="99"/>
      <c r="D59948" s="8"/>
      <c r="E59948" s="8"/>
      <c r="F59948" s="8"/>
      <c r="G59948" s="8"/>
      <c r="H59948" s="8"/>
      <c r="I59948" s="102"/>
      <c r="J59948" s="8"/>
      <c r="K59948" s="8"/>
      <c r="L59948" s="8"/>
      <c r="M59948" s="8"/>
      <c r="N59948" s="8"/>
      <c r="O59948" s="8"/>
      <c r="P59948" s="8"/>
      <c r="Q59948" s="8"/>
      <c r="R59948" s="103"/>
      <c r="S59948" s="8"/>
      <c r="T59948" s="8"/>
      <c r="U59948" s="8"/>
      <c r="V59948" s="8"/>
      <c r="W59948" s="8"/>
      <c r="X59948" s="8"/>
      <c r="Y59948" s="8"/>
      <c r="Z59948" s="8"/>
      <c r="AA59948" s="8"/>
    </row>
    <row r="59949" spans="1:27" x14ac:dyDescent="0.25">
      <c r="A59949" s="8"/>
      <c r="B59949" s="8"/>
      <c r="C59949" s="99"/>
      <c r="D59949" s="8"/>
      <c r="E59949" s="8"/>
      <c r="F59949" s="8"/>
      <c r="G59949" s="8"/>
      <c r="H59949" s="8"/>
      <c r="I59949" s="102"/>
      <c r="J59949" s="8"/>
      <c r="K59949" s="8"/>
      <c r="L59949" s="8"/>
      <c r="M59949" s="8"/>
      <c r="N59949" s="8"/>
      <c r="O59949" s="8"/>
      <c r="P59949" s="8"/>
      <c r="Q59949" s="8"/>
      <c r="R59949" s="103"/>
      <c r="S59949" s="8"/>
      <c r="T59949" s="8"/>
      <c r="U59949" s="8"/>
      <c r="V59949" s="8"/>
      <c r="W59949" s="8"/>
      <c r="X59949" s="8"/>
      <c r="Y59949" s="8"/>
      <c r="Z59949" s="8"/>
      <c r="AA59949" s="8"/>
    </row>
    <row r="59950" spans="1:27" x14ac:dyDescent="0.25">
      <c r="A59950" s="8"/>
      <c r="B59950" s="8"/>
      <c r="C59950" s="99"/>
      <c r="D59950" s="8"/>
      <c r="E59950" s="8"/>
      <c r="F59950" s="8"/>
      <c r="G59950" s="8"/>
      <c r="H59950" s="8"/>
      <c r="I59950" s="102"/>
      <c r="J59950" s="8"/>
      <c r="K59950" s="8"/>
      <c r="L59950" s="8"/>
      <c r="M59950" s="8"/>
      <c r="N59950" s="8"/>
      <c r="O59950" s="8"/>
      <c r="P59950" s="8"/>
      <c r="Q59950" s="8"/>
      <c r="R59950" s="103"/>
      <c r="S59950" s="8"/>
      <c r="T59950" s="8"/>
      <c r="U59950" s="8"/>
      <c r="V59950" s="8"/>
      <c r="W59950" s="8"/>
      <c r="X59950" s="8"/>
      <c r="Y59950" s="8"/>
      <c r="Z59950" s="8"/>
      <c r="AA59950" s="8"/>
    </row>
    <row r="59951" spans="1:27" x14ac:dyDescent="0.25">
      <c r="A59951" s="8"/>
      <c r="B59951" s="8"/>
      <c r="C59951" s="99"/>
      <c r="D59951" s="8"/>
      <c r="E59951" s="8"/>
      <c r="F59951" s="8"/>
      <c r="G59951" s="8"/>
      <c r="H59951" s="8"/>
      <c r="I59951" s="102"/>
      <c r="J59951" s="8"/>
      <c r="K59951" s="8"/>
      <c r="L59951" s="8"/>
      <c r="M59951" s="8"/>
      <c r="N59951" s="8"/>
      <c r="O59951" s="8"/>
      <c r="P59951" s="8"/>
      <c r="Q59951" s="8"/>
      <c r="R59951" s="103"/>
      <c r="S59951" s="8"/>
      <c r="T59951" s="8"/>
      <c r="U59951" s="8"/>
      <c r="V59951" s="8"/>
      <c r="W59951" s="8"/>
      <c r="X59951" s="8"/>
      <c r="Y59951" s="8"/>
      <c r="Z59951" s="8"/>
      <c r="AA59951" s="8"/>
    </row>
    <row r="59952" spans="1:27" x14ac:dyDescent="0.25">
      <c r="A59952" s="8"/>
      <c r="B59952" s="8"/>
      <c r="C59952" s="99"/>
      <c r="D59952" s="8"/>
      <c r="E59952" s="8"/>
      <c r="F59952" s="8"/>
      <c r="G59952" s="8"/>
      <c r="H59952" s="8"/>
      <c r="I59952" s="102"/>
      <c r="J59952" s="8"/>
      <c r="K59952" s="8"/>
      <c r="L59952" s="8"/>
      <c r="M59952" s="8"/>
      <c r="N59952" s="8"/>
      <c r="O59952" s="8"/>
      <c r="P59952" s="8"/>
      <c r="Q59952" s="8"/>
      <c r="R59952" s="103"/>
      <c r="S59952" s="8"/>
      <c r="T59952" s="8"/>
      <c r="U59952" s="8"/>
      <c r="V59952" s="8"/>
      <c r="W59952" s="8"/>
      <c r="X59952" s="8"/>
      <c r="Y59952" s="8"/>
      <c r="Z59952" s="8"/>
      <c r="AA59952" s="8"/>
    </row>
    <row r="59953" spans="1:27" x14ac:dyDescent="0.25">
      <c r="A59953" s="8"/>
      <c r="B59953" s="8"/>
      <c r="C59953" s="99"/>
      <c r="D59953" s="8"/>
      <c r="E59953" s="8"/>
      <c r="F59953" s="8"/>
      <c r="G59953" s="8"/>
      <c r="H59953" s="8"/>
      <c r="I59953" s="102"/>
      <c r="J59953" s="8"/>
      <c r="K59953" s="8"/>
      <c r="L59953" s="8"/>
      <c r="M59953" s="8"/>
      <c r="N59953" s="8"/>
      <c r="O59953" s="8"/>
      <c r="P59953" s="8"/>
      <c r="Q59953" s="8"/>
      <c r="R59953" s="103"/>
      <c r="S59953" s="8"/>
      <c r="T59953" s="8"/>
      <c r="U59953" s="8"/>
      <c r="V59953" s="8"/>
      <c r="W59953" s="8"/>
      <c r="X59953" s="8"/>
      <c r="Y59953" s="8"/>
      <c r="Z59953" s="8"/>
      <c r="AA59953" s="8"/>
    </row>
    <row r="59954" spans="1:27" x14ac:dyDescent="0.25">
      <c r="A59954" s="8"/>
      <c r="B59954" s="8"/>
      <c r="C59954" s="99"/>
      <c r="D59954" s="8"/>
      <c r="E59954" s="8"/>
      <c r="F59954" s="8"/>
      <c r="G59954" s="8"/>
      <c r="H59954" s="8"/>
      <c r="I59954" s="102"/>
      <c r="J59954" s="8"/>
      <c r="K59954" s="8"/>
      <c r="L59954" s="8"/>
      <c r="M59954" s="8"/>
      <c r="N59954" s="8"/>
      <c r="O59954" s="8"/>
      <c r="P59954" s="8"/>
      <c r="Q59954" s="8"/>
      <c r="R59954" s="103"/>
      <c r="S59954" s="8"/>
      <c r="T59954" s="8"/>
      <c r="U59954" s="8"/>
      <c r="V59954" s="8"/>
      <c r="W59954" s="8"/>
      <c r="X59954" s="8"/>
      <c r="Y59954" s="8"/>
      <c r="Z59954" s="8"/>
      <c r="AA59954" s="8"/>
    </row>
    <row r="59955" spans="1:27" x14ac:dyDescent="0.25">
      <c r="A59955" s="8"/>
      <c r="B59955" s="8"/>
      <c r="C59955" s="99"/>
      <c r="D59955" s="8"/>
      <c r="E59955" s="8"/>
      <c r="F59955" s="8"/>
      <c r="G59955" s="8"/>
      <c r="H59955" s="8"/>
      <c r="I59955" s="102"/>
      <c r="J59955" s="8"/>
      <c r="K59955" s="8"/>
      <c r="L59955" s="8"/>
      <c r="M59955" s="8"/>
      <c r="N59955" s="8"/>
      <c r="O59955" s="8"/>
      <c r="P59955" s="8"/>
      <c r="Q59955" s="8"/>
      <c r="R59955" s="103"/>
      <c r="S59955" s="8"/>
      <c r="T59955" s="8"/>
      <c r="U59955" s="8"/>
      <c r="V59955" s="8"/>
      <c r="W59955" s="8"/>
      <c r="X59955" s="8"/>
      <c r="Y59955" s="8"/>
      <c r="Z59955" s="8"/>
      <c r="AA59955" s="8"/>
    </row>
    <row r="59956" spans="1:27" x14ac:dyDescent="0.25">
      <c r="A59956" s="8"/>
      <c r="B59956" s="8"/>
      <c r="C59956" s="99"/>
      <c r="D59956" s="8"/>
      <c r="E59956" s="8"/>
      <c r="F59956" s="8"/>
      <c r="G59956" s="8"/>
      <c r="H59956" s="8"/>
      <c r="I59956" s="102"/>
      <c r="J59956" s="8"/>
      <c r="K59956" s="8"/>
      <c r="L59956" s="8"/>
      <c r="M59956" s="8"/>
      <c r="N59956" s="8"/>
      <c r="O59956" s="8"/>
      <c r="P59956" s="8"/>
      <c r="Q59956" s="8"/>
      <c r="R59956" s="103"/>
      <c r="S59956" s="8"/>
      <c r="T59956" s="8"/>
      <c r="U59956" s="8"/>
      <c r="V59956" s="8"/>
      <c r="W59956" s="8"/>
      <c r="X59956" s="8"/>
      <c r="Y59956" s="8"/>
      <c r="Z59956" s="8"/>
      <c r="AA59956" s="8"/>
    </row>
    <row r="59957" spans="1:27" x14ac:dyDescent="0.25">
      <c r="A59957" s="8"/>
      <c r="B59957" s="8"/>
      <c r="C59957" s="99"/>
      <c r="D59957" s="8"/>
      <c r="E59957" s="8"/>
      <c r="F59957" s="8"/>
      <c r="G59957" s="8"/>
      <c r="H59957" s="8"/>
      <c r="I59957" s="102"/>
      <c r="J59957" s="8"/>
      <c r="K59957" s="8"/>
      <c r="L59957" s="8"/>
      <c r="M59957" s="8"/>
      <c r="N59957" s="8"/>
      <c r="O59957" s="8"/>
      <c r="P59957" s="8"/>
      <c r="Q59957" s="8"/>
      <c r="R59957" s="103"/>
      <c r="S59957" s="8"/>
      <c r="T59957" s="8"/>
      <c r="U59957" s="8"/>
      <c r="V59957" s="8"/>
      <c r="W59957" s="8"/>
      <c r="X59957" s="8"/>
      <c r="Y59957" s="8"/>
      <c r="Z59957" s="8"/>
      <c r="AA59957" s="8"/>
    </row>
    <row r="59958" spans="1:27" x14ac:dyDescent="0.25">
      <c r="A59958" s="8"/>
      <c r="B59958" s="8"/>
      <c r="C59958" s="99"/>
      <c r="D59958" s="8"/>
      <c r="E59958" s="8"/>
      <c r="F59958" s="8"/>
      <c r="G59958" s="8"/>
      <c r="H59958" s="8"/>
      <c r="I59958" s="102"/>
      <c r="J59958" s="8"/>
      <c r="K59958" s="8"/>
      <c r="L59958" s="8"/>
      <c r="M59958" s="8"/>
      <c r="N59958" s="8"/>
      <c r="O59958" s="8"/>
      <c r="P59958" s="8"/>
      <c r="Q59958" s="8"/>
      <c r="R59958" s="103"/>
      <c r="S59958" s="8"/>
      <c r="T59958" s="8"/>
      <c r="U59958" s="8"/>
      <c r="V59958" s="8"/>
      <c r="W59958" s="8"/>
      <c r="X59958" s="8"/>
      <c r="Y59958" s="8"/>
      <c r="Z59958" s="8"/>
      <c r="AA59958" s="8"/>
    </row>
    <row r="59959" spans="1:27" x14ac:dyDescent="0.25">
      <c r="A59959" s="8"/>
      <c r="B59959" s="8"/>
      <c r="C59959" s="99"/>
      <c r="D59959" s="8"/>
      <c r="E59959" s="8"/>
      <c r="F59959" s="8"/>
      <c r="G59959" s="8"/>
      <c r="H59959" s="8"/>
      <c r="I59959" s="102"/>
      <c r="J59959" s="8"/>
      <c r="K59959" s="8"/>
      <c r="L59959" s="8"/>
      <c r="M59959" s="8"/>
      <c r="N59959" s="8"/>
      <c r="O59959" s="8"/>
      <c r="P59959" s="8"/>
      <c r="Q59959" s="8"/>
      <c r="R59959" s="103"/>
      <c r="S59959" s="8"/>
      <c r="T59959" s="8"/>
      <c r="U59959" s="8"/>
      <c r="V59959" s="8"/>
      <c r="W59959" s="8"/>
      <c r="X59959" s="8"/>
      <c r="Y59959" s="8"/>
      <c r="Z59959" s="8"/>
      <c r="AA59959" s="8"/>
    </row>
    <row r="59960" spans="1:27" x14ac:dyDescent="0.25">
      <c r="A59960" s="8"/>
      <c r="B59960" s="8"/>
      <c r="C59960" s="99"/>
      <c r="D59960" s="8"/>
      <c r="E59960" s="8"/>
      <c r="F59960" s="8"/>
      <c r="G59960" s="8"/>
      <c r="H59960" s="8"/>
      <c r="I59960" s="102"/>
      <c r="J59960" s="8"/>
      <c r="K59960" s="8"/>
      <c r="L59960" s="8"/>
      <c r="M59960" s="8"/>
      <c r="N59960" s="8"/>
      <c r="O59960" s="8"/>
      <c r="P59960" s="8"/>
      <c r="Q59960" s="8"/>
      <c r="R59960" s="103"/>
      <c r="S59960" s="8"/>
      <c r="T59960" s="8"/>
      <c r="U59960" s="8"/>
      <c r="V59960" s="8"/>
      <c r="W59960" s="8"/>
      <c r="X59960" s="8"/>
      <c r="Y59960" s="8"/>
      <c r="Z59960" s="8"/>
      <c r="AA59960" s="8"/>
    </row>
    <row r="59961" spans="1:27" x14ac:dyDescent="0.25">
      <c r="A59961" s="8"/>
      <c r="B59961" s="8"/>
      <c r="C59961" s="99"/>
      <c r="D59961" s="8"/>
      <c r="E59961" s="8"/>
      <c r="F59961" s="8"/>
      <c r="G59961" s="8"/>
      <c r="H59961" s="8"/>
      <c r="I59961" s="102"/>
      <c r="J59961" s="8"/>
      <c r="K59961" s="8"/>
      <c r="L59961" s="8"/>
      <c r="M59961" s="8"/>
      <c r="N59961" s="8"/>
      <c r="O59961" s="8"/>
      <c r="P59961" s="8"/>
      <c r="Q59961" s="8"/>
      <c r="R59961" s="103"/>
      <c r="S59961" s="8"/>
      <c r="T59961" s="8"/>
      <c r="U59961" s="8"/>
      <c r="V59961" s="8"/>
      <c r="W59961" s="8"/>
      <c r="X59961" s="8"/>
      <c r="Y59961" s="8"/>
      <c r="Z59961" s="8"/>
      <c r="AA59961" s="8"/>
    </row>
    <row r="59962" spans="1:27" x14ac:dyDescent="0.25">
      <c r="A59962" s="8"/>
      <c r="B59962" s="8"/>
      <c r="C59962" s="99"/>
      <c r="D59962" s="8"/>
      <c r="E59962" s="8"/>
      <c r="F59962" s="8"/>
      <c r="G59962" s="8"/>
      <c r="H59962" s="8"/>
      <c r="I59962" s="102"/>
      <c r="J59962" s="8"/>
      <c r="K59962" s="8"/>
      <c r="L59962" s="8"/>
      <c r="M59962" s="8"/>
      <c r="N59962" s="8"/>
      <c r="O59962" s="8"/>
      <c r="P59962" s="8"/>
      <c r="Q59962" s="8"/>
      <c r="R59962" s="103"/>
      <c r="S59962" s="8"/>
      <c r="T59962" s="8"/>
      <c r="U59962" s="8"/>
      <c r="V59962" s="8"/>
      <c r="W59962" s="8"/>
      <c r="X59962" s="8"/>
      <c r="Y59962" s="8"/>
      <c r="Z59962" s="8"/>
      <c r="AA59962" s="8"/>
    </row>
    <row r="59963" spans="1:27" x14ac:dyDescent="0.25">
      <c r="A59963" s="8"/>
      <c r="B59963" s="8"/>
      <c r="C59963" s="99"/>
      <c r="D59963" s="8"/>
      <c r="E59963" s="8"/>
      <c r="F59963" s="8"/>
      <c r="G59963" s="8"/>
      <c r="H59963" s="8"/>
      <c r="I59963" s="102"/>
      <c r="J59963" s="8"/>
      <c r="K59963" s="8"/>
      <c r="L59963" s="8"/>
      <c r="M59963" s="8"/>
      <c r="N59963" s="8"/>
      <c r="O59963" s="8"/>
      <c r="P59963" s="8"/>
      <c r="Q59963" s="8"/>
      <c r="R59963" s="103"/>
      <c r="S59963" s="8"/>
      <c r="T59963" s="8"/>
      <c r="U59963" s="8"/>
      <c r="V59963" s="8"/>
      <c r="W59963" s="8"/>
      <c r="X59963" s="8"/>
      <c r="Y59963" s="8"/>
      <c r="Z59963" s="8"/>
      <c r="AA59963" s="8"/>
    </row>
    <row r="59964" spans="1:27" x14ac:dyDescent="0.25">
      <c r="A59964" s="8"/>
      <c r="B59964" s="8"/>
      <c r="C59964" s="99"/>
      <c r="D59964" s="8"/>
      <c r="E59964" s="8"/>
      <c r="F59964" s="8"/>
      <c r="G59964" s="8"/>
      <c r="H59964" s="8"/>
      <c r="I59964" s="102"/>
      <c r="J59964" s="8"/>
      <c r="K59964" s="8"/>
      <c r="L59964" s="8"/>
      <c r="M59964" s="8"/>
      <c r="N59964" s="8"/>
      <c r="O59964" s="8"/>
      <c r="P59964" s="8"/>
      <c r="Q59964" s="8"/>
      <c r="R59964" s="103"/>
      <c r="S59964" s="8"/>
      <c r="T59964" s="8"/>
      <c r="U59964" s="8"/>
      <c r="V59964" s="8"/>
      <c r="W59964" s="8"/>
      <c r="X59964" s="8"/>
      <c r="Y59964" s="8"/>
      <c r="Z59964" s="8"/>
      <c r="AA59964" s="8"/>
    </row>
    <row r="59965" spans="1:27" x14ac:dyDescent="0.25">
      <c r="A59965" s="8"/>
      <c r="B59965" s="8"/>
      <c r="C59965" s="99"/>
      <c r="D59965" s="8"/>
      <c r="E59965" s="8"/>
      <c r="F59965" s="8"/>
      <c r="G59965" s="8"/>
      <c r="H59965" s="8"/>
      <c r="I59965" s="102"/>
      <c r="J59965" s="8"/>
      <c r="K59965" s="8"/>
      <c r="L59965" s="8"/>
      <c r="M59965" s="8"/>
      <c r="N59965" s="8"/>
      <c r="O59965" s="8"/>
      <c r="P59965" s="8"/>
      <c r="Q59965" s="8"/>
      <c r="R59965" s="103"/>
      <c r="S59965" s="8"/>
      <c r="T59965" s="8"/>
      <c r="U59965" s="8"/>
      <c r="V59965" s="8"/>
      <c r="W59965" s="8"/>
      <c r="X59965" s="8"/>
      <c r="Y59965" s="8"/>
      <c r="Z59965" s="8"/>
      <c r="AA59965" s="8"/>
    </row>
    <row r="59966" spans="1:27" x14ac:dyDescent="0.25">
      <c r="A59966" s="8"/>
      <c r="B59966" s="8"/>
      <c r="C59966" s="99"/>
      <c r="D59966" s="8"/>
      <c r="E59966" s="8"/>
      <c r="F59966" s="8"/>
      <c r="G59966" s="8"/>
      <c r="H59966" s="8"/>
      <c r="I59966" s="102"/>
      <c r="J59966" s="8"/>
      <c r="K59966" s="8"/>
      <c r="L59966" s="8"/>
      <c r="M59966" s="8"/>
      <c r="N59966" s="8"/>
      <c r="O59966" s="8"/>
      <c r="P59966" s="8"/>
      <c r="Q59966" s="8"/>
      <c r="R59966" s="103"/>
      <c r="S59966" s="8"/>
      <c r="T59966" s="8"/>
      <c r="U59966" s="8"/>
      <c r="V59966" s="8"/>
      <c r="W59966" s="8"/>
      <c r="X59966" s="8"/>
      <c r="Y59966" s="8"/>
      <c r="Z59966" s="8"/>
      <c r="AA59966" s="8"/>
    </row>
    <row r="59967" spans="1:27" x14ac:dyDescent="0.25">
      <c r="A59967" s="8"/>
      <c r="B59967" s="8"/>
      <c r="C59967" s="99"/>
      <c r="D59967" s="8"/>
      <c r="E59967" s="8"/>
      <c r="F59967" s="8"/>
      <c r="G59967" s="8"/>
      <c r="H59967" s="8"/>
      <c r="I59967" s="102"/>
      <c r="J59967" s="8"/>
      <c r="K59967" s="8"/>
      <c r="L59967" s="8"/>
      <c r="M59967" s="8"/>
      <c r="N59967" s="8"/>
      <c r="O59967" s="8"/>
      <c r="P59967" s="8"/>
      <c r="Q59967" s="8"/>
      <c r="R59967" s="103"/>
      <c r="S59967" s="8"/>
      <c r="T59967" s="8"/>
      <c r="U59967" s="8"/>
      <c r="V59967" s="8"/>
      <c r="W59967" s="8"/>
      <c r="X59967" s="8"/>
      <c r="Y59967" s="8"/>
      <c r="Z59967" s="8"/>
      <c r="AA59967" s="8"/>
    </row>
    <row r="59968" spans="1:27" x14ac:dyDescent="0.25">
      <c r="A59968" s="8"/>
      <c r="B59968" s="8"/>
      <c r="C59968" s="99"/>
      <c r="D59968" s="8"/>
      <c r="E59968" s="8"/>
      <c r="F59968" s="8"/>
      <c r="G59968" s="8"/>
      <c r="H59968" s="8"/>
      <c r="I59968" s="102"/>
      <c r="J59968" s="8"/>
      <c r="K59968" s="8"/>
      <c r="L59968" s="8"/>
      <c r="M59968" s="8"/>
      <c r="N59968" s="8"/>
      <c r="O59968" s="8"/>
      <c r="P59968" s="8"/>
      <c r="Q59968" s="8"/>
      <c r="R59968" s="103"/>
      <c r="S59968" s="8"/>
      <c r="T59968" s="8"/>
      <c r="U59968" s="8"/>
      <c r="V59968" s="8"/>
      <c r="W59968" s="8"/>
      <c r="X59968" s="8"/>
      <c r="Y59968" s="8"/>
      <c r="Z59968" s="8"/>
      <c r="AA59968" s="8"/>
    </row>
    <row r="59969" spans="1:27" x14ac:dyDescent="0.25">
      <c r="A59969" s="8"/>
      <c r="B59969" s="8"/>
      <c r="C59969" s="99"/>
      <c r="D59969" s="8"/>
      <c r="E59969" s="8"/>
      <c r="F59969" s="8"/>
      <c r="G59969" s="8"/>
      <c r="H59969" s="8"/>
      <c r="I59969" s="102"/>
      <c r="J59969" s="8"/>
      <c r="K59969" s="8"/>
      <c r="L59969" s="8"/>
      <c r="M59969" s="8"/>
      <c r="N59969" s="8"/>
      <c r="O59969" s="8"/>
      <c r="P59969" s="8"/>
      <c r="Q59969" s="8"/>
      <c r="R59969" s="103"/>
      <c r="S59969" s="8"/>
      <c r="T59969" s="8"/>
      <c r="U59969" s="8"/>
      <c r="V59969" s="8"/>
      <c r="W59969" s="8"/>
      <c r="X59969" s="8"/>
      <c r="Y59969" s="8"/>
      <c r="Z59969" s="8"/>
      <c r="AA59969" s="8"/>
    </row>
    <row r="59970" spans="1:27" x14ac:dyDescent="0.25">
      <c r="A59970" s="8"/>
      <c r="B59970" s="8"/>
      <c r="C59970" s="99"/>
      <c r="D59970" s="8"/>
      <c r="E59970" s="8"/>
      <c r="F59970" s="8"/>
      <c r="G59970" s="8"/>
      <c r="H59970" s="8"/>
      <c r="I59970" s="102"/>
      <c r="J59970" s="8"/>
      <c r="K59970" s="8"/>
      <c r="L59970" s="8"/>
      <c r="M59970" s="8"/>
      <c r="N59970" s="8"/>
      <c r="O59970" s="8"/>
      <c r="P59970" s="8"/>
      <c r="Q59970" s="8"/>
      <c r="R59970" s="103"/>
      <c r="S59970" s="8"/>
      <c r="T59970" s="8"/>
      <c r="U59970" s="8"/>
      <c r="V59970" s="8"/>
      <c r="W59970" s="8"/>
      <c r="X59970" s="8"/>
      <c r="Y59970" s="8"/>
      <c r="Z59970" s="8"/>
      <c r="AA59970" s="8"/>
    </row>
    <row r="59971" spans="1:27" x14ac:dyDescent="0.25">
      <c r="A59971" s="8"/>
      <c r="B59971" s="8"/>
      <c r="C59971" s="99"/>
      <c r="D59971" s="8"/>
      <c r="E59971" s="8"/>
      <c r="F59971" s="8"/>
      <c r="G59971" s="8"/>
      <c r="H59971" s="8"/>
      <c r="I59971" s="102"/>
      <c r="J59971" s="8"/>
      <c r="K59971" s="8"/>
      <c r="L59971" s="8"/>
      <c r="M59971" s="8"/>
      <c r="N59971" s="8"/>
      <c r="O59971" s="8"/>
      <c r="P59971" s="8"/>
      <c r="Q59971" s="8"/>
      <c r="R59971" s="103"/>
      <c r="S59971" s="8"/>
      <c r="T59971" s="8"/>
      <c r="U59971" s="8"/>
      <c r="V59971" s="8"/>
      <c r="W59971" s="8"/>
      <c r="X59971" s="8"/>
      <c r="Y59971" s="8"/>
      <c r="Z59971" s="8"/>
      <c r="AA59971" s="8"/>
    </row>
    <row r="59972" spans="1:27" x14ac:dyDescent="0.25">
      <c r="A59972" s="8"/>
      <c r="B59972" s="8"/>
      <c r="C59972" s="99"/>
      <c r="D59972" s="8"/>
      <c r="E59972" s="8"/>
      <c r="F59972" s="8"/>
      <c r="G59972" s="8"/>
      <c r="H59972" s="8"/>
      <c r="I59972" s="102"/>
      <c r="J59972" s="8"/>
      <c r="K59972" s="8"/>
      <c r="L59972" s="8"/>
      <c r="M59972" s="8"/>
      <c r="N59972" s="8"/>
      <c r="O59972" s="8"/>
      <c r="P59972" s="8"/>
      <c r="Q59972" s="8"/>
      <c r="R59972" s="103"/>
      <c r="S59972" s="8"/>
      <c r="T59972" s="8"/>
      <c r="U59972" s="8"/>
      <c r="V59972" s="8"/>
      <c r="W59972" s="8"/>
      <c r="X59972" s="8"/>
      <c r="Y59972" s="8"/>
      <c r="Z59972" s="8"/>
      <c r="AA59972" s="8"/>
    </row>
    <row r="59973" spans="1:27" x14ac:dyDescent="0.25">
      <c r="A59973" s="8"/>
      <c r="B59973" s="8"/>
      <c r="C59973" s="99"/>
      <c r="D59973" s="8"/>
      <c r="E59973" s="8"/>
      <c r="F59973" s="8"/>
      <c r="G59973" s="8"/>
      <c r="H59973" s="8"/>
      <c r="I59973" s="102"/>
      <c r="J59973" s="8"/>
      <c r="K59973" s="8"/>
      <c r="L59973" s="8"/>
      <c r="M59973" s="8"/>
      <c r="N59973" s="8"/>
      <c r="O59973" s="8"/>
      <c r="P59973" s="8"/>
      <c r="Q59973" s="8"/>
      <c r="R59973" s="103"/>
      <c r="S59973" s="8"/>
      <c r="T59973" s="8"/>
      <c r="U59973" s="8"/>
      <c r="V59973" s="8"/>
      <c r="W59973" s="8"/>
      <c r="X59973" s="8"/>
      <c r="Y59973" s="8"/>
      <c r="Z59973" s="8"/>
      <c r="AA59973" s="8"/>
    </row>
    <row r="59974" spans="1:27" x14ac:dyDescent="0.25">
      <c r="A59974" s="8"/>
      <c r="B59974" s="8"/>
      <c r="C59974" s="99"/>
      <c r="D59974" s="8"/>
      <c r="E59974" s="8"/>
      <c r="F59974" s="8"/>
      <c r="G59974" s="8"/>
      <c r="H59974" s="8"/>
      <c r="I59974" s="102"/>
      <c r="J59974" s="8"/>
      <c r="K59974" s="8"/>
      <c r="L59974" s="8"/>
      <c r="M59974" s="8"/>
      <c r="N59974" s="8"/>
      <c r="O59974" s="8"/>
      <c r="P59974" s="8"/>
      <c r="Q59974" s="8"/>
      <c r="R59974" s="103"/>
      <c r="S59974" s="8"/>
      <c r="T59974" s="8"/>
      <c r="U59974" s="8"/>
      <c r="V59974" s="8"/>
      <c r="W59974" s="8"/>
      <c r="X59974" s="8"/>
      <c r="Y59974" s="8"/>
      <c r="Z59974" s="8"/>
      <c r="AA59974" s="8"/>
    </row>
    <row r="59975" spans="1:27" x14ac:dyDescent="0.25">
      <c r="A59975" s="8"/>
      <c r="B59975" s="8"/>
      <c r="C59975" s="99"/>
      <c r="D59975" s="8"/>
      <c r="E59975" s="8"/>
      <c r="F59975" s="8"/>
      <c r="G59975" s="8"/>
      <c r="H59975" s="8"/>
      <c r="I59975" s="102"/>
      <c r="J59975" s="8"/>
      <c r="K59975" s="8"/>
      <c r="L59975" s="8"/>
      <c r="M59975" s="8"/>
      <c r="N59975" s="8"/>
      <c r="O59975" s="8"/>
      <c r="P59975" s="8"/>
      <c r="Q59975" s="8"/>
      <c r="R59975" s="103"/>
      <c r="S59975" s="8"/>
      <c r="T59975" s="8"/>
      <c r="U59975" s="8"/>
      <c r="V59975" s="8"/>
      <c r="W59975" s="8"/>
      <c r="X59975" s="8"/>
      <c r="Y59975" s="8"/>
      <c r="Z59975" s="8"/>
      <c r="AA59975" s="8"/>
    </row>
    <row r="59976" spans="1:27" x14ac:dyDescent="0.25">
      <c r="A59976" s="8"/>
      <c r="B59976" s="8"/>
      <c r="C59976" s="99"/>
      <c r="D59976" s="8"/>
      <c r="E59976" s="8"/>
      <c r="F59976" s="8"/>
      <c r="G59976" s="8"/>
      <c r="H59976" s="8"/>
      <c r="I59976" s="102"/>
      <c r="J59976" s="8"/>
      <c r="K59976" s="8"/>
      <c r="L59976" s="8"/>
      <c r="M59976" s="8"/>
      <c r="N59976" s="8"/>
      <c r="O59976" s="8"/>
      <c r="P59976" s="8"/>
      <c r="Q59976" s="8"/>
      <c r="R59976" s="103"/>
      <c r="S59976" s="8"/>
      <c r="T59976" s="8"/>
      <c r="U59976" s="8"/>
      <c r="V59976" s="8"/>
      <c r="W59976" s="8"/>
      <c r="X59976" s="8"/>
      <c r="Y59976" s="8"/>
      <c r="Z59976" s="8"/>
      <c r="AA59976" s="8"/>
    </row>
    <row r="59977" spans="1:27" x14ac:dyDescent="0.25">
      <c r="A59977" s="8"/>
      <c r="B59977" s="8"/>
      <c r="C59977" s="99"/>
      <c r="D59977" s="8"/>
      <c r="E59977" s="8"/>
      <c r="F59977" s="8"/>
      <c r="G59977" s="8"/>
      <c r="H59977" s="8"/>
      <c r="I59977" s="102"/>
      <c r="J59977" s="8"/>
      <c r="K59977" s="8"/>
      <c r="L59977" s="8"/>
      <c r="M59977" s="8"/>
      <c r="N59977" s="8"/>
      <c r="O59977" s="8"/>
      <c r="P59977" s="8"/>
      <c r="Q59977" s="8"/>
      <c r="R59977" s="103"/>
      <c r="S59977" s="8"/>
      <c r="T59977" s="8"/>
      <c r="U59977" s="8"/>
      <c r="V59977" s="8"/>
      <c r="W59977" s="8"/>
      <c r="X59977" s="8"/>
      <c r="Y59977" s="8"/>
      <c r="Z59977" s="8"/>
      <c r="AA59977" s="8"/>
    </row>
    <row r="59978" spans="1:27" x14ac:dyDescent="0.25">
      <c r="A59978" s="8"/>
      <c r="B59978" s="8"/>
      <c r="C59978" s="99"/>
      <c r="D59978" s="8"/>
      <c r="E59978" s="8"/>
      <c r="F59978" s="8"/>
      <c r="G59978" s="8"/>
      <c r="H59978" s="8"/>
      <c r="I59978" s="102"/>
      <c r="J59978" s="8"/>
      <c r="K59978" s="8"/>
      <c r="L59978" s="8"/>
      <c r="M59978" s="8"/>
      <c r="N59978" s="8"/>
      <c r="O59978" s="8"/>
      <c r="P59978" s="8"/>
      <c r="Q59978" s="8"/>
      <c r="R59978" s="103"/>
      <c r="S59978" s="8"/>
      <c r="T59978" s="8"/>
      <c r="U59978" s="8"/>
      <c r="V59978" s="8"/>
      <c r="W59978" s="8"/>
      <c r="X59978" s="8"/>
      <c r="Y59978" s="8"/>
      <c r="Z59978" s="8"/>
      <c r="AA59978" s="8"/>
    </row>
    <row r="59979" spans="1:27" x14ac:dyDescent="0.25">
      <c r="A59979" s="8"/>
      <c r="B59979" s="8"/>
      <c r="C59979" s="99"/>
      <c r="D59979" s="8"/>
      <c r="E59979" s="8"/>
      <c r="F59979" s="8"/>
      <c r="G59979" s="8"/>
      <c r="H59979" s="8"/>
      <c r="I59979" s="102"/>
      <c r="J59979" s="8"/>
      <c r="K59979" s="8"/>
      <c r="L59979" s="8"/>
      <c r="M59979" s="8"/>
      <c r="N59979" s="8"/>
      <c r="O59979" s="8"/>
      <c r="P59979" s="8"/>
      <c r="Q59979" s="8"/>
      <c r="R59979" s="103"/>
      <c r="S59979" s="8"/>
      <c r="T59979" s="8"/>
      <c r="U59979" s="8"/>
      <c r="V59979" s="8"/>
      <c r="W59979" s="8"/>
      <c r="X59979" s="8"/>
      <c r="Y59979" s="8"/>
      <c r="Z59979" s="8"/>
      <c r="AA59979" s="8"/>
    </row>
    <row r="59980" spans="1:27" x14ac:dyDescent="0.25">
      <c r="A59980" s="8"/>
      <c r="B59980" s="8"/>
      <c r="C59980" s="99"/>
      <c r="D59980" s="8"/>
      <c r="E59980" s="8"/>
      <c r="F59980" s="8"/>
      <c r="G59980" s="8"/>
      <c r="H59980" s="8"/>
      <c r="I59980" s="102"/>
      <c r="J59980" s="8"/>
      <c r="K59980" s="8"/>
      <c r="L59980" s="8"/>
      <c r="M59980" s="8"/>
      <c r="N59980" s="8"/>
      <c r="O59980" s="8"/>
      <c r="P59980" s="8"/>
      <c r="Q59980" s="8"/>
      <c r="R59980" s="103"/>
      <c r="S59980" s="8"/>
      <c r="T59980" s="8"/>
      <c r="U59980" s="8"/>
      <c r="V59980" s="8"/>
      <c r="W59980" s="8"/>
      <c r="X59980" s="8"/>
      <c r="Y59980" s="8"/>
      <c r="Z59980" s="8"/>
      <c r="AA59980" s="8"/>
    </row>
    <row r="59981" spans="1:27" x14ac:dyDescent="0.25">
      <c r="A59981" s="8"/>
      <c r="B59981" s="8"/>
      <c r="C59981" s="99"/>
      <c r="D59981" s="8"/>
      <c r="E59981" s="8"/>
      <c r="F59981" s="8"/>
      <c r="G59981" s="8"/>
      <c r="H59981" s="8"/>
      <c r="I59981" s="102"/>
      <c r="J59981" s="8"/>
      <c r="K59981" s="8"/>
      <c r="L59981" s="8"/>
      <c r="M59981" s="8"/>
      <c r="N59981" s="8"/>
      <c r="O59981" s="8"/>
      <c r="P59981" s="8"/>
      <c r="Q59981" s="8"/>
      <c r="R59981" s="103"/>
      <c r="S59981" s="8"/>
      <c r="T59981" s="8"/>
      <c r="U59981" s="8"/>
      <c r="V59981" s="8"/>
      <c r="W59981" s="8"/>
      <c r="X59981" s="8"/>
      <c r="Y59981" s="8"/>
      <c r="Z59981" s="8"/>
      <c r="AA59981" s="8"/>
    </row>
    <row r="59982" spans="1:27" x14ac:dyDescent="0.25">
      <c r="A59982" s="8"/>
      <c r="B59982" s="8"/>
      <c r="C59982" s="99"/>
      <c r="D59982" s="8"/>
      <c r="E59982" s="8"/>
      <c r="F59982" s="8"/>
      <c r="G59982" s="8"/>
      <c r="H59982" s="8"/>
      <c r="I59982" s="102"/>
      <c r="J59982" s="8"/>
      <c r="K59982" s="8"/>
      <c r="L59982" s="8"/>
      <c r="M59982" s="8"/>
      <c r="N59982" s="8"/>
      <c r="O59982" s="8"/>
      <c r="P59982" s="8"/>
      <c r="Q59982" s="8"/>
      <c r="R59982" s="103"/>
      <c r="S59982" s="8"/>
      <c r="T59982" s="8"/>
      <c r="U59982" s="8"/>
      <c r="V59982" s="8"/>
      <c r="W59982" s="8"/>
      <c r="X59982" s="8"/>
      <c r="Y59982" s="8"/>
      <c r="Z59982" s="8"/>
      <c r="AA59982" s="8"/>
    </row>
    <row r="59983" spans="1:27" x14ac:dyDescent="0.25">
      <c r="A59983" s="8"/>
      <c r="B59983" s="8"/>
      <c r="C59983" s="99"/>
      <c r="D59983" s="8"/>
      <c r="E59983" s="8"/>
      <c r="F59983" s="8"/>
      <c r="G59983" s="8"/>
      <c r="H59983" s="8"/>
      <c r="I59983" s="102"/>
      <c r="J59983" s="8"/>
      <c r="K59983" s="8"/>
      <c r="L59983" s="8"/>
      <c r="M59983" s="8"/>
      <c r="N59983" s="8"/>
      <c r="O59983" s="8"/>
      <c r="P59983" s="8"/>
      <c r="Q59983" s="8"/>
      <c r="R59983" s="103"/>
      <c r="S59983" s="8"/>
      <c r="T59983" s="8"/>
      <c r="U59983" s="8"/>
      <c r="V59983" s="8"/>
      <c r="W59983" s="8"/>
      <c r="X59983" s="8"/>
      <c r="Y59983" s="8"/>
      <c r="Z59983" s="8"/>
      <c r="AA59983" s="8"/>
    </row>
    <row r="59984" spans="1:27" x14ac:dyDescent="0.25">
      <c r="A59984" s="8"/>
      <c r="B59984" s="8"/>
      <c r="C59984" s="99"/>
      <c r="D59984" s="8"/>
      <c r="E59984" s="8"/>
      <c r="F59984" s="8"/>
      <c r="G59984" s="8"/>
      <c r="H59984" s="8"/>
      <c r="I59984" s="102"/>
      <c r="J59984" s="8"/>
      <c r="K59984" s="8"/>
      <c r="L59984" s="8"/>
      <c r="M59984" s="8"/>
      <c r="N59984" s="8"/>
      <c r="O59984" s="8"/>
      <c r="P59984" s="8"/>
      <c r="Q59984" s="8"/>
      <c r="R59984" s="103"/>
      <c r="S59984" s="8"/>
      <c r="T59984" s="8"/>
      <c r="U59984" s="8"/>
      <c r="V59984" s="8"/>
      <c r="W59984" s="8"/>
      <c r="X59984" s="8"/>
      <c r="Y59984" s="8"/>
      <c r="Z59984" s="8"/>
      <c r="AA59984" s="8"/>
    </row>
    <row r="59985" spans="1:27" x14ac:dyDescent="0.25">
      <c r="A59985" s="8"/>
      <c r="B59985" s="8"/>
      <c r="C59985" s="99"/>
      <c r="D59985" s="8"/>
      <c r="E59985" s="8"/>
      <c r="F59985" s="8"/>
      <c r="G59985" s="8"/>
      <c r="H59985" s="8"/>
      <c r="I59985" s="102"/>
      <c r="J59985" s="8"/>
      <c r="K59985" s="8"/>
      <c r="L59985" s="8"/>
      <c r="M59985" s="8"/>
      <c r="N59985" s="8"/>
      <c r="O59985" s="8"/>
      <c r="P59985" s="8"/>
      <c r="Q59985" s="8"/>
      <c r="R59985" s="103"/>
      <c r="S59985" s="8"/>
      <c r="T59985" s="8"/>
      <c r="U59985" s="8"/>
      <c r="V59985" s="8"/>
      <c r="W59985" s="8"/>
      <c r="X59985" s="8"/>
      <c r="Y59985" s="8"/>
      <c r="Z59985" s="8"/>
      <c r="AA59985" s="8"/>
    </row>
    <row r="59986" spans="1:27" x14ac:dyDescent="0.25">
      <c r="A59986" s="8"/>
      <c r="B59986" s="8"/>
      <c r="C59986" s="99"/>
      <c r="D59986" s="8"/>
      <c r="E59986" s="8"/>
      <c r="F59986" s="8"/>
      <c r="G59986" s="8"/>
      <c r="H59986" s="8"/>
      <c r="I59986" s="102"/>
      <c r="J59986" s="8"/>
      <c r="K59986" s="8"/>
      <c r="L59986" s="8"/>
      <c r="M59986" s="8"/>
      <c r="N59986" s="8"/>
      <c r="O59986" s="8"/>
      <c r="P59986" s="8"/>
      <c r="Q59986" s="8"/>
      <c r="R59986" s="103"/>
      <c r="S59986" s="8"/>
      <c r="T59986" s="8"/>
      <c r="U59986" s="8"/>
      <c r="V59986" s="8"/>
      <c r="W59986" s="8"/>
      <c r="X59986" s="8"/>
      <c r="Y59986" s="8"/>
      <c r="Z59986" s="8"/>
      <c r="AA59986" s="8"/>
    </row>
    <row r="59987" spans="1:27" x14ac:dyDescent="0.25">
      <c r="A59987" s="8"/>
      <c r="B59987" s="8"/>
      <c r="C59987" s="99"/>
      <c r="D59987" s="8"/>
      <c r="E59987" s="8"/>
      <c r="F59987" s="8"/>
      <c r="G59987" s="8"/>
      <c r="H59987" s="8"/>
      <c r="I59987" s="102"/>
      <c r="J59987" s="8"/>
      <c r="K59987" s="8"/>
      <c r="L59987" s="8"/>
      <c r="M59987" s="8"/>
      <c r="N59987" s="8"/>
      <c r="O59987" s="8"/>
      <c r="P59987" s="8"/>
      <c r="Q59987" s="8"/>
      <c r="R59987" s="103"/>
      <c r="S59987" s="8"/>
      <c r="T59987" s="8"/>
      <c r="U59987" s="8"/>
      <c r="V59987" s="8"/>
      <c r="W59987" s="8"/>
      <c r="X59987" s="8"/>
      <c r="Y59987" s="8"/>
      <c r="Z59987" s="8"/>
      <c r="AA59987" s="8"/>
    </row>
    <row r="59988" spans="1:27" x14ac:dyDescent="0.25">
      <c r="A59988" s="8"/>
      <c r="B59988" s="8"/>
      <c r="C59988" s="99"/>
      <c r="D59988" s="8"/>
      <c r="E59988" s="8"/>
      <c r="F59988" s="8"/>
      <c r="G59988" s="8"/>
      <c r="H59988" s="8"/>
      <c r="I59988" s="102"/>
      <c r="J59988" s="8"/>
      <c r="K59988" s="8"/>
      <c r="L59988" s="8"/>
      <c r="M59988" s="8"/>
      <c r="N59988" s="8"/>
      <c r="O59988" s="8"/>
      <c r="P59988" s="8"/>
      <c r="Q59988" s="8"/>
      <c r="R59988" s="103"/>
      <c r="S59988" s="8"/>
      <c r="T59988" s="8"/>
      <c r="U59988" s="8"/>
      <c r="V59988" s="8"/>
      <c r="W59988" s="8"/>
      <c r="X59988" s="8"/>
      <c r="Y59988" s="8"/>
      <c r="Z59988" s="8"/>
      <c r="AA59988" s="8"/>
    </row>
    <row r="59989" spans="1:27" x14ac:dyDescent="0.25">
      <c r="A59989" s="8"/>
      <c r="B59989" s="8"/>
      <c r="C59989" s="99"/>
      <c r="D59989" s="8"/>
      <c r="E59989" s="8"/>
      <c r="F59989" s="8"/>
      <c r="G59989" s="8"/>
      <c r="H59989" s="8"/>
      <c r="I59989" s="102"/>
      <c r="J59989" s="8"/>
      <c r="K59989" s="8"/>
      <c r="L59989" s="8"/>
      <c r="M59989" s="8"/>
      <c r="N59989" s="8"/>
      <c r="O59989" s="8"/>
      <c r="P59989" s="8"/>
      <c r="Q59989" s="8"/>
      <c r="R59989" s="103"/>
      <c r="S59989" s="8"/>
      <c r="T59989" s="8"/>
      <c r="U59989" s="8"/>
      <c r="V59989" s="8"/>
      <c r="W59989" s="8"/>
      <c r="X59989" s="8"/>
      <c r="Y59989" s="8"/>
      <c r="Z59989" s="8"/>
      <c r="AA59989" s="8"/>
    </row>
    <row r="59990" spans="1:27" x14ac:dyDescent="0.25">
      <c r="A59990" s="8"/>
      <c r="B59990" s="8"/>
      <c r="C59990" s="99"/>
      <c r="D59990" s="8"/>
      <c r="E59990" s="8"/>
      <c r="F59990" s="8"/>
      <c r="G59990" s="8"/>
      <c r="H59990" s="8"/>
      <c r="I59990" s="102"/>
      <c r="J59990" s="8"/>
      <c r="K59990" s="8"/>
      <c r="L59990" s="8"/>
      <c r="M59990" s="8"/>
      <c r="N59990" s="8"/>
      <c r="O59990" s="8"/>
      <c r="P59990" s="8"/>
      <c r="Q59990" s="8"/>
      <c r="R59990" s="103"/>
      <c r="S59990" s="8"/>
      <c r="T59990" s="8"/>
      <c r="U59990" s="8"/>
      <c r="V59990" s="8"/>
      <c r="W59990" s="8"/>
      <c r="X59990" s="8"/>
      <c r="Y59990" s="8"/>
      <c r="Z59990" s="8"/>
      <c r="AA59990" s="8"/>
    </row>
    <row r="59991" spans="1:27" x14ac:dyDescent="0.25">
      <c r="A59991" s="8"/>
      <c r="B59991" s="8"/>
      <c r="C59991" s="99"/>
      <c r="D59991" s="8"/>
      <c r="E59991" s="8"/>
      <c r="F59991" s="8"/>
      <c r="G59991" s="8"/>
      <c r="H59991" s="8"/>
      <c r="I59991" s="102"/>
      <c r="J59991" s="8"/>
      <c r="K59991" s="8"/>
      <c r="L59991" s="8"/>
      <c r="M59991" s="8"/>
      <c r="N59991" s="8"/>
      <c r="O59991" s="8"/>
      <c r="P59991" s="8"/>
      <c r="Q59991" s="8"/>
      <c r="R59991" s="103"/>
      <c r="S59991" s="8"/>
      <c r="T59991" s="8"/>
      <c r="U59991" s="8"/>
      <c r="V59991" s="8"/>
      <c r="W59991" s="8"/>
      <c r="X59991" s="8"/>
      <c r="Y59991" s="8"/>
      <c r="Z59991" s="8"/>
      <c r="AA59991" s="8"/>
    </row>
    <row r="59992" spans="1:27" x14ac:dyDescent="0.25">
      <c r="A59992" s="8"/>
      <c r="B59992" s="8"/>
      <c r="C59992" s="99"/>
      <c r="D59992" s="8"/>
      <c r="E59992" s="8"/>
      <c r="F59992" s="8"/>
      <c r="G59992" s="8"/>
      <c r="H59992" s="8"/>
      <c r="I59992" s="102"/>
      <c r="J59992" s="8"/>
      <c r="K59992" s="8"/>
      <c r="L59992" s="8"/>
      <c r="M59992" s="8"/>
      <c r="N59992" s="8"/>
      <c r="O59992" s="8"/>
      <c r="P59992" s="8"/>
      <c r="Q59992" s="8"/>
      <c r="R59992" s="103"/>
      <c r="S59992" s="8"/>
      <c r="T59992" s="8"/>
      <c r="U59992" s="8"/>
      <c r="V59992" s="8"/>
      <c r="W59992" s="8"/>
      <c r="X59992" s="8"/>
      <c r="Y59992" s="8"/>
      <c r="Z59992" s="8"/>
      <c r="AA59992" s="8"/>
    </row>
    <row r="59993" spans="1:27" x14ac:dyDescent="0.25">
      <c r="A59993" s="8"/>
      <c r="B59993" s="8"/>
      <c r="C59993" s="99"/>
      <c r="D59993" s="8"/>
      <c r="E59993" s="8"/>
      <c r="F59993" s="8"/>
      <c r="G59993" s="8"/>
      <c r="H59993" s="8"/>
      <c r="I59993" s="102"/>
      <c r="J59993" s="8"/>
      <c r="K59993" s="8"/>
      <c r="L59993" s="8"/>
      <c r="M59993" s="8"/>
      <c r="N59993" s="8"/>
      <c r="O59993" s="8"/>
      <c r="P59993" s="8"/>
      <c r="Q59993" s="8"/>
      <c r="R59993" s="103"/>
      <c r="S59993" s="8"/>
      <c r="T59993" s="8"/>
      <c r="U59993" s="8"/>
      <c r="V59993" s="8"/>
      <c r="W59993" s="8"/>
      <c r="X59993" s="8"/>
      <c r="Y59993" s="8"/>
      <c r="Z59993" s="8"/>
      <c r="AA59993" s="8"/>
    </row>
    <row r="59994" spans="1:27" x14ac:dyDescent="0.25">
      <c r="A59994" s="8"/>
      <c r="B59994" s="8"/>
      <c r="C59994" s="99"/>
      <c r="D59994" s="8"/>
      <c r="E59994" s="8"/>
      <c r="F59994" s="8"/>
      <c r="G59994" s="8"/>
      <c r="H59994" s="8"/>
      <c r="I59994" s="102"/>
      <c r="J59994" s="8"/>
      <c r="K59994" s="8"/>
      <c r="L59994" s="8"/>
      <c r="M59994" s="8"/>
      <c r="N59994" s="8"/>
      <c r="O59994" s="8"/>
      <c r="P59994" s="8"/>
      <c r="Q59994" s="8"/>
      <c r="R59994" s="103"/>
      <c r="S59994" s="8"/>
      <c r="T59994" s="8"/>
      <c r="U59994" s="8"/>
      <c r="V59994" s="8"/>
      <c r="W59994" s="8"/>
      <c r="X59994" s="8"/>
      <c r="Y59994" s="8"/>
      <c r="Z59994" s="8"/>
      <c r="AA59994" s="8"/>
    </row>
    <row r="59995" spans="1:27" x14ac:dyDescent="0.25">
      <c r="A59995" s="8"/>
      <c r="B59995" s="8"/>
      <c r="C59995" s="99"/>
      <c r="D59995" s="8"/>
      <c r="E59995" s="8"/>
      <c r="F59995" s="8"/>
      <c r="G59995" s="8"/>
      <c r="H59995" s="8"/>
      <c r="I59995" s="102"/>
      <c r="J59995" s="8"/>
      <c r="K59995" s="8"/>
      <c r="L59995" s="8"/>
      <c r="M59995" s="8"/>
      <c r="N59995" s="8"/>
      <c r="O59995" s="8"/>
      <c r="P59995" s="8"/>
      <c r="Q59995" s="8"/>
      <c r="R59995" s="103"/>
      <c r="S59995" s="8"/>
      <c r="T59995" s="8"/>
      <c r="U59995" s="8"/>
      <c r="V59995" s="8"/>
      <c r="W59995" s="8"/>
      <c r="X59995" s="8"/>
      <c r="Y59995" s="8"/>
      <c r="Z59995" s="8"/>
      <c r="AA59995" s="8"/>
    </row>
    <row r="59996" spans="1:27" x14ac:dyDescent="0.25">
      <c r="A59996" s="8"/>
      <c r="B59996" s="8"/>
      <c r="C59996" s="99"/>
      <c r="D59996" s="8"/>
      <c r="E59996" s="8"/>
      <c r="F59996" s="8"/>
      <c r="G59996" s="8"/>
      <c r="H59996" s="8"/>
      <c r="I59996" s="102"/>
      <c r="J59996" s="8"/>
      <c r="K59996" s="8"/>
      <c r="L59996" s="8"/>
      <c r="M59996" s="8"/>
      <c r="N59996" s="8"/>
      <c r="O59996" s="8"/>
      <c r="P59996" s="8"/>
      <c r="Q59996" s="8"/>
      <c r="R59996" s="103"/>
      <c r="S59996" s="8"/>
      <c r="T59996" s="8"/>
      <c r="U59996" s="8"/>
      <c r="V59996" s="8"/>
      <c r="W59996" s="8"/>
      <c r="X59996" s="8"/>
      <c r="Y59996" s="8"/>
      <c r="Z59996" s="8"/>
      <c r="AA59996" s="8"/>
    </row>
    <row r="59997" spans="1:27" x14ac:dyDescent="0.25">
      <c r="A59997" s="8"/>
      <c r="B59997" s="8"/>
      <c r="C59997" s="99"/>
      <c r="D59997" s="8"/>
      <c r="E59997" s="8"/>
      <c r="F59997" s="8"/>
      <c r="G59997" s="8"/>
      <c r="H59997" s="8"/>
      <c r="I59997" s="102"/>
      <c r="J59997" s="8"/>
      <c r="K59997" s="8"/>
      <c r="L59997" s="8"/>
      <c r="M59997" s="8"/>
      <c r="N59997" s="8"/>
      <c r="O59997" s="8"/>
      <c r="P59997" s="8"/>
      <c r="Q59997" s="8"/>
      <c r="R59997" s="103"/>
      <c r="S59997" s="8"/>
      <c r="T59997" s="8"/>
      <c r="U59997" s="8"/>
      <c r="V59997" s="8"/>
      <c r="W59997" s="8"/>
      <c r="X59997" s="8"/>
      <c r="Y59997" s="8"/>
      <c r="Z59997" s="8"/>
      <c r="AA59997" s="8"/>
    </row>
    <row r="59998" spans="1:27" x14ac:dyDescent="0.25">
      <c r="A59998" s="8"/>
      <c r="B59998" s="8"/>
      <c r="C59998" s="99"/>
      <c r="D59998" s="8"/>
      <c r="E59998" s="8"/>
      <c r="F59998" s="8"/>
      <c r="G59998" s="8"/>
      <c r="H59998" s="8"/>
      <c r="I59998" s="102"/>
      <c r="J59998" s="8"/>
      <c r="K59998" s="8"/>
      <c r="L59998" s="8"/>
      <c r="M59998" s="8"/>
      <c r="N59998" s="8"/>
      <c r="O59998" s="8"/>
      <c r="P59998" s="8"/>
      <c r="Q59998" s="8"/>
      <c r="R59998" s="103"/>
      <c r="S59998" s="8"/>
      <c r="T59998" s="8"/>
      <c r="U59998" s="8"/>
      <c r="V59998" s="8"/>
      <c r="W59998" s="8"/>
      <c r="X59998" s="8"/>
      <c r="Y59998" s="8"/>
      <c r="Z59998" s="8"/>
      <c r="AA59998" s="8"/>
    </row>
    <row r="59999" spans="1:27" x14ac:dyDescent="0.25">
      <c r="A59999" s="8"/>
      <c r="B59999" s="8"/>
      <c r="C59999" s="99"/>
      <c r="D59999" s="8"/>
      <c r="E59999" s="8"/>
      <c r="F59999" s="8"/>
      <c r="G59999" s="8"/>
      <c r="H59999" s="8"/>
      <c r="I59999" s="102"/>
      <c r="J59999" s="8"/>
      <c r="K59999" s="8"/>
      <c r="L59999" s="8"/>
      <c r="M59999" s="8"/>
      <c r="N59999" s="8"/>
      <c r="O59999" s="8"/>
      <c r="P59999" s="8"/>
      <c r="Q59999" s="8"/>
      <c r="R59999" s="103"/>
      <c r="S59999" s="8"/>
      <c r="T59999" s="8"/>
      <c r="U59999" s="8"/>
      <c r="V59999" s="8"/>
      <c r="W59999" s="8"/>
      <c r="X59999" s="8"/>
      <c r="Y59999" s="8"/>
      <c r="Z59999" s="8"/>
      <c r="AA59999" s="8"/>
    </row>
    <row r="60000" spans="1:27" x14ac:dyDescent="0.25">
      <c r="A60000" s="8"/>
      <c r="B60000" s="8"/>
      <c r="C60000" s="99"/>
      <c r="D60000" s="8"/>
      <c r="E60000" s="8"/>
      <c r="F60000" s="8"/>
      <c r="G60000" s="8"/>
      <c r="H60000" s="8"/>
      <c r="I60000" s="102"/>
      <c r="J60000" s="8"/>
      <c r="K60000" s="8"/>
      <c r="L60000" s="8"/>
      <c r="M60000" s="8"/>
      <c r="N60000" s="8"/>
      <c r="O60000" s="8"/>
      <c r="P60000" s="8"/>
      <c r="Q60000" s="8"/>
      <c r="R60000" s="103"/>
      <c r="S60000" s="8"/>
      <c r="T60000" s="8"/>
      <c r="U60000" s="8"/>
      <c r="V60000" s="8"/>
      <c r="W60000" s="8"/>
      <c r="X60000" s="8"/>
      <c r="Y60000" s="8"/>
      <c r="Z60000" s="8"/>
      <c r="AA60000" s="8"/>
    </row>
    <row r="60001" spans="1:27" x14ac:dyDescent="0.25">
      <c r="A60001" s="8"/>
      <c r="B60001" s="8"/>
      <c r="C60001" s="99"/>
      <c r="D60001" s="8"/>
      <c r="E60001" s="8"/>
      <c r="F60001" s="8"/>
      <c r="G60001" s="8"/>
      <c r="H60001" s="8"/>
      <c r="I60001" s="102"/>
      <c r="J60001" s="8"/>
      <c r="K60001" s="8"/>
      <c r="L60001" s="8"/>
      <c r="M60001" s="8"/>
      <c r="N60001" s="8"/>
      <c r="O60001" s="8"/>
      <c r="P60001" s="8"/>
      <c r="Q60001" s="8"/>
      <c r="R60001" s="103"/>
      <c r="S60001" s="8"/>
      <c r="T60001" s="8"/>
      <c r="U60001" s="8"/>
      <c r="V60001" s="8"/>
      <c r="W60001" s="8"/>
      <c r="X60001" s="8"/>
      <c r="Y60001" s="8"/>
      <c r="Z60001" s="8"/>
      <c r="AA60001" s="8"/>
    </row>
    <row r="60002" spans="1:27" x14ac:dyDescent="0.25">
      <c r="A60002" s="8"/>
      <c r="B60002" s="8"/>
      <c r="C60002" s="99"/>
      <c r="D60002" s="8"/>
      <c r="E60002" s="8"/>
      <c r="F60002" s="8"/>
      <c r="G60002" s="8"/>
      <c r="H60002" s="8"/>
      <c r="I60002" s="102"/>
      <c r="J60002" s="8"/>
      <c r="K60002" s="8"/>
      <c r="L60002" s="8"/>
      <c r="M60002" s="8"/>
      <c r="N60002" s="8"/>
      <c r="O60002" s="8"/>
      <c r="P60002" s="8"/>
      <c r="Q60002" s="8"/>
      <c r="R60002" s="103"/>
      <c r="S60002" s="8"/>
      <c r="T60002" s="8"/>
      <c r="U60002" s="8"/>
      <c r="V60002" s="8"/>
      <c r="W60002" s="8"/>
      <c r="X60002" s="8"/>
      <c r="Y60002" s="8"/>
      <c r="Z60002" s="8"/>
      <c r="AA60002" s="8"/>
    </row>
    <row r="60003" spans="1:27" x14ac:dyDescent="0.25">
      <c r="A60003" s="8"/>
      <c r="B60003" s="8"/>
      <c r="C60003" s="99"/>
      <c r="D60003" s="8"/>
      <c r="E60003" s="8"/>
      <c r="F60003" s="8"/>
      <c r="G60003" s="8"/>
      <c r="H60003" s="8"/>
      <c r="I60003" s="102"/>
      <c r="J60003" s="8"/>
      <c r="K60003" s="8"/>
      <c r="L60003" s="8"/>
      <c r="M60003" s="8"/>
      <c r="N60003" s="8"/>
      <c r="O60003" s="8"/>
      <c r="P60003" s="8"/>
      <c r="Q60003" s="8"/>
      <c r="R60003" s="103"/>
      <c r="S60003" s="8"/>
      <c r="T60003" s="8"/>
      <c r="U60003" s="8"/>
      <c r="V60003" s="8"/>
      <c r="W60003" s="8"/>
      <c r="X60003" s="8"/>
      <c r="Y60003" s="8"/>
      <c r="Z60003" s="8"/>
      <c r="AA60003" s="8"/>
    </row>
    <row r="60004" spans="1:27" x14ac:dyDescent="0.25">
      <c r="A60004" s="8"/>
      <c r="B60004" s="8"/>
      <c r="C60004" s="99"/>
      <c r="D60004" s="8"/>
      <c r="E60004" s="8"/>
      <c r="F60004" s="8"/>
      <c r="G60004" s="8"/>
      <c r="H60004" s="8"/>
      <c r="I60004" s="102"/>
      <c r="J60004" s="8"/>
      <c r="K60004" s="8"/>
      <c r="L60004" s="8"/>
      <c r="M60004" s="8"/>
      <c r="N60004" s="8"/>
      <c r="O60004" s="8"/>
      <c r="P60004" s="8"/>
      <c r="Q60004" s="8"/>
      <c r="R60004" s="103"/>
      <c r="S60004" s="8"/>
      <c r="T60004" s="8"/>
      <c r="U60004" s="8"/>
      <c r="V60004" s="8"/>
      <c r="W60004" s="8"/>
      <c r="X60004" s="8"/>
      <c r="Y60004" s="8"/>
      <c r="Z60004" s="8"/>
      <c r="AA60004" s="8"/>
    </row>
    <row r="60005" spans="1:27" x14ac:dyDescent="0.25">
      <c r="A60005" s="8"/>
      <c r="B60005" s="8"/>
      <c r="C60005" s="99"/>
      <c r="D60005" s="8"/>
      <c r="E60005" s="8"/>
      <c r="F60005" s="8"/>
      <c r="G60005" s="8"/>
      <c r="H60005" s="8"/>
      <c r="I60005" s="102"/>
      <c r="J60005" s="8"/>
      <c r="K60005" s="8"/>
      <c r="L60005" s="8"/>
      <c r="M60005" s="8"/>
      <c r="N60005" s="8"/>
      <c r="O60005" s="8"/>
      <c r="P60005" s="8"/>
      <c r="Q60005" s="8"/>
      <c r="R60005" s="103"/>
      <c r="S60005" s="8"/>
      <c r="T60005" s="8"/>
      <c r="U60005" s="8"/>
      <c r="V60005" s="8"/>
      <c r="W60005" s="8"/>
      <c r="X60005" s="8"/>
      <c r="Y60005" s="8"/>
      <c r="Z60005" s="8"/>
      <c r="AA60005" s="8"/>
    </row>
    <row r="60006" spans="1:27" x14ac:dyDescent="0.25">
      <c r="A60006" s="8"/>
      <c r="B60006" s="8"/>
      <c r="C60006" s="99"/>
      <c r="D60006" s="8"/>
      <c r="E60006" s="8"/>
      <c r="F60006" s="8"/>
      <c r="G60006" s="8"/>
      <c r="H60006" s="8"/>
      <c r="I60006" s="102"/>
      <c r="J60006" s="8"/>
      <c r="K60006" s="8"/>
      <c r="L60006" s="8"/>
      <c r="M60006" s="8"/>
      <c r="N60006" s="8"/>
      <c r="O60006" s="8"/>
      <c r="P60006" s="8"/>
      <c r="Q60006" s="8"/>
      <c r="R60006" s="103"/>
      <c r="S60006" s="8"/>
      <c r="T60006" s="8"/>
      <c r="U60006" s="8"/>
      <c r="V60006" s="8"/>
      <c r="W60006" s="8"/>
      <c r="X60006" s="8"/>
      <c r="Y60006" s="8"/>
      <c r="Z60006" s="8"/>
      <c r="AA60006" s="8"/>
    </row>
    <row r="60007" spans="1:27" x14ac:dyDescent="0.25">
      <c r="A60007" s="8"/>
      <c r="B60007" s="8"/>
      <c r="C60007" s="99"/>
      <c r="D60007" s="8"/>
      <c r="E60007" s="8"/>
      <c r="F60007" s="8"/>
      <c r="G60007" s="8"/>
      <c r="H60007" s="8"/>
      <c r="I60007" s="102"/>
      <c r="J60007" s="8"/>
      <c r="K60007" s="8"/>
      <c r="L60007" s="8"/>
      <c r="M60007" s="8"/>
      <c r="N60007" s="8"/>
      <c r="O60007" s="8"/>
      <c r="P60007" s="8"/>
      <c r="Q60007" s="8"/>
      <c r="R60007" s="103"/>
      <c r="S60007" s="8"/>
      <c r="T60007" s="8"/>
      <c r="U60007" s="8"/>
      <c r="V60007" s="8"/>
      <c r="W60007" s="8"/>
      <c r="X60007" s="8"/>
      <c r="Y60007" s="8"/>
      <c r="Z60007" s="8"/>
      <c r="AA60007" s="8"/>
    </row>
    <row r="60008" spans="1:27" x14ac:dyDescent="0.25">
      <c r="A60008" s="8"/>
      <c r="B60008" s="8"/>
      <c r="C60008" s="99"/>
      <c r="D60008" s="8"/>
      <c r="E60008" s="8"/>
      <c r="F60008" s="8"/>
      <c r="G60008" s="8"/>
      <c r="H60008" s="8"/>
      <c r="I60008" s="102"/>
      <c r="J60008" s="8"/>
      <c r="K60008" s="8"/>
      <c r="L60008" s="8"/>
      <c r="M60008" s="8"/>
      <c r="N60008" s="8"/>
      <c r="O60008" s="8"/>
      <c r="P60008" s="8"/>
      <c r="Q60008" s="8"/>
      <c r="R60008" s="103"/>
      <c r="S60008" s="8"/>
      <c r="T60008" s="8"/>
      <c r="U60008" s="8"/>
      <c r="V60008" s="8"/>
      <c r="W60008" s="8"/>
      <c r="X60008" s="8"/>
      <c r="Y60008" s="8"/>
      <c r="Z60008" s="8"/>
      <c r="AA60008" s="8"/>
    </row>
    <row r="60009" spans="1:27" x14ac:dyDescent="0.25">
      <c r="A60009" s="8"/>
      <c r="B60009" s="8"/>
      <c r="C60009" s="99"/>
      <c r="D60009" s="8"/>
      <c r="E60009" s="8"/>
      <c r="F60009" s="8"/>
      <c r="G60009" s="8"/>
      <c r="H60009" s="8"/>
      <c r="I60009" s="102"/>
      <c r="J60009" s="8"/>
      <c r="K60009" s="8"/>
      <c r="L60009" s="8"/>
      <c r="M60009" s="8"/>
      <c r="N60009" s="8"/>
      <c r="O60009" s="8"/>
      <c r="P60009" s="8"/>
      <c r="Q60009" s="8"/>
      <c r="R60009" s="103"/>
      <c r="S60009" s="8"/>
      <c r="T60009" s="8"/>
      <c r="U60009" s="8"/>
      <c r="V60009" s="8"/>
      <c r="W60009" s="8"/>
      <c r="X60009" s="8"/>
      <c r="Y60009" s="8"/>
      <c r="Z60009" s="8"/>
      <c r="AA60009" s="8"/>
    </row>
    <row r="60010" spans="1:27" x14ac:dyDescent="0.25">
      <c r="A60010" s="8"/>
      <c r="B60010" s="8"/>
      <c r="C60010" s="99"/>
      <c r="D60010" s="8"/>
      <c r="E60010" s="8"/>
      <c r="F60010" s="8"/>
      <c r="G60010" s="8"/>
      <c r="H60010" s="8"/>
      <c r="I60010" s="102"/>
      <c r="J60010" s="8"/>
      <c r="K60010" s="8"/>
      <c r="L60010" s="8"/>
      <c r="M60010" s="8"/>
      <c r="N60010" s="8"/>
      <c r="O60010" s="8"/>
      <c r="P60010" s="8"/>
      <c r="Q60010" s="8"/>
      <c r="R60010" s="103"/>
      <c r="S60010" s="8"/>
      <c r="T60010" s="8"/>
      <c r="U60010" s="8"/>
      <c r="V60010" s="8"/>
      <c r="W60010" s="8"/>
      <c r="X60010" s="8"/>
      <c r="Y60010" s="8"/>
      <c r="Z60010" s="8"/>
      <c r="AA60010" s="8"/>
    </row>
    <row r="60011" spans="1:27" x14ac:dyDescent="0.25">
      <c r="A60011" s="8"/>
      <c r="B60011" s="8"/>
      <c r="C60011" s="99"/>
      <c r="D60011" s="8"/>
      <c r="E60011" s="8"/>
      <c r="F60011" s="8"/>
      <c r="G60011" s="8"/>
      <c r="H60011" s="8"/>
      <c r="I60011" s="102"/>
      <c r="J60011" s="8"/>
      <c r="K60011" s="8"/>
      <c r="L60011" s="8"/>
      <c r="M60011" s="8"/>
      <c r="N60011" s="8"/>
      <c r="O60011" s="8"/>
      <c r="P60011" s="8"/>
      <c r="Q60011" s="8"/>
      <c r="R60011" s="103"/>
      <c r="S60011" s="8"/>
      <c r="T60011" s="8"/>
      <c r="U60011" s="8"/>
      <c r="V60011" s="8"/>
      <c r="W60011" s="8"/>
      <c r="X60011" s="8"/>
      <c r="Y60011" s="8"/>
      <c r="Z60011" s="8"/>
      <c r="AA60011" s="8"/>
    </row>
    <row r="60012" spans="1:27" x14ac:dyDescent="0.25">
      <c r="A60012" s="8"/>
      <c r="B60012" s="8"/>
      <c r="C60012" s="99"/>
      <c r="D60012" s="8"/>
      <c r="E60012" s="8"/>
      <c r="F60012" s="8"/>
      <c r="G60012" s="8"/>
      <c r="H60012" s="8"/>
      <c r="I60012" s="102"/>
      <c r="J60012" s="8"/>
      <c r="K60012" s="8"/>
      <c r="L60012" s="8"/>
      <c r="M60012" s="8"/>
      <c r="N60012" s="8"/>
      <c r="O60012" s="8"/>
      <c r="P60012" s="8"/>
      <c r="Q60012" s="8"/>
      <c r="R60012" s="103"/>
      <c r="S60012" s="8"/>
      <c r="T60012" s="8"/>
      <c r="U60012" s="8"/>
      <c r="V60012" s="8"/>
      <c r="W60012" s="8"/>
      <c r="X60012" s="8"/>
      <c r="Y60012" s="8"/>
      <c r="Z60012" s="8"/>
      <c r="AA60012" s="8"/>
    </row>
    <row r="60013" spans="1:27" x14ac:dyDescent="0.25">
      <c r="A60013" s="8"/>
      <c r="B60013" s="8"/>
      <c r="C60013" s="99"/>
      <c r="D60013" s="8"/>
      <c r="E60013" s="8"/>
      <c r="F60013" s="8"/>
      <c r="G60013" s="8"/>
      <c r="H60013" s="8"/>
      <c r="I60013" s="102"/>
      <c r="J60013" s="8"/>
      <c r="K60013" s="8"/>
      <c r="L60013" s="8"/>
      <c r="M60013" s="8"/>
      <c r="N60013" s="8"/>
      <c r="O60013" s="8"/>
      <c r="P60013" s="8"/>
      <c r="Q60013" s="8"/>
      <c r="R60013" s="103"/>
      <c r="S60013" s="8"/>
      <c r="T60013" s="8"/>
      <c r="U60013" s="8"/>
      <c r="V60013" s="8"/>
      <c r="W60013" s="8"/>
      <c r="X60013" s="8"/>
      <c r="Y60013" s="8"/>
      <c r="Z60013" s="8"/>
      <c r="AA60013" s="8"/>
    </row>
    <row r="60014" spans="1:27" x14ac:dyDescent="0.25">
      <c r="A60014" s="8"/>
      <c r="B60014" s="8"/>
      <c r="C60014" s="99"/>
      <c r="D60014" s="8"/>
      <c r="E60014" s="8"/>
      <c r="F60014" s="8"/>
      <c r="G60014" s="8"/>
      <c r="H60014" s="8"/>
      <c r="I60014" s="102"/>
      <c r="J60014" s="8"/>
      <c r="K60014" s="8"/>
      <c r="L60014" s="8"/>
      <c r="M60014" s="8"/>
      <c r="N60014" s="8"/>
      <c r="O60014" s="8"/>
      <c r="P60014" s="8"/>
      <c r="Q60014" s="8"/>
      <c r="R60014" s="103"/>
      <c r="S60014" s="8"/>
      <c r="T60014" s="8"/>
      <c r="U60014" s="8"/>
      <c r="V60014" s="8"/>
      <c r="W60014" s="8"/>
      <c r="X60014" s="8"/>
      <c r="Y60014" s="8"/>
      <c r="Z60014" s="8"/>
      <c r="AA60014" s="8"/>
    </row>
    <row r="60015" spans="1:27" x14ac:dyDescent="0.25">
      <c r="A60015" s="8"/>
      <c r="B60015" s="8"/>
      <c r="C60015" s="99"/>
      <c r="D60015" s="8"/>
      <c r="E60015" s="8"/>
      <c r="F60015" s="8"/>
      <c r="G60015" s="8"/>
      <c r="H60015" s="8"/>
      <c r="I60015" s="102"/>
      <c r="J60015" s="8"/>
      <c r="K60015" s="8"/>
      <c r="L60015" s="8"/>
      <c r="M60015" s="8"/>
      <c r="N60015" s="8"/>
      <c r="O60015" s="8"/>
      <c r="P60015" s="8"/>
      <c r="Q60015" s="8"/>
      <c r="R60015" s="103"/>
      <c r="S60015" s="8"/>
      <c r="T60015" s="8"/>
      <c r="U60015" s="8"/>
      <c r="V60015" s="8"/>
      <c r="W60015" s="8"/>
      <c r="X60015" s="8"/>
      <c r="Y60015" s="8"/>
      <c r="Z60015" s="8"/>
      <c r="AA60015" s="8"/>
    </row>
    <row r="60016" spans="1:27" x14ac:dyDescent="0.25">
      <c r="A60016" s="8"/>
      <c r="B60016" s="8"/>
      <c r="C60016" s="99"/>
      <c r="D60016" s="8"/>
      <c r="E60016" s="8"/>
      <c r="F60016" s="8"/>
      <c r="G60016" s="8"/>
      <c r="H60016" s="8"/>
      <c r="I60016" s="102"/>
      <c r="J60016" s="8"/>
      <c r="K60016" s="8"/>
      <c r="L60016" s="8"/>
      <c r="M60016" s="8"/>
      <c r="N60016" s="8"/>
      <c r="O60016" s="8"/>
      <c r="P60016" s="8"/>
      <c r="Q60016" s="8"/>
      <c r="R60016" s="103"/>
      <c r="S60016" s="8"/>
      <c r="T60016" s="8"/>
      <c r="U60016" s="8"/>
      <c r="V60016" s="8"/>
      <c r="W60016" s="8"/>
      <c r="X60016" s="8"/>
      <c r="Y60016" s="8"/>
      <c r="Z60016" s="8"/>
      <c r="AA60016" s="8"/>
    </row>
    <row r="60017" spans="1:27" x14ac:dyDescent="0.25">
      <c r="A60017" s="8"/>
      <c r="B60017" s="8"/>
      <c r="C60017" s="99"/>
      <c r="D60017" s="8"/>
      <c r="E60017" s="8"/>
      <c r="F60017" s="8"/>
      <c r="G60017" s="8"/>
      <c r="H60017" s="8"/>
      <c r="I60017" s="102"/>
      <c r="J60017" s="8"/>
      <c r="K60017" s="8"/>
      <c r="L60017" s="8"/>
      <c r="M60017" s="8"/>
      <c r="N60017" s="8"/>
      <c r="O60017" s="8"/>
      <c r="P60017" s="8"/>
      <c r="Q60017" s="8"/>
      <c r="R60017" s="103"/>
      <c r="S60017" s="8"/>
      <c r="T60017" s="8"/>
      <c r="U60017" s="8"/>
      <c r="V60017" s="8"/>
      <c r="W60017" s="8"/>
      <c r="X60017" s="8"/>
      <c r="Y60017" s="8"/>
      <c r="Z60017" s="8"/>
      <c r="AA60017" s="8"/>
    </row>
    <row r="60018" spans="1:27" x14ac:dyDescent="0.25">
      <c r="A60018" s="8"/>
      <c r="B60018" s="8"/>
      <c r="C60018" s="99"/>
      <c r="D60018" s="8"/>
      <c r="E60018" s="8"/>
      <c r="F60018" s="8"/>
      <c r="G60018" s="8"/>
      <c r="H60018" s="8"/>
      <c r="I60018" s="102"/>
      <c r="J60018" s="8"/>
      <c r="K60018" s="8"/>
      <c r="L60018" s="8"/>
      <c r="M60018" s="8"/>
      <c r="N60018" s="8"/>
      <c r="O60018" s="8"/>
      <c r="P60018" s="8"/>
      <c r="Q60018" s="8"/>
      <c r="R60018" s="103"/>
      <c r="S60018" s="8"/>
      <c r="T60018" s="8"/>
      <c r="U60018" s="8"/>
      <c r="V60018" s="8"/>
      <c r="W60018" s="8"/>
      <c r="X60018" s="8"/>
      <c r="Y60018" s="8"/>
      <c r="Z60018" s="8"/>
      <c r="AA60018" s="8"/>
    </row>
    <row r="60019" spans="1:27" x14ac:dyDescent="0.25">
      <c r="A60019" s="8"/>
      <c r="B60019" s="8"/>
      <c r="C60019" s="99"/>
      <c r="D60019" s="8"/>
      <c r="E60019" s="8"/>
      <c r="F60019" s="8"/>
      <c r="G60019" s="8"/>
      <c r="H60019" s="8"/>
      <c r="I60019" s="102"/>
      <c r="J60019" s="8"/>
      <c r="K60019" s="8"/>
      <c r="L60019" s="8"/>
      <c r="M60019" s="8"/>
      <c r="N60019" s="8"/>
      <c r="O60019" s="8"/>
      <c r="P60019" s="8"/>
      <c r="Q60019" s="8"/>
      <c r="R60019" s="103"/>
      <c r="S60019" s="8"/>
      <c r="T60019" s="8"/>
      <c r="U60019" s="8"/>
      <c r="V60019" s="8"/>
      <c r="W60019" s="8"/>
      <c r="X60019" s="8"/>
      <c r="Y60019" s="8"/>
      <c r="Z60019" s="8"/>
      <c r="AA60019" s="8"/>
    </row>
    <row r="60020" spans="1:27" x14ac:dyDescent="0.25">
      <c r="A60020" s="8"/>
      <c r="B60020" s="8"/>
      <c r="C60020" s="99"/>
      <c r="D60020" s="8"/>
      <c r="E60020" s="8"/>
      <c r="F60020" s="8"/>
      <c r="G60020" s="8"/>
      <c r="H60020" s="8"/>
      <c r="I60020" s="102"/>
      <c r="J60020" s="8"/>
      <c r="K60020" s="8"/>
      <c r="L60020" s="8"/>
      <c r="M60020" s="8"/>
      <c r="N60020" s="8"/>
      <c r="O60020" s="8"/>
      <c r="P60020" s="8"/>
      <c r="Q60020" s="8"/>
      <c r="R60020" s="103"/>
      <c r="S60020" s="8"/>
      <c r="T60020" s="8"/>
      <c r="U60020" s="8"/>
      <c r="V60020" s="8"/>
      <c r="W60020" s="8"/>
      <c r="X60020" s="8"/>
      <c r="Y60020" s="8"/>
      <c r="Z60020" s="8"/>
      <c r="AA60020" s="8"/>
    </row>
    <row r="60021" spans="1:27" x14ac:dyDescent="0.25">
      <c r="A60021" s="8"/>
      <c r="B60021" s="8"/>
      <c r="C60021" s="99"/>
      <c r="D60021" s="8"/>
      <c r="E60021" s="8"/>
      <c r="F60021" s="8"/>
      <c r="G60021" s="8"/>
      <c r="H60021" s="8"/>
      <c r="I60021" s="102"/>
      <c r="J60021" s="8"/>
      <c r="K60021" s="8"/>
      <c r="L60021" s="8"/>
      <c r="M60021" s="8"/>
      <c r="N60021" s="8"/>
      <c r="O60021" s="8"/>
      <c r="P60021" s="8"/>
      <c r="Q60021" s="8"/>
      <c r="R60021" s="103"/>
      <c r="S60021" s="8"/>
      <c r="T60021" s="8"/>
      <c r="U60021" s="8"/>
      <c r="V60021" s="8"/>
      <c r="W60021" s="8"/>
      <c r="X60021" s="8"/>
      <c r="Y60021" s="8"/>
      <c r="Z60021" s="8"/>
      <c r="AA60021" s="8"/>
    </row>
    <row r="60022" spans="1:27" x14ac:dyDescent="0.25">
      <c r="A60022" s="8"/>
      <c r="B60022" s="8"/>
      <c r="C60022" s="99"/>
      <c r="D60022" s="8"/>
      <c r="E60022" s="8"/>
      <c r="F60022" s="8"/>
      <c r="G60022" s="8"/>
      <c r="H60022" s="8"/>
      <c r="I60022" s="102"/>
      <c r="J60022" s="8"/>
      <c r="K60022" s="8"/>
      <c r="L60022" s="8"/>
      <c r="M60022" s="8"/>
      <c r="N60022" s="8"/>
      <c r="O60022" s="8"/>
      <c r="P60022" s="8"/>
      <c r="Q60022" s="8"/>
      <c r="R60022" s="103"/>
      <c r="S60022" s="8"/>
      <c r="T60022" s="8"/>
      <c r="U60022" s="8"/>
      <c r="V60022" s="8"/>
      <c r="W60022" s="8"/>
      <c r="X60022" s="8"/>
      <c r="Y60022" s="8"/>
      <c r="Z60022" s="8"/>
      <c r="AA60022" s="8"/>
    </row>
    <row r="60023" spans="1:27" x14ac:dyDescent="0.25">
      <c r="A60023" s="8"/>
      <c r="B60023" s="8"/>
      <c r="C60023" s="99"/>
      <c r="D60023" s="8"/>
      <c r="E60023" s="8"/>
      <c r="F60023" s="8"/>
      <c r="G60023" s="8"/>
      <c r="H60023" s="8"/>
      <c r="I60023" s="102"/>
      <c r="J60023" s="8"/>
      <c r="K60023" s="8"/>
      <c r="L60023" s="8"/>
      <c r="M60023" s="8"/>
      <c r="N60023" s="8"/>
      <c r="O60023" s="8"/>
      <c r="P60023" s="8"/>
      <c r="Q60023" s="8"/>
      <c r="R60023" s="103"/>
      <c r="S60023" s="8"/>
      <c r="T60023" s="8"/>
      <c r="U60023" s="8"/>
      <c r="V60023" s="8"/>
      <c r="W60023" s="8"/>
      <c r="X60023" s="8"/>
      <c r="Y60023" s="8"/>
      <c r="Z60023" s="8"/>
      <c r="AA60023" s="8"/>
    </row>
    <row r="60024" spans="1:27" x14ac:dyDescent="0.25">
      <c r="A60024" s="8"/>
      <c r="B60024" s="8"/>
      <c r="C60024" s="99"/>
      <c r="D60024" s="8"/>
      <c r="E60024" s="8"/>
      <c r="F60024" s="8"/>
      <c r="G60024" s="8"/>
      <c r="H60024" s="8"/>
      <c r="I60024" s="102"/>
      <c r="J60024" s="8"/>
      <c r="K60024" s="8"/>
      <c r="L60024" s="8"/>
      <c r="M60024" s="8"/>
      <c r="N60024" s="8"/>
      <c r="O60024" s="8"/>
      <c r="P60024" s="8"/>
      <c r="Q60024" s="8"/>
      <c r="R60024" s="103"/>
      <c r="S60024" s="8"/>
      <c r="T60024" s="8"/>
      <c r="U60024" s="8"/>
      <c r="V60024" s="8"/>
      <c r="W60024" s="8"/>
      <c r="X60024" s="8"/>
      <c r="Y60024" s="8"/>
      <c r="Z60024" s="8"/>
      <c r="AA60024" s="8"/>
    </row>
    <row r="60025" spans="1:27" x14ac:dyDescent="0.25">
      <c r="A60025" s="8"/>
      <c r="B60025" s="8"/>
      <c r="C60025" s="99"/>
      <c r="D60025" s="8"/>
      <c r="E60025" s="8"/>
      <c r="F60025" s="8"/>
      <c r="G60025" s="8"/>
      <c r="H60025" s="8"/>
      <c r="I60025" s="102"/>
      <c r="J60025" s="8"/>
      <c r="K60025" s="8"/>
      <c r="L60025" s="8"/>
      <c r="M60025" s="8"/>
      <c r="N60025" s="8"/>
      <c r="O60025" s="8"/>
      <c r="P60025" s="8"/>
      <c r="Q60025" s="8"/>
      <c r="R60025" s="103"/>
      <c r="S60025" s="8"/>
      <c r="T60025" s="8"/>
      <c r="U60025" s="8"/>
      <c r="V60025" s="8"/>
      <c r="W60025" s="8"/>
      <c r="X60025" s="8"/>
      <c r="Y60025" s="8"/>
      <c r="Z60025" s="8"/>
      <c r="AA60025" s="8"/>
    </row>
    <row r="60026" spans="1:27" x14ac:dyDescent="0.25">
      <c r="A60026" s="8"/>
      <c r="B60026" s="8"/>
      <c r="C60026" s="99"/>
      <c r="D60026" s="8"/>
      <c r="E60026" s="8"/>
      <c r="F60026" s="8"/>
      <c r="G60026" s="8"/>
      <c r="H60026" s="8"/>
      <c r="I60026" s="102"/>
      <c r="J60026" s="8"/>
      <c r="K60026" s="8"/>
      <c r="L60026" s="8"/>
      <c r="M60026" s="8"/>
      <c r="N60026" s="8"/>
      <c r="O60026" s="8"/>
      <c r="P60026" s="8"/>
      <c r="Q60026" s="8"/>
      <c r="R60026" s="103"/>
      <c r="S60026" s="8"/>
      <c r="T60026" s="8"/>
      <c r="U60026" s="8"/>
      <c r="V60026" s="8"/>
      <c r="W60026" s="8"/>
      <c r="X60026" s="8"/>
      <c r="Y60026" s="8"/>
      <c r="Z60026" s="8"/>
      <c r="AA60026" s="8"/>
    </row>
    <row r="60027" spans="1:27" x14ac:dyDescent="0.25">
      <c r="A60027" s="8"/>
      <c r="B60027" s="8"/>
      <c r="C60027" s="99"/>
      <c r="D60027" s="8"/>
      <c r="E60027" s="8"/>
      <c r="F60027" s="8"/>
      <c r="G60027" s="8"/>
      <c r="H60027" s="8"/>
      <c r="I60027" s="102"/>
      <c r="J60027" s="8"/>
      <c r="K60027" s="8"/>
      <c r="L60027" s="8"/>
      <c r="M60027" s="8"/>
      <c r="N60027" s="8"/>
      <c r="O60027" s="8"/>
      <c r="P60027" s="8"/>
      <c r="Q60027" s="8"/>
      <c r="R60027" s="103"/>
      <c r="S60027" s="8"/>
      <c r="T60027" s="8"/>
      <c r="U60027" s="8"/>
      <c r="V60027" s="8"/>
      <c r="W60027" s="8"/>
      <c r="X60027" s="8"/>
      <c r="Y60027" s="8"/>
      <c r="Z60027" s="8"/>
      <c r="AA60027" s="8"/>
    </row>
    <row r="60028" spans="1:27" x14ac:dyDescent="0.25">
      <c r="A60028" s="8"/>
      <c r="B60028" s="8"/>
      <c r="C60028" s="99"/>
      <c r="D60028" s="8"/>
      <c r="E60028" s="8"/>
      <c r="F60028" s="8"/>
      <c r="G60028" s="8"/>
      <c r="H60028" s="8"/>
      <c r="I60028" s="102"/>
      <c r="J60028" s="8"/>
      <c r="K60028" s="8"/>
      <c r="L60028" s="8"/>
      <c r="M60028" s="8"/>
      <c r="N60028" s="8"/>
      <c r="O60028" s="8"/>
      <c r="P60028" s="8"/>
      <c r="Q60028" s="8"/>
      <c r="R60028" s="103"/>
      <c r="S60028" s="8"/>
      <c r="T60028" s="8"/>
      <c r="U60028" s="8"/>
      <c r="V60028" s="8"/>
      <c r="W60028" s="8"/>
      <c r="X60028" s="8"/>
      <c r="Y60028" s="8"/>
      <c r="Z60028" s="8"/>
      <c r="AA60028" s="8"/>
    </row>
    <row r="60029" spans="1:27" x14ac:dyDescent="0.25">
      <c r="A60029" s="8"/>
      <c r="B60029" s="8"/>
      <c r="C60029" s="99"/>
      <c r="D60029" s="8"/>
      <c r="E60029" s="8"/>
      <c r="F60029" s="8"/>
      <c r="G60029" s="8"/>
      <c r="H60029" s="8"/>
      <c r="I60029" s="102"/>
      <c r="J60029" s="8"/>
      <c r="K60029" s="8"/>
      <c r="L60029" s="8"/>
      <c r="M60029" s="8"/>
      <c r="N60029" s="8"/>
      <c r="O60029" s="8"/>
      <c r="P60029" s="8"/>
      <c r="Q60029" s="8"/>
      <c r="R60029" s="103"/>
      <c r="S60029" s="8"/>
      <c r="T60029" s="8"/>
      <c r="U60029" s="8"/>
      <c r="V60029" s="8"/>
      <c r="W60029" s="8"/>
      <c r="X60029" s="8"/>
      <c r="Y60029" s="8"/>
      <c r="Z60029" s="8"/>
      <c r="AA60029" s="8"/>
    </row>
    <row r="60030" spans="1:27" x14ac:dyDescent="0.25">
      <c r="A60030" s="8"/>
      <c r="B60030" s="8"/>
      <c r="C60030" s="99"/>
      <c r="D60030" s="8"/>
      <c r="E60030" s="8"/>
      <c r="F60030" s="8"/>
      <c r="G60030" s="8"/>
      <c r="H60030" s="8"/>
      <c r="I60030" s="102"/>
      <c r="J60030" s="8"/>
      <c r="K60030" s="8"/>
      <c r="L60030" s="8"/>
      <c r="M60030" s="8"/>
      <c r="N60030" s="8"/>
      <c r="O60030" s="8"/>
      <c r="P60030" s="8"/>
      <c r="Q60030" s="8"/>
      <c r="R60030" s="103"/>
      <c r="S60030" s="8"/>
      <c r="T60030" s="8"/>
      <c r="U60030" s="8"/>
      <c r="V60030" s="8"/>
      <c r="W60030" s="8"/>
      <c r="X60030" s="8"/>
      <c r="Y60030" s="8"/>
      <c r="Z60030" s="8"/>
      <c r="AA60030" s="8"/>
    </row>
    <row r="60031" spans="1:27" x14ac:dyDescent="0.25">
      <c r="A60031" s="8"/>
      <c r="B60031" s="8"/>
      <c r="C60031" s="99"/>
      <c r="D60031" s="8"/>
      <c r="E60031" s="8"/>
      <c r="F60031" s="8"/>
      <c r="G60031" s="8"/>
      <c r="H60031" s="8"/>
      <c r="I60031" s="102"/>
      <c r="J60031" s="8"/>
      <c r="K60031" s="8"/>
      <c r="L60031" s="8"/>
      <c r="M60031" s="8"/>
      <c r="N60031" s="8"/>
      <c r="O60031" s="8"/>
      <c r="P60031" s="8"/>
      <c r="Q60031" s="8"/>
      <c r="R60031" s="103"/>
      <c r="S60031" s="8"/>
      <c r="T60031" s="8"/>
      <c r="U60031" s="8"/>
      <c r="V60031" s="8"/>
      <c r="W60031" s="8"/>
      <c r="X60031" s="8"/>
      <c r="Y60031" s="8"/>
      <c r="Z60031" s="8"/>
      <c r="AA60031" s="8"/>
    </row>
    <row r="60032" spans="1:27" x14ac:dyDescent="0.25">
      <c r="A60032" s="8"/>
      <c r="B60032" s="8"/>
      <c r="C60032" s="99"/>
      <c r="D60032" s="8"/>
      <c r="E60032" s="8"/>
      <c r="F60032" s="8"/>
      <c r="G60032" s="8"/>
      <c r="H60032" s="8"/>
      <c r="I60032" s="102"/>
      <c r="J60032" s="8"/>
      <c r="K60032" s="8"/>
      <c r="L60032" s="8"/>
      <c r="M60032" s="8"/>
      <c r="N60032" s="8"/>
      <c r="O60032" s="8"/>
      <c r="P60032" s="8"/>
      <c r="Q60032" s="8"/>
      <c r="R60032" s="103"/>
      <c r="S60032" s="8"/>
      <c r="T60032" s="8"/>
      <c r="U60032" s="8"/>
      <c r="V60032" s="8"/>
      <c r="W60032" s="8"/>
      <c r="X60032" s="8"/>
      <c r="Y60032" s="8"/>
      <c r="Z60032" s="8"/>
      <c r="AA60032" s="8"/>
    </row>
    <row r="60033" spans="1:27" x14ac:dyDescent="0.25">
      <c r="A60033" s="8"/>
      <c r="B60033" s="8"/>
      <c r="C60033" s="99"/>
      <c r="D60033" s="8"/>
      <c r="E60033" s="8"/>
      <c r="F60033" s="8"/>
      <c r="G60033" s="8"/>
      <c r="H60033" s="8"/>
      <c r="I60033" s="102"/>
      <c r="J60033" s="8"/>
      <c r="K60033" s="8"/>
      <c r="L60033" s="8"/>
      <c r="M60033" s="8"/>
      <c r="N60033" s="8"/>
      <c r="O60033" s="8"/>
      <c r="P60033" s="8"/>
      <c r="Q60033" s="8"/>
      <c r="R60033" s="103"/>
      <c r="S60033" s="8"/>
      <c r="T60033" s="8"/>
      <c r="U60033" s="8"/>
      <c r="V60033" s="8"/>
      <c r="W60033" s="8"/>
      <c r="X60033" s="8"/>
      <c r="Y60033" s="8"/>
      <c r="Z60033" s="8"/>
      <c r="AA60033" s="8"/>
    </row>
    <row r="60034" spans="1:27" x14ac:dyDescent="0.25">
      <c r="A60034" s="8"/>
      <c r="B60034" s="8"/>
      <c r="C60034" s="99"/>
      <c r="D60034" s="8"/>
      <c r="E60034" s="8"/>
      <c r="F60034" s="8"/>
      <c r="G60034" s="8"/>
      <c r="H60034" s="8"/>
      <c r="I60034" s="102"/>
      <c r="J60034" s="8"/>
      <c r="K60034" s="8"/>
      <c r="L60034" s="8"/>
      <c r="M60034" s="8"/>
      <c r="N60034" s="8"/>
      <c r="O60034" s="8"/>
      <c r="P60034" s="8"/>
      <c r="Q60034" s="8"/>
      <c r="R60034" s="103"/>
      <c r="S60034" s="8"/>
      <c r="T60034" s="8"/>
      <c r="U60034" s="8"/>
      <c r="V60034" s="8"/>
      <c r="W60034" s="8"/>
      <c r="X60034" s="8"/>
      <c r="Y60034" s="8"/>
      <c r="Z60034" s="8"/>
      <c r="AA60034" s="8"/>
    </row>
    <row r="60035" spans="1:27" x14ac:dyDescent="0.25">
      <c r="A60035" s="8"/>
      <c r="B60035" s="8"/>
      <c r="C60035" s="99"/>
      <c r="D60035" s="8"/>
      <c r="E60035" s="8"/>
      <c r="F60035" s="8"/>
      <c r="G60035" s="8"/>
      <c r="H60035" s="8"/>
      <c r="I60035" s="102"/>
      <c r="J60035" s="8"/>
      <c r="K60035" s="8"/>
      <c r="L60035" s="8"/>
      <c r="M60035" s="8"/>
      <c r="N60035" s="8"/>
      <c r="O60035" s="8"/>
      <c r="P60035" s="8"/>
      <c r="Q60035" s="8"/>
      <c r="R60035" s="103"/>
      <c r="S60035" s="8"/>
      <c r="T60035" s="8"/>
      <c r="U60035" s="8"/>
      <c r="V60035" s="8"/>
      <c r="W60035" s="8"/>
      <c r="X60035" s="8"/>
      <c r="Y60035" s="8"/>
      <c r="Z60035" s="8"/>
      <c r="AA60035" s="8"/>
    </row>
    <row r="60036" spans="1:27" x14ac:dyDescent="0.25">
      <c r="A60036" s="8"/>
      <c r="B60036" s="8"/>
      <c r="C60036" s="99"/>
      <c r="D60036" s="8"/>
      <c r="E60036" s="8"/>
      <c r="F60036" s="8"/>
      <c r="G60036" s="8"/>
      <c r="H60036" s="8"/>
      <c r="I60036" s="102"/>
      <c r="J60036" s="8"/>
      <c r="K60036" s="8"/>
      <c r="L60036" s="8"/>
      <c r="M60036" s="8"/>
      <c r="N60036" s="8"/>
      <c r="O60036" s="8"/>
      <c r="P60036" s="8"/>
      <c r="Q60036" s="8"/>
      <c r="R60036" s="103"/>
      <c r="S60036" s="8"/>
      <c r="T60036" s="8"/>
      <c r="U60036" s="8"/>
      <c r="V60036" s="8"/>
      <c r="W60036" s="8"/>
      <c r="X60036" s="8"/>
      <c r="Y60036" s="8"/>
      <c r="Z60036" s="8"/>
      <c r="AA60036" s="8"/>
    </row>
    <row r="60037" spans="1:27" x14ac:dyDescent="0.25">
      <c r="A60037" s="8"/>
      <c r="B60037" s="8"/>
      <c r="C60037" s="99"/>
      <c r="D60037" s="8"/>
      <c r="E60037" s="8"/>
      <c r="F60037" s="8"/>
      <c r="G60037" s="8"/>
      <c r="H60037" s="8"/>
      <c r="I60037" s="102"/>
      <c r="J60037" s="8"/>
      <c r="K60037" s="8"/>
      <c r="L60037" s="8"/>
      <c r="M60037" s="8"/>
      <c r="N60037" s="8"/>
      <c r="O60037" s="8"/>
      <c r="P60037" s="8"/>
      <c r="Q60037" s="8"/>
      <c r="R60037" s="103"/>
      <c r="S60037" s="8"/>
      <c r="T60037" s="8"/>
      <c r="U60037" s="8"/>
      <c r="V60037" s="8"/>
      <c r="W60037" s="8"/>
      <c r="X60037" s="8"/>
      <c r="Y60037" s="8"/>
      <c r="Z60037" s="8"/>
      <c r="AA60037" s="8"/>
    </row>
    <row r="60038" spans="1:27" x14ac:dyDescent="0.25">
      <c r="A60038" s="8"/>
      <c r="B60038" s="8"/>
      <c r="C60038" s="99"/>
      <c r="D60038" s="8"/>
      <c r="E60038" s="8"/>
      <c r="F60038" s="8"/>
      <c r="G60038" s="8"/>
      <c r="H60038" s="8"/>
      <c r="I60038" s="102"/>
      <c r="J60038" s="8"/>
      <c r="K60038" s="8"/>
      <c r="L60038" s="8"/>
      <c r="M60038" s="8"/>
      <c r="N60038" s="8"/>
      <c r="O60038" s="8"/>
      <c r="P60038" s="8"/>
      <c r="Q60038" s="8"/>
      <c r="R60038" s="103"/>
      <c r="S60038" s="8"/>
      <c r="T60038" s="8"/>
      <c r="U60038" s="8"/>
      <c r="V60038" s="8"/>
      <c r="W60038" s="8"/>
      <c r="X60038" s="8"/>
      <c r="Y60038" s="8"/>
      <c r="Z60038" s="8"/>
      <c r="AA60038" s="8"/>
    </row>
    <row r="60039" spans="1:27" x14ac:dyDescent="0.25">
      <c r="A60039" s="8"/>
      <c r="B60039" s="8"/>
      <c r="C60039" s="99"/>
      <c r="D60039" s="8"/>
      <c r="E60039" s="8"/>
      <c r="F60039" s="8"/>
      <c r="G60039" s="8"/>
      <c r="H60039" s="8"/>
      <c r="I60039" s="102"/>
      <c r="J60039" s="8"/>
      <c r="K60039" s="8"/>
      <c r="L60039" s="8"/>
      <c r="M60039" s="8"/>
      <c r="N60039" s="8"/>
      <c r="O60039" s="8"/>
      <c r="P60039" s="8"/>
      <c r="Q60039" s="8"/>
      <c r="R60039" s="103"/>
      <c r="S60039" s="8"/>
      <c r="T60039" s="8"/>
      <c r="U60039" s="8"/>
      <c r="V60039" s="8"/>
      <c r="W60039" s="8"/>
      <c r="X60039" s="8"/>
      <c r="Y60039" s="8"/>
      <c r="Z60039" s="8"/>
      <c r="AA60039" s="8"/>
    </row>
    <row r="60040" spans="1:27" x14ac:dyDescent="0.25">
      <c r="A60040" s="8"/>
      <c r="B60040" s="8"/>
      <c r="C60040" s="99"/>
      <c r="D60040" s="8"/>
      <c r="E60040" s="8"/>
      <c r="F60040" s="8"/>
      <c r="G60040" s="8"/>
      <c r="H60040" s="8"/>
      <c r="I60040" s="102"/>
      <c r="J60040" s="8"/>
      <c r="K60040" s="8"/>
      <c r="L60040" s="8"/>
      <c r="M60040" s="8"/>
      <c r="N60040" s="8"/>
      <c r="O60040" s="8"/>
      <c r="P60040" s="8"/>
      <c r="Q60040" s="8"/>
      <c r="R60040" s="103"/>
      <c r="S60040" s="8"/>
      <c r="T60040" s="8"/>
      <c r="U60040" s="8"/>
      <c r="V60040" s="8"/>
      <c r="W60040" s="8"/>
      <c r="X60040" s="8"/>
      <c r="Y60040" s="8"/>
      <c r="Z60040" s="8"/>
      <c r="AA60040" s="8"/>
    </row>
    <row r="60041" spans="1:27" x14ac:dyDescent="0.25">
      <c r="A60041" s="8"/>
      <c r="B60041" s="8"/>
      <c r="C60041" s="99"/>
      <c r="D60041" s="8"/>
      <c r="E60041" s="8"/>
      <c r="F60041" s="8"/>
      <c r="G60041" s="8"/>
      <c r="H60041" s="8"/>
      <c r="I60041" s="102"/>
      <c r="J60041" s="8"/>
      <c r="K60041" s="8"/>
      <c r="L60041" s="8"/>
      <c r="M60041" s="8"/>
      <c r="N60041" s="8"/>
      <c r="O60041" s="8"/>
      <c r="P60041" s="8"/>
      <c r="Q60041" s="8"/>
      <c r="R60041" s="103"/>
      <c r="S60041" s="8"/>
      <c r="T60041" s="8"/>
      <c r="U60041" s="8"/>
      <c r="V60041" s="8"/>
      <c r="W60041" s="8"/>
      <c r="X60041" s="8"/>
      <c r="Y60041" s="8"/>
      <c r="Z60041" s="8"/>
      <c r="AA60041" s="8"/>
    </row>
    <row r="60042" spans="1:27" x14ac:dyDescent="0.25">
      <c r="A60042" s="8"/>
      <c r="B60042" s="8"/>
      <c r="C60042" s="99"/>
      <c r="D60042" s="8"/>
      <c r="E60042" s="8"/>
      <c r="F60042" s="8"/>
      <c r="G60042" s="8"/>
      <c r="H60042" s="8"/>
      <c r="I60042" s="102"/>
      <c r="J60042" s="8"/>
      <c r="K60042" s="8"/>
      <c r="L60042" s="8"/>
      <c r="M60042" s="8"/>
      <c r="N60042" s="8"/>
      <c r="O60042" s="8"/>
      <c r="P60042" s="8"/>
      <c r="Q60042" s="8"/>
      <c r="R60042" s="103"/>
      <c r="S60042" s="8"/>
      <c r="T60042" s="8"/>
      <c r="U60042" s="8"/>
      <c r="V60042" s="8"/>
      <c r="W60042" s="8"/>
      <c r="X60042" s="8"/>
      <c r="Y60042" s="8"/>
      <c r="Z60042" s="8"/>
      <c r="AA60042" s="8"/>
    </row>
    <row r="60043" spans="1:27" x14ac:dyDescent="0.25">
      <c r="A60043" s="8"/>
      <c r="B60043" s="8"/>
      <c r="C60043" s="99"/>
      <c r="D60043" s="8"/>
      <c r="E60043" s="8"/>
      <c r="F60043" s="8"/>
      <c r="G60043" s="8"/>
      <c r="H60043" s="8"/>
      <c r="I60043" s="102"/>
      <c r="J60043" s="8"/>
      <c r="K60043" s="8"/>
      <c r="L60043" s="8"/>
      <c r="M60043" s="8"/>
      <c r="N60043" s="8"/>
      <c r="O60043" s="8"/>
      <c r="P60043" s="8"/>
      <c r="Q60043" s="8"/>
      <c r="R60043" s="103"/>
      <c r="S60043" s="8"/>
      <c r="T60043" s="8"/>
      <c r="U60043" s="8"/>
      <c r="V60043" s="8"/>
      <c r="W60043" s="8"/>
      <c r="X60043" s="8"/>
      <c r="Y60043" s="8"/>
      <c r="Z60043" s="8"/>
      <c r="AA60043" s="8"/>
    </row>
    <row r="60044" spans="1:27" x14ac:dyDescent="0.25">
      <c r="A60044" s="8"/>
      <c r="B60044" s="8"/>
      <c r="C60044" s="99"/>
      <c r="D60044" s="8"/>
      <c r="E60044" s="8"/>
      <c r="F60044" s="8"/>
      <c r="G60044" s="8"/>
      <c r="H60044" s="8"/>
      <c r="I60044" s="102"/>
      <c r="J60044" s="8"/>
      <c r="K60044" s="8"/>
      <c r="L60044" s="8"/>
      <c r="M60044" s="8"/>
      <c r="N60044" s="8"/>
      <c r="O60044" s="8"/>
      <c r="P60044" s="8"/>
      <c r="Q60044" s="8"/>
      <c r="R60044" s="103"/>
      <c r="S60044" s="8"/>
      <c r="T60044" s="8"/>
      <c r="U60044" s="8"/>
      <c r="V60044" s="8"/>
      <c r="W60044" s="8"/>
      <c r="X60044" s="8"/>
      <c r="Y60044" s="8"/>
      <c r="Z60044" s="8"/>
      <c r="AA60044" s="8"/>
    </row>
    <row r="60045" spans="1:27" x14ac:dyDescent="0.25">
      <c r="A60045" s="8"/>
      <c r="B60045" s="8"/>
      <c r="C60045" s="99"/>
      <c r="D60045" s="8"/>
      <c r="E60045" s="8"/>
      <c r="F60045" s="8"/>
      <c r="G60045" s="8"/>
      <c r="H60045" s="8"/>
      <c r="I60045" s="102"/>
      <c r="J60045" s="8"/>
      <c r="K60045" s="8"/>
      <c r="L60045" s="8"/>
      <c r="M60045" s="8"/>
      <c r="N60045" s="8"/>
      <c r="O60045" s="8"/>
      <c r="P60045" s="8"/>
      <c r="Q60045" s="8"/>
      <c r="R60045" s="103"/>
      <c r="S60045" s="8"/>
      <c r="T60045" s="8"/>
      <c r="U60045" s="8"/>
      <c r="V60045" s="8"/>
      <c r="W60045" s="8"/>
      <c r="X60045" s="8"/>
      <c r="Y60045" s="8"/>
      <c r="Z60045" s="8"/>
      <c r="AA60045" s="8"/>
    </row>
    <row r="60046" spans="1:27" x14ac:dyDescent="0.25">
      <c r="A60046" s="8"/>
      <c r="B60046" s="8"/>
      <c r="C60046" s="99"/>
      <c r="D60046" s="8"/>
      <c r="E60046" s="8"/>
      <c r="F60046" s="8"/>
      <c r="G60046" s="8"/>
      <c r="H60046" s="8"/>
      <c r="I60046" s="102"/>
      <c r="J60046" s="8"/>
      <c r="K60046" s="8"/>
      <c r="L60046" s="8"/>
      <c r="M60046" s="8"/>
      <c r="N60046" s="8"/>
      <c r="O60046" s="8"/>
      <c r="P60046" s="8"/>
      <c r="Q60046" s="8"/>
      <c r="R60046" s="103"/>
      <c r="S60046" s="8"/>
      <c r="T60046" s="8"/>
      <c r="U60046" s="8"/>
      <c r="V60046" s="8"/>
      <c r="W60046" s="8"/>
      <c r="X60046" s="8"/>
      <c r="Y60046" s="8"/>
      <c r="Z60046" s="8"/>
      <c r="AA60046" s="8"/>
    </row>
    <row r="60047" spans="1:27" x14ac:dyDescent="0.25">
      <c r="A60047" s="8"/>
      <c r="B60047" s="8"/>
      <c r="C60047" s="99"/>
      <c r="D60047" s="8"/>
      <c r="E60047" s="8"/>
      <c r="F60047" s="8"/>
      <c r="G60047" s="8"/>
      <c r="H60047" s="8"/>
      <c r="I60047" s="102"/>
      <c r="J60047" s="8"/>
      <c r="K60047" s="8"/>
      <c r="L60047" s="8"/>
      <c r="M60047" s="8"/>
      <c r="N60047" s="8"/>
      <c r="O60047" s="8"/>
      <c r="P60047" s="8"/>
      <c r="Q60047" s="8"/>
      <c r="R60047" s="103"/>
      <c r="S60047" s="8"/>
      <c r="T60047" s="8"/>
      <c r="U60047" s="8"/>
      <c r="V60047" s="8"/>
      <c r="W60047" s="8"/>
      <c r="X60047" s="8"/>
      <c r="Y60047" s="8"/>
      <c r="Z60047" s="8"/>
      <c r="AA60047" s="8"/>
    </row>
    <row r="60048" spans="1:27" x14ac:dyDescent="0.25">
      <c r="A60048" s="8"/>
      <c r="B60048" s="8"/>
      <c r="C60048" s="99"/>
      <c r="D60048" s="8"/>
      <c r="E60048" s="8"/>
      <c r="F60048" s="8"/>
      <c r="G60048" s="8"/>
      <c r="H60048" s="8"/>
      <c r="I60048" s="102"/>
      <c r="J60048" s="8"/>
      <c r="K60048" s="8"/>
      <c r="L60048" s="8"/>
      <c r="M60048" s="8"/>
      <c r="N60048" s="8"/>
      <c r="O60048" s="8"/>
      <c r="P60048" s="8"/>
      <c r="Q60048" s="8"/>
      <c r="R60048" s="103"/>
      <c r="S60048" s="8"/>
      <c r="T60048" s="8"/>
      <c r="U60048" s="8"/>
      <c r="V60048" s="8"/>
      <c r="W60048" s="8"/>
      <c r="X60048" s="8"/>
      <c r="Y60048" s="8"/>
      <c r="Z60048" s="8"/>
      <c r="AA60048" s="8"/>
    </row>
    <row r="60049" spans="1:27" x14ac:dyDescent="0.25">
      <c r="A60049" s="8"/>
      <c r="B60049" s="8"/>
      <c r="C60049" s="99"/>
      <c r="D60049" s="8"/>
      <c r="E60049" s="8"/>
      <c r="F60049" s="8"/>
      <c r="G60049" s="8"/>
      <c r="H60049" s="8"/>
      <c r="I60049" s="102"/>
      <c r="J60049" s="8"/>
      <c r="K60049" s="8"/>
      <c r="L60049" s="8"/>
      <c r="M60049" s="8"/>
      <c r="N60049" s="8"/>
      <c r="O60049" s="8"/>
      <c r="P60049" s="8"/>
      <c r="Q60049" s="8"/>
      <c r="R60049" s="103"/>
      <c r="S60049" s="8"/>
      <c r="T60049" s="8"/>
      <c r="U60049" s="8"/>
      <c r="V60049" s="8"/>
      <c r="W60049" s="8"/>
      <c r="X60049" s="8"/>
      <c r="Y60049" s="8"/>
      <c r="Z60049" s="8"/>
      <c r="AA60049" s="8"/>
    </row>
    <row r="60050" spans="1:27" x14ac:dyDescent="0.25">
      <c r="A60050" s="8"/>
      <c r="B60050" s="8"/>
      <c r="C60050" s="99"/>
      <c r="D60050" s="8"/>
      <c r="E60050" s="8"/>
      <c r="F60050" s="8"/>
      <c r="G60050" s="8"/>
      <c r="H60050" s="8"/>
      <c r="I60050" s="102"/>
      <c r="J60050" s="8"/>
      <c r="K60050" s="8"/>
      <c r="L60050" s="8"/>
      <c r="M60050" s="8"/>
      <c r="N60050" s="8"/>
      <c r="O60050" s="8"/>
      <c r="P60050" s="8"/>
      <c r="Q60050" s="8"/>
      <c r="R60050" s="103"/>
      <c r="S60050" s="8"/>
      <c r="T60050" s="8"/>
      <c r="U60050" s="8"/>
      <c r="V60050" s="8"/>
      <c r="W60050" s="8"/>
      <c r="X60050" s="8"/>
      <c r="Y60050" s="8"/>
      <c r="Z60050" s="8"/>
      <c r="AA60050" s="8"/>
    </row>
    <row r="60051" spans="1:27" x14ac:dyDescent="0.25">
      <c r="A60051" s="8"/>
      <c r="B60051" s="8"/>
      <c r="C60051" s="99"/>
      <c r="D60051" s="8"/>
      <c r="E60051" s="8"/>
      <c r="F60051" s="8"/>
      <c r="G60051" s="8"/>
      <c r="H60051" s="8"/>
      <c r="I60051" s="102"/>
      <c r="J60051" s="8"/>
      <c r="K60051" s="8"/>
      <c r="L60051" s="8"/>
      <c r="M60051" s="8"/>
      <c r="N60051" s="8"/>
      <c r="O60051" s="8"/>
      <c r="P60051" s="8"/>
      <c r="Q60051" s="8"/>
      <c r="R60051" s="103"/>
      <c r="S60051" s="8"/>
      <c r="T60051" s="8"/>
      <c r="U60051" s="8"/>
      <c r="V60051" s="8"/>
      <c r="W60051" s="8"/>
      <c r="X60051" s="8"/>
      <c r="Y60051" s="8"/>
      <c r="Z60051" s="8"/>
      <c r="AA60051" s="8"/>
    </row>
    <row r="60052" spans="1:27" x14ac:dyDescent="0.25">
      <c r="A60052" s="8"/>
      <c r="B60052" s="8"/>
      <c r="C60052" s="99"/>
      <c r="D60052" s="8"/>
      <c r="E60052" s="8"/>
      <c r="F60052" s="8"/>
      <c r="G60052" s="8"/>
      <c r="H60052" s="8"/>
      <c r="I60052" s="102"/>
      <c r="J60052" s="8"/>
      <c r="K60052" s="8"/>
      <c r="L60052" s="8"/>
      <c r="M60052" s="8"/>
      <c r="N60052" s="8"/>
      <c r="O60052" s="8"/>
      <c r="P60052" s="8"/>
      <c r="Q60052" s="8"/>
      <c r="R60052" s="103"/>
      <c r="S60052" s="8"/>
      <c r="T60052" s="8"/>
      <c r="U60052" s="8"/>
      <c r="V60052" s="8"/>
      <c r="W60052" s="8"/>
      <c r="X60052" s="8"/>
      <c r="Y60052" s="8"/>
      <c r="Z60052" s="8"/>
      <c r="AA60052" s="8"/>
    </row>
    <row r="60053" spans="1:27" x14ac:dyDescent="0.25">
      <c r="A60053" s="8"/>
      <c r="B60053" s="8"/>
      <c r="C60053" s="99"/>
      <c r="D60053" s="8"/>
      <c r="E60053" s="8"/>
      <c r="F60053" s="8"/>
      <c r="G60053" s="8"/>
      <c r="H60053" s="8"/>
      <c r="I60053" s="102"/>
      <c r="J60053" s="8"/>
      <c r="K60053" s="8"/>
      <c r="L60053" s="8"/>
      <c r="M60053" s="8"/>
      <c r="N60053" s="8"/>
      <c r="O60053" s="8"/>
      <c r="P60053" s="8"/>
      <c r="Q60053" s="8"/>
      <c r="R60053" s="103"/>
      <c r="S60053" s="8"/>
      <c r="T60053" s="8"/>
      <c r="U60053" s="8"/>
      <c r="V60053" s="8"/>
      <c r="W60053" s="8"/>
      <c r="X60053" s="8"/>
      <c r="Y60053" s="8"/>
      <c r="Z60053" s="8"/>
      <c r="AA60053" s="8"/>
    </row>
    <row r="60054" spans="1:27" x14ac:dyDescent="0.25">
      <c r="A60054" s="8"/>
      <c r="B60054" s="8"/>
      <c r="C60054" s="99"/>
      <c r="D60054" s="8"/>
      <c r="E60054" s="8"/>
      <c r="F60054" s="8"/>
      <c r="G60054" s="8"/>
      <c r="H60054" s="8"/>
      <c r="I60054" s="102"/>
      <c r="J60054" s="8"/>
      <c r="K60054" s="8"/>
      <c r="L60054" s="8"/>
      <c r="M60054" s="8"/>
      <c r="N60054" s="8"/>
      <c r="O60054" s="8"/>
      <c r="P60054" s="8"/>
      <c r="Q60054" s="8"/>
      <c r="R60054" s="103"/>
      <c r="S60054" s="8"/>
      <c r="T60054" s="8"/>
      <c r="U60054" s="8"/>
      <c r="V60054" s="8"/>
      <c r="W60054" s="8"/>
      <c r="X60054" s="8"/>
      <c r="Y60054" s="8"/>
      <c r="Z60054" s="8"/>
      <c r="AA60054" s="8"/>
    </row>
    <row r="60055" spans="1:27" x14ac:dyDescent="0.25">
      <c r="A60055" s="8"/>
      <c r="B60055" s="8"/>
      <c r="C60055" s="99"/>
      <c r="D60055" s="8"/>
      <c r="E60055" s="8"/>
      <c r="F60055" s="8"/>
      <c r="G60055" s="8"/>
      <c r="H60055" s="8"/>
      <c r="I60055" s="102"/>
      <c r="J60055" s="8"/>
      <c r="K60055" s="8"/>
      <c r="L60055" s="8"/>
      <c r="M60055" s="8"/>
      <c r="N60055" s="8"/>
      <c r="O60055" s="8"/>
      <c r="P60055" s="8"/>
      <c r="Q60055" s="8"/>
      <c r="R60055" s="103"/>
      <c r="S60055" s="8"/>
      <c r="T60055" s="8"/>
      <c r="U60055" s="8"/>
      <c r="V60055" s="8"/>
      <c r="W60055" s="8"/>
      <c r="X60055" s="8"/>
      <c r="Y60055" s="8"/>
      <c r="Z60055" s="8"/>
      <c r="AA60055" s="8"/>
    </row>
    <row r="60056" spans="1:27" x14ac:dyDescent="0.25">
      <c r="A60056" s="8"/>
      <c r="B60056" s="8"/>
      <c r="C60056" s="99"/>
      <c r="D60056" s="8"/>
      <c r="E60056" s="8"/>
      <c r="F60056" s="8"/>
      <c r="G60056" s="8"/>
      <c r="H60056" s="8"/>
      <c r="I60056" s="102"/>
      <c r="J60056" s="8"/>
      <c r="K60056" s="8"/>
      <c r="L60056" s="8"/>
      <c r="M60056" s="8"/>
      <c r="N60056" s="8"/>
      <c r="O60056" s="8"/>
      <c r="P60056" s="8"/>
      <c r="Q60056" s="8"/>
      <c r="R60056" s="103"/>
      <c r="S60056" s="8"/>
      <c r="T60056" s="8"/>
      <c r="U60056" s="8"/>
      <c r="V60056" s="8"/>
      <c r="W60056" s="8"/>
      <c r="X60056" s="8"/>
      <c r="Y60056" s="8"/>
      <c r="Z60056" s="8"/>
      <c r="AA60056" s="8"/>
    </row>
    <row r="60057" spans="1:27" x14ac:dyDescent="0.25">
      <c r="A60057" s="8"/>
      <c r="B60057" s="8"/>
      <c r="C60057" s="99"/>
      <c r="D60057" s="8"/>
      <c r="E60057" s="8"/>
      <c r="F60057" s="8"/>
      <c r="G60057" s="8"/>
      <c r="H60057" s="8"/>
      <c r="I60057" s="102"/>
      <c r="J60057" s="8"/>
      <c r="K60057" s="8"/>
      <c r="L60057" s="8"/>
      <c r="M60057" s="8"/>
      <c r="N60057" s="8"/>
      <c r="O60057" s="8"/>
      <c r="P60057" s="8"/>
      <c r="Q60057" s="8"/>
      <c r="R60057" s="103"/>
      <c r="S60057" s="8"/>
      <c r="T60057" s="8"/>
      <c r="U60057" s="8"/>
      <c r="V60057" s="8"/>
      <c r="W60057" s="8"/>
      <c r="X60057" s="8"/>
      <c r="Y60057" s="8"/>
      <c r="Z60057" s="8"/>
      <c r="AA60057" s="8"/>
    </row>
    <row r="60058" spans="1:27" x14ac:dyDescent="0.25">
      <c r="A60058" s="8"/>
      <c r="B60058" s="8"/>
      <c r="C60058" s="99"/>
      <c r="D60058" s="8"/>
      <c r="E60058" s="8"/>
      <c r="F60058" s="8"/>
      <c r="G60058" s="8"/>
      <c r="H60058" s="8"/>
      <c r="I60058" s="102"/>
      <c r="J60058" s="8"/>
      <c r="K60058" s="8"/>
      <c r="L60058" s="8"/>
      <c r="M60058" s="8"/>
      <c r="N60058" s="8"/>
      <c r="O60058" s="8"/>
      <c r="P60058" s="8"/>
      <c r="Q60058" s="8"/>
      <c r="R60058" s="103"/>
      <c r="S60058" s="8"/>
      <c r="T60058" s="8"/>
      <c r="U60058" s="8"/>
      <c r="V60058" s="8"/>
      <c r="W60058" s="8"/>
      <c r="X60058" s="8"/>
      <c r="Y60058" s="8"/>
      <c r="Z60058" s="8"/>
      <c r="AA60058" s="8"/>
    </row>
    <row r="60059" spans="1:27" x14ac:dyDescent="0.25">
      <c r="A60059" s="8"/>
      <c r="B60059" s="8"/>
      <c r="C60059" s="99"/>
      <c r="D60059" s="8"/>
      <c r="E60059" s="8"/>
      <c r="F60059" s="8"/>
      <c r="G60059" s="8"/>
      <c r="H60059" s="8"/>
      <c r="I60059" s="102"/>
      <c r="J60059" s="8"/>
      <c r="K60059" s="8"/>
      <c r="L60059" s="8"/>
      <c r="M60059" s="8"/>
      <c r="N60059" s="8"/>
      <c r="O60059" s="8"/>
      <c r="P60059" s="8"/>
      <c r="Q60059" s="8"/>
      <c r="R60059" s="103"/>
      <c r="S60059" s="8"/>
      <c r="T60059" s="8"/>
      <c r="U60059" s="8"/>
      <c r="V60059" s="8"/>
      <c r="W60059" s="8"/>
      <c r="X60059" s="8"/>
      <c r="Y60059" s="8"/>
      <c r="Z60059" s="8"/>
      <c r="AA60059" s="8"/>
    </row>
    <row r="60060" spans="1:27" x14ac:dyDescent="0.25">
      <c r="A60060" s="8"/>
      <c r="B60060" s="8"/>
      <c r="C60060" s="99"/>
      <c r="D60060" s="8"/>
      <c r="E60060" s="8"/>
      <c r="F60060" s="8"/>
      <c r="G60060" s="8"/>
      <c r="H60060" s="8"/>
      <c r="I60060" s="102"/>
      <c r="J60060" s="8"/>
      <c r="K60060" s="8"/>
      <c r="L60060" s="8"/>
      <c r="M60060" s="8"/>
      <c r="N60060" s="8"/>
      <c r="O60060" s="8"/>
      <c r="P60060" s="8"/>
      <c r="Q60060" s="8"/>
      <c r="R60060" s="103"/>
      <c r="S60060" s="8"/>
      <c r="T60060" s="8"/>
      <c r="U60060" s="8"/>
      <c r="V60060" s="8"/>
      <c r="W60060" s="8"/>
      <c r="X60060" s="8"/>
      <c r="Y60060" s="8"/>
      <c r="Z60060" s="8"/>
      <c r="AA60060" s="8"/>
    </row>
    <row r="60061" spans="1:27" x14ac:dyDescent="0.25">
      <c r="A60061" s="8"/>
      <c r="B60061" s="8"/>
      <c r="C60061" s="99"/>
      <c r="D60061" s="8"/>
      <c r="E60061" s="8"/>
      <c r="F60061" s="8"/>
      <c r="G60061" s="8"/>
      <c r="H60061" s="8"/>
      <c r="I60061" s="102"/>
      <c r="J60061" s="8"/>
      <c r="K60061" s="8"/>
      <c r="L60061" s="8"/>
      <c r="M60061" s="8"/>
      <c r="N60061" s="8"/>
      <c r="O60061" s="8"/>
      <c r="P60061" s="8"/>
      <c r="Q60061" s="8"/>
      <c r="R60061" s="103"/>
      <c r="S60061" s="8"/>
      <c r="T60061" s="8"/>
      <c r="U60061" s="8"/>
      <c r="V60061" s="8"/>
      <c r="W60061" s="8"/>
      <c r="X60061" s="8"/>
      <c r="Y60061" s="8"/>
      <c r="Z60061" s="8"/>
      <c r="AA60061" s="8"/>
    </row>
    <row r="60062" spans="1:27" x14ac:dyDescent="0.25">
      <c r="A60062" s="8"/>
      <c r="B60062" s="8"/>
      <c r="C60062" s="99"/>
      <c r="D60062" s="8"/>
      <c r="E60062" s="8"/>
      <c r="F60062" s="8"/>
      <c r="G60062" s="8"/>
      <c r="H60062" s="8"/>
      <c r="I60062" s="102"/>
      <c r="J60062" s="8"/>
      <c r="K60062" s="8"/>
      <c r="L60062" s="8"/>
      <c r="M60062" s="8"/>
      <c r="N60062" s="8"/>
      <c r="O60062" s="8"/>
      <c r="P60062" s="8"/>
      <c r="Q60062" s="8"/>
      <c r="R60062" s="103"/>
      <c r="S60062" s="8"/>
      <c r="T60062" s="8"/>
      <c r="U60062" s="8"/>
      <c r="V60062" s="8"/>
      <c r="W60062" s="8"/>
      <c r="X60062" s="8"/>
      <c r="Y60062" s="8"/>
      <c r="Z60062" s="8"/>
      <c r="AA60062" s="8"/>
    </row>
    <row r="60063" spans="1:27" x14ac:dyDescent="0.25">
      <c r="A60063" s="8"/>
      <c r="B60063" s="8"/>
      <c r="C60063" s="99"/>
      <c r="D60063" s="8"/>
      <c r="E60063" s="8"/>
      <c r="F60063" s="8"/>
      <c r="G60063" s="8"/>
      <c r="H60063" s="8"/>
      <c r="I60063" s="102"/>
      <c r="J60063" s="8"/>
      <c r="K60063" s="8"/>
      <c r="L60063" s="8"/>
      <c r="M60063" s="8"/>
      <c r="N60063" s="8"/>
      <c r="O60063" s="8"/>
      <c r="P60063" s="8"/>
      <c r="Q60063" s="8"/>
      <c r="R60063" s="103"/>
      <c r="S60063" s="8"/>
      <c r="T60063" s="8"/>
      <c r="U60063" s="8"/>
      <c r="V60063" s="8"/>
      <c r="W60063" s="8"/>
      <c r="X60063" s="8"/>
      <c r="Y60063" s="8"/>
      <c r="Z60063" s="8"/>
      <c r="AA60063" s="8"/>
    </row>
    <row r="60064" spans="1:27" x14ac:dyDescent="0.25">
      <c r="A60064" s="8"/>
      <c r="B60064" s="8"/>
      <c r="C60064" s="99"/>
      <c r="D60064" s="8"/>
      <c r="E60064" s="8"/>
      <c r="F60064" s="8"/>
      <c r="G60064" s="8"/>
      <c r="H60064" s="8"/>
      <c r="I60064" s="102"/>
      <c r="J60064" s="8"/>
      <c r="K60064" s="8"/>
      <c r="L60064" s="8"/>
      <c r="M60064" s="8"/>
      <c r="N60064" s="8"/>
      <c r="O60064" s="8"/>
      <c r="P60064" s="8"/>
      <c r="Q60064" s="8"/>
      <c r="R60064" s="103"/>
      <c r="S60064" s="8"/>
      <c r="T60064" s="8"/>
      <c r="U60064" s="8"/>
      <c r="V60064" s="8"/>
      <c r="W60064" s="8"/>
      <c r="X60064" s="8"/>
      <c r="Y60064" s="8"/>
      <c r="Z60064" s="8"/>
      <c r="AA60064" s="8"/>
    </row>
    <row r="60065" spans="1:27" x14ac:dyDescent="0.25">
      <c r="A60065" s="8"/>
      <c r="B60065" s="8"/>
      <c r="C60065" s="99"/>
      <c r="D60065" s="8"/>
      <c r="E60065" s="8"/>
      <c r="F60065" s="8"/>
      <c r="G60065" s="8"/>
      <c r="H60065" s="8"/>
      <c r="I60065" s="102"/>
      <c r="J60065" s="8"/>
      <c r="K60065" s="8"/>
      <c r="L60065" s="8"/>
      <c r="M60065" s="8"/>
      <c r="N60065" s="8"/>
      <c r="O60065" s="8"/>
      <c r="P60065" s="8"/>
      <c r="Q60065" s="8"/>
      <c r="R60065" s="103"/>
      <c r="S60065" s="8"/>
      <c r="T60065" s="8"/>
      <c r="U60065" s="8"/>
      <c r="V60065" s="8"/>
      <c r="W60065" s="8"/>
      <c r="X60065" s="8"/>
      <c r="Y60065" s="8"/>
      <c r="Z60065" s="8"/>
      <c r="AA60065" s="8"/>
    </row>
    <row r="60066" spans="1:27" x14ac:dyDescent="0.25">
      <c r="A60066" s="8"/>
      <c r="B60066" s="8"/>
      <c r="C60066" s="99"/>
      <c r="D60066" s="8"/>
      <c r="E60066" s="8"/>
      <c r="F60066" s="8"/>
      <c r="G60066" s="8"/>
      <c r="H60066" s="8"/>
      <c r="I60066" s="102"/>
      <c r="J60066" s="8"/>
      <c r="K60066" s="8"/>
      <c r="L60066" s="8"/>
      <c r="M60066" s="8"/>
      <c r="N60066" s="8"/>
      <c r="O60066" s="8"/>
      <c r="P60066" s="8"/>
      <c r="Q60066" s="8"/>
      <c r="R60066" s="103"/>
      <c r="S60066" s="8"/>
      <c r="T60066" s="8"/>
      <c r="U60066" s="8"/>
      <c r="V60066" s="8"/>
      <c r="W60066" s="8"/>
      <c r="X60066" s="8"/>
      <c r="Y60066" s="8"/>
      <c r="Z60066" s="8"/>
      <c r="AA60066" s="8"/>
    </row>
    <row r="60067" spans="1:27" x14ac:dyDescent="0.25">
      <c r="A60067" s="8"/>
      <c r="B60067" s="8"/>
      <c r="C60067" s="99"/>
      <c r="D60067" s="8"/>
      <c r="E60067" s="8"/>
      <c r="F60067" s="8"/>
      <c r="G60067" s="8"/>
      <c r="H60067" s="8"/>
      <c r="I60067" s="102"/>
      <c r="J60067" s="8"/>
      <c r="K60067" s="8"/>
      <c r="L60067" s="8"/>
      <c r="M60067" s="8"/>
      <c r="N60067" s="8"/>
      <c r="O60067" s="8"/>
      <c r="P60067" s="8"/>
      <c r="Q60067" s="8"/>
      <c r="R60067" s="103"/>
      <c r="S60067" s="8"/>
      <c r="T60067" s="8"/>
      <c r="U60067" s="8"/>
      <c r="V60067" s="8"/>
      <c r="W60067" s="8"/>
      <c r="X60067" s="8"/>
      <c r="Y60067" s="8"/>
      <c r="Z60067" s="8"/>
      <c r="AA60067" s="8"/>
    </row>
    <row r="60068" spans="1:27" x14ac:dyDescent="0.25">
      <c r="A60068" s="8"/>
      <c r="B60068" s="8"/>
      <c r="C60068" s="99"/>
      <c r="D60068" s="8"/>
      <c r="E60068" s="8"/>
      <c r="F60068" s="8"/>
      <c r="G60068" s="8"/>
      <c r="H60068" s="8"/>
      <c r="I60068" s="102"/>
      <c r="J60068" s="8"/>
      <c r="K60068" s="8"/>
      <c r="L60068" s="8"/>
      <c r="M60068" s="8"/>
      <c r="N60068" s="8"/>
      <c r="O60068" s="8"/>
      <c r="P60068" s="8"/>
      <c r="Q60068" s="8"/>
      <c r="R60068" s="103"/>
      <c r="S60068" s="8"/>
      <c r="T60068" s="8"/>
      <c r="U60068" s="8"/>
      <c r="V60068" s="8"/>
      <c r="W60068" s="8"/>
      <c r="X60068" s="8"/>
      <c r="Y60068" s="8"/>
      <c r="Z60068" s="8"/>
      <c r="AA60068" s="8"/>
    </row>
    <row r="60069" spans="1:27" x14ac:dyDescent="0.25">
      <c r="A60069" s="8"/>
      <c r="B60069" s="8"/>
      <c r="C60069" s="99"/>
      <c r="D60069" s="8"/>
      <c r="E60069" s="8"/>
      <c r="F60069" s="8"/>
      <c r="G60069" s="8"/>
      <c r="H60069" s="8"/>
      <c r="I60069" s="102"/>
      <c r="J60069" s="8"/>
      <c r="K60069" s="8"/>
      <c r="L60069" s="8"/>
      <c r="M60069" s="8"/>
      <c r="N60069" s="8"/>
      <c r="O60069" s="8"/>
      <c r="P60069" s="8"/>
      <c r="Q60069" s="8"/>
      <c r="R60069" s="103"/>
      <c r="S60069" s="8"/>
      <c r="T60069" s="8"/>
      <c r="U60069" s="8"/>
      <c r="V60069" s="8"/>
      <c r="W60069" s="8"/>
      <c r="X60069" s="8"/>
      <c r="Y60069" s="8"/>
      <c r="Z60069" s="8"/>
      <c r="AA60069" s="8"/>
    </row>
    <row r="60070" spans="1:27" x14ac:dyDescent="0.25">
      <c r="A60070" s="8"/>
      <c r="B60070" s="8"/>
      <c r="C60070" s="99"/>
      <c r="D60070" s="8"/>
      <c r="E60070" s="8"/>
      <c r="F60070" s="8"/>
      <c r="G60070" s="8"/>
      <c r="H60070" s="8"/>
      <c r="I60070" s="102"/>
      <c r="J60070" s="8"/>
      <c r="K60070" s="8"/>
      <c r="L60070" s="8"/>
      <c r="M60070" s="8"/>
      <c r="N60070" s="8"/>
      <c r="O60070" s="8"/>
      <c r="P60070" s="8"/>
      <c r="Q60070" s="8"/>
      <c r="R60070" s="103"/>
      <c r="S60070" s="8"/>
      <c r="T60070" s="8"/>
      <c r="U60070" s="8"/>
      <c r="V60070" s="8"/>
      <c r="W60070" s="8"/>
      <c r="X60070" s="8"/>
      <c r="Y60070" s="8"/>
      <c r="Z60070" s="8"/>
      <c r="AA60070" s="8"/>
    </row>
    <row r="60071" spans="1:27" x14ac:dyDescent="0.25">
      <c r="A60071" s="8"/>
      <c r="B60071" s="8"/>
      <c r="C60071" s="99"/>
      <c r="D60071" s="8"/>
      <c r="E60071" s="8"/>
      <c r="F60071" s="8"/>
      <c r="G60071" s="8"/>
      <c r="H60071" s="8"/>
      <c r="I60071" s="102"/>
      <c r="J60071" s="8"/>
      <c r="K60071" s="8"/>
      <c r="L60071" s="8"/>
      <c r="M60071" s="8"/>
      <c r="N60071" s="8"/>
      <c r="O60071" s="8"/>
      <c r="P60071" s="8"/>
      <c r="Q60071" s="8"/>
      <c r="R60071" s="103"/>
      <c r="S60071" s="8"/>
      <c r="T60071" s="8"/>
      <c r="U60071" s="8"/>
      <c r="V60071" s="8"/>
      <c r="W60071" s="8"/>
      <c r="X60071" s="8"/>
      <c r="Y60071" s="8"/>
      <c r="Z60071" s="8"/>
      <c r="AA60071" s="8"/>
    </row>
    <row r="60072" spans="1:27" x14ac:dyDescent="0.25">
      <c r="A60072" s="8"/>
      <c r="B60072" s="8"/>
      <c r="C60072" s="99"/>
      <c r="D60072" s="8"/>
      <c r="E60072" s="8"/>
      <c r="F60072" s="8"/>
      <c r="G60072" s="8"/>
      <c r="H60072" s="8"/>
      <c r="I60072" s="102"/>
      <c r="J60072" s="8"/>
      <c r="K60072" s="8"/>
      <c r="L60072" s="8"/>
      <c r="M60072" s="8"/>
      <c r="N60072" s="8"/>
      <c r="O60072" s="8"/>
      <c r="P60072" s="8"/>
      <c r="Q60072" s="8"/>
      <c r="R60072" s="103"/>
      <c r="S60072" s="8"/>
      <c r="T60072" s="8"/>
      <c r="U60072" s="8"/>
      <c r="V60072" s="8"/>
      <c r="W60072" s="8"/>
      <c r="X60072" s="8"/>
      <c r="Y60072" s="8"/>
      <c r="Z60072" s="8"/>
      <c r="AA60072" s="8"/>
    </row>
    <row r="60073" spans="1:27" x14ac:dyDescent="0.25">
      <c r="A60073" s="8"/>
      <c r="B60073" s="8"/>
      <c r="C60073" s="99"/>
      <c r="D60073" s="8"/>
      <c r="E60073" s="8"/>
      <c r="F60073" s="8"/>
      <c r="G60073" s="8"/>
      <c r="H60073" s="8"/>
      <c r="I60073" s="102"/>
      <c r="J60073" s="8"/>
      <c r="K60073" s="8"/>
      <c r="L60073" s="8"/>
      <c r="M60073" s="8"/>
      <c r="N60073" s="8"/>
      <c r="O60073" s="8"/>
      <c r="P60073" s="8"/>
      <c r="Q60073" s="8"/>
      <c r="R60073" s="103"/>
      <c r="S60073" s="8"/>
      <c r="T60073" s="8"/>
      <c r="U60073" s="8"/>
      <c r="V60073" s="8"/>
      <c r="W60073" s="8"/>
      <c r="X60073" s="8"/>
      <c r="Y60073" s="8"/>
      <c r="Z60073" s="8"/>
      <c r="AA60073" s="8"/>
    </row>
    <row r="60074" spans="1:27" x14ac:dyDescent="0.25">
      <c r="A60074" s="8"/>
      <c r="B60074" s="8"/>
      <c r="C60074" s="99"/>
      <c r="D60074" s="8"/>
      <c r="E60074" s="8"/>
      <c r="F60074" s="8"/>
      <c r="G60074" s="8"/>
      <c r="H60074" s="8"/>
      <c r="I60074" s="102"/>
      <c r="J60074" s="8"/>
      <c r="K60074" s="8"/>
      <c r="L60074" s="8"/>
      <c r="M60074" s="8"/>
      <c r="N60074" s="8"/>
      <c r="O60074" s="8"/>
      <c r="P60074" s="8"/>
      <c r="Q60074" s="8"/>
      <c r="R60074" s="103"/>
      <c r="S60074" s="8"/>
      <c r="T60074" s="8"/>
      <c r="U60074" s="8"/>
      <c r="V60074" s="8"/>
      <c r="W60074" s="8"/>
      <c r="X60074" s="8"/>
      <c r="Y60074" s="8"/>
      <c r="Z60074" s="8"/>
      <c r="AA60074" s="8"/>
    </row>
    <row r="60075" spans="1:27" x14ac:dyDescent="0.25">
      <c r="A60075" s="8"/>
      <c r="B60075" s="8"/>
      <c r="C60075" s="99"/>
      <c r="D60075" s="8"/>
      <c r="E60075" s="8"/>
      <c r="F60075" s="8"/>
      <c r="G60075" s="8"/>
      <c r="H60075" s="8"/>
      <c r="I60075" s="102"/>
      <c r="J60075" s="8"/>
      <c r="K60075" s="8"/>
      <c r="L60075" s="8"/>
      <c r="M60075" s="8"/>
      <c r="N60075" s="8"/>
      <c r="O60075" s="8"/>
      <c r="P60075" s="8"/>
      <c r="Q60075" s="8"/>
      <c r="R60075" s="103"/>
      <c r="S60075" s="8"/>
      <c r="T60075" s="8"/>
      <c r="U60075" s="8"/>
      <c r="V60075" s="8"/>
      <c r="W60075" s="8"/>
      <c r="X60075" s="8"/>
      <c r="Y60075" s="8"/>
      <c r="Z60075" s="8"/>
      <c r="AA60075" s="8"/>
    </row>
    <row r="60076" spans="1:27" x14ac:dyDescent="0.25">
      <c r="A60076" s="8"/>
      <c r="B60076" s="8"/>
      <c r="C60076" s="99"/>
      <c r="D60076" s="8"/>
      <c r="E60076" s="8"/>
      <c r="F60076" s="8"/>
      <c r="G60076" s="8"/>
      <c r="H60076" s="8"/>
      <c r="I60076" s="102"/>
      <c r="J60076" s="8"/>
      <c r="K60076" s="8"/>
      <c r="L60076" s="8"/>
      <c r="M60076" s="8"/>
      <c r="N60076" s="8"/>
      <c r="O60076" s="8"/>
      <c r="P60076" s="8"/>
      <c r="Q60076" s="8"/>
      <c r="R60076" s="103"/>
      <c r="S60076" s="8"/>
      <c r="T60076" s="8"/>
      <c r="U60076" s="8"/>
      <c r="V60076" s="8"/>
      <c r="W60076" s="8"/>
      <c r="X60076" s="8"/>
      <c r="Y60076" s="8"/>
      <c r="Z60076" s="8"/>
      <c r="AA60076" s="8"/>
    </row>
    <row r="60077" spans="1:27" x14ac:dyDescent="0.25">
      <c r="A60077" s="8"/>
      <c r="B60077" s="8"/>
      <c r="C60077" s="99"/>
      <c r="D60077" s="8"/>
      <c r="E60077" s="8"/>
      <c r="F60077" s="8"/>
      <c r="G60077" s="8"/>
      <c r="H60077" s="8"/>
      <c r="I60077" s="102"/>
      <c r="J60077" s="8"/>
      <c r="K60077" s="8"/>
      <c r="L60077" s="8"/>
      <c r="M60077" s="8"/>
      <c r="N60077" s="8"/>
      <c r="O60077" s="8"/>
      <c r="P60077" s="8"/>
      <c r="Q60077" s="8"/>
      <c r="R60077" s="103"/>
      <c r="S60077" s="8"/>
      <c r="T60077" s="8"/>
      <c r="U60077" s="8"/>
      <c r="V60077" s="8"/>
      <c r="W60077" s="8"/>
      <c r="X60077" s="8"/>
      <c r="Y60077" s="8"/>
      <c r="Z60077" s="8"/>
      <c r="AA60077" s="8"/>
    </row>
    <row r="60078" spans="1:27" x14ac:dyDescent="0.25">
      <c r="A60078" s="8"/>
      <c r="B60078" s="8"/>
      <c r="C60078" s="99"/>
      <c r="D60078" s="8"/>
      <c r="E60078" s="8"/>
      <c r="F60078" s="8"/>
      <c r="G60078" s="8"/>
      <c r="H60078" s="8"/>
      <c r="I60078" s="102"/>
      <c r="J60078" s="8"/>
      <c r="K60078" s="8"/>
      <c r="L60078" s="8"/>
      <c r="M60078" s="8"/>
      <c r="N60078" s="8"/>
      <c r="O60078" s="8"/>
      <c r="P60078" s="8"/>
      <c r="Q60078" s="8"/>
      <c r="R60078" s="103"/>
      <c r="S60078" s="8"/>
      <c r="T60078" s="8"/>
      <c r="U60078" s="8"/>
      <c r="V60078" s="8"/>
      <c r="W60078" s="8"/>
      <c r="X60078" s="8"/>
      <c r="Y60078" s="8"/>
      <c r="Z60078" s="8"/>
      <c r="AA60078" s="8"/>
    </row>
    <row r="60079" spans="1:27" x14ac:dyDescent="0.25">
      <c r="A60079" s="8"/>
      <c r="B60079" s="8"/>
      <c r="C60079" s="99"/>
      <c r="D60079" s="8"/>
      <c r="E60079" s="8"/>
      <c r="F60079" s="8"/>
      <c r="G60079" s="8"/>
      <c r="H60079" s="8"/>
      <c r="I60079" s="102"/>
      <c r="J60079" s="8"/>
      <c r="K60079" s="8"/>
      <c r="L60079" s="8"/>
      <c r="M60079" s="8"/>
      <c r="N60079" s="8"/>
      <c r="O60079" s="8"/>
      <c r="P60079" s="8"/>
      <c r="Q60079" s="8"/>
      <c r="R60079" s="103"/>
      <c r="S60079" s="8"/>
      <c r="T60079" s="8"/>
      <c r="U60079" s="8"/>
      <c r="V60079" s="8"/>
      <c r="W60079" s="8"/>
      <c r="X60079" s="8"/>
      <c r="Y60079" s="8"/>
      <c r="Z60079" s="8"/>
      <c r="AA60079" s="8"/>
    </row>
    <row r="60080" spans="1:27" x14ac:dyDescent="0.25">
      <c r="A60080" s="8"/>
      <c r="B60080" s="8"/>
      <c r="C60080" s="99"/>
      <c r="D60080" s="8"/>
      <c r="E60080" s="8"/>
      <c r="F60080" s="8"/>
      <c r="G60080" s="8"/>
      <c r="H60080" s="8"/>
      <c r="I60080" s="102"/>
      <c r="J60080" s="8"/>
      <c r="K60080" s="8"/>
      <c r="L60080" s="8"/>
      <c r="M60080" s="8"/>
      <c r="N60080" s="8"/>
      <c r="O60080" s="8"/>
      <c r="P60080" s="8"/>
      <c r="Q60080" s="8"/>
      <c r="R60080" s="103"/>
      <c r="S60080" s="8"/>
      <c r="T60080" s="8"/>
      <c r="U60080" s="8"/>
      <c r="V60080" s="8"/>
      <c r="W60080" s="8"/>
      <c r="X60080" s="8"/>
      <c r="Y60080" s="8"/>
      <c r="Z60080" s="8"/>
      <c r="AA60080" s="8"/>
    </row>
    <row r="60081" spans="1:27" x14ac:dyDescent="0.25">
      <c r="A60081" s="8"/>
      <c r="B60081" s="8"/>
      <c r="C60081" s="99"/>
      <c r="D60081" s="8"/>
      <c r="E60081" s="8"/>
      <c r="F60081" s="8"/>
      <c r="G60081" s="8"/>
      <c r="H60081" s="8"/>
      <c r="I60081" s="102"/>
      <c r="J60081" s="8"/>
      <c r="K60081" s="8"/>
      <c r="L60081" s="8"/>
      <c r="M60081" s="8"/>
      <c r="N60081" s="8"/>
      <c r="O60081" s="8"/>
      <c r="P60081" s="8"/>
      <c r="Q60081" s="8"/>
      <c r="R60081" s="103"/>
      <c r="S60081" s="8"/>
      <c r="T60081" s="8"/>
      <c r="U60081" s="8"/>
      <c r="V60081" s="8"/>
      <c r="W60081" s="8"/>
      <c r="X60081" s="8"/>
      <c r="Y60081" s="8"/>
      <c r="Z60081" s="8"/>
      <c r="AA60081" s="8"/>
    </row>
    <row r="60082" spans="1:27" x14ac:dyDescent="0.25">
      <c r="A60082" s="8"/>
      <c r="B60082" s="8"/>
      <c r="C60082" s="99"/>
      <c r="D60082" s="8"/>
      <c r="E60082" s="8"/>
      <c r="F60082" s="8"/>
      <c r="G60082" s="8"/>
      <c r="H60082" s="8"/>
      <c r="I60082" s="102"/>
      <c r="J60082" s="8"/>
      <c r="K60082" s="8"/>
      <c r="L60082" s="8"/>
      <c r="M60082" s="8"/>
      <c r="N60082" s="8"/>
      <c r="O60082" s="8"/>
      <c r="P60082" s="8"/>
      <c r="Q60082" s="8"/>
      <c r="R60082" s="103"/>
      <c r="S60082" s="8"/>
      <c r="T60082" s="8"/>
      <c r="U60082" s="8"/>
      <c r="V60082" s="8"/>
      <c r="W60082" s="8"/>
      <c r="X60082" s="8"/>
      <c r="Y60082" s="8"/>
      <c r="Z60082" s="8"/>
      <c r="AA60082" s="8"/>
    </row>
    <row r="60083" spans="1:27" x14ac:dyDescent="0.25">
      <c r="A60083" s="8"/>
      <c r="B60083" s="8"/>
      <c r="C60083" s="99"/>
      <c r="D60083" s="8"/>
      <c r="E60083" s="8"/>
      <c r="F60083" s="8"/>
      <c r="G60083" s="8"/>
      <c r="H60083" s="8"/>
      <c r="I60083" s="102"/>
      <c r="J60083" s="8"/>
      <c r="K60083" s="8"/>
      <c r="L60083" s="8"/>
      <c r="M60083" s="8"/>
      <c r="N60083" s="8"/>
      <c r="O60083" s="8"/>
      <c r="P60083" s="8"/>
      <c r="Q60083" s="8"/>
      <c r="R60083" s="103"/>
      <c r="S60083" s="8"/>
      <c r="T60083" s="8"/>
      <c r="U60083" s="8"/>
      <c r="V60083" s="8"/>
      <c r="W60083" s="8"/>
      <c r="X60083" s="8"/>
      <c r="Y60083" s="8"/>
      <c r="Z60083" s="8"/>
      <c r="AA60083" s="8"/>
    </row>
    <row r="60084" spans="1:27" x14ac:dyDescent="0.25">
      <c r="A60084" s="8"/>
      <c r="B60084" s="8"/>
      <c r="C60084" s="99"/>
      <c r="D60084" s="8"/>
      <c r="E60084" s="8"/>
      <c r="F60084" s="8"/>
      <c r="G60084" s="8"/>
      <c r="H60084" s="8"/>
      <c r="I60084" s="102"/>
      <c r="J60084" s="8"/>
      <c r="K60084" s="8"/>
      <c r="L60084" s="8"/>
      <c r="M60084" s="8"/>
      <c r="N60084" s="8"/>
      <c r="O60084" s="8"/>
      <c r="P60084" s="8"/>
      <c r="Q60084" s="8"/>
      <c r="R60084" s="103"/>
      <c r="S60084" s="8"/>
      <c r="T60084" s="8"/>
      <c r="U60084" s="8"/>
      <c r="V60084" s="8"/>
      <c r="W60084" s="8"/>
      <c r="X60084" s="8"/>
      <c r="Y60084" s="8"/>
      <c r="Z60084" s="8"/>
      <c r="AA60084" s="8"/>
    </row>
    <row r="60085" spans="1:27" x14ac:dyDescent="0.25">
      <c r="A60085" s="8"/>
      <c r="B60085" s="8"/>
      <c r="C60085" s="99"/>
      <c r="D60085" s="8"/>
      <c r="E60085" s="8"/>
      <c r="F60085" s="8"/>
      <c r="G60085" s="8"/>
      <c r="H60085" s="8"/>
      <c r="I60085" s="102"/>
      <c r="J60085" s="8"/>
      <c r="K60085" s="8"/>
      <c r="L60085" s="8"/>
      <c r="M60085" s="8"/>
      <c r="N60085" s="8"/>
      <c r="O60085" s="8"/>
      <c r="P60085" s="8"/>
      <c r="Q60085" s="8"/>
      <c r="R60085" s="103"/>
      <c r="S60085" s="8"/>
      <c r="T60085" s="8"/>
      <c r="U60085" s="8"/>
      <c r="V60085" s="8"/>
      <c r="W60085" s="8"/>
      <c r="X60085" s="8"/>
      <c r="Y60085" s="8"/>
      <c r="Z60085" s="8"/>
      <c r="AA60085" s="8"/>
    </row>
    <row r="60086" spans="1:27" x14ac:dyDescent="0.25">
      <c r="A60086" s="8"/>
      <c r="B60086" s="8"/>
      <c r="C60086" s="99"/>
      <c r="D60086" s="8"/>
      <c r="E60086" s="8"/>
      <c r="F60086" s="8"/>
      <c r="G60086" s="8"/>
      <c r="H60086" s="8"/>
      <c r="I60086" s="102"/>
      <c r="J60086" s="8"/>
      <c r="K60086" s="8"/>
      <c r="L60086" s="8"/>
      <c r="M60086" s="8"/>
      <c r="N60086" s="8"/>
      <c r="O60086" s="8"/>
      <c r="P60086" s="8"/>
      <c r="Q60086" s="8"/>
      <c r="R60086" s="103"/>
      <c r="S60086" s="8"/>
      <c r="T60086" s="8"/>
      <c r="U60086" s="8"/>
      <c r="V60086" s="8"/>
      <c r="W60086" s="8"/>
      <c r="X60086" s="8"/>
      <c r="Y60086" s="8"/>
      <c r="Z60086" s="8"/>
      <c r="AA60086" s="8"/>
    </row>
    <row r="60087" spans="1:27" x14ac:dyDescent="0.25">
      <c r="A60087" s="8"/>
      <c r="B60087" s="8"/>
      <c r="C60087" s="99"/>
      <c r="D60087" s="8"/>
      <c r="E60087" s="8"/>
      <c r="F60087" s="8"/>
      <c r="G60087" s="8"/>
      <c r="H60087" s="8"/>
      <c r="I60087" s="102"/>
      <c r="J60087" s="8"/>
      <c r="K60087" s="8"/>
      <c r="L60087" s="8"/>
      <c r="M60087" s="8"/>
      <c r="N60087" s="8"/>
      <c r="O60087" s="8"/>
      <c r="P60087" s="8"/>
      <c r="Q60087" s="8"/>
      <c r="R60087" s="103"/>
      <c r="S60087" s="8"/>
      <c r="T60087" s="8"/>
      <c r="U60087" s="8"/>
      <c r="V60087" s="8"/>
      <c r="W60087" s="8"/>
      <c r="X60087" s="8"/>
      <c r="Y60087" s="8"/>
      <c r="Z60087" s="8"/>
      <c r="AA60087" s="8"/>
    </row>
    <row r="60088" spans="1:27" x14ac:dyDescent="0.25">
      <c r="A60088" s="8"/>
      <c r="B60088" s="8"/>
      <c r="C60088" s="99"/>
      <c r="D60088" s="8"/>
      <c r="E60088" s="8"/>
      <c r="F60088" s="8"/>
      <c r="G60088" s="8"/>
      <c r="H60088" s="8"/>
      <c r="I60088" s="102"/>
      <c r="J60088" s="8"/>
      <c r="K60088" s="8"/>
      <c r="L60088" s="8"/>
      <c r="M60088" s="8"/>
      <c r="N60088" s="8"/>
      <c r="O60088" s="8"/>
      <c r="P60088" s="8"/>
      <c r="Q60088" s="8"/>
      <c r="R60088" s="103"/>
      <c r="S60088" s="8"/>
      <c r="T60088" s="8"/>
      <c r="U60088" s="8"/>
      <c r="V60088" s="8"/>
      <c r="W60088" s="8"/>
      <c r="X60088" s="8"/>
      <c r="Y60088" s="8"/>
      <c r="Z60088" s="8"/>
      <c r="AA60088" s="8"/>
    </row>
    <row r="60089" spans="1:27" x14ac:dyDescent="0.25">
      <c r="A60089" s="8"/>
      <c r="B60089" s="8"/>
      <c r="C60089" s="99"/>
      <c r="D60089" s="8"/>
      <c r="E60089" s="8"/>
      <c r="F60089" s="8"/>
      <c r="G60089" s="8"/>
      <c r="H60089" s="8"/>
      <c r="I60089" s="102"/>
      <c r="J60089" s="8"/>
      <c r="K60089" s="8"/>
      <c r="L60089" s="8"/>
      <c r="M60089" s="8"/>
      <c r="N60089" s="8"/>
      <c r="O60089" s="8"/>
      <c r="P60089" s="8"/>
      <c r="Q60089" s="8"/>
      <c r="R60089" s="103"/>
      <c r="S60089" s="8"/>
      <c r="T60089" s="8"/>
      <c r="U60089" s="8"/>
      <c r="V60089" s="8"/>
      <c r="W60089" s="8"/>
      <c r="X60089" s="8"/>
      <c r="Y60089" s="8"/>
      <c r="Z60089" s="8"/>
      <c r="AA60089" s="8"/>
    </row>
    <row r="60090" spans="1:27" x14ac:dyDescent="0.25">
      <c r="A60090" s="8"/>
      <c r="B60090" s="8"/>
      <c r="C60090" s="99"/>
      <c r="D60090" s="8"/>
      <c r="E60090" s="8"/>
      <c r="F60090" s="8"/>
      <c r="G60090" s="8"/>
      <c r="H60090" s="8"/>
      <c r="I60090" s="102"/>
      <c r="J60090" s="8"/>
      <c r="K60090" s="8"/>
      <c r="L60090" s="8"/>
      <c r="M60090" s="8"/>
      <c r="N60090" s="8"/>
      <c r="O60090" s="8"/>
      <c r="P60090" s="8"/>
      <c r="Q60090" s="8"/>
      <c r="R60090" s="103"/>
      <c r="S60090" s="8"/>
      <c r="T60090" s="8"/>
      <c r="U60090" s="8"/>
      <c r="V60090" s="8"/>
      <c r="W60090" s="8"/>
      <c r="X60090" s="8"/>
      <c r="Y60090" s="8"/>
      <c r="Z60090" s="8"/>
      <c r="AA60090" s="8"/>
    </row>
    <row r="60091" spans="1:27" x14ac:dyDescent="0.25">
      <c r="A60091" s="8"/>
      <c r="B60091" s="8"/>
      <c r="C60091" s="99"/>
      <c r="D60091" s="8"/>
      <c r="E60091" s="8"/>
      <c r="F60091" s="8"/>
      <c r="G60091" s="8"/>
      <c r="H60091" s="8"/>
      <c r="I60091" s="102"/>
      <c r="J60091" s="8"/>
      <c r="K60091" s="8"/>
      <c r="L60091" s="8"/>
      <c r="M60091" s="8"/>
      <c r="N60091" s="8"/>
      <c r="O60091" s="8"/>
      <c r="P60091" s="8"/>
      <c r="Q60091" s="8"/>
      <c r="R60091" s="103"/>
      <c r="S60091" s="8"/>
      <c r="T60091" s="8"/>
      <c r="U60091" s="8"/>
      <c r="V60091" s="8"/>
      <c r="W60091" s="8"/>
      <c r="X60091" s="8"/>
      <c r="Y60091" s="8"/>
      <c r="Z60091" s="8"/>
      <c r="AA60091" s="8"/>
    </row>
    <row r="60092" spans="1:27" x14ac:dyDescent="0.25">
      <c r="A60092" s="8"/>
      <c r="B60092" s="8"/>
      <c r="C60092" s="99"/>
      <c r="D60092" s="8"/>
      <c r="E60092" s="8"/>
      <c r="F60092" s="8"/>
      <c r="G60092" s="8"/>
      <c r="H60092" s="8"/>
      <c r="I60092" s="102"/>
      <c r="J60092" s="8"/>
      <c r="K60092" s="8"/>
      <c r="L60092" s="8"/>
      <c r="M60092" s="8"/>
      <c r="N60092" s="8"/>
      <c r="O60092" s="8"/>
      <c r="P60092" s="8"/>
      <c r="Q60092" s="8"/>
      <c r="R60092" s="103"/>
      <c r="S60092" s="8"/>
      <c r="T60092" s="8"/>
      <c r="U60092" s="8"/>
      <c r="V60092" s="8"/>
      <c r="W60092" s="8"/>
      <c r="X60092" s="8"/>
      <c r="Y60092" s="8"/>
      <c r="Z60092" s="8"/>
      <c r="AA60092" s="8"/>
    </row>
    <row r="60093" spans="1:27" x14ac:dyDescent="0.25">
      <c r="A60093" s="8"/>
      <c r="B60093" s="8"/>
      <c r="C60093" s="99"/>
      <c r="D60093" s="8"/>
      <c r="E60093" s="8"/>
      <c r="F60093" s="8"/>
      <c r="G60093" s="8"/>
      <c r="H60093" s="8"/>
      <c r="I60093" s="102"/>
      <c r="J60093" s="8"/>
      <c r="K60093" s="8"/>
      <c r="L60093" s="8"/>
      <c r="M60093" s="8"/>
      <c r="N60093" s="8"/>
      <c r="O60093" s="8"/>
      <c r="P60093" s="8"/>
      <c r="Q60093" s="8"/>
      <c r="R60093" s="103"/>
      <c r="S60093" s="8"/>
      <c r="T60093" s="8"/>
      <c r="U60093" s="8"/>
      <c r="V60093" s="8"/>
      <c r="W60093" s="8"/>
      <c r="X60093" s="8"/>
      <c r="Y60093" s="8"/>
      <c r="Z60093" s="8"/>
      <c r="AA60093" s="8"/>
    </row>
    <row r="60094" spans="1:27" x14ac:dyDescent="0.25">
      <c r="A60094" s="8"/>
      <c r="B60094" s="8"/>
      <c r="C60094" s="99"/>
      <c r="D60094" s="8"/>
      <c r="E60094" s="8"/>
      <c r="F60094" s="8"/>
      <c r="G60094" s="8"/>
      <c r="H60094" s="8"/>
      <c r="I60094" s="102"/>
      <c r="J60094" s="8"/>
      <c r="K60094" s="8"/>
      <c r="L60094" s="8"/>
      <c r="M60094" s="8"/>
      <c r="N60094" s="8"/>
      <c r="O60094" s="8"/>
      <c r="P60094" s="8"/>
      <c r="Q60094" s="8"/>
      <c r="R60094" s="103"/>
      <c r="S60094" s="8"/>
      <c r="T60094" s="8"/>
      <c r="U60094" s="8"/>
      <c r="V60094" s="8"/>
      <c r="W60094" s="8"/>
      <c r="X60094" s="8"/>
      <c r="Y60094" s="8"/>
      <c r="Z60094" s="8"/>
      <c r="AA60094" s="8"/>
    </row>
    <row r="60095" spans="1:27" x14ac:dyDescent="0.25">
      <c r="A60095" s="8"/>
      <c r="B60095" s="8"/>
      <c r="C60095" s="99"/>
      <c r="D60095" s="8"/>
      <c r="E60095" s="8"/>
      <c r="F60095" s="8"/>
      <c r="G60095" s="8"/>
      <c r="H60095" s="8"/>
      <c r="I60095" s="102"/>
      <c r="J60095" s="8"/>
      <c r="K60095" s="8"/>
      <c r="L60095" s="8"/>
      <c r="M60095" s="8"/>
      <c r="N60095" s="8"/>
      <c r="O60095" s="8"/>
      <c r="P60095" s="8"/>
      <c r="Q60095" s="8"/>
      <c r="R60095" s="103"/>
      <c r="S60095" s="8"/>
      <c r="T60095" s="8"/>
      <c r="U60095" s="8"/>
      <c r="V60095" s="8"/>
      <c r="W60095" s="8"/>
      <c r="X60095" s="8"/>
      <c r="Y60095" s="8"/>
      <c r="Z60095" s="8"/>
      <c r="AA60095" s="8"/>
    </row>
    <row r="60096" spans="1:27" x14ac:dyDescent="0.25">
      <c r="A60096" s="8"/>
      <c r="B60096" s="8"/>
      <c r="C60096" s="99"/>
      <c r="D60096" s="8"/>
      <c r="E60096" s="8"/>
      <c r="F60096" s="8"/>
      <c r="G60096" s="8"/>
      <c r="H60096" s="8"/>
      <c r="I60096" s="102"/>
      <c r="J60096" s="8"/>
      <c r="K60096" s="8"/>
      <c r="L60096" s="8"/>
      <c r="M60096" s="8"/>
      <c r="N60096" s="8"/>
      <c r="O60096" s="8"/>
      <c r="P60096" s="8"/>
      <c r="Q60096" s="8"/>
      <c r="R60096" s="103"/>
      <c r="S60096" s="8"/>
      <c r="T60096" s="8"/>
      <c r="U60096" s="8"/>
      <c r="V60096" s="8"/>
      <c r="W60096" s="8"/>
      <c r="X60096" s="8"/>
      <c r="Y60096" s="8"/>
      <c r="Z60096" s="8"/>
      <c r="AA60096" s="8"/>
    </row>
    <row r="60097" spans="1:27" x14ac:dyDescent="0.25">
      <c r="A60097" s="8"/>
      <c r="B60097" s="8"/>
      <c r="C60097" s="99"/>
      <c r="D60097" s="8"/>
      <c r="E60097" s="8"/>
      <c r="F60097" s="8"/>
      <c r="G60097" s="8"/>
      <c r="H60097" s="8"/>
      <c r="I60097" s="102"/>
      <c r="J60097" s="8"/>
      <c r="K60097" s="8"/>
      <c r="L60097" s="8"/>
      <c r="M60097" s="8"/>
      <c r="N60097" s="8"/>
      <c r="O60097" s="8"/>
      <c r="P60097" s="8"/>
      <c r="Q60097" s="8"/>
      <c r="R60097" s="103"/>
      <c r="S60097" s="8"/>
      <c r="T60097" s="8"/>
      <c r="U60097" s="8"/>
      <c r="V60097" s="8"/>
      <c r="W60097" s="8"/>
      <c r="X60097" s="8"/>
      <c r="Y60097" s="8"/>
      <c r="Z60097" s="8"/>
      <c r="AA60097" s="8"/>
    </row>
    <row r="60098" spans="1:27" x14ac:dyDescent="0.25">
      <c r="A60098" s="8"/>
      <c r="B60098" s="8"/>
      <c r="C60098" s="99"/>
      <c r="D60098" s="8"/>
      <c r="E60098" s="8"/>
      <c r="F60098" s="8"/>
      <c r="G60098" s="8"/>
      <c r="H60098" s="8"/>
      <c r="I60098" s="102"/>
      <c r="J60098" s="8"/>
      <c r="K60098" s="8"/>
      <c r="L60098" s="8"/>
      <c r="M60098" s="8"/>
      <c r="N60098" s="8"/>
      <c r="O60098" s="8"/>
      <c r="P60098" s="8"/>
      <c r="Q60098" s="8"/>
      <c r="R60098" s="103"/>
      <c r="S60098" s="8"/>
      <c r="T60098" s="8"/>
      <c r="U60098" s="8"/>
      <c r="V60098" s="8"/>
      <c r="W60098" s="8"/>
      <c r="X60098" s="8"/>
      <c r="Y60098" s="8"/>
      <c r="Z60098" s="8"/>
      <c r="AA60098" s="8"/>
    </row>
    <row r="60099" spans="1:27" x14ac:dyDescent="0.25">
      <c r="A60099" s="8"/>
      <c r="B60099" s="8"/>
      <c r="C60099" s="99"/>
      <c r="D60099" s="8"/>
      <c r="E60099" s="8"/>
      <c r="F60099" s="8"/>
      <c r="G60099" s="8"/>
      <c r="H60099" s="8"/>
      <c r="I60099" s="102"/>
      <c r="J60099" s="8"/>
      <c r="K60099" s="8"/>
      <c r="L60099" s="8"/>
      <c r="M60099" s="8"/>
      <c r="N60099" s="8"/>
      <c r="O60099" s="8"/>
      <c r="P60099" s="8"/>
      <c r="Q60099" s="8"/>
      <c r="R60099" s="103"/>
      <c r="S60099" s="8"/>
      <c r="T60099" s="8"/>
      <c r="U60099" s="8"/>
      <c r="V60099" s="8"/>
      <c r="W60099" s="8"/>
      <c r="X60099" s="8"/>
      <c r="Y60099" s="8"/>
      <c r="Z60099" s="8"/>
      <c r="AA60099" s="8"/>
    </row>
    <row r="60100" spans="1:27" x14ac:dyDescent="0.25">
      <c r="A60100" s="8"/>
      <c r="B60100" s="8"/>
      <c r="C60100" s="99"/>
      <c r="D60100" s="8"/>
      <c r="E60100" s="8"/>
      <c r="F60100" s="8"/>
      <c r="G60100" s="8"/>
      <c r="H60100" s="8"/>
      <c r="I60100" s="102"/>
      <c r="J60100" s="8"/>
      <c r="K60100" s="8"/>
      <c r="L60100" s="8"/>
      <c r="M60100" s="8"/>
      <c r="N60100" s="8"/>
      <c r="O60100" s="8"/>
      <c r="P60100" s="8"/>
      <c r="Q60100" s="8"/>
      <c r="R60100" s="103"/>
      <c r="S60100" s="8"/>
      <c r="T60100" s="8"/>
      <c r="U60100" s="8"/>
      <c r="V60100" s="8"/>
      <c r="W60100" s="8"/>
      <c r="X60100" s="8"/>
      <c r="Y60100" s="8"/>
      <c r="Z60100" s="8"/>
      <c r="AA60100" s="8"/>
    </row>
    <row r="60101" spans="1:27" x14ac:dyDescent="0.25">
      <c r="A60101" s="8"/>
      <c r="B60101" s="8"/>
      <c r="C60101" s="99"/>
      <c r="D60101" s="8"/>
      <c r="E60101" s="8"/>
      <c r="F60101" s="8"/>
      <c r="G60101" s="8"/>
      <c r="H60101" s="8"/>
      <c r="I60101" s="102"/>
      <c r="J60101" s="8"/>
      <c r="K60101" s="8"/>
      <c r="L60101" s="8"/>
      <c r="M60101" s="8"/>
      <c r="N60101" s="8"/>
      <c r="O60101" s="8"/>
      <c r="P60101" s="8"/>
      <c r="Q60101" s="8"/>
      <c r="R60101" s="103"/>
      <c r="S60101" s="8"/>
      <c r="T60101" s="8"/>
      <c r="U60101" s="8"/>
      <c r="V60101" s="8"/>
      <c r="W60101" s="8"/>
      <c r="X60101" s="8"/>
      <c r="Y60101" s="8"/>
      <c r="Z60101" s="8"/>
      <c r="AA60101" s="8"/>
    </row>
    <row r="60102" spans="1:27" x14ac:dyDescent="0.25">
      <c r="A60102" s="8"/>
      <c r="B60102" s="8"/>
      <c r="C60102" s="99"/>
      <c r="D60102" s="8"/>
      <c r="E60102" s="8"/>
      <c r="F60102" s="8"/>
      <c r="G60102" s="8"/>
      <c r="H60102" s="8"/>
      <c r="I60102" s="102"/>
      <c r="J60102" s="8"/>
      <c r="K60102" s="8"/>
      <c r="L60102" s="8"/>
      <c r="M60102" s="8"/>
      <c r="N60102" s="8"/>
      <c r="O60102" s="8"/>
      <c r="P60102" s="8"/>
      <c r="Q60102" s="8"/>
      <c r="R60102" s="103"/>
      <c r="S60102" s="8"/>
      <c r="T60102" s="8"/>
      <c r="U60102" s="8"/>
      <c r="V60102" s="8"/>
      <c r="W60102" s="8"/>
      <c r="X60102" s="8"/>
      <c r="Y60102" s="8"/>
      <c r="Z60102" s="8"/>
      <c r="AA60102" s="8"/>
    </row>
    <row r="60103" spans="1:27" x14ac:dyDescent="0.25">
      <c r="A60103" s="8"/>
      <c r="B60103" s="8"/>
      <c r="C60103" s="99"/>
      <c r="D60103" s="8"/>
      <c r="E60103" s="8"/>
      <c r="F60103" s="8"/>
      <c r="G60103" s="8"/>
      <c r="H60103" s="8"/>
      <c r="I60103" s="102"/>
      <c r="J60103" s="8"/>
      <c r="K60103" s="8"/>
      <c r="L60103" s="8"/>
      <c r="M60103" s="8"/>
      <c r="N60103" s="8"/>
      <c r="O60103" s="8"/>
      <c r="P60103" s="8"/>
      <c r="Q60103" s="8"/>
      <c r="R60103" s="103"/>
      <c r="S60103" s="8"/>
      <c r="T60103" s="8"/>
      <c r="U60103" s="8"/>
      <c r="V60103" s="8"/>
      <c r="W60103" s="8"/>
      <c r="X60103" s="8"/>
      <c r="Y60103" s="8"/>
      <c r="Z60103" s="8"/>
      <c r="AA60103" s="8"/>
    </row>
    <row r="60104" spans="1:27" x14ac:dyDescent="0.25">
      <c r="A60104" s="8"/>
      <c r="B60104" s="8"/>
      <c r="C60104" s="99"/>
      <c r="D60104" s="8"/>
      <c r="E60104" s="8"/>
      <c r="F60104" s="8"/>
      <c r="G60104" s="8"/>
      <c r="H60104" s="8"/>
      <c r="I60104" s="102"/>
      <c r="J60104" s="8"/>
      <c r="K60104" s="8"/>
      <c r="L60104" s="8"/>
      <c r="M60104" s="8"/>
      <c r="N60104" s="8"/>
      <c r="O60104" s="8"/>
      <c r="P60104" s="8"/>
      <c r="Q60104" s="8"/>
      <c r="R60104" s="103"/>
      <c r="S60104" s="8"/>
      <c r="T60104" s="8"/>
      <c r="U60104" s="8"/>
      <c r="V60104" s="8"/>
      <c r="W60104" s="8"/>
      <c r="X60104" s="8"/>
      <c r="Y60104" s="8"/>
      <c r="Z60104" s="8"/>
      <c r="AA60104" s="8"/>
    </row>
    <row r="60105" spans="1:27" x14ac:dyDescent="0.25">
      <c r="A60105" s="8"/>
      <c r="B60105" s="8"/>
      <c r="C60105" s="99"/>
      <c r="D60105" s="8"/>
      <c r="E60105" s="8"/>
      <c r="F60105" s="8"/>
      <c r="G60105" s="8"/>
      <c r="H60105" s="8"/>
      <c r="I60105" s="102"/>
      <c r="J60105" s="8"/>
      <c r="K60105" s="8"/>
      <c r="L60105" s="8"/>
      <c r="M60105" s="8"/>
      <c r="N60105" s="8"/>
      <c r="O60105" s="8"/>
      <c r="P60105" s="8"/>
      <c r="Q60105" s="8"/>
      <c r="R60105" s="103"/>
      <c r="S60105" s="8"/>
      <c r="T60105" s="8"/>
      <c r="U60105" s="8"/>
      <c r="V60105" s="8"/>
      <c r="W60105" s="8"/>
      <c r="X60105" s="8"/>
      <c r="Y60105" s="8"/>
      <c r="Z60105" s="8"/>
      <c r="AA60105" s="8"/>
    </row>
    <row r="60106" spans="1:27" x14ac:dyDescent="0.25">
      <c r="A60106" s="8"/>
      <c r="B60106" s="8"/>
      <c r="C60106" s="99"/>
      <c r="D60106" s="8"/>
      <c r="E60106" s="8"/>
      <c r="F60106" s="8"/>
      <c r="G60106" s="8"/>
      <c r="H60106" s="8"/>
      <c r="I60106" s="102"/>
      <c r="J60106" s="8"/>
      <c r="K60106" s="8"/>
      <c r="L60106" s="8"/>
      <c r="M60106" s="8"/>
      <c r="N60106" s="8"/>
      <c r="O60106" s="8"/>
      <c r="P60106" s="8"/>
      <c r="Q60106" s="8"/>
      <c r="R60106" s="103"/>
      <c r="S60106" s="8"/>
      <c r="T60106" s="8"/>
      <c r="U60106" s="8"/>
      <c r="V60106" s="8"/>
      <c r="W60106" s="8"/>
      <c r="X60106" s="8"/>
      <c r="Y60106" s="8"/>
      <c r="Z60106" s="8"/>
      <c r="AA60106" s="8"/>
    </row>
    <row r="60107" spans="1:27" x14ac:dyDescent="0.25">
      <c r="A60107" s="8"/>
      <c r="B60107" s="8"/>
      <c r="C60107" s="99"/>
      <c r="D60107" s="8"/>
      <c r="E60107" s="8"/>
      <c r="F60107" s="8"/>
      <c r="G60107" s="8"/>
      <c r="H60107" s="8"/>
      <c r="I60107" s="102"/>
      <c r="J60107" s="8"/>
      <c r="K60107" s="8"/>
      <c r="L60107" s="8"/>
      <c r="M60107" s="8"/>
      <c r="N60107" s="8"/>
      <c r="O60107" s="8"/>
      <c r="P60107" s="8"/>
      <c r="Q60107" s="8"/>
      <c r="R60107" s="103"/>
      <c r="S60107" s="8"/>
      <c r="T60107" s="8"/>
      <c r="U60107" s="8"/>
      <c r="V60107" s="8"/>
      <c r="W60107" s="8"/>
      <c r="X60107" s="8"/>
      <c r="Y60107" s="8"/>
      <c r="Z60107" s="8"/>
      <c r="AA60107" s="8"/>
    </row>
    <row r="60108" spans="1:27" x14ac:dyDescent="0.25">
      <c r="A60108" s="8"/>
      <c r="B60108" s="8"/>
      <c r="C60108" s="99"/>
      <c r="D60108" s="8"/>
      <c r="E60108" s="8"/>
      <c r="F60108" s="8"/>
      <c r="G60108" s="8"/>
      <c r="H60108" s="8"/>
      <c r="I60108" s="102"/>
      <c r="J60108" s="8"/>
      <c r="K60108" s="8"/>
      <c r="L60108" s="8"/>
      <c r="M60108" s="8"/>
      <c r="N60108" s="8"/>
      <c r="O60108" s="8"/>
      <c r="P60108" s="8"/>
      <c r="Q60108" s="8"/>
      <c r="R60108" s="103"/>
      <c r="S60108" s="8"/>
      <c r="T60108" s="8"/>
      <c r="U60108" s="8"/>
      <c r="V60108" s="8"/>
      <c r="W60108" s="8"/>
      <c r="X60108" s="8"/>
      <c r="Y60108" s="8"/>
      <c r="Z60108" s="8"/>
      <c r="AA60108" s="8"/>
    </row>
    <row r="60109" spans="1:27" x14ac:dyDescent="0.25">
      <c r="A60109" s="8"/>
      <c r="B60109" s="8"/>
      <c r="C60109" s="99"/>
      <c r="D60109" s="8"/>
      <c r="E60109" s="8"/>
      <c r="F60109" s="8"/>
      <c r="G60109" s="8"/>
      <c r="H60109" s="8"/>
      <c r="I60109" s="102"/>
      <c r="J60109" s="8"/>
      <c r="K60109" s="8"/>
      <c r="L60109" s="8"/>
      <c r="M60109" s="8"/>
      <c r="N60109" s="8"/>
      <c r="O60109" s="8"/>
      <c r="P60109" s="8"/>
      <c r="Q60109" s="8"/>
      <c r="R60109" s="103"/>
      <c r="S60109" s="8"/>
      <c r="T60109" s="8"/>
      <c r="U60109" s="8"/>
      <c r="V60109" s="8"/>
      <c r="W60109" s="8"/>
      <c r="X60109" s="8"/>
      <c r="Y60109" s="8"/>
      <c r="Z60109" s="8"/>
      <c r="AA60109" s="8"/>
    </row>
    <row r="60110" spans="1:27" x14ac:dyDescent="0.25">
      <c r="A60110" s="8"/>
      <c r="B60110" s="8"/>
      <c r="C60110" s="99"/>
      <c r="D60110" s="8"/>
      <c r="E60110" s="8"/>
      <c r="F60110" s="8"/>
      <c r="G60110" s="8"/>
      <c r="H60110" s="8"/>
      <c r="I60110" s="102"/>
      <c r="J60110" s="8"/>
      <c r="K60110" s="8"/>
      <c r="L60110" s="8"/>
      <c r="M60110" s="8"/>
      <c r="N60110" s="8"/>
      <c r="O60110" s="8"/>
      <c r="P60110" s="8"/>
      <c r="Q60110" s="8"/>
      <c r="R60110" s="103"/>
      <c r="S60110" s="8"/>
      <c r="T60110" s="8"/>
      <c r="U60110" s="8"/>
      <c r="V60110" s="8"/>
      <c r="W60110" s="8"/>
      <c r="X60110" s="8"/>
      <c r="Y60110" s="8"/>
      <c r="Z60110" s="8"/>
      <c r="AA60110" s="8"/>
    </row>
    <row r="60111" spans="1:27" x14ac:dyDescent="0.25">
      <c r="A60111" s="8"/>
      <c r="B60111" s="8"/>
      <c r="C60111" s="99"/>
      <c r="D60111" s="8"/>
      <c r="E60111" s="8"/>
      <c r="F60111" s="8"/>
      <c r="G60111" s="8"/>
      <c r="H60111" s="8"/>
      <c r="I60111" s="102"/>
      <c r="J60111" s="8"/>
      <c r="K60111" s="8"/>
      <c r="L60111" s="8"/>
      <c r="M60111" s="8"/>
      <c r="N60111" s="8"/>
      <c r="O60111" s="8"/>
      <c r="P60111" s="8"/>
      <c r="Q60111" s="8"/>
      <c r="R60111" s="103"/>
      <c r="S60111" s="8"/>
      <c r="T60111" s="8"/>
      <c r="U60111" s="8"/>
      <c r="V60111" s="8"/>
      <c r="W60111" s="8"/>
      <c r="X60111" s="8"/>
      <c r="Y60111" s="8"/>
      <c r="Z60111" s="8"/>
      <c r="AA60111" s="8"/>
    </row>
    <row r="60112" spans="1:27" x14ac:dyDescent="0.25">
      <c r="A60112" s="8"/>
      <c r="B60112" s="8"/>
      <c r="C60112" s="99"/>
      <c r="D60112" s="8"/>
      <c r="E60112" s="8"/>
      <c r="F60112" s="8"/>
      <c r="G60112" s="8"/>
      <c r="H60112" s="8"/>
      <c r="I60112" s="102"/>
      <c r="J60112" s="8"/>
      <c r="K60112" s="8"/>
      <c r="L60112" s="8"/>
      <c r="M60112" s="8"/>
      <c r="N60112" s="8"/>
      <c r="O60112" s="8"/>
      <c r="P60112" s="8"/>
      <c r="Q60112" s="8"/>
      <c r="R60112" s="103"/>
      <c r="S60112" s="8"/>
      <c r="T60112" s="8"/>
      <c r="U60112" s="8"/>
      <c r="V60112" s="8"/>
      <c r="W60112" s="8"/>
      <c r="X60112" s="8"/>
      <c r="Y60112" s="8"/>
      <c r="Z60112" s="8"/>
      <c r="AA60112" s="8"/>
    </row>
    <row r="60113" spans="1:27" x14ac:dyDescent="0.25">
      <c r="A60113" s="8"/>
      <c r="B60113" s="8"/>
      <c r="C60113" s="99"/>
      <c r="D60113" s="8"/>
      <c r="E60113" s="8"/>
      <c r="F60113" s="8"/>
      <c r="G60113" s="8"/>
      <c r="H60113" s="8"/>
      <c r="I60113" s="102"/>
      <c r="J60113" s="8"/>
      <c r="K60113" s="8"/>
      <c r="L60113" s="8"/>
      <c r="M60113" s="8"/>
      <c r="N60113" s="8"/>
      <c r="O60113" s="8"/>
      <c r="P60113" s="8"/>
      <c r="Q60113" s="8"/>
      <c r="R60113" s="103"/>
      <c r="S60113" s="8"/>
      <c r="T60113" s="8"/>
      <c r="U60113" s="8"/>
      <c r="V60113" s="8"/>
      <c r="W60113" s="8"/>
      <c r="X60113" s="8"/>
      <c r="Y60113" s="8"/>
      <c r="Z60113" s="8"/>
      <c r="AA60113" s="8"/>
    </row>
    <row r="60114" spans="1:27" x14ac:dyDescent="0.25">
      <c r="A60114" s="8"/>
      <c r="B60114" s="8"/>
      <c r="C60114" s="99"/>
      <c r="D60114" s="8"/>
      <c r="E60114" s="8"/>
      <c r="F60114" s="8"/>
      <c r="G60114" s="8"/>
      <c r="H60114" s="8"/>
      <c r="I60114" s="102"/>
      <c r="J60114" s="8"/>
      <c r="K60114" s="8"/>
      <c r="L60114" s="8"/>
      <c r="M60114" s="8"/>
      <c r="N60114" s="8"/>
      <c r="O60114" s="8"/>
      <c r="P60114" s="8"/>
      <c r="Q60114" s="8"/>
      <c r="R60114" s="103"/>
      <c r="S60114" s="8"/>
      <c r="T60114" s="8"/>
      <c r="U60114" s="8"/>
      <c r="V60114" s="8"/>
      <c r="W60114" s="8"/>
      <c r="X60114" s="8"/>
      <c r="Y60114" s="8"/>
      <c r="Z60114" s="8"/>
      <c r="AA60114" s="8"/>
    </row>
    <row r="60115" spans="1:27" x14ac:dyDescent="0.25">
      <c r="A60115" s="8"/>
      <c r="B60115" s="8"/>
      <c r="C60115" s="99"/>
      <c r="D60115" s="8"/>
      <c r="E60115" s="8"/>
      <c r="F60115" s="8"/>
      <c r="G60115" s="8"/>
      <c r="H60115" s="8"/>
      <c r="I60115" s="102"/>
      <c r="J60115" s="8"/>
      <c r="K60115" s="8"/>
      <c r="L60115" s="8"/>
      <c r="M60115" s="8"/>
      <c r="N60115" s="8"/>
      <c r="O60115" s="8"/>
      <c r="P60115" s="8"/>
      <c r="Q60115" s="8"/>
      <c r="R60115" s="103"/>
      <c r="S60115" s="8"/>
      <c r="T60115" s="8"/>
      <c r="U60115" s="8"/>
      <c r="V60115" s="8"/>
      <c r="W60115" s="8"/>
      <c r="X60115" s="8"/>
      <c r="Y60115" s="8"/>
      <c r="Z60115" s="8"/>
      <c r="AA60115" s="8"/>
    </row>
    <row r="60116" spans="1:27" x14ac:dyDescent="0.25">
      <c r="A60116" s="8"/>
      <c r="B60116" s="8"/>
      <c r="C60116" s="99"/>
      <c r="D60116" s="8"/>
      <c r="E60116" s="8"/>
      <c r="F60116" s="8"/>
      <c r="G60116" s="8"/>
      <c r="H60116" s="8"/>
      <c r="I60116" s="102"/>
      <c r="J60116" s="8"/>
      <c r="K60116" s="8"/>
      <c r="L60116" s="8"/>
      <c r="M60116" s="8"/>
      <c r="N60116" s="8"/>
      <c r="O60116" s="8"/>
      <c r="P60116" s="8"/>
      <c r="Q60116" s="8"/>
      <c r="R60116" s="103"/>
      <c r="S60116" s="8"/>
      <c r="T60116" s="8"/>
      <c r="U60116" s="8"/>
      <c r="V60116" s="8"/>
      <c r="W60116" s="8"/>
      <c r="X60116" s="8"/>
      <c r="Y60116" s="8"/>
      <c r="Z60116" s="8"/>
      <c r="AA60116" s="8"/>
    </row>
    <row r="60117" spans="1:27" x14ac:dyDescent="0.25">
      <c r="A60117" s="8"/>
      <c r="B60117" s="8"/>
      <c r="C60117" s="99"/>
      <c r="D60117" s="8"/>
      <c r="E60117" s="8"/>
      <c r="F60117" s="8"/>
      <c r="G60117" s="8"/>
      <c r="H60117" s="8"/>
      <c r="I60117" s="102"/>
      <c r="J60117" s="8"/>
      <c r="K60117" s="8"/>
      <c r="L60117" s="8"/>
      <c r="M60117" s="8"/>
      <c r="N60117" s="8"/>
      <c r="O60117" s="8"/>
      <c r="P60117" s="8"/>
      <c r="Q60117" s="8"/>
      <c r="R60117" s="103"/>
      <c r="S60117" s="8"/>
      <c r="T60117" s="8"/>
      <c r="U60117" s="8"/>
      <c r="V60117" s="8"/>
      <c r="W60117" s="8"/>
      <c r="X60117" s="8"/>
      <c r="Y60117" s="8"/>
      <c r="Z60117" s="8"/>
      <c r="AA60117" s="8"/>
    </row>
    <row r="60118" spans="1:27" x14ac:dyDescent="0.25">
      <c r="A60118" s="8"/>
      <c r="B60118" s="8"/>
      <c r="C60118" s="99"/>
      <c r="D60118" s="8"/>
      <c r="E60118" s="8"/>
      <c r="F60118" s="8"/>
      <c r="G60118" s="8"/>
      <c r="H60118" s="8"/>
      <c r="I60118" s="102"/>
      <c r="J60118" s="8"/>
      <c r="K60118" s="8"/>
      <c r="L60118" s="8"/>
      <c r="M60118" s="8"/>
      <c r="N60118" s="8"/>
      <c r="O60118" s="8"/>
      <c r="P60118" s="8"/>
      <c r="Q60118" s="8"/>
      <c r="R60118" s="103"/>
      <c r="S60118" s="8"/>
      <c r="T60118" s="8"/>
      <c r="U60118" s="8"/>
      <c r="V60118" s="8"/>
      <c r="W60118" s="8"/>
      <c r="X60118" s="8"/>
      <c r="Y60118" s="8"/>
      <c r="Z60118" s="8"/>
      <c r="AA60118" s="8"/>
    </row>
    <row r="60119" spans="1:27" x14ac:dyDescent="0.25">
      <c r="A60119" s="8"/>
      <c r="B60119" s="8"/>
      <c r="C60119" s="99"/>
      <c r="D60119" s="8"/>
      <c r="E60119" s="8"/>
      <c r="F60119" s="8"/>
      <c r="G60119" s="8"/>
      <c r="H60119" s="8"/>
      <c r="I60119" s="102"/>
      <c r="J60119" s="8"/>
      <c r="K60119" s="8"/>
      <c r="L60119" s="8"/>
      <c r="M60119" s="8"/>
      <c r="N60119" s="8"/>
      <c r="O60119" s="8"/>
      <c r="P60119" s="8"/>
      <c r="Q60119" s="8"/>
      <c r="R60119" s="103"/>
      <c r="S60119" s="8"/>
      <c r="T60119" s="8"/>
      <c r="U60119" s="8"/>
      <c r="V60119" s="8"/>
      <c r="W60119" s="8"/>
      <c r="X60119" s="8"/>
      <c r="Y60119" s="8"/>
      <c r="Z60119" s="8"/>
      <c r="AA60119" s="8"/>
    </row>
    <row r="60120" spans="1:27" x14ac:dyDescent="0.25">
      <c r="A60120" s="8"/>
      <c r="B60120" s="8"/>
      <c r="C60120" s="99"/>
      <c r="D60120" s="8"/>
      <c r="E60120" s="8"/>
      <c r="F60120" s="8"/>
      <c r="G60120" s="8"/>
      <c r="H60120" s="8"/>
      <c r="I60120" s="102"/>
      <c r="J60120" s="8"/>
      <c r="K60120" s="8"/>
      <c r="L60120" s="8"/>
      <c r="M60120" s="8"/>
      <c r="N60120" s="8"/>
      <c r="O60120" s="8"/>
      <c r="P60120" s="8"/>
      <c r="Q60120" s="8"/>
      <c r="R60120" s="103"/>
      <c r="S60120" s="8"/>
      <c r="T60120" s="8"/>
      <c r="U60120" s="8"/>
      <c r="V60120" s="8"/>
      <c r="W60120" s="8"/>
      <c r="X60120" s="8"/>
      <c r="Y60120" s="8"/>
      <c r="Z60120" s="8"/>
      <c r="AA60120" s="8"/>
    </row>
    <row r="60121" spans="1:27" x14ac:dyDescent="0.25">
      <c r="A60121" s="8"/>
      <c r="B60121" s="8"/>
      <c r="C60121" s="99"/>
      <c r="D60121" s="8"/>
      <c r="E60121" s="8"/>
      <c r="F60121" s="8"/>
      <c r="G60121" s="8"/>
      <c r="H60121" s="8"/>
      <c r="I60121" s="102"/>
      <c r="J60121" s="8"/>
      <c r="K60121" s="8"/>
      <c r="L60121" s="8"/>
      <c r="M60121" s="8"/>
      <c r="N60121" s="8"/>
      <c r="O60121" s="8"/>
      <c r="P60121" s="8"/>
      <c r="Q60121" s="8"/>
      <c r="R60121" s="103"/>
      <c r="S60121" s="8"/>
      <c r="T60121" s="8"/>
      <c r="U60121" s="8"/>
      <c r="V60121" s="8"/>
      <c r="W60121" s="8"/>
      <c r="X60121" s="8"/>
      <c r="Y60121" s="8"/>
      <c r="Z60121" s="8"/>
      <c r="AA60121" s="8"/>
    </row>
    <row r="60122" spans="1:27" x14ac:dyDescent="0.25">
      <c r="A60122" s="8"/>
      <c r="B60122" s="8"/>
      <c r="C60122" s="99"/>
      <c r="D60122" s="8"/>
      <c r="E60122" s="8"/>
      <c r="F60122" s="8"/>
      <c r="G60122" s="8"/>
      <c r="H60122" s="8"/>
      <c r="I60122" s="102"/>
      <c r="J60122" s="8"/>
      <c r="K60122" s="8"/>
      <c r="L60122" s="8"/>
      <c r="M60122" s="8"/>
      <c r="N60122" s="8"/>
      <c r="O60122" s="8"/>
      <c r="P60122" s="8"/>
      <c r="Q60122" s="8"/>
      <c r="R60122" s="103"/>
      <c r="S60122" s="8"/>
      <c r="T60122" s="8"/>
      <c r="U60122" s="8"/>
      <c r="V60122" s="8"/>
      <c r="W60122" s="8"/>
      <c r="X60122" s="8"/>
      <c r="Y60122" s="8"/>
      <c r="Z60122" s="8"/>
      <c r="AA60122" s="8"/>
    </row>
    <row r="60123" spans="1:27" x14ac:dyDescent="0.25">
      <c r="A60123" s="8"/>
      <c r="B60123" s="8"/>
      <c r="C60123" s="99"/>
      <c r="D60123" s="8"/>
      <c r="E60123" s="8"/>
      <c r="F60123" s="8"/>
      <c r="G60123" s="8"/>
      <c r="H60123" s="8"/>
      <c r="I60123" s="102"/>
      <c r="J60123" s="8"/>
      <c r="K60123" s="8"/>
      <c r="L60123" s="8"/>
      <c r="M60123" s="8"/>
      <c r="N60123" s="8"/>
      <c r="O60123" s="8"/>
      <c r="P60123" s="8"/>
      <c r="Q60123" s="8"/>
      <c r="R60123" s="103"/>
      <c r="S60123" s="8"/>
      <c r="T60123" s="8"/>
      <c r="U60123" s="8"/>
      <c r="V60123" s="8"/>
      <c r="W60123" s="8"/>
      <c r="X60123" s="8"/>
      <c r="Y60123" s="8"/>
      <c r="Z60123" s="8"/>
      <c r="AA60123" s="8"/>
    </row>
    <row r="60124" spans="1:27" x14ac:dyDescent="0.25">
      <c r="A60124" s="8"/>
      <c r="B60124" s="8"/>
      <c r="C60124" s="99"/>
      <c r="D60124" s="8"/>
      <c r="E60124" s="8"/>
      <c r="F60124" s="8"/>
      <c r="G60124" s="8"/>
      <c r="H60124" s="8"/>
      <c r="I60124" s="102"/>
      <c r="J60124" s="8"/>
      <c r="K60124" s="8"/>
      <c r="L60124" s="8"/>
      <c r="M60124" s="8"/>
      <c r="N60124" s="8"/>
      <c r="O60124" s="8"/>
      <c r="P60124" s="8"/>
      <c r="Q60124" s="8"/>
      <c r="R60124" s="103"/>
      <c r="S60124" s="8"/>
      <c r="T60124" s="8"/>
      <c r="U60124" s="8"/>
      <c r="V60124" s="8"/>
      <c r="W60124" s="8"/>
      <c r="X60124" s="8"/>
      <c r="Y60124" s="8"/>
      <c r="Z60124" s="8"/>
      <c r="AA60124" s="8"/>
    </row>
    <row r="60125" spans="1:27" x14ac:dyDescent="0.25">
      <c r="A60125" s="8"/>
      <c r="B60125" s="8"/>
      <c r="C60125" s="99"/>
      <c r="D60125" s="8"/>
      <c r="E60125" s="8"/>
      <c r="F60125" s="8"/>
      <c r="G60125" s="8"/>
      <c r="H60125" s="8"/>
      <c r="I60125" s="102"/>
      <c r="J60125" s="8"/>
      <c r="K60125" s="8"/>
      <c r="L60125" s="8"/>
      <c r="M60125" s="8"/>
      <c r="N60125" s="8"/>
      <c r="O60125" s="8"/>
      <c r="P60125" s="8"/>
      <c r="Q60125" s="8"/>
      <c r="R60125" s="103"/>
      <c r="S60125" s="8"/>
      <c r="T60125" s="8"/>
      <c r="U60125" s="8"/>
      <c r="V60125" s="8"/>
      <c r="W60125" s="8"/>
      <c r="X60125" s="8"/>
      <c r="Y60125" s="8"/>
      <c r="Z60125" s="8"/>
      <c r="AA60125" s="8"/>
    </row>
    <row r="60126" spans="1:27" x14ac:dyDescent="0.25">
      <c r="A60126" s="8"/>
      <c r="B60126" s="8"/>
      <c r="C60126" s="99"/>
      <c r="D60126" s="8"/>
      <c r="E60126" s="8"/>
      <c r="F60126" s="8"/>
      <c r="G60126" s="8"/>
      <c r="H60126" s="8"/>
      <c r="I60126" s="102"/>
      <c r="J60126" s="8"/>
      <c r="K60126" s="8"/>
      <c r="L60126" s="8"/>
      <c r="M60126" s="8"/>
      <c r="N60126" s="8"/>
      <c r="O60126" s="8"/>
      <c r="P60126" s="8"/>
      <c r="Q60126" s="8"/>
      <c r="R60126" s="103"/>
      <c r="S60126" s="8"/>
      <c r="T60126" s="8"/>
      <c r="U60126" s="8"/>
      <c r="V60126" s="8"/>
      <c r="W60126" s="8"/>
      <c r="X60126" s="8"/>
      <c r="Y60126" s="8"/>
      <c r="Z60126" s="8"/>
      <c r="AA60126" s="8"/>
    </row>
    <row r="60127" spans="1:27" x14ac:dyDescent="0.25">
      <c r="A60127" s="8"/>
      <c r="B60127" s="8"/>
      <c r="C60127" s="99"/>
      <c r="D60127" s="8"/>
      <c r="E60127" s="8"/>
      <c r="F60127" s="8"/>
      <c r="G60127" s="8"/>
      <c r="H60127" s="8"/>
      <c r="I60127" s="102"/>
      <c r="J60127" s="8"/>
      <c r="K60127" s="8"/>
      <c r="L60127" s="8"/>
      <c r="M60127" s="8"/>
      <c r="N60127" s="8"/>
      <c r="O60127" s="8"/>
      <c r="P60127" s="8"/>
      <c r="Q60127" s="8"/>
      <c r="R60127" s="103"/>
      <c r="S60127" s="8"/>
      <c r="T60127" s="8"/>
      <c r="U60127" s="8"/>
      <c r="V60127" s="8"/>
      <c r="W60127" s="8"/>
      <c r="X60127" s="8"/>
      <c r="Y60127" s="8"/>
      <c r="Z60127" s="8"/>
      <c r="AA60127" s="8"/>
    </row>
    <row r="60128" spans="1:27" x14ac:dyDescent="0.25">
      <c r="A60128" s="8"/>
      <c r="B60128" s="8"/>
      <c r="C60128" s="99"/>
      <c r="D60128" s="8"/>
      <c r="E60128" s="8"/>
      <c r="F60128" s="8"/>
      <c r="G60128" s="8"/>
      <c r="H60128" s="8"/>
      <c r="I60128" s="102"/>
      <c r="J60128" s="8"/>
      <c r="K60128" s="8"/>
      <c r="L60128" s="8"/>
      <c r="M60128" s="8"/>
      <c r="N60128" s="8"/>
      <c r="O60128" s="8"/>
      <c r="P60128" s="8"/>
      <c r="Q60128" s="8"/>
      <c r="R60128" s="103"/>
      <c r="S60128" s="8"/>
      <c r="T60128" s="8"/>
      <c r="U60128" s="8"/>
      <c r="V60128" s="8"/>
      <c r="W60128" s="8"/>
      <c r="X60128" s="8"/>
      <c r="Y60128" s="8"/>
      <c r="Z60128" s="8"/>
      <c r="AA60128" s="8"/>
    </row>
    <row r="60129" spans="1:27" x14ac:dyDescent="0.25">
      <c r="A60129" s="8"/>
      <c r="B60129" s="8"/>
      <c r="C60129" s="99"/>
      <c r="D60129" s="8"/>
      <c r="E60129" s="8"/>
      <c r="F60129" s="8"/>
      <c r="G60129" s="8"/>
      <c r="H60129" s="8"/>
      <c r="I60129" s="102"/>
      <c r="J60129" s="8"/>
      <c r="K60129" s="8"/>
      <c r="L60129" s="8"/>
      <c r="M60129" s="8"/>
      <c r="N60129" s="8"/>
      <c r="O60129" s="8"/>
      <c r="P60129" s="8"/>
      <c r="Q60129" s="8"/>
      <c r="R60129" s="103"/>
      <c r="S60129" s="8"/>
      <c r="T60129" s="8"/>
      <c r="U60129" s="8"/>
      <c r="V60129" s="8"/>
      <c r="W60129" s="8"/>
      <c r="X60129" s="8"/>
      <c r="Y60129" s="8"/>
      <c r="Z60129" s="8"/>
      <c r="AA60129" s="8"/>
    </row>
    <row r="60130" spans="1:27" x14ac:dyDescent="0.25">
      <c r="A60130" s="8"/>
      <c r="B60130" s="8"/>
      <c r="C60130" s="99"/>
      <c r="D60130" s="8"/>
      <c r="E60130" s="8"/>
      <c r="F60130" s="8"/>
      <c r="G60130" s="8"/>
      <c r="H60130" s="8"/>
      <c r="I60130" s="102"/>
      <c r="J60130" s="8"/>
      <c r="K60130" s="8"/>
      <c r="L60130" s="8"/>
      <c r="M60130" s="8"/>
      <c r="N60130" s="8"/>
      <c r="O60130" s="8"/>
      <c r="P60130" s="8"/>
      <c r="Q60130" s="8"/>
      <c r="R60130" s="103"/>
      <c r="S60130" s="8"/>
      <c r="T60130" s="8"/>
      <c r="U60130" s="8"/>
      <c r="V60130" s="8"/>
      <c r="W60130" s="8"/>
      <c r="X60130" s="8"/>
      <c r="Y60130" s="8"/>
      <c r="Z60130" s="8"/>
      <c r="AA60130" s="8"/>
    </row>
    <row r="60131" spans="1:27" x14ac:dyDescent="0.25">
      <c r="A60131" s="8"/>
      <c r="B60131" s="8"/>
      <c r="C60131" s="99"/>
      <c r="D60131" s="8"/>
      <c r="E60131" s="8"/>
      <c r="F60131" s="8"/>
      <c r="G60131" s="8"/>
      <c r="H60131" s="8"/>
      <c r="I60131" s="102"/>
      <c r="J60131" s="8"/>
      <c r="K60131" s="8"/>
      <c r="L60131" s="8"/>
      <c r="M60131" s="8"/>
      <c r="N60131" s="8"/>
      <c r="O60131" s="8"/>
      <c r="P60131" s="8"/>
      <c r="Q60131" s="8"/>
      <c r="R60131" s="103"/>
      <c r="S60131" s="8"/>
      <c r="T60131" s="8"/>
      <c r="U60131" s="8"/>
      <c r="V60131" s="8"/>
      <c r="W60131" s="8"/>
      <c r="X60131" s="8"/>
      <c r="Y60131" s="8"/>
      <c r="Z60131" s="8"/>
      <c r="AA60131" s="8"/>
    </row>
    <row r="60132" spans="1:27" x14ac:dyDescent="0.25">
      <c r="A60132" s="8"/>
      <c r="B60132" s="8"/>
      <c r="C60132" s="99"/>
      <c r="D60132" s="8"/>
      <c r="E60132" s="8"/>
      <c r="F60132" s="8"/>
      <c r="G60132" s="8"/>
      <c r="H60132" s="8"/>
      <c r="I60132" s="102"/>
      <c r="J60132" s="8"/>
      <c r="K60132" s="8"/>
      <c r="L60132" s="8"/>
      <c r="M60132" s="8"/>
      <c r="N60132" s="8"/>
      <c r="O60132" s="8"/>
      <c r="P60132" s="8"/>
      <c r="Q60132" s="8"/>
      <c r="R60132" s="103"/>
      <c r="S60132" s="8"/>
      <c r="T60132" s="8"/>
      <c r="U60132" s="8"/>
      <c r="V60132" s="8"/>
      <c r="W60132" s="8"/>
      <c r="X60132" s="8"/>
      <c r="Y60132" s="8"/>
      <c r="Z60132" s="8"/>
      <c r="AA60132" s="8"/>
    </row>
    <row r="60133" spans="1:27" x14ac:dyDescent="0.25">
      <c r="A60133" s="8"/>
      <c r="B60133" s="8"/>
      <c r="C60133" s="99"/>
      <c r="D60133" s="8"/>
      <c r="E60133" s="8"/>
      <c r="F60133" s="8"/>
      <c r="G60133" s="8"/>
      <c r="H60133" s="8"/>
      <c r="I60133" s="102"/>
      <c r="J60133" s="8"/>
      <c r="K60133" s="8"/>
      <c r="L60133" s="8"/>
      <c r="M60133" s="8"/>
      <c r="N60133" s="8"/>
      <c r="O60133" s="8"/>
      <c r="P60133" s="8"/>
      <c r="Q60133" s="8"/>
      <c r="R60133" s="103"/>
      <c r="S60133" s="8"/>
      <c r="T60133" s="8"/>
      <c r="U60133" s="8"/>
      <c r="V60133" s="8"/>
      <c r="W60133" s="8"/>
      <c r="X60133" s="8"/>
      <c r="Y60133" s="8"/>
      <c r="Z60133" s="8"/>
      <c r="AA60133" s="8"/>
    </row>
    <row r="60134" spans="1:27" x14ac:dyDescent="0.25">
      <c r="A60134" s="8"/>
      <c r="B60134" s="8"/>
      <c r="C60134" s="99"/>
      <c r="D60134" s="8"/>
      <c r="E60134" s="8"/>
      <c r="F60134" s="8"/>
      <c r="G60134" s="8"/>
      <c r="H60134" s="8"/>
      <c r="I60134" s="102"/>
      <c r="J60134" s="8"/>
      <c r="K60134" s="8"/>
      <c r="L60134" s="8"/>
      <c r="M60134" s="8"/>
      <c r="N60134" s="8"/>
      <c r="O60134" s="8"/>
      <c r="P60134" s="8"/>
      <c r="Q60134" s="8"/>
      <c r="R60134" s="103"/>
      <c r="S60134" s="8"/>
      <c r="T60134" s="8"/>
      <c r="U60134" s="8"/>
      <c r="V60134" s="8"/>
      <c r="W60134" s="8"/>
      <c r="X60134" s="8"/>
      <c r="Y60134" s="8"/>
      <c r="Z60134" s="8"/>
      <c r="AA60134" s="8"/>
    </row>
    <row r="60135" spans="1:27" x14ac:dyDescent="0.25">
      <c r="A60135" s="8"/>
      <c r="B60135" s="8"/>
      <c r="C60135" s="99"/>
      <c r="D60135" s="8"/>
      <c r="E60135" s="8"/>
      <c r="F60135" s="8"/>
      <c r="G60135" s="8"/>
      <c r="H60135" s="8"/>
      <c r="I60135" s="102"/>
      <c r="J60135" s="8"/>
      <c r="K60135" s="8"/>
      <c r="L60135" s="8"/>
      <c r="M60135" s="8"/>
      <c r="N60135" s="8"/>
      <c r="O60135" s="8"/>
      <c r="P60135" s="8"/>
      <c r="Q60135" s="8"/>
      <c r="R60135" s="103"/>
      <c r="S60135" s="8"/>
      <c r="T60135" s="8"/>
      <c r="U60135" s="8"/>
      <c r="V60135" s="8"/>
      <c r="W60135" s="8"/>
      <c r="X60135" s="8"/>
      <c r="Y60135" s="8"/>
      <c r="Z60135" s="8"/>
      <c r="AA60135" s="8"/>
    </row>
    <row r="60136" spans="1:27" x14ac:dyDescent="0.25">
      <c r="A60136" s="8"/>
      <c r="B60136" s="8"/>
      <c r="C60136" s="99"/>
      <c r="D60136" s="8"/>
      <c r="E60136" s="8"/>
      <c r="F60136" s="8"/>
      <c r="G60136" s="8"/>
      <c r="H60136" s="8"/>
      <c r="I60136" s="102"/>
      <c r="J60136" s="8"/>
      <c r="K60136" s="8"/>
      <c r="L60136" s="8"/>
      <c r="M60136" s="8"/>
      <c r="N60136" s="8"/>
      <c r="O60136" s="8"/>
      <c r="P60136" s="8"/>
      <c r="Q60136" s="8"/>
      <c r="R60136" s="103"/>
      <c r="S60136" s="8"/>
      <c r="T60136" s="8"/>
      <c r="U60136" s="8"/>
      <c r="V60136" s="8"/>
      <c r="W60136" s="8"/>
      <c r="X60136" s="8"/>
      <c r="Y60136" s="8"/>
      <c r="Z60136" s="8"/>
      <c r="AA60136" s="8"/>
    </row>
    <row r="60137" spans="1:27" x14ac:dyDescent="0.25">
      <c r="A60137" s="8"/>
      <c r="B60137" s="8"/>
      <c r="C60137" s="99"/>
      <c r="D60137" s="8"/>
      <c r="E60137" s="8"/>
      <c r="F60137" s="8"/>
      <c r="G60137" s="8"/>
      <c r="H60137" s="8"/>
      <c r="I60137" s="102"/>
      <c r="J60137" s="8"/>
      <c r="K60137" s="8"/>
      <c r="L60137" s="8"/>
      <c r="M60137" s="8"/>
      <c r="N60137" s="8"/>
      <c r="O60137" s="8"/>
      <c r="P60137" s="8"/>
      <c r="Q60137" s="8"/>
      <c r="R60137" s="103"/>
      <c r="S60137" s="8"/>
      <c r="T60137" s="8"/>
      <c r="U60137" s="8"/>
      <c r="V60137" s="8"/>
      <c r="W60137" s="8"/>
      <c r="X60137" s="8"/>
      <c r="Y60137" s="8"/>
      <c r="Z60137" s="8"/>
      <c r="AA60137" s="8"/>
    </row>
    <row r="60138" spans="1:27" x14ac:dyDescent="0.25">
      <c r="A60138" s="8"/>
      <c r="B60138" s="8"/>
      <c r="C60138" s="99"/>
      <c r="D60138" s="8"/>
      <c r="E60138" s="8"/>
      <c r="F60138" s="8"/>
      <c r="G60138" s="8"/>
      <c r="H60138" s="8"/>
      <c r="I60138" s="102"/>
      <c r="J60138" s="8"/>
      <c r="K60138" s="8"/>
      <c r="L60138" s="8"/>
      <c r="M60138" s="8"/>
      <c r="N60138" s="8"/>
      <c r="O60138" s="8"/>
      <c r="P60138" s="8"/>
      <c r="Q60138" s="8"/>
      <c r="R60138" s="103"/>
      <c r="S60138" s="8"/>
      <c r="T60138" s="8"/>
      <c r="U60138" s="8"/>
      <c r="V60138" s="8"/>
      <c r="W60138" s="8"/>
      <c r="X60138" s="8"/>
      <c r="Y60138" s="8"/>
      <c r="Z60138" s="8"/>
      <c r="AA60138" s="8"/>
    </row>
    <row r="60139" spans="1:27" x14ac:dyDescent="0.25">
      <c r="A60139" s="8"/>
      <c r="B60139" s="8"/>
      <c r="C60139" s="99"/>
      <c r="D60139" s="8"/>
      <c r="E60139" s="8"/>
      <c r="F60139" s="8"/>
      <c r="G60139" s="8"/>
      <c r="H60139" s="8"/>
      <c r="I60139" s="102"/>
      <c r="J60139" s="8"/>
      <c r="K60139" s="8"/>
      <c r="L60139" s="8"/>
      <c r="M60139" s="8"/>
      <c r="N60139" s="8"/>
      <c r="O60139" s="8"/>
      <c r="P60139" s="8"/>
      <c r="Q60139" s="8"/>
      <c r="R60139" s="103"/>
      <c r="S60139" s="8"/>
      <c r="T60139" s="8"/>
      <c r="U60139" s="8"/>
      <c r="V60139" s="8"/>
      <c r="W60139" s="8"/>
      <c r="X60139" s="8"/>
      <c r="Y60139" s="8"/>
      <c r="Z60139" s="8"/>
      <c r="AA60139" s="8"/>
    </row>
    <row r="60140" spans="1:27" x14ac:dyDescent="0.25">
      <c r="A60140" s="8"/>
      <c r="B60140" s="8"/>
      <c r="C60140" s="99"/>
      <c r="D60140" s="8"/>
      <c r="E60140" s="8"/>
      <c r="F60140" s="8"/>
      <c r="G60140" s="8"/>
      <c r="H60140" s="8"/>
      <c r="I60140" s="102"/>
      <c r="J60140" s="8"/>
      <c r="K60140" s="8"/>
      <c r="L60140" s="8"/>
      <c r="M60140" s="8"/>
      <c r="N60140" s="8"/>
      <c r="O60140" s="8"/>
      <c r="P60140" s="8"/>
      <c r="Q60140" s="8"/>
      <c r="R60140" s="103"/>
      <c r="S60140" s="8"/>
      <c r="T60140" s="8"/>
      <c r="U60140" s="8"/>
      <c r="V60140" s="8"/>
      <c r="W60140" s="8"/>
      <c r="X60140" s="8"/>
      <c r="Y60140" s="8"/>
      <c r="Z60140" s="8"/>
      <c r="AA60140" s="8"/>
    </row>
    <row r="60141" spans="1:27" x14ac:dyDescent="0.25">
      <c r="A60141" s="8"/>
      <c r="B60141" s="8"/>
      <c r="C60141" s="99"/>
      <c r="D60141" s="8"/>
      <c r="E60141" s="8"/>
      <c r="F60141" s="8"/>
      <c r="G60141" s="8"/>
      <c r="H60141" s="8"/>
      <c r="I60141" s="102"/>
      <c r="J60141" s="8"/>
      <c r="K60141" s="8"/>
      <c r="L60141" s="8"/>
      <c r="M60141" s="8"/>
      <c r="N60141" s="8"/>
      <c r="O60141" s="8"/>
      <c r="P60141" s="8"/>
      <c r="Q60141" s="8"/>
      <c r="R60141" s="103"/>
      <c r="S60141" s="8"/>
      <c r="T60141" s="8"/>
      <c r="U60141" s="8"/>
      <c r="V60141" s="8"/>
      <c r="W60141" s="8"/>
      <c r="X60141" s="8"/>
      <c r="Y60141" s="8"/>
      <c r="Z60141" s="8"/>
      <c r="AA60141" s="8"/>
    </row>
    <row r="60142" spans="1:27" x14ac:dyDescent="0.25">
      <c r="A60142" s="8"/>
      <c r="B60142" s="8"/>
      <c r="C60142" s="99"/>
      <c r="D60142" s="8"/>
      <c r="E60142" s="8"/>
      <c r="F60142" s="8"/>
      <c r="G60142" s="8"/>
      <c r="H60142" s="8"/>
      <c r="I60142" s="102"/>
      <c r="J60142" s="8"/>
      <c r="K60142" s="8"/>
      <c r="L60142" s="8"/>
      <c r="M60142" s="8"/>
      <c r="N60142" s="8"/>
      <c r="O60142" s="8"/>
      <c r="P60142" s="8"/>
      <c r="Q60142" s="8"/>
      <c r="R60142" s="103"/>
      <c r="S60142" s="8"/>
      <c r="T60142" s="8"/>
      <c r="U60142" s="8"/>
      <c r="V60142" s="8"/>
      <c r="W60142" s="8"/>
      <c r="X60142" s="8"/>
      <c r="Y60142" s="8"/>
      <c r="Z60142" s="8"/>
      <c r="AA60142" s="8"/>
    </row>
    <row r="60143" spans="1:27" x14ac:dyDescent="0.25">
      <c r="A60143" s="8"/>
      <c r="B60143" s="8"/>
      <c r="C60143" s="99"/>
      <c r="D60143" s="8"/>
      <c r="E60143" s="8"/>
      <c r="F60143" s="8"/>
      <c r="G60143" s="8"/>
      <c r="H60143" s="8"/>
      <c r="I60143" s="102"/>
      <c r="J60143" s="8"/>
      <c r="K60143" s="8"/>
      <c r="L60143" s="8"/>
      <c r="M60143" s="8"/>
      <c r="N60143" s="8"/>
      <c r="O60143" s="8"/>
      <c r="P60143" s="8"/>
      <c r="Q60143" s="8"/>
      <c r="R60143" s="103"/>
      <c r="S60143" s="8"/>
      <c r="T60143" s="8"/>
      <c r="U60143" s="8"/>
      <c r="V60143" s="8"/>
      <c r="W60143" s="8"/>
      <c r="X60143" s="8"/>
      <c r="Y60143" s="8"/>
      <c r="Z60143" s="8"/>
      <c r="AA60143" s="8"/>
    </row>
    <row r="60144" spans="1:27" x14ac:dyDescent="0.25">
      <c r="A60144" s="8"/>
      <c r="B60144" s="8"/>
      <c r="C60144" s="99"/>
      <c r="D60144" s="8"/>
      <c r="E60144" s="8"/>
      <c r="F60144" s="8"/>
      <c r="G60144" s="8"/>
      <c r="H60144" s="8"/>
      <c r="I60144" s="102"/>
      <c r="J60144" s="8"/>
      <c r="K60144" s="8"/>
      <c r="L60144" s="8"/>
      <c r="M60144" s="8"/>
      <c r="N60144" s="8"/>
      <c r="O60144" s="8"/>
      <c r="P60144" s="8"/>
      <c r="Q60144" s="8"/>
      <c r="R60144" s="103"/>
      <c r="S60144" s="8"/>
      <c r="T60144" s="8"/>
      <c r="U60144" s="8"/>
      <c r="V60144" s="8"/>
      <c r="W60144" s="8"/>
      <c r="X60144" s="8"/>
      <c r="Y60144" s="8"/>
      <c r="Z60144" s="8"/>
      <c r="AA60144" s="8"/>
    </row>
    <row r="60145" spans="1:27" x14ac:dyDescent="0.25">
      <c r="A60145" s="8"/>
      <c r="B60145" s="8"/>
      <c r="C60145" s="99"/>
      <c r="D60145" s="8"/>
      <c r="E60145" s="8"/>
      <c r="F60145" s="8"/>
      <c r="G60145" s="8"/>
      <c r="H60145" s="8"/>
      <c r="I60145" s="102"/>
      <c r="J60145" s="8"/>
      <c r="K60145" s="8"/>
      <c r="L60145" s="8"/>
      <c r="M60145" s="8"/>
      <c r="N60145" s="8"/>
      <c r="O60145" s="8"/>
      <c r="P60145" s="8"/>
      <c r="Q60145" s="8"/>
      <c r="R60145" s="103"/>
      <c r="S60145" s="8"/>
      <c r="T60145" s="8"/>
      <c r="U60145" s="8"/>
      <c r="V60145" s="8"/>
      <c r="W60145" s="8"/>
      <c r="X60145" s="8"/>
      <c r="Y60145" s="8"/>
      <c r="Z60145" s="8"/>
      <c r="AA60145" s="8"/>
    </row>
    <row r="60146" spans="1:27" x14ac:dyDescent="0.25">
      <c r="A60146" s="8"/>
      <c r="B60146" s="8"/>
      <c r="C60146" s="99"/>
      <c r="D60146" s="8"/>
      <c r="E60146" s="8"/>
      <c r="F60146" s="8"/>
      <c r="G60146" s="8"/>
      <c r="H60146" s="8"/>
      <c r="I60146" s="102"/>
      <c r="J60146" s="8"/>
      <c r="K60146" s="8"/>
      <c r="L60146" s="8"/>
      <c r="M60146" s="8"/>
      <c r="N60146" s="8"/>
      <c r="O60146" s="8"/>
      <c r="P60146" s="8"/>
      <c r="Q60146" s="8"/>
      <c r="R60146" s="103"/>
      <c r="S60146" s="8"/>
      <c r="T60146" s="8"/>
      <c r="U60146" s="8"/>
      <c r="V60146" s="8"/>
      <c r="W60146" s="8"/>
      <c r="X60146" s="8"/>
      <c r="Y60146" s="8"/>
      <c r="Z60146" s="8"/>
      <c r="AA60146" s="8"/>
    </row>
    <row r="60147" spans="1:27" x14ac:dyDescent="0.25">
      <c r="A60147" s="8"/>
      <c r="B60147" s="8"/>
      <c r="C60147" s="99"/>
      <c r="D60147" s="8"/>
      <c r="E60147" s="8"/>
      <c r="F60147" s="8"/>
      <c r="G60147" s="8"/>
      <c r="H60147" s="8"/>
      <c r="I60147" s="102"/>
      <c r="J60147" s="8"/>
      <c r="K60147" s="8"/>
      <c r="L60147" s="8"/>
      <c r="M60147" s="8"/>
      <c r="N60147" s="8"/>
      <c r="O60147" s="8"/>
      <c r="P60147" s="8"/>
      <c r="Q60147" s="8"/>
      <c r="R60147" s="103"/>
      <c r="S60147" s="8"/>
      <c r="T60147" s="8"/>
      <c r="U60147" s="8"/>
      <c r="V60147" s="8"/>
      <c r="W60147" s="8"/>
      <c r="X60147" s="8"/>
      <c r="Y60147" s="8"/>
      <c r="Z60147" s="8"/>
      <c r="AA60147" s="8"/>
    </row>
    <row r="60148" spans="1:27" x14ac:dyDescent="0.25">
      <c r="A60148" s="8"/>
      <c r="B60148" s="8"/>
      <c r="C60148" s="99"/>
      <c r="D60148" s="8"/>
      <c r="E60148" s="8"/>
      <c r="F60148" s="8"/>
      <c r="G60148" s="8"/>
      <c r="H60148" s="8"/>
      <c r="I60148" s="102"/>
      <c r="J60148" s="8"/>
      <c r="K60148" s="8"/>
      <c r="L60148" s="8"/>
      <c r="M60148" s="8"/>
      <c r="N60148" s="8"/>
      <c r="O60148" s="8"/>
      <c r="P60148" s="8"/>
      <c r="Q60148" s="8"/>
      <c r="R60148" s="103"/>
      <c r="S60148" s="8"/>
      <c r="T60148" s="8"/>
      <c r="U60148" s="8"/>
      <c r="V60148" s="8"/>
      <c r="W60148" s="8"/>
      <c r="X60148" s="8"/>
      <c r="Y60148" s="8"/>
      <c r="Z60148" s="8"/>
      <c r="AA60148" s="8"/>
    </row>
    <row r="60149" spans="1:27" x14ac:dyDescent="0.25">
      <c r="A60149" s="8"/>
      <c r="B60149" s="8"/>
      <c r="C60149" s="99"/>
      <c r="D60149" s="8"/>
      <c r="E60149" s="8"/>
      <c r="F60149" s="8"/>
      <c r="G60149" s="8"/>
      <c r="H60149" s="8"/>
      <c r="I60149" s="102"/>
      <c r="J60149" s="8"/>
      <c r="K60149" s="8"/>
      <c r="L60149" s="8"/>
      <c r="M60149" s="8"/>
      <c r="N60149" s="8"/>
      <c r="O60149" s="8"/>
      <c r="P60149" s="8"/>
      <c r="Q60149" s="8"/>
      <c r="R60149" s="103"/>
      <c r="S60149" s="8"/>
      <c r="T60149" s="8"/>
      <c r="U60149" s="8"/>
      <c r="V60149" s="8"/>
      <c r="W60149" s="8"/>
      <c r="X60149" s="8"/>
      <c r="Y60149" s="8"/>
      <c r="Z60149" s="8"/>
      <c r="AA60149" s="8"/>
    </row>
    <row r="60150" spans="1:27" x14ac:dyDescent="0.25">
      <c r="A60150" s="8"/>
      <c r="B60150" s="8"/>
      <c r="C60150" s="99"/>
      <c r="D60150" s="8"/>
      <c r="E60150" s="8"/>
      <c r="F60150" s="8"/>
      <c r="G60150" s="8"/>
      <c r="H60150" s="8"/>
      <c r="I60150" s="102"/>
      <c r="J60150" s="8"/>
      <c r="K60150" s="8"/>
      <c r="L60150" s="8"/>
      <c r="M60150" s="8"/>
      <c r="N60150" s="8"/>
      <c r="O60150" s="8"/>
      <c r="P60150" s="8"/>
      <c r="Q60150" s="8"/>
      <c r="R60150" s="103"/>
      <c r="S60150" s="8"/>
      <c r="T60150" s="8"/>
      <c r="U60150" s="8"/>
      <c r="V60150" s="8"/>
      <c r="W60150" s="8"/>
      <c r="X60150" s="8"/>
      <c r="Y60150" s="8"/>
      <c r="Z60150" s="8"/>
      <c r="AA60150" s="8"/>
    </row>
    <row r="60151" spans="1:27" x14ac:dyDescent="0.25">
      <c r="A60151" s="8"/>
      <c r="B60151" s="8"/>
      <c r="C60151" s="99"/>
      <c r="D60151" s="8"/>
      <c r="E60151" s="8"/>
      <c r="F60151" s="8"/>
      <c r="G60151" s="8"/>
      <c r="H60151" s="8"/>
      <c r="I60151" s="102"/>
      <c r="J60151" s="8"/>
      <c r="K60151" s="8"/>
      <c r="L60151" s="8"/>
      <c r="M60151" s="8"/>
      <c r="N60151" s="8"/>
      <c r="O60151" s="8"/>
      <c r="P60151" s="8"/>
      <c r="Q60151" s="8"/>
      <c r="R60151" s="103"/>
      <c r="S60151" s="8"/>
      <c r="T60151" s="8"/>
      <c r="U60151" s="8"/>
      <c r="V60151" s="8"/>
      <c r="W60151" s="8"/>
      <c r="X60151" s="8"/>
      <c r="Y60151" s="8"/>
      <c r="Z60151" s="8"/>
      <c r="AA60151" s="8"/>
    </row>
    <row r="60152" spans="1:27" x14ac:dyDescent="0.25">
      <c r="A60152" s="8"/>
      <c r="B60152" s="8"/>
      <c r="C60152" s="99"/>
      <c r="D60152" s="8"/>
      <c r="E60152" s="8"/>
      <c r="F60152" s="8"/>
      <c r="G60152" s="8"/>
      <c r="H60152" s="8"/>
      <c r="I60152" s="102"/>
      <c r="J60152" s="8"/>
      <c r="K60152" s="8"/>
      <c r="L60152" s="8"/>
      <c r="M60152" s="8"/>
      <c r="N60152" s="8"/>
      <c r="O60152" s="8"/>
      <c r="P60152" s="8"/>
      <c r="Q60152" s="8"/>
      <c r="R60152" s="103"/>
      <c r="S60152" s="8"/>
      <c r="T60152" s="8"/>
      <c r="U60152" s="8"/>
      <c r="V60152" s="8"/>
      <c r="W60152" s="8"/>
      <c r="X60152" s="8"/>
      <c r="Y60152" s="8"/>
      <c r="Z60152" s="8"/>
      <c r="AA60152" s="8"/>
    </row>
    <row r="60153" spans="1:27" x14ac:dyDescent="0.25">
      <c r="A60153" s="8"/>
      <c r="B60153" s="8"/>
      <c r="C60153" s="99"/>
      <c r="D60153" s="8"/>
      <c r="E60153" s="8"/>
      <c r="F60153" s="8"/>
      <c r="G60153" s="8"/>
      <c r="H60153" s="8"/>
      <c r="I60153" s="102"/>
      <c r="J60153" s="8"/>
      <c r="K60153" s="8"/>
      <c r="L60153" s="8"/>
      <c r="M60153" s="8"/>
      <c r="N60153" s="8"/>
      <c r="O60153" s="8"/>
      <c r="P60153" s="8"/>
      <c r="Q60153" s="8"/>
      <c r="R60153" s="103"/>
      <c r="S60153" s="8"/>
      <c r="T60153" s="8"/>
      <c r="U60153" s="8"/>
      <c r="V60153" s="8"/>
      <c r="W60153" s="8"/>
      <c r="X60153" s="8"/>
      <c r="Y60153" s="8"/>
      <c r="Z60153" s="8"/>
      <c r="AA60153" s="8"/>
    </row>
    <row r="60154" spans="1:27" x14ac:dyDescent="0.25">
      <c r="A60154" s="8"/>
      <c r="B60154" s="8"/>
      <c r="C60154" s="99"/>
      <c r="D60154" s="8"/>
      <c r="E60154" s="8"/>
      <c r="F60154" s="8"/>
      <c r="G60154" s="8"/>
      <c r="H60154" s="8"/>
      <c r="I60154" s="102"/>
      <c r="J60154" s="8"/>
      <c r="K60154" s="8"/>
      <c r="L60154" s="8"/>
      <c r="M60154" s="8"/>
      <c r="N60154" s="8"/>
      <c r="O60154" s="8"/>
      <c r="P60154" s="8"/>
      <c r="Q60154" s="8"/>
      <c r="R60154" s="103"/>
      <c r="S60154" s="8"/>
      <c r="T60154" s="8"/>
      <c r="U60154" s="8"/>
      <c r="V60154" s="8"/>
      <c r="W60154" s="8"/>
      <c r="X60154" s="8"/>
      <c r="Y60154" s="8"/>
      <c r="Z60154" s="8"/>
      <c r="AA60154" s="8"/>
    </row>
    <row r="60155" spans="1:27" x14ac:dyDescent="0.25">
      <c r="A60155" s="8"/>
      <c r="B60155" s="8"/>
      <c r="C60155" s="99"/>
      <c r="D60155" s="8"/>
      <c r="E60155" s="8"/>
      <c r="F60155" s="8"/>
      <c r="G60155" s="8"/>
      <c r="H60155" s="8"/>
      <c r="I60155" s="102"/>
      <c r="J60155" s="8"/>
      <c r="K60155" s="8"/>
      <c r="L60155" s="8"/>
      <c r="M60155" s="8"/>
      <c r="N60155" s="8"/>
      <c r="O60155" s="8"/>
      <c r="P60155" s="8"/>
      <c r="Q60155" s="8"/>
      <c r="R60155" s="103"/>
      <c r="S60155" s="8"/>
      <c r="T60155" s="8"/>
      <c r="U60155" s="8"/>
      <c r="V60155" s="8"/>
      <c r="W60155" s="8"/>
      <c r="X60155" s="8"/>
      <c r="Y60155" s="8"/>
      <c r="Z60155" s="8"/>
      <c r="AA60155" s="8"/>
    </row>
    <row r="60156" spans="1:27" x14ac:dyDescent="0.25">
      <c r="A60156" s="8"/>
      <c r="B60156" s="8"/>
      <c r="C60156" s="99"/>
      <c r="D60156" s="8"/>
      <c r="E60156" s="8"/>
      <c r="F60156" s="8"/>
      <c r="G60156" s="8"/>
      <c r="H60156" s="8"/>
      <c r="I60156" s="102"/>
      <c r="J60156" s="8"/>
      <c r="K60156" s="8"/>
      <c r="L60156" s="8"/>
      <c r="M60156" s="8"/>
      <c r="N60156" s="8"/>
      <c r="O60156" s="8"/>
      <c r="P60156" s="8"/>
      <c r="Q60156" s="8"/>
      <c r="R60156" s="103"/>
      <c r="S60156" s="8"/>
      <c r="T60156" s="8"/>
      <c r="U60156" s="8"/>
      <c r="V60156" s="8"/>
      <c r="W60156" s="8"/>
      <c r="X60156" s="8"/>
      <c r="Y60156" s="8"/>
      <c r="Z60156" s="8"/>
      <c r="AA60156" s="8"/>
    </row>
    <row r="60157" spans="1:27" x14ac:dyDescent="0.25">
      <c r="A60157" s="8"/>
      <c r="B60157" s="8"/>
      <c r="C60157" s="99"/>
      <c r="D60157" s="8"/>
      <c r="E60157" s="8"/>
      <c r="F60157" s="8"/>
      <c r="G60157" s="8"/>
      <c r="H60157" s="8"/>
      <c r="I60157" s="102"/>
      <c r="J60157" s="8"/>
      <c r="K60157" s="8"/>
      <c r="L60157" s="8"/>
      <c r="M60157" s="8"/>
      <c r="N60157" s="8"/>
      <c r="O60157" s="8"/>
      <c r="P60157" s="8"/>
      <c r="Q60157" s="8"/>
      <c r="R60157" s="103"/>
      <c r="S60157" s="8"/>
      <c r="T60157" s="8"/>
      <c r="U60157" s="8"/>
      <c r="V60157" s="8"/>
      <c r="W60157" s="8"/>
      <c r="X60157" s="8"/>
      <c r="Y60157" s="8"/>
      <c r="Z60157" s="8"/>
      <c r="AA60157" s="8"/>
    </row>
    <row r="60158" spans="1:27" x14ac:dyDescent="0.25">
      <c r="A60158" s="8"/>
      <c r="B60158" s="8"/>
      <c r="C60158" s="99"/>
      <c r="D60158" s="8"/>
      <c r="E60158" s="8"/>
      <c r="F60158" s="8"/>
      <c r="G60158" s="8"/>
      <c r="H60158" s="8"/>
      <c r="I60158" s="102"/>
      <c r="J60158" s="8"/>
      <c r="K60158" s="8"/>
      <c r="L60158" s="8"/>
      <c r="M60158" s="8"/>
      <c r="N60158" s="8"/>
      <c r="O60158" s="8"/>
      <c r="P60158" s="8"/>
      <c r="Q60158" s="8"/>
      <c r="R60158" s="103"/>
      <c r="S60158" s="8"/>
      <c r="T60158" s="8"/>
      <c r="U60158" s="8"/>
      <c r="V60158" s="8"/>
      <c r="W60158" s="8"/>
      <c r="X60158" s="8"/>
      <c r="Y60158" s="8"/>
      <c r="Z60158" s="8"/>
      <c r="AA60158" s="8"/>
    </row>
    <row r="60159" spans="1:27" x14ac:dyDescent="0.25">
      <c r="A60159" s="8"/>
      <c r="B60159" s="8"/>
      <c r="C60159" s="99"/>
      <c r="D60159" s="8"/>
      <c r="E60159" s="8"/>
      <c r="F60159" s="8"/>
      <c r="G60159" s="8"/>
      <c r="H60159" s="8"/>
      <c r="I60159" s="102"/>
      <c r="J60159" s="8"/>
      <c r="K60159" s="8"/>
      <c r="L60159" s="8"/>
      <c r="M60159" s="8"/>
      <c r="N60159" s="8"/>
      <c r="O60159" s="8"/>
      <c r="P60159" s="8"/>
      <c r="Q60159" s="8"/>
      <c r="R60159" s="103"/>
      <c r="S60159" s="8"/>
      <c r="T60159" s="8"/>
      <c r="U60159" s="8"/>
      <c r="V60159" s="8"/>
      <c r="W60159" s="8"/>
      <c r="X60159" s="8"/>
      <c r="Y60159" s="8"/>
      <c r="Z60159" s="8"/>
      <c r="AA60159" s="8"/>
    </row>
    <row r="60160" spans="1:27" x14ac:dyDescent="0.25">
      <c r="A60160" s="8"/>
      <c r="B60160" s="8"/>
      <c r="C60160" s="99"/>
      <c r="D60160" s="8"/>
      <c r="E60160" s="8"/>
      <c r="F60160" s="8"/>
      <c r="G60160" s="8"/>
      <c r="H60160" s="8"/>
      <c r="I60160" s="102"/>
      <c r="J60160" s="8"/>
      <c r="K60160" s="8"/>
      <c r="L60160" s="8"/>
      <c r="M60160" s="8"/>
      <c r="N60160" s="8"/>
      <c r="O60160" s="8"/>
      <c r="P60160" s="8"/>
      <c r="Q60160" s="8"/>
      <c r="R60160" s="103"/>
      <c r="S60160" s="8"/>
      <c r="T60160" s="8"/>
      <c r="U60160" s="8"/>
      <c r="V60160" s="8"/>
      <c r="W60160" s="8"/>
      <c r="X60160" s="8"/>
      <c r="Y60160" s="8"/>
      <c r="Z60160" s="8"/>
      <c r="AA60160" s="8"/>
    </row>
    <row r="60161" spans="1:27" x14ac:dyDescent="0.25">
      <c r="A60161" s="8"/>
      <c r="B60161" s="8"/>
      <c r="C60161" s="99"/>
      <c r="D60161" s="8"/>
      <c r="E60161" s="8"/>
      <c r="F60161" s="8"/>
      <c r="G60161" s="8"/>
      <c r="H60161" s="8"/>
      <c r="I60161" s="102"/>
      <c r="J60161" s="8"/>
      <c r="K60161" s="8"/>
      <c r="L60161" s="8"/>
      <c r="M60161" s="8"/>
      <c r="N60161" s="8"/>
      <c r="O60161" s="8"/>
      <c r="P60161" s="8"/>
      <c r="Q60161" s="8"/>
      <c r="R60161" s="103"/>
      <c r="S60161" s="8"/>
      <c r="T60161" s="8"/>
      <c r="U60161" s="8"/>
      <c r="V60161" s="8"/>
      <c r="W60161" s="8"/>
      <c r="X60161" s="8"/>
      <c r="Y60161" s="8"/>
      <c r="Z60161" s="8"/>
      <c r="AA60161" s="8"/>
    </row>
    <row r="60162" spans="1:27" x14ac:dyDescent="0.25">
      <c r="A60162" s="8"/>
      <c r="B60162" s="8"/>
      <c r="C60162" s="99"/>
      <c r="D60162" s="8"/>
      <c r="E60162" s="8"/>
      <c r="F60162" s="8"/>
      <c r="G60162" s="8"/>
      <c r="H60162" s="8"/>
      <c r="I60162" s="102"/>
      <c r="J60162" s="8"/>
      <c r="K60162" s="8"/>
      <c r="L60162" s="8"/>
      <c r="M60162" s="8"/>
      <c r="N60162" s="8"/>
      <c r="O60162" s="8"/>
      <c r="P60162" s="8"/>
      <c r="Q60162" s="8"/>
      <c r="R60162" s="103"/>
      <c r="S60162" s="8"/>
      <c r="T60162" s="8"/>
      <c r="U60162" s="8"/>
      <c r="V60162" s="8"/>
      <c r="W60162" s="8"/>
      <c r="X60162" s="8"/>
      <c r="Y60162" s="8"/>
      <c r="Z60162" s="8"/>
      <c r="AA60162" s="8"/>
    </row>
    <row r="60163" spans="1:27" x14ac:dyDescent="0.25">
      <c r="A60163" s="8"/>
      <c r="B60163" s="8"/>
      <c r="C60163" s="99"/>
      <c r="D60163" s="8"/>
      <c r="E60163" s="8"/>
      <c r="F60163" s="8"/>
      <c r="G60163" s="8"/>
      <c r="H60163" s="8"/>
      <c r="I60163" s="102"/>
      <c r="J60163" s="8"/>
      <c r="K60163" s="8"/>
      <c r="L60163" s="8"/>
      <c r="M60163" s="8"/>
      <c r="N60163" s="8"/>
      <c r="O60163" s="8"/>
      <c r="P60163" s="8"/>
      <c r="Q60163" s="8"/>
      <c r="R60163" s="103"/>
      <c r="S60163" s="8"/>
      <c r="T60163" s="8"/>
      <c r="U60163" s="8"/>
      <c r="V60163" s="8"/>
      <c r="W60163" s="8"/>
      <c r="X60163" s="8"/>
      <c r="Y60163" s="8"/>
      <c r="Z60163" s="8"/>
      <c r="AA60163" s="8"/>
    </row>
    <row r="60164" spans="1:27" x14ac:dyDescent="0.25">
      <c r="A60164" s="8"/>
      <c r="B60164" s="8"/>
      <c r="C60164" s="99"/>
      <c r="D60164" s="8"/>
      <c r="E60164" s="8"/>
      <c r="F60164" s="8"/>
      <c r="G60164" s="8"/>
      <c r="H60164" s="8"/>
      <c r="I60164" s="102"/>
      <c r="J60164" s="8"/>
      <c r="K60164" s="8"/>
      <c r="L60164" s="8"/>
      <c r="M60164" s="8"/>
      <c r="N60164" s="8"/>
      <c r="O60164" s="8"/>
      <c r="P60164" s="8"/>
      <c r="Q60164" s="8"/>
      <c r="R60164" s="103"/>
      <c r="S60164" s="8"/>
      <c r="T60164" s="8"/>
      <c r="U60164" s="8"/>
      <c r="V60164" s="8"/>
      <c r="W60164" s="8"/>
      <c r="X60164" s="8"/>
      <c r="Y60164" s="8"/>
      <c r="Z60164" s="8"/>
      <c r="AA60164" s="8"/>
    </row>
    <row r="60165" spans="1:27" x14ac:dyDescent="0.25">
      <c r="A60165" s="8"/>
      <c r="B60165" s="8"/>
      <c r="C60165" s="99"/>
      <c r="D60165" s="8"/>
      <c r="E60165" s="8"/>
      <c r="F60165" s="8"/>
      <c r="G60165" s="8"/>
      <c r="H60165" s="8"/>
      <c r="I60165" s="102"/>
      <c r="J60165" s="8"/>
      <c r="K60165" s="8"/>
      <c r="L60165" s="8"/>
      <c r="M60165" s="8"/>
      <c r="N60165" s="8"/>
      <c r="O60165" s="8"/>
      <c r="P60165" s="8"/>
      <c r="Q60165" s="8"/>
      <c r="R60165" s="103"/>
      <c r="S60165" s="8"/>
      <c r="T60165" s="8"/>
      <c r="U60165" s="8"/>
      <c r="V60165" s="8"/>
      <c r="W60165" s="8"/>
      <c r="X60165" s="8"/>
      <c r="Y60165" s="8"/>
      <c r="Z60165" s="8"/>
      <c r="AA60165" s="8"/>
    </row>
    <row r="60166" spans="1:27" x14ac:dyDescent="0.25">
      <c r="A60166" s="8"/>
      <c r="B60166" s="8"/>
      <c r="C60166" s="99"/>
      <c r="D60166" s="8"/>
      <c r="E60166" s="8"/>
      <c r="F60166" s="8"/>
      <c r="G60166" s="8"/>
      <c r="H60166" s="8"/>
      <c r="I60166" s="102"/>
      <c r="J60166" s="8"/>
      <c r="K60166" s="8"/>
      <c r="L60166" s="8"/>
      <c r="M60166" s="8"/>
      <c r="N60166" s="8"/>
      <c r="O60166" s="8"/>
      <c r="P60166" s="8"/>
      <c r="Q60166" s="8"/>
      <c r="R60166" s="103"/>
      <c r="S60166" s="8"/>
      <c r="T60166" s="8"/>
      <c r="U60166" s="8"/>
      <c r="V60166" s="8"/>
      <c r="W60166" s="8"/>
      <c r="X60166" s="8"/>
      <c r="Y60166" s="8"/>
      <c r="Z60166" s="8"/>
      <c r="AA60166" s="8"/>
    </row>
    <row r="60167" spans="1:27" x14ac:dyDescent="0.25">
      <c r="A60167" s="8"/>
      <c r="B60167" s="8"/>
      <c r="C60167" s="99"/>
      <c r="D60167" s="8"/>
      <c r="E60167" s="8"/>
      <c r="F60167" s="8"/>
      <c r="G60167" s="8"/>
      <c r="H60167" s="8"/>
      <c r="I60167" s="102"/>
      <c r="J60167" s="8"/>
      <c r="K60167" s="8"/>
      <c r="L60167" s="8"/>
      <c r="M60167" s="8"/>
      <c r="N60167" s="8"/>
      <c r="O60167" s="8"/>
      <c r="P60167" s="8"/>
      <c r="Q60167" s="8"/>
      <c r="R60167" s="103"/>
      <c r="S60167" s="8"/>
      <c r="T60167" s="8"/>
      <c r="U60167" s="8"/>
      <c r="V60167" s="8"/>
      <c r="W60167" s="8"/>
      <c r="X60167" s="8"/>
      <c r="Y60167" s="8"/>
      <c r="Z60167" s="8"/>
      <c r="AA60167" s="8"/>
    </row>
    <row r="60168" spans="1:27" x14ac:dyDescent="0.25">
      <c r="A60168" s="8"/>
      <c r="B60168" s="8"/>
      <c r="C60168" s="99"/>
      <c r="D60168" s="8"/>
      <c r="E60168" s="8"/>
      <c r="F60168" s="8"/>
      <c r="G60168" s="8"/>
      <c r="H60168" s="8"/>
      <c r="I60168" s="102"/>
      <c r="J60168" s="8"/>
      <c r="K60168" s="8"/>
      <c r="L60168" s="8"/>
      <c r="M60168" s="8"/>
      <c r="N60168" s="8"/>
      <c r="O60168" s="8"/>
      <c r="P60168" s="8"/>
      <c r="Q60168" s="8"/>
      <c r="R60168" s="103"/>
      <c r="S60168" s="8"/>
      <c r="T60168" s="8"/>
      <c r="U60168" s="8"/>
      <c r="V60168" s="8"/>
      <c r="W60168" s="8"/>
      <c r="X60168" s="8"/>
      <c r="Y60168" s="8"/>
      <c r="Z60168" s="8"/>
      <c r="AA60168" s="8"/>
    </row>
    <row r="60169" spans="1:27" x14ac:dyDescent="0.25">
      <c r="A60169" s="8"/>
      <c r="B60169" s="8"/>
      <c r="C60169" s="99"/>
      <c r="D60169" s="8"/>
      <c r="E60169" s="8"/>
      <c r="F60169" s="8"/>
      <c r="G60169" s="8"/>
      <c r="H60169" s="8"/>
      <c r="I60169" s="102"/>
      <c r="J60169" s="8"/>
      <c r="K60169" s="8"/>
      <c r="L60169" s="8"/>
      <c r="M60169" s="8"/>
      <c r="N60169" s="8"/>
      <c r="O60169" s="8"/>
      <c r="P60169" s="8"/>
      <c r="Q60169" s="8"/>
      <c r="R60169" s="103"/>
      <c r="S60169" s="8"/>
      <c r="T60169" s="8"/>
      <c r="U60169" s="8"/>
      <c r="V60169" s="8"/>
      <c r="W60169" s="8"/>
      <c r="X60169" s="8"/>
      <c r="Y60169" s="8"/>
      <c r="Z60169" s="8"/>
      <c r="AA60169" s="8"/>
    </row>
    <row r="60170" spans="1:27" x14ac:dyDescent="0.25">
      <c r="A60170" s="8"/>
      <c r="B60170" s="8"/>
      <c r="C60170" s="99"/>
      <c r="D60170" s="8"/>
      <c r="E60170" s="8"/>
      <c r="F60170" s="8"/>
      <c r="G60170" s="8"/>
      <c r="H60170" s="8"/>
      <c r="I60170" s="102"/>
      <c r="J60170" s="8"/>
      <c r="K60170" s="8"/>
      <c r="L60170" s="8"/>
      <c r="M60170" s="8"/>
      <c r="N60170" s="8"/>
      <c r="O60170" s="8"/>
      <c r="P60170" s="8"/>
      <c r="Q60170" s="8"/>
      <c r="R60170" s="103"/>
      <c r="S60170" s="8"/>
      <c r="T60170" s="8"/>
      <c r="U60170" s="8"/>
      <c r="V60170" s="8"/>
      <c r="W60170" s="8"/>
      <c r="X60170" s="8"/>
      <c r="Y60170" s="8"/>
      <c r="Z60170" s="8"/>
      <c r="AA60170" s="8"/>
    </row>
    <row r="60171" spans="1:27" x14ac:dyDescent="0.25">
      <c r="A60171" s="8"/>
      <c r="B60171" s="8"/>
      <c r="C60171" s="99"/>
      <c r="D60171" s="8"/>
      <c r="E60171" s="8"/>
      <c r="F60171" s="8"/>
      <c r="G60171" s="8"/>
      <c r="H60171" s="8"/>
      <c r="I60171" s="102"/>
      <c r="J60171" s="8"/>
      <c r="K60171" s="8"/>
      <c r="L60171" s="8"/>
      <c r="M60171" s="8"/>
      <c r="N60171" s="8"/>
      <c r="O60171" s="8"/>
      <c r="P60171" s="8"/>
      <c r="Q60171" s="8"/>
      <c r="R60171" s="103"/>
      <c r="S60171" s="8"/>
      <c r="T60171" s="8"/>
      <c r="U60171" s="8"/>
      <c r="V60171" s="8"/>
      <c r="W60171" s="8"/>
      <c r="X60171" s="8"/>
      <c r="Y60171" s="8"/>
      <c r="Z60171" s="8"/>
      <c r="AA60171" s="8"/>
    </row>
    <row r="60172" spans="1:27" x14ac:dyDescent="0.25">
      <c r="A60172" s="8"/>
      <c r="B60172" s="8"/>
      <c r="C60172" s="99"/>
      <c r="D60172" s="8"/>
      <c r="E60172" s="8"/>
      <c r="F60172" s="8"/>
      <c r="G60172" s="8"/>
      <c r="H60172" s="8"/>
      <c r="I60172" s="102"/>
      <c r="J60172" s="8"/>
      <c r="K60172" s="8"/>
      <c r="L60172" s="8"/>
      <c r="M60172" s="8"/>
      <c r="N60172" s="8"/>
      <c r="O60172" s="8"/>
      <c r="P60172" s="8"/>
      <c r="Q60172" s="8"/>
      <c r="R60172" s="103"/>
      <c r="S60172" s="8"/>
      <c r="T60172" s="8"/>
      <c r="U60172" s="8"/>
      <c r="V60172" s="8"/>
      <c r="W60172" s="8"/>
      <c r="X60172" s="8"/>
      <c r="Y60172" s="8"/>
      <c r="Z60172" s="8"/>
      <c r="AA60172" s="8"/>
    </row>
    <row r="60173" spans="1:27" x14ac:dyDescent="0.25">
      <c r="A60173" s="8"/>
      <c r="B60173" s="8"/>
      <c r="C60173" s="99"/>
      <c r="D60173" s="8"/>
      <c r="E60173" s="8"/>
      <c r="F60173" s="8"/>
      <c r="G60173" s="8"/>
      <c r="H60173" s="8"/>
      <c r="I60173" s="102"/>
      <c r="J60173" s="8"/>
      <c r="K60173" s="8"/>
      <c r="L60173" s="8"/>
      <c r="M60173" s="8"/>
      <c r="N60173" s="8"/>
      <c r="O60173" s="8"/>
      <c r="P60173" s="8"/>
      <c r="Q60173" s="8"/>
      <c r="R60173" s="103"/>
      <c r="S60173" s="8"/>
      <c r="T60173" s="8"/>
      <c r="U60173" s="8"/>
      <c r="V60173" s="8"/>
      <c r="W60173" s="8"/>
      <c r="X60173" s="8"/>
      <c r="Y60173" s="8"/>
      <c r="Z60173" s="8"/>
      <c r="AA60173" s="8"/>
    </row>
    <row r="60174" spans="1:27" x14ac:dyDescent="0.25">
      <c r="A60174" s="8"/>
      <c r="B60174" s="8"/>
      <c r="C60174" s="99"/>
      <c r="D60174" s="8"/>
      <c r="E60174" s="8"/>
      <c r="F60174" s="8"/>
      <c r="G60174" s="8"/>
      <c r="H60174" s="8"/>
      <c r="I60174" s="102"/>
      <c r="J60174" s="8"/>
      <c r="K60174" s="8"/>
      <c r="L60174" s="8"/>
      <c r="M60174" s="8"/>
      <c r="N60174" s="8"/>
      <c r="O60174" s="8"/>
      <c r="P60174" s="8"/>
      <c r="Q60174" s="8"/>
      <c r="R60174" s="103"/>
      <c r="S60174" s="8"/>
      <c r="T60174" s="8"/>
      <c r="U60174" s="8"/>
      <c r="V60174" s="8"/>
      <c r="W60174" s="8"/>
      <c r="X60174" s="8"/>
      <c r="Y60174" s="8"/>
      <c r="Z60174" s="8"/>
      <c r="AA60174" s="8"/>
    </row>
    <row r="60175" spans="1:27" x14ac:dyDescent="0.25">
      <c r="A60175" s="8"/>
      <c r="B60175" s="8"/>
      <c r="C60175" s="99"/>
      <c r="D60175" s="8"/>
      <c r="E60175" s="8"/>
      <c r="F60175" s="8"/>
      <c r="G60175" s="8"/>
      <c r="H60175" s="8"/>
      <c r="I60175" s="102"/>
      <c r="J60175" s="8"/>
      <c r="K60175" s="8"/>
      <c r="L60175" s="8"/>
      <c r="M60175" s="8"/>
      <c r="N60175" s="8"/>
      <c r="O60175" s="8"/>
      <c r="P60175" s="8"/>
      <c r="Q60175" s="8"/>
      <c r="R60175" s="103"/>
      <c r="S60175" s="8"/>
      <c r="T60175" s="8"/>
      <c r="U60175" s="8"/>
      <c r="V60175" s="8"/>
      <c r="W60175" s="8"/>
      <c r="X60175" s="8"/>
      <c r="Y60175" s="8"/>
      <c r="Z60175" s="8"/>
      <c r="AA60175" s="8"/>
    </row>
    <row r="60176" spans="1:27" x14ac:dyDescent="0.25">
      <c r="A60176" s="8"/>
      <c r="B60176" s="8"/>
      <c r="C60176" s="99"/>
      <c r="D60176" s="8"/>
      <c r="E60176" s="8"/>
      <c r="F60176" s="8"/>
      <c r="G60176" s="8"/>
      <c r="H60176" s="8"/>
      <c r="I60176" s="102"/>
      <c r="J60176" s="8"/>
      <c r="K60176" s="8"/>
      <c r="L60176" s="8"/>
      <c r="M60176" s="8"/>
      <c r="N60176" s="8"/>
      <c r="O60176" s="8"/>
      <c r="P60176" s="8"/>
      <c r="Q60176" s="8"/>
      <c r="R60176" s="103"/>
      <c r="S60176" s="8"/>
      <c r="T60176" s="8"/>
      <c r="U60176" s="8"/>
      <c r="V60176" s="8"/>
      <c r="W60176" s="8"/>
      <c r="X60176" s="8"/>
      <c r="Y60176" s="8"/>
      <c r="Z60176" s="8"/>
      <c r="AA60176" s="8"/>
    </row>
    <row r="60177" spans="1:27" x14ac:dyDescent="0.25">
      <c r="A60177" s="8"/>
      <c r="B60177" s="8"/>
      <c r="C60177" s="99"/>
      <c r="D60177" s="8"/>
      <c r="E60177" s="8"/>
      <c r="F60177" s="8"/>
      <c r="G60177" s="8"/>
      <c r="H60177" s="8"/>
      <c r="I60177" s="102"/>
      <c r="J60177" s="8"/>
      <c r="K60177" s="8"/>
      <c r="L60177" s="8"/>
      <c r="M60177" s="8"/>
      <c r="N60177" s="8"/>
      <c r="O60177" s="8"/>
      <c r="P60177" s="8"/>
      <c r="Q60177" s="8"/>
      <c r="R60177" s="103"/>
      <c r="S60177" s="8"/>
      <c r="T60177" s="8"/>
      <c r="U60177" s="8"/>
      <c r="V60177" s="8"/>
      <c r="W60177" s="8"/>
      <c r="X60177" s="8"/>
      <c r="Y60177" s="8"/>
      <c r="Z60177" s="8"/>
      <c r="AA60177" s="8"/>
    </row>
    <row r="60178" spans="1:27" x14ac:dyDescent="0.25">
      <c r="A60178" s="8"/>
      <c r="B60178" s="8"/>
      <c r="C60178" s="99"/>
      <c r="D60178" s="8"/>
      <c r="E60178" s="8"/>
      <c r="F60178" s="8"/>
      <c r="G60178" s="8"/>
      <c r="H60178" s="8"/>
      <c r="I60178" s="102"/>
      <c r="J60178" s="8"/>
      <c r="K60178" s="8"/>
      <c r="L60178" s="8"/>
      <c r="M60178" s="8"/>
      <c r="N60178" s="8"/>
      <c r="O60178" s="8"/>
      <c r="P60178" s="8"/>
      <c r="Q60178" s="8"/>
      <c r="R60178" s="103"/>
      <c r="S60178" s="8"/>
      <c r="T60178" s="8"/>
      <c r="U60178" s="8"/>
      <c r="V60178" s="8"/>
      <c r="W60178" s="8"/>
      <c r="X60178" s="8"/>
      <c r="Y60178" s="8"/>
      <c r="Z60178" s="8"/>
      <c r="AA60178" s="8"/>
    </row>
    <row r="60179" spans="1:27" x14ac:dyDescent="0.25">
      <c r="A60179" s="8"/>
      <c r="B60179" s="8"/>
      <c r="C60179" s="99"/>
      <c r="D60179" s="8"/>
      <c r="E60179" s="8"/>
      <c r="F60179" s="8"/>
      <c r="G60179" s="8"/>
      <c r="H60179" s="8"/>
      <c r="I60179" s="102"/>
      <c r="J60179" s="8"/>
      <c r="K60179" s="8"/>
      <c r="L60179" s="8"/>
      <c r="M60179" s="8"/>
      <c r="N60179" s="8"/>
      <c r="O60179" s="8"/>
      <c r="P60179" s="8"/>
      <c r="Q60179" s="8"/>
      <c r="R60179" s="103"/>
      <c r="S60179" s="8"/>
      <c r="T60179" s="8"/>
      <c r="U60179" s="8"/>
      <c r="V60179" s="8"/>
      <c r="W60179" s="8"/>
      <c r="X60179" s="8"/>
      <c r="Y60179" s="8"/>
      <c r="Z60179" s="8"/>
      <c r="AA60179" s="8"/>
    </row>
    <row r="60180" spans="1:27" x14ac:dyDescent="0.25">
      <c r="A60180" s="8"/>
      <c r="B60180" s="8"/>
      <c r="C60180" s="99"/>
      <c r="D60180" s="8"/>
      <c r="E60180" s="8"/>
      <c r="F60180" s="8"/>
      <c r="G60180" s="8"/>
      <c r="H60180" s="8"/>
      <c r="I60180" s="102"/>
      <c r="J60180" s="8"/>
      <c r="K60180" s="8"/>
      <c r="L60180" s="8"/>
      <c r="M60180" s="8"/>
      <c r="N60180" s="8"/>
      <c r="O60180" s="8"/>
      <c r="P60180" s="8"/>
      <c r="Q60180" s="8"/>
      <c r="R60180" s="103"/>
      <c r="S60180" s="8"/>
      <c r="T60180" s="8"/>
      <c r="U60180" s="8"/>
      <c r="V60180" s="8"/>
      <c r="W60180" s="8"/>
      <c r="X60180" s="8"/>
      <c r="Y60180" s="8"/>
      <c r="Z60180" s="8"/>
      <c r="AA60180" s="8"/>
    </row>
    <row r="60181" spans="1:27" x14ac:dyDescent="0.25">
      <c r="A60181" s="8"/>
      <c r="B60181" s="8"/>
      <c r="C60181" s="99"/>
      <c r="D60181" s="8"/>
      <c r="E60181" s="8"/>
      <c r="F60181" s="8"/>
      <c r="G60181" s="8"/>
      <c r="H60181" s="8"/>
      <c r="I60181" s="102"/>
      <c r="J60181" s="8"/>
      <c r="K60181" s="8"/>
      <c r="L60181" s="8"/>
      <c r="M60181" s="8"/>
      <c r="N60181" s="8"/>
      <c r="O60181" s="8"/>
      <c r="P60181" s="8"/>
      <c r="Q60181" s="8"/>
      <c r="R60181" s="103"/>
      <c r="S60181" s="8"/>
      <c r="T60181" s="8"/>
      <c r="U60181" s="8"/>
      <c r="V60181" s="8"/>
      <c r="W60181" s="8"/>
      <c r="X60181" s="8"/>
      <c r="Y60181" s="8"/>
      <c r="Z60181" s="8"/>
      <c r="AA60181" s="8"/>
    </row>
    <row r="60182" spans="1:27" x14ac:dyDescent="0.25">
      <c r="A60182" s="8"/>
      <c r="B60182" s="8"/>
      <c r="C60182" s="99"/>
      <c r="D60182" s="8"/>
      <c r="E60182" s="8"/>
      <c r="F60182" s="8"/>
      <c r="G60182" s="8"/>
      <c r="H60182" s="8"/>
      <c r="I60182" s="102"/>
      <c r="J60182" s="8"/>
      <c r="K60182" s="8"/>
      <c r="L60182" s="8"/>
      <c r="M60182" s="8"/>
      <c r="N60182" s="8"/>
      <c r="O60182" s="8"/>
      <c r="P60182" s="8"/>
      <c r="Q60182" s="8"/>
      <c r="R60182" s="103"/>
      <c r="S60182" s="8"/>
      <c r="T60182" s="8"/>
      <c r="U60182" s="8"/>
      <c r="V60182" s="8"/>
      <c r="W60182" s="8"/>
      <c r="X60182" s="8"/>
      <c r="Y60182" s="8"/>
      <c r="Z60182" s="8"/>
      <c r="AA60182" s="8"/>
    </row>
    <row r="60183" spans="1:27" x14ac:dyDescent="0.25">
      <c r="A60183" s="8"/>
      <c r="B60183" s="8"/>
      <c r="C60183" s="99"/>
      <c r="D60183" s="8"/>
      <c r="E60183" s="8"/>
      <c r="F60183" s="8"/>
      <c r="G60183" s="8"/>
      <c r="H60183" s="8"/>
      <c r="I60183" s="102"/>
      <c r="J60183" s="8"/>
      <c r="K60183" s="8"/>
      <c r="L60183" s="8"/>
      <c r="M60183" s="8"/>
      <c r="N60183" s="8"/>
      <c r="O60183" s="8"/>
      <c r="P60183" s="8"/>
      <c r="Q60183" s="8"/>
      <c r="R60183" s="103"/>
      <c r="S60183" s="8"/>
      <c r="T60183" s="8"/>
      <c r="U60183" s="8"/>
      <c r="V60183" s="8"/>
      <c r="W60183" s="8"/>
      <c r="X60183" s="8"/>
      <c r="Y60183" s="8"/>
      <c r="Z60183" s="8"/>
      <c r="AA60183" s="8"/>
    </row>
    <row r="60184" spans="1:27" x14ac:dyDescent="0.25">
      <c r="A60184" s="8"/>
      <c r="B60184" s="8"/>
      <c r="C60184" s="99"/>
      <c r="D60184" s="8"/>
      <c r="E60184" s="8"/>
      <c r="F60184" s="8"/>
      <c r="G60184" s="8"/>
      <c r="H60184" s="8"/>
      <c r="I60184" s="102"/>
      <c r="J60184" s="8"/>
      <c r="K60184" s="8"/>
      <c r="L60184" s="8"/>
      <c r="M60184" s="8"/>
      <c r="N60184" s="8"/>
      <c r="O60184" s="8"/>
      <c r="P60184" s="8"/>
      <c r="Q60184" s="8"/>
      <c r="R60184" s="103"/>
      <c r="S60184" s="8"/>
      <c r="T60184" s="8"/>
      <c r="U60184" s="8"/>
      <c r="V60184" s="8"/>
      <c r="W60184" s="8"/>
      <c r="X60184" s="8"/>
      <c r="Y60184" s="8"/>
      <c r="Z60184" s="8"/>
      <c r="AA60184" s="8"/>
    </row>
    <row r="60185" spans="1:27" x14ac:dyDescent="0.25">
      <c r="A60185" s="8"/>
      <c r="B60185" s="8"/>
      <c r="C60185" s="99"/>
      <c r="D60185" s="8"/>
      <c r="E60185" s="8"/>
      <c r="F60185" s="8"/>
      <c r="G60185" s="8"/>
      <c r="H60185" s="8"/>
      <c r="I60185" s="102"/>
      <c r="J60185" s="8"/>
      <c r="K60185" s="8"/>
      <c r="L60185" s="8"/>
      <c r="M60185" s="8"/>
      <c r="N60185" s="8"/>
      <c r="O60185" s="8"/>
      <c r="P60185" s="8"/>
      <c r="Q60185" s="8"/>
      <c r="R60185" s="103"/>
      <c r="S60185" s="8"/>
      <c r="T60185" s="8"/>
      <c r="U60185" s="8"/>
      <c r="V60185" s="8"/>
      <c r="W60185" s="8"/>
      <c r="X60185" s="8"/>
      <c r="Y60185" s="8"/>
      <c r="Z60185" s="8"/>
      <c r="AA60185" s="8"/>
    </row>
    <row r="60186" spans="1:27" x14ac:dyDescent="0.25">
      <c r="A60186" s="8"/>
      <c r="B60186" s="8"/>
      <c r="C60186" s="99"/>
      <c r="D60186" s="8"/>
      <c r="E60186" s="8"/>
      <c r="F60186" s="8"/>
      <c r="G60186" s="8"/>
      <c r="H60186" s="8"/>
      <c r="I60186" s="102"/>
      <c r="J60186" s="8"/>
      <c r="K60186" s="8"/>
      <c r="L60186" s="8"/>
      <c r="M60186" s="8"/>
      <c r="N60186" s="8"/>
      <c r="O60186" s="8"/>
      <c r="P60186" s="8"/>
      <c r="Q60186" s="8"/>
      <c r="R60186" s="103"/>
      <c r="S60186" s="8"/>
      <c r="T60186" s="8"/>
      <c r="U60186" s="8"/>
      <c r="V60186" s="8"/>
      <c r="W60186" s="8"/>
      <c r="X60186" s="8"/>
      <c r="Y60186" s="8"/>
      <c r="Z60186" s="8"/>
      <c r="AA60186" s="8"/>
    </row>
    <row r="60187" spans="1:27" x14ac:dyDescent="0.25">
      <c r="A60187" s="8"/>
      <c r="B60187" s="8"/>
      <c r="C60187" s="99"/>
      <c r="D60187" s="8"/>
      <c r="E60187" s="8"/>
      <c r="F60187" s="8"/>
      <c r="G60187" s="8"/>
      <c r="H60187" s="8"/>
      <c r="I60187" s="102"/>
      <c r="J60187" s="8"/>
      <c r="K60187" s="8"/>
      <c r="L60187" s="8"/>
      <c r="M60187" s="8"/>
      <c r="N60187" s="8"/>
      <c r="O60187" s="8"/>
      <c r="P60187" s="8"/>
      <c r="Q60187" s="8"/>
      <c r="R60187" s="103"/>
      <c r="S60187" s="8"/>
      <c r="T60187" s="8"/>
      <c r="U60187" s="8"/>
      <c r="V60187" s="8"/>
      <c r="W60187" s="8"/>
      <c r="X60187" s="8"/>
      <c r="Y60187" s="8"/>
      <c r="Z60187" s="8"/>
      <c r="AA60187" s="8"/>
    </row>
    <row r="60188" spans="1:27" x14ac:dyDescent="0.25">
      <c r="A60188" s="8"/>
      <c r="B60188" s="8"/>
      <c r="C60188" s="99"/>
      <c r="D60188" s="8"/>
      <c r="E60188" s="8"/>
      <c r="F60188" s="8"/>
      <c r="G60188" s="8"/>
      <c r="H60188" s="8"/>
      <c r="I60188" s="102"/>
      <c r="J60188" s="8"/>
      <c r="K60188" s="8"/>
      <c r="L60188" s="8"/>
      <c r="M60188" s="8"/>
      <c r="N60188" s="8"/>
      <c r="O60188" s="8"/>
      <c r="P60188" s="8"/>
      <c r="Q60188" s="8"/>
      <c r="R60188" s="103"/>
      <c r="S60188" s="8"/>
      <c r="T60188" s="8"/>
      <c r="U60188" s="8"/>
      <c r="V60188" s="8"/>
      <c r="W60188" s="8"/>
      <c r="X60188" s="8"/>
      <c r="Y60188" s="8"/>
      <c r="Z60188" s="8"/>
      <c r="AA60188" s="8"/>
    </row>
    <row r="60189" spans="1:27" x14ac:dyDescent="0.25">
      <c r="A60189" s="8"/>
      <c r="B60189" s="8"/>
      <c r="C60189" s="99"/>
      <c r="D60189" s="8"/>
      <c r="E60189" s="8"/>
      <c r="F60189" s="8"/>
      <c r="G60189" s="8"/>
      <c r="H60189" s="8"/>
      <c r="I60189" s="102"/>
      <c r="J60189" s="8"/>
      <c r="K60189" s="8"/>
      <c r="L60189" s="8"/>
      <c r="M60189" s="8"/>
      <c r="N60189" s="8"/>
      <c r="O60189" s="8"/>
      <c r="P60189" s="8"/>
      <c r="Q60189" s="8"/>
      <c r="R60189" s="103"/>
      <c r="S60189" s="8"/>
      <c r="T60189" s="8"/>
      <c r="U60189" s="8"/>
      <c r="V60189" s="8"/>
      <c r="W60189" s="8"/>
      <c r="X60189" s="8"/>
      <c r="Y60189" s="8"/>
      <c r="Z60189" s="8"/>
      <c r="AA60189" s="8"/>
    </row>
    <row r="60190" spans="1:27" x14ac:dyDescent="0.25">
      <c r="A60190" s="8"/>
      <c r="B60190" s="8"/>
      <c r="C60190" s="99"/>
      <c r="D60190" s="8"/>
      <c r="E60190" s="8"/>
      <c r="F60190" s="8"/>
      <c r="G60190" s="8"/>
      <c r="H60190" s="8"/>
      <c r="I60190" s="102"/>
      <c r="J60190" s="8"/>
      <c r="K60190" s="8"/>
      <c r="L60190" s="8"/>
      <c r="M60190" s="8"/>
      <c r="N60190" s="8"/>
      <c r="O60190" s="8"/>
      <c r="P60190" s="8"/>
      <c r="Q60190" s="8"/>
      <c r="R60190" s="103"/>
      <c r="S60190" s="8"/>
      <c r="T60190" s="8"/>
      <c r="U60190" s="8"/>
      <c r="V60190" s="8"/>
      <c r="W60190" s="8"/>
      <c r="X60190" s="8"/>
      <c r="Y60190" s="8"/>
      <c r="Z60190" s="8"/>
      <c r="AA60190" s="8"/>
    </row>
    <row r="60191" spans="1:27" x14ac:dyDescent="0.25">
      <c r="A60191" s="8"/>
      <c r="B60191" s="8"/>
      <c r="C60191" s="99"/>
      <c r="D60191" s="8"/>
      <c r="E60191" s="8"/>
      <c r="F60191" s="8"/>
      <c r="G60191" s="8"/>
      <c r="H60191" s="8"/>
      <c r="I60191" s="102"/>
      <c r="J60191" s="8"/>
      <c r="K60191" s="8"/>
      <c r="L60191" s="8"/>
      <c r="M60191" s="8"/>
      <c r="N60191" s="8"/>
      <c r="O60191" s="8"/>
      <c r="P60191" s="8"/>
      <c r="Q60191" s="8"/>
      <c r="R60191" s="103"/>
      <c r="S60191" s="8"/>
      <c r="T60191" s="8"/>
      <c r="U60191" s="8"/>
      <c r="V60191" s="8"/>
      <c r="W60191" s="8"/>
      <c r="X60191" s="8"/>
      <c r="Y60191" s="8"/>
      <c r="Z60191" s="8"/>
      <c r="AA60191" s="8"/>
    </row>
    <row r="60192" spans="1:27" x14ac:dyDescent="0.25">
      <c r="A60192" s="8"/>
      <c r="B60192" s="8"/>
      <c r="C60192" s="99"/>
      <c r="D60192" s="8"/>
      <c r="E60192" s="8"/>
      <c r="F60192" s="8"/>
      <c r="G60192" s="8"/>
      <c r="H60192" s="8"/>
      <c r="I60192" s="102"/>
      <c r="J60192" s="8"/>
      <c r="K60192" s="8"/>
      <c r="L60192" s="8"/>
      <c r="M60192" s="8"/>
      <c r="N60192" s="8"/>
      <c r="O60192" s="8"/>
      <c r="P60192" s="8"/>
      <c r="Q60192" s="8"/>
      <c r="R60192" s="103"/>
      <c r="S60192" s="8"/>
      <c r="T60192" s="8"/>
      <c r="U60192" s="8"/>
      <c r="V60192" s="8"/>
      <c r="W60192" s="8"/>
      <c r="X60192" s="8"/>
      <c r="Y60192" s="8"/>
      <c r="Z60192" s="8"/>
      <c r="AA60192" s="8"/>
    </row>
    <row r="60193" spans="1:27" x14ac:dyDescent="0.25">
      <c r="A60193" s="8"/>
      <c r="B60193" s="8"/>
      <c r="C60193" s="99"/>
      <c r="D60193" s="8"/>
      <c r="E60193" s="8"/>
      <c r="F60193" s="8"/>
      <c r="G60193" s="8"/>
      <c r="H60193" s="8"/>
      <c r="I60193" s="102"/>
      <c r="J60193" s="8"/>
      <c r="K60193" s="8"/>
      <c r="L60193" s="8"/>
      <c r="M60193" s="8"/>
      <c r="N60193" s="8"/>
      <c r="O60193" s="8"/>
      <c r="P60193" s="8"/>
      <c r="Q60193" s="8"/>
      <c r="R60193" s="103"/>
      <c r="S60193" s="8"/>
      <c r="T60193" s="8"/>
      <c r="U60193" s="8"/>
      <c r="V60193" s="8"/>
      <c r="W60193" s="8"/>
      <c r="X60193" s="8"/>
      <c r="Y60193" s="8"/>
      <c r="Z60193" s="8"/>
      <c r="AA60193" s="8"/>
    </row>
    <row r="60194" spans="1:27" x14ac:dyDescent="0.25">
      <c r="A60194" s="8"/>
      <c r="B60194" s="8"/>
      <c r="C60194" s="99"/>
      <c r="D60194" s="8"/>
      <c r="E60194" s="8"/>
      <c r="F60194" s="8"/>
      <c r="G60194" s="8"/>
      <c r="H60194" s="8"/>
      <c r="I60194" s="102"/>
      <c r="J60194" s="8"/>
      <c r="K60194" s="8"/>
      <c r="L60194" s="8"/>
      <c r="M60194" s="8"/>
      <c r="N60194" s="8"/>
      <c r="O60194" s="8"/>
      <c r="P60194" s="8"/>
      <c r="Q60194" s="8"/>
      <c r="R60194" s="103"/>
      <c r="S60194" s="8"/>
      <c r="T60194" s="8"/>
      <c r="U60194" s="8"/>
      <c r="V60194" s="8"/>
      <c r="W60194" s="8"/>
      <c r="X60194" s="8"/>
      <c r="Y60194" s="8"/>
      <c r="Z60194" s="8"/>
      <c r="AA60194" s="8"/>
    </row>
    <row r="60195" spans="1:27" x14ac:dyDescent="0.25">
      <c r="A60195" s="8"/>
      <c r="B60195" s="8"/>
      <c r="C60195" s="99"/>
      <c r="D60195" s="8"/>
      <c r="E60195" s="8"/>
      <c r="F60195" s="8"/>
      <c r="G60195" s="8"/>
      <c r="H60195" s="8"/>
      <c r="I60195" s="102"/>
      <c r="J60195" s="8"/>
      <c r="K60195" s="8"/>
      <c r="L60195" s="8"/>
      <c r="M60195" s="8"/>
      <c r="N60195" s="8"/>
      <c r="O60195" s="8"/>
      <c r="P60195" s="8"/>
      <c r="Q60195" s="8"/>
      <c r="R60195" s="103"/>
      <c r="S60195" s="8"/>
      <c r="T60195" s="8"/>
      <c r="U60195" s="8"/>
      <c r="V60195" s="8"/>
      <c r="W60195" s="8"/>
      <c r="X60195" s="8"/>
      <c r="Y60195" s="8"/>
      <c r="Z60195" s="8"/>
      <c r="AA60195" s="8"/>
    </row>
    <row r="60196" spans="1:27" x14ac:dyDescent="0.25">
      <c r="A60196" s="8"/>
      <c r="B60196" s="8"/>
      <c r="C60196" s="99"/>
      <c r="D60196" s="8"/>
      <c r="E60196" s="8"/>
      <c r="F60196" s="8"/>
      <c r="G60196" s="8"/>
      <c r="H60196" s="8"/>
      <c r="I60196" s="102"/>
      <c r="J60196" s="8"/>
      <c r="K60196" s="8"/>
      <c r="L60196" s="8"/>
      <c r="M60196" s="8"/>
      <c r="N60196" s="8"/>
      <c r="O60196" s="8"/>
      <c r="P60196" s="8"/>
      <c r="Q60196" s="8"/>
      <c r="R60196" s="103"/>
      <c r="S60196" s="8"/>
      <c r="T60196" s="8"/>
      <c r="U60196" s="8"/>
      <c r="V60196" s="8"/>
      <c r="W60196" s="8"/>
      <c r="X60196" s="8"/>
      <c r="Y60196" s="8"/>
      <c r="Z60196" s="8"/>
      <c r="AA60196" s="8"/>
    </row>
    <row r="60197" spans="1:27" x14ac:dyDescent="0.25">
      <c r="A60197" s="8"/>
      <c r="B60197" s="8"/>
      <c r="C60197" s="99"/>
      <c r="D60197" s="8"/>
      <c r="E60197" s="8"/>
      <c r="F60197" s="8"/>
      <c r="G60197" s="8"/>
      <c r="H60197" s="8"/>
      <c r="I60197" s="102"/>
      <c r="J60197" s="8"/>
      <c r="K60197" s="8"/>
      <c r="L60197" s="8"/>
      <c r="M60197" s="8"/>
      <c r="N60197" s="8"/>
      <c r="O60197" s="8"/>
      <c r="P60197" s="8"/>
      <c r="Q60197" s="8"/>
      <c r="R60197" s="103"/>
      <c r="S60197" s="8"/>
      <c r="T60197" s="8"/>
      <c r="U60197" s="8"/>
      <c r="V60197" s="8"/>
      <c r="W60197" s="8"/>
      <c r="X60197" s="8"/>
      <c r="Y60197" s="8"/>
      <c r="Z60197" s="8"/>
      <c r="AA60197" s="8"/>
    </row>
    <row r="60198" spans="1:27" x14ac:dyDescent="0.25">
      <c r="A60198" s="8"/>
      <c r="B60198" s="8"/>
      <c r="C60198" s="99"/>
      <c r="D60198" s="8"/>
      <c r="E60198" s="8"/>
      <c r="F60198" s="8"/>
      <c r="G60198" s="8"/>
      <c r="H60198" s="8"/>
      <c r="I60198" s="102"/>
      <c r="J60198" s="8"/>
      <c r="K60198" s="8"/>
      <c r="L60198" s="8"/>
      <c r="M60198" s="8"/>
      <c r="N60198" s="8"/>
      <c r="O60198" s="8"/>
      <c r="P60198" s="8"/>
      <c r="Q60198" s="8"/>
      <c r="R60198" s="103"/>
      <c r="S60198" s="8"/>
      <c r="T60198" s="8"/>
      <c r="U60198" s="8"/>
      <c r="V60198" s="8"/>
      <c r="W60198" s="8"/>
      <c r="X60198" s="8"/>
      <c r="Y60198" s="8"/>
      <c r="Z60198" s="8"/>
      <c r="AA60198" s="8"/>
    </row>
    <row r="60199" spans="1:27" x14ac:dyDescent="0.25">
      <c r="A60199" s="8"/>
      <c r="B60199" s="8"/>
      <c r="C60199" s="99"/>
      <c r="D60199" s="8"/>
      <c r="E60199" s="8"/>
      <c r="F60199" s="8"/>
      <c r="G60199" s="8"/>
      <c r="H60199" s="8"/>
      <c r="I60199" s="102"/>
      <c r="J60199" s="8"/>
      <c r="K60199" s="8"/>
      <c r="L60199" s="8"/>
      <c r="M60199" s="8"/>
      <c r="N60199" s="8"/>
      <c r="O60199" s="8"/>
      <c r="P60199" s="8"/>
      <c r="Q60199" s="8"/>
      <c r="R60199" s="103"/>
      <c r="S60199" s="8"/>
      <c r="T60199" s="8"/>
      <c r="U60199" s="8"/>
      <c r="V60199" s="8"/>
      <c r="W60199" s="8"/>
      <c r="X60199" s="8"/>
      <c r="Y60199" s="8"/>
      <c r="Z60199" s="8"/>
      <c r="AA60199" s="8"/>
    </row>
    <row r="60200" spans="1:27" x14ac:dyDescent="0.25">
      <c r="A60200" s="8"/>
      <c r="B60200" s="8"/>
      <c r="C60200" s="99"/>
      <c r="D60200" s="8"/>
      <c r="E60200" s="8"/>
      <c r="F60200" s="8"/>
      <c r="G60200" s="8"/>
      <c r="H60200" s="8"/>
      <c r="I60200" s="102"/>
      <c r="J60200" s="8"/>
      <c r="K60200" s="8"/>
      <c r="L60200" s="8"/>
      <c r="M60200" s="8"/>
      <c r="N60200" s="8"/>
      <c r="O60200" s="8"/>
      <c r="P60200" s="8"/>
      <c r="Q60200" s="8"/>
      <c r="R60200" s="103"/>
      <c r="S60200" s="8"/>
      <c r="T60200" s="8"/>
      <c r="U60200" s="8"/>
      <c r="V60200" s="8"/>
      <c r="W60200" s="8"/>
      <c r="X60200" s="8"/>
      <c r="Y60200" s="8"/>
      <c r="Z60200" s="8"/>
      <c r="AA60200" s="8"/>
    </row>
    <row r="60201" spans="1:27" x14ac:dyDescent="0.25">
      <c r="A60201" s="8"/>
      <c r="B60201" s="8"/>
      <c r="C60201" s="99"/>
      <c r="D60201" s="8"/>
      <c r="E60201" s="8"/>
      <c r="F60201" s="8"/>
      <c r="G60201" s="8"/>
      <c r="H60201" s="8"/>
      <c r="I60201" s="102"/>
      <c r="J60201" s="8"/>
      <c r="K60201" s="8"/>
      <c r="L60201" s="8"/>
      <c r="M60201" s="8"/>
      <c r="N60201" s="8"/>
      <c r="O60201" s="8"/>
      <c r="P60201" s="8"/>
      <c r="Q60201" s="8"/>
      <c r="R60201" s="103"/>
      <c r="S60201" s="8"/>
      <c r="T60201" s="8"/>
      <c r="U60201" s="8"/>
      <c r="V60201" s="8"/>
      <c r="W60201" s="8"/>
      <c r="X60201" s="8"/>
      <c r="Y60201" s="8"/>
      <c r="Z60201" s="8"/>
      <c r="AA60201" s="8"/>
    </row>
    <row r="60202" spans="1:27" x14ac:dyDescent="0.25">
      <c r="A60202" s="8"/>
      <c r="B60202" s="8"/>
      <c r="C60202" s="99"/>
      <c r="D60202" s="8"/>
      <c r="E60202" s="8"/>
      <c r="F60202" s="8"/>
      <c r="G60202" s="8"/>
      <c r="H60202" s="8"/>
      <c r="I60202" s="102"/>
      <c r="J60202" s="8"/>
      <c r="K60202" s="8"/>
      <c r="L60202" s="8"/>
      <c r="M60202" s="8"/>
      <c r="N60202" s="8"/>
      <c r="O60202" s="8"/>
      <c r="P60202" s="8"/>
      <c r="Q60202" s="8"/>
      <c r="R60202" s="103"/>
      <c r="S60202" s="8"/>
      <c r="T60202" s="8"/>
      <c r="U60202" s="8"/>
      <c r="V60202" s="8"/>
      <c r="W60202" s="8"/>
      <c r="X60202" s="8"/>
      <c r="Y60202" s="8"/>
      <c r="Z60202" s="8"/>
      <c r="AA60202" s="8"/>
    </row>
    <row r="60203" spans="1:27" x14ac:dyDescent="0.25">
      <c r="A60203" s="8"/>
      <c r="B60203" s="8"/>
      <c r="C60203" s="99"/>
      <c r="D60203" s="8"/>
      <c r="E60203" s="8"/>
      <c r="F60203" s="8"/>
      <c r="G60203" s="8"/>
      <c r="H60203" s="8"/>
      <c r="I60203" s="102"/>
      <c r="J60203" s="8"/>
      <c r="K60203" s="8"/>
      <c r="L60203" s="8"/>
      <c r="M60203" s="8"/>
      <c r="N60203" s="8"/>
      <c r="O60203" s="8"/>
      <c r="P60203" s="8"/>
      <c r="Q60203" s="8"/>
      <c r="R60203" s="103"/>
      <c r="S60203" s="8"/>
      <c r="T60203" s="8"/>
      <c r="U60203" s="8"/>
      <c r="V60203" s="8"/>
      <c r="W60203" s="8"/>
      <c r="X60203" s="8"/>
      <c r="Y60203" s="8"/>
      <c r="Z60203" s="8"/>
      <c r="AA60203" s="8"/>
    </row>
    <row r="60204" spans="1:27" x14ac:dyDescent="0.25">
      <c r="A60204" s="8"/>
      <c r="B60204" s="8"/>
      <c r="C60204" s="99"/>
      <c r="D60204" s="8"/>
      <c r="E60204" s="8"/>
      <c r="F60204" s="8"/>
      <c r="G60204" s="8"/>
      <c r="H60204" s="8"/>
      <c r="I60204" s="102"/>
      <c r="J60204" s="8"/>
      <c r="K60204" s="8"/>
      <c r="L60204" s="8"/>
      <c r="M60204" s="8"/>
      <c r="N60204" s="8"/>
      <c r="O60204" s="8"/>
      <c r="P60204" s="8"/>
      <c r="Q60204" s="8"/>
      <c r="R60204" s="103"/>
      <c r="S60204" s="8"/>
      <c r="T60204" s="8"/>
      <c r="U60204" s="8"/>
      <c r="V60204" s="8"/>
      <c r="W60204" s="8"/>
      <c r="X60204" s="8"/>
      <c r="Y60204" s="8"/>
      <c r="Z60204" s="8"/>
      <c r="AA60204" s="8"/>
    </row>
    <row r="60205" spans="1:27" x14ac:dyDescent="0.25">
      <c r="A60205" s="8"/>
      <c r="B60205" s="8"/>
      <c r="C60205" s="99"/>
      <c r="D60205" s="8"/>
      <c r="E60205" s="8"/>
      <c r="F60205" s="8"/>
      <c r="G60205" s="8"/>
      <c r="H60205" s="8"/>
      <c r="I60205" s="102"/>
      <c r="J60205" s="8"/>
      <c r="K60205" s="8"/>
      <c r="L60205" s="8"/>
      <c r="M60205" s="8"/>
      <c r="N60205" s="8"/>
      <c r="O60205" s="8"/>
      <c r="P60205" s="8"/>
      <c r="Q60205" s="8"/>
      <c r="R60205" s="103"/>
      <c r="S60205" s="8"/>
      <c r="T60205" s="8"/>
      <c r="U60205" s="8"/>
      <c r="V60205" s="8"/>
      <c r="W60205" s="8"/>
      <c r="X60205" s="8"/>
      <c r="Y60205" s="8"/>
      <c r="Z60205" s="8"/>
      <c r="AA60205" s="8"/>
    </row>
    <row r="60206" spans="1:27" x14ac:dyDescent="0.25">
      <c r="A60206" s="8"/>
      <c r="B60206" s="8"/>
      <c r="C60206" s="99"/>
      <c r="D60206" s="8"/>
      <c r="E60206" s="8"/>
      <c r="F60206" s="8"/>
      <c r="G60206" s="8"/>
      <c r="H60206" s="8"/>
      <c r="I60206" s="102"/>
      <c r="J60206" s="8"/>
      <c r="K60206" s="8"/>
      <c r="L60206" s="8"/>
      <c r="M60206" s="8"/>
      <c r="N60206" s="8"/>
      <c r="O60206" s="8"/>
      <c r="P60206" s="8"/>
      <c r="Q60206" s="8"/>
      <c r="R60206" s="103"/>
      <c r="S60206" s="8"/>
      <c r="T60206" s="8"/>
      <c r="U60206" s="8"/>
      <c r="V60206" s="8"/>
      <c r="W60206" s="8"/>
      <c r="X60206" s="8"/>
      <c r="Y60206" s="8"/>
      <c r="Z60206" s="8"/>
      <c r="AA60206" s="8"/>
    </row>
    <row r="60207" spans="1:27" x14ac:dyDescent="0.25">
      <c r="A60207" s="8"/>
      <c r="B60207" s="8"/>
      <c r="C60207" s="99"/>
      <c r="D60207" s="8"/>
      <c r="E60207" s="8"/>
      <c r="F60207" s="8"/>
      <c r="G60207" s="8"/>
      <c r="H60207" s="8"/>
      <c r="I60207" s="102"/>
      <c r="J60207" s="8"/>
      <c r="K60207" s="8"/>
      <c r="L60207" s="8"/>
      <c r="M60207" s="8"/>
      <c r="N60207" s="8"/>
      <c r="O60207" s="8"/>
      <c r="P60207" s="8"/>
      <c r="Q60207" s="8"/>
      <c r="R60207" s="103"/>
      <c r="S60207" s="8"/>
      <c r="T60207" s="8"/>
      <c r="U60207" s="8"/>
      <c r="V60207" s="8"/>
      <c r="W60207" s="8"/>
      <c r="X60207" s="8"/>
      <c r="Y60207" s="8"/>
      <c r="Z60207" s="8"/>
      <c r="AA60207" s="8"/>
    </row>
    <row r="60208" spans="1:27" x14ac:dyDescent="0.25">
      <c r="A60208" s="8"/>
      <c r="B60208" s="8"/>
      <c r="C60208" s="99"/>
      <c r="D60208" s="8"/>
      <c r="E60208" s="8"/>
      <c r="F60208" s="8"/>
      <c r="G60208" s="8"/>
      <c r="H60208" s="8"/>
      <c r="I60208" s="102"/>
      <c r="J60208" s="8"/>
      <c r="K60208" s="8"/>
      <c r="L60208" s="8"/>
      <c r="M60208" s="8"/>
      <c r="N60208" s="8"/>
      <c r="O60208" s="8"/>
      <c r="P60208" s="8"/>
      <c r="Q60208" s="8"/>
      <c r="R60208" s="103"/>
      <c r="S60208" s="8"/>
      <c r="T60208" s="8"/>
      <c r="U60208" s="8"/>
      <c r="V60208" s="8"/>
      <c r="W60208" s="8"/>
      <c r="X60208" s="8"/>
      <c r="Y60208" s="8"/>
      <c r="Z60208" s="8"/>
      <c r="AA60208" s="8"/>
    </row>
    <row r="60209" spans="1:27" x14ac:dyDescent="0.25">
      <c r="A60209" s="8"/>
      <c r="B60209" s="8"/>
      <c r="C60209" s="99"/>
      <c r="D60209" s="8"/>
      <c r="E60209" s="8"/>
      <c r="F60209" s="8"/>
      <c r="G60209" s="8"/>
      <c r="H60209" s="8"/>
      <c r="I60209" s="102"/>
      <c r="J60209" s="8"/>
      <c r="K60209" s="8"/>
      <c r="L60209" s="8"/>
      <c r="M60209" s="8"/>
      <c r="N60209" s="8"/>
      <c r="O60209" s="8"/>
      <c r="P60209" s="8"/>
      <c r="Q60209" s="8"/>
      <c r="R60209" s="103"/>
      <c r="S60209" s="8"/>
      <c r="T60209" s="8"/>
      <c r="U60209" s="8"/>
      <c r="V60209" s="8"/>
      <c r="W60209" s="8"/>
      <c r="X60209" s="8"/>
      <c r="Y60209" s="8"/>
      <c r="Z60209" s="8"/>
      <c r="AA60209" s="8"/>
    </row>
    <row r="60210" spans="1:27" x14ac:dyDescent="0.25">
      <c r="A60210" s="8"/>
      <c r="B60210" s="8"/>
      <c r="C60210" s="99"/>
      <c r="D60210" s="8"/>
      <c r="E60210" s="8"/>
      <c r="F60210" s="8"/>
      <c r="G60210" s="8"/>
      <c r="H60210" s="8"/>
      <c r="I60210" s="102"/>
      <c r="J60210" s="8"/>
      <c r="K60210" s="8"/>
      <c r="L60210" s="8"/>
      <c r="M60210" s="8"/>
      <c r="N60210" s="8"/>
      <c r="O60210" s="8"/>
      <c r="P60210" s="8"/>
      <c r="Q60210" s="8"/>
      <c r="R60210" s="103"/>
      <c r="S60210" s="8"/>
      <c r="T60210" s="8"/>
      <c r="U60210" s="8"/>
      <c r="V60210" s="8"/>
      <c r="W60210" s="8"/>
      <c r="X60210" s="8"/>
      <c r="Y60210" s="8"/>
      <c r="Z60210" s="8"/>
      <c r="AA60210" s="8"/>
    </row>
    <row r="60211" spans="1:27" x14ac:dyDescent="0.25">
      <c r="A60211" s="8"/>
      <c r="B60211" s="8"/>
      <c r="C60211" s="99"/>
      <c r="D60211" s="8"/>
      <c r="E60211" s="8"/>
      <c r="F60211" s="8"/>
      <c r="G60211" s="8"/>
      <c r="H60211" s="8"/>
      <c r="I60211" s="102"/>
      <c r="J60211" s="8"/>
      <c r="K60211" s="8"/>
      <c r="L60211" s="8"/>
      <c r="M60211" s="8"/>
      <c r="N60211" s="8"/>
      <c r="O60211" s="8"/>
      <c r="P60211" s="8"/>
      <c r="Q60211" s="8"/>
      <c r="R60211" s="103"/>
      <c r="S60211" s="8"/>
      <c r="T60211" s="8"/>
      <c r="U60211" s="8"/>
      <c r="V60211" s="8"/>
      <c r="W60211" s="8"/>
      <c r="X60211" s="8"/>
      <c r="Y60211" s="8"/>
      <c r="Z60211" s="8"/>
      <c r="AA60211" s="8"/>
    </row>
    <row r="60212" spans="1:27" x14ac:dyDescent="0.25">
      <c r="A60212" s="8"/>
      <c r="B60212" s="8"/>
      <c r="C60212" s="99"/>
      <c r="D60212" s="8"/>
      <c r="E60212" s="8"/>
      <c r="F60212" s="8"/>
      <c r="G60212" s="8"/>
      <c r="H60212" s="8"/>
      <c r="I60212" s="102"/>
      <c r="J60212" s="8"/>
      <c r="K60212" s="8"/>
      <c r="L60212" s="8"/>
      <c r="M60212" s="8"/>
      <c r="N60212" s="8"/>
      <c r="O60212" s="8"/>
      <c r="P60212" s="8"/>
      <c r="Q60212" s="8"/>
      <c r="R60212" s="103"/>
      <c r="S60212" s="8"/>
      <c r="T60212" s="8"/>
      <c r="U60212" s="8"/>
      <c r="V60212" s="8"/>
      <c r="W60212" s="8"/>
      <c r="X60212" s="8"/>
      <c r="Y60212" s="8"/>
      <c r="Z60212" s="8"/>
      <c r="AA60212" s="8"/>
    </row>
    <row r="60213" spans="1:27" x14ac:dyDescent="0.25">
      <c r="A60213" s="8"/>
      <c r="B60213" s="8"/>
      <c r="C60213" s="99"/>
      <c r="D60213" s="8"/>
      <c r="E60213" s="8"/>
      <c r="F60213" s="8"/>
      <c r="G60213" s="8"/>
      <c r="H60213" s="8"/>
      <c r="I60213" s="102"/>
      <c r="J60213" s="8"/>
      <c r="K60213" s="8"/>
      <c r="L60213" s="8"/>
      <c r="M60213" s="8"/>
      <c r="N60213" s="8"/>
      <c r="O60213" s="8"/>
      <c r="P60213" s="8"/>
      <c r="Q60213" s="8"/>
      <c r="R60213" s="103"/>
      <c r="S60213" s="8"/>
      <c r="T60213" s="8"/>
      <c r="U60213" s="8"/>
      <c r="V60213" s="8"/>
      <c r="W60213" s="8"/>
      <c r="X60213" s="8"/>
      <c r="Y60213" s="8"/>
      <c r="Z60213" s="8"/>
      <c r="AA60213" s="8"/>
    </row>
    <row r="60214" spans="1:27" x14ac:dyDescent="0.25">
      <c r="A60214" s="8"/>
      <c r="B60214" s="8"/>
      <c r="C60214" s="99"/>
      <c r="D60214" s="8"/>
      <c r="E60214" s="8"/>
      <c r="F60214" s="8"/>
      <c r="G60214" s="8"/>
      <c r="H60214" s="8"/>
      <c r="I60214" s="102"/>
      <c r="J60214" s="8"/>
      <c r="K60214" s="8"/>
      <c r="L60214" s="8"/>
      <c r="M60214" s="8"/>
      <c r="N60214" s="8"/>
      <c r="O60214" s="8"/>
      <c r="P60214" s="8"/>
      <c r="Q60214" s="8"/>
      <c r="R60214" s="103"/>
      <c r="S60214" s="8"/>
      <c r="T60214" s="8"/>
      <c r="U60214" s="8"/>
      <c r="V60214" s="8"/>
      <c r="W60214" s="8"/>
      <c r="X60214" s="8"/>
      <c r="Y60214" s="8"/>
      <c r="Z60214" s="8"/>
      <c r="AA60214" s="8"/>
    </row>
    <row r="60215" spans="1:27" x14ac:dyDescent="0.25">
      <c r="A60215" s="8"/>
      <c r="B60215" s="8"/>
      <c r="C60215" s="99"/>
      <c r="D60215" s="8"/>
      <c r="E60215" s="8"/>
      <c r="F60215" s="8"/>
      <c r="G60215" s="8"/>
      <c r="H60215" s="8"/>
      <c r="I60215" s="102"/>
      <c r="J60215" s="8"/>
      <c r="K60215" s="8"/>
      <c r="L60215" s="8"/>
      <c r="M60215" s="8"/>
      <c r="N60215" s="8"/>
      <c r="O60215" s="8"/>
      <c r="P60215" s="8"/>
      <c r="Q60215" s="8"/>
      <c r="R60215" s="103"/>
      <c r="S60215" s="8"/>
      <c r="T60215" s="8"/>
      <c r="U60215" s="8"/>
      <c r="V60215" s="8"/>
      <c r="W60215" s="8"/>
      <c r="X60215" s="8"/>
      <c r="Y60215" s="8"/>
      <c r="Z60215" s="8"/>
      <c r="AA60215" s="8"/>
    </row>
    <row r="60216" spans="1:27" x14ac:dyDescent="0.25">
      <c r="A60216" s="8"/>
      <c r="B60216" s="8"/>
      <c r="C60216" s="99"/>
      <c r="D60216" s="8"/>
      <c r="E60216" s="8"/>
      <c r="F60216" s="8"/>
      <c r="G60216" s="8"/>
      <c r="H60216" s="8"/>
      <c r="I60216" s="102"/>
      <c r="J60216" s="8"/>
      <c r="K60216" s="8"/>
      <c r="L60216" s="8"/>
      <c r="M60216" s="8"/>
      <c r="N60216" s="8"/>
      <c r="O60216" s="8"/>
      <c r="P60216" s="8"/>
      <c r="Q60216" s="8"/>
      <c r="R60216" s="103"/>
      <c r="S60216" s="8"/>
      <c r="T60216" s="8"/>
      <c r="U60216" s="8"/>
      <c r="V60216" s="8"/>
      <c r="W60216" s="8"/>
      <c r="X60216" s="8"/>
      <c r="Y60216" s="8"/>
      <c r="Z60216" s="8"/>
      <c r="AA60216" s="8"/>
    </row>
    <row r="60217" spans="1:27" x14ac:dyDescent="0.25">
      <c r="A60217" s="8"/>
      <c r="B60217" s="8"/>
      <c r="C60217" s="99"/>
      <c r="D60217" s="8"/>
      <c r="E60217" s="8"/>
      <c r="F60217" s="8"/>
      <c r="G60217" s="8"/>
      <c r="H60217" s="8"/>
      <c r="I60217" s="102"/>
      <c r="J60217" s="8"/>
      <c r="K60217" s="8"/>
      <c r="L60217" s="8"/>
      <c r="M60217" s="8"/>
      <c r="N60217" s="8"/>
      <c r="O60217" s="8"/>
      <c r="P60217" s="8"/>
      <c r="Q60217" s="8"/>
      <c r="R60217" s="103"/>
      <c r="S60217" s="8"/>
      <c r="T60217" s="8"/>
      <c r="U60217" s="8"/>
      <c r="V60217" s="8"/>
      <c r="W60217" s="8"/>
      <c r="X60217" s="8"/>
      <c r="Y60217" s="8"/>
      <c r="Z60217" s="8"/>
      <c r="AA60217" s="8"/>
    </row>
    <row r="60218" spans="1:27" x14ac:dyDescent="0.25">
      <c r="A60218" s="8"/>
      <c r="B60218" s="8"/>
      <c r="C60218" s="99"/>
      <c r="D60218" s="8"/>
      <c r="E60218" s="8"/>
      <c r="F60218" s="8"/>
      <c r="G60218" s="8"/>
      <c r="H60218" s="8"/>
      <c r="I60218" s="102"/>
      <c r="J60218" s="8"/>
      <c r="K60218" s="8"/>
      <c r="L60218" s="8"/>
      <c r="M60218" s="8"/>
      <c r="N60218" s="8"/>
      <c r="O60218" s="8"/>
      <c r="P60218" s="8"/>
      <c r="Q60218" s="8"/>
      <c r="R60218" s="103"/>
      <c r="S60218" s="8"/>
      <c r="T60218" s="8"/>
      <c r="U60218" s="8"/>
      <c r="V60218" s="8"/>
      <c r="W60218" s="8"/>
      <c r="X60218" s="8"/>
      <c r="Y60218" s="8"/>
      <c r="Z60218" s="8"/>
      <c r="AA60218" s="8"/>
    </row>
    <row r="60219" spans="1:27" x14ac:dyDescent="0.25">
      <c r="A60219" s="8"/>
      <c r="B60219" s="8"/>
      <c r="C60219" s="99"/>
      <c r="D60219" s="8"/>
      <c r="E60219" s="8"/>
      <c r="F60219" s="8"/>
      <c r="G60219" s="8"/>
      <c r="H60219" s="8"/>
      <c r="I60219" s="102"/>
      <c r="J60219" s="8"/>
      <c r="K60219" s="8"/>
      <c r="L60219" s="8"/>
      <c r="M60219" s="8"/>
      <c r="N60219" s="8"/>
      <c r="O60219" s="8"/>
      <c r="P60219" s="8"/>
      <c r="Q60219" s="8"/>
      <c r="R60219" s="103"/>
      <c r="S60219" s="8"/>
      <c r="T60219" s="8"/>
      <c r="U60219" s="8"/>
      <c r="V60219" s="8"/>
      <c r="W60219" s="8"/>
      <c r="X60219" s="8"/>
      <c r="Y60219" s="8"/>
      <c r="Z60219" s="8"/>
      <c r="AA60219" s="8"/>
    </row>
    <row r="60220" spans="1:27" x14ac:dyDescent="0.25">
      <c r="A60220" s="8"/>
      <c r="B60220" s="8"/>
      <c r="C60220" s="99"/>
      <c r="D60220" s="8"/>
      <c r="E60220" s="8"/>
      <c r="F60220" s="8"/>
      <c r="G60220" s="8"/>
      <c r="H60220" s="8"/>
      <c r="I60220" s="102"/>
      <c r="J60220" s="8"/>
      <c r="K60220" s="8"/>
      <c r="L60220" s="8"/>
      <c r="M60220" s="8"/>
      <c r="N60220" s="8"/>
      <c r="O60220" s="8"/>
      <c r="P60220" s="8"/>
      <c r="Q60220" s="8"/>
      <c r="R60220" s="103"/>
      <c r="S60220" s="8"/>
      <c r="T60220" s="8"/>
      <c r="U60220" s="8"/>
      <c r="V60220" s="8"/>
      <c r="W60220" s="8"/>
      <c r="X60220" s="8"/>
      <c r="Y60220" s="8"/>
      <c r="Z60220" s="8"/>
      <c r="AA60220" s="8"/>
    </row>
    <row r="60221" spans="1:27" x14ac:dyDescent="0.25">
      <c r="A60221" s="8"/>
      <c r="B60221" s="8"/>
      <c r="C60221" s="99"/>
      <c r="D60221" s="8"/>
      <c r="E60221" s="8"/>
      <c r="F60221" s="8"/>
      <c r="G60221" s="8"/>
      <c r="H60221" s="8"/>
      <c r="I60221" s="102"/>
      <c r="J60221" s="8"/>
      <c r="K60221" s="8"/>
      <c r="L60221" s="8"/>
      <c r="M60221" s="8"/>
      <c r="N60221" s="8"/>
      <c r="O60221" s="8"/>
      <c r="P60221" s="8"/>
      <c r="Q60221" s="8"/>
      <c r="R60221" s="103"/>
      <c r="S60221" s="8"/>
      <c r="T60221" s="8"/>
      <c r="U60221" s="8"/>
      <c r="V60221" s="8"/>
      <c r="W60221" s="8"/>
      <c r="X60221" s="8"/>
      <c r="Y60221" s="8"/>
      <c r="Z60221" s="8"/>
      <c r="AA60221" s="8"/>
    </row>
    <row r="60222" spans="1:27" x14ac:dyDescent="0.25">
      <c r="A60222" s="8"/>
      <c r="B60222" s="8"/>
      <c r="C60222" s="99"/>
      <c r="D60222" s="8"/>
      <c r="E60222" s="8"/>
      <c r="F60222" s="8"/>
      <c r="G60222" s="8"/>
      <c r="H60222" s="8"/>
      <c r="I60222" s="102"/>
      <c r="J60222" s="8"/>
      <c r="K60222" s="8"/>
      <c r="L60222" s="8"/>
      <c r="M60222" s="8"/>
      <c r="N60222" s="8"/>
      <c r="O60222" s="8"/>
      <c r="P60222" s="8"/>
      <c r="Q60222" s="8"/>
      <c r="R60222" s="103"/>
      <c r="S60222" s="8"/>
      <c r="T60222" s="8"/>
      <c r="U60222" s="8"/>
      <c r="V60222" s="8"/>
      <c r="W60222" s="8"/>
      <c r="X60222" s="8"/>
      <c r="Y60222" s="8"/>
      <c r="Z60222" s="8"/>
      <c r="AA60222" s="8"/>
    </row>
    <row r="60223" spans="1:27" x14ac:dyDescent="0.25">
      <c r="A60223" s="8"/>
      <c r="B60223" s="8"/>
      <c r="C60223" s="99"/>
      <c r="D60223" s="8"/>
      <c r="E60223" s="8"/>
      <c r="F60223" s="8"/>
      <c r="G60223" s="8"/>
      <c r="H60223" s="8"/>
      <c r="I60223" s="102"/>
      <c r="J60223" s="8"/>
      <c r="K60223" s="8"/>
      <c r="L60223" s="8"/>
      <c r="M60223" s="8"/>
      <c r="N60223" s="8"/>
      <c r="O60223" s="8"/>
      <c r="P60223" s="8"/>
      <c r="Q60223" s="8"/>
      <c r="R60223" s="103"/>
      <c r="S60223" s="8"/>
      <c r="T60223" s="8"/>
      <c r="U60223" s="8"/>
      <c r="V60223" s="8"/>
      <c r="W60223" s="8"/>
      <c r="X60223" s="8"/>
      <c r="Y60223" s="8"/>
      <c r="Z60223" s="8"/>
      <c r="AA60223" s="8"/>
    </row>
    <row r="60224" spans="1:27" x14ac:dyDescent="0.25">
      <c r="A60224" s="8"/>
      <c r="B60224" s="8"/>
      <c r="C60224" s="99"/>
      <c r="D60224" s="8"/>
      <c r="E60224" s="8"/>
      <c r="F60224" s="8"/>
      <c r="G60224" s="8"/>
      <c r="H60224" s="8"/>
      <c r="I60224" s="102"/>
      <c r="J60224" s="8"/>
      <c r="K60224" s="8"/>
      <c r="L60224" s="8"/>
      <c r="M60224" s="8"/>
      <c r="N60224" s="8"/>
      <c r="O60224" s="8"/>
      <c r="P60224" s="8"/>
      <c r="Q60224" s="8"/>
      <c r="R60224" s="103"/>
      <c r="S60224" s="8"/>
      <c r="T60224" s="8"/>
      <c r="U60224" s="8"/>
      <c r="V60224" s="8"/>
      <c r="W60224" s="8"/>
      <c r="X60224" s="8"/>
      <c r="Y60224" s="8"/>
      <c r="Z60224" s="8"/>
      <c r="AA60224" s="8"/>
    </row>
    <row r="60225" spans="1:27" x14ac:dyDescent="0.25">
      <c r="A60225" s="8"/>
      <c r="B60225" s="8"/>
      <c r="C60225" s="99"/>
      <c r="D60225" s="8"/>
      <c r="E60225" s="8"/>
      <c r="F60225" s="8"/>
      <c r="G60225" s="8"/>
      <c r="H60225" s="8"/>
      <c r="I60225" s="102"/>
      <c r="J60225" s="8"/>
      <c r="K60225" s="8"/>
      <c r="L60225" s="8"/>
      <c r="M60225" s="8"/>
      <c r="N60225" s="8"/>
      <c r="O60225" s="8"/>
      <c r="P60225" s="8"/>
      <c r="Q60225" s="8"/>
      <c r="R60225" s="103"/>
      <c r="S60225" s="8"/>
      <c r="T60225" s="8"/>
      <c r="U60225" s="8"/>
      <c r="V60225" s="8"/>
      <c r="W60225" s="8"/>
      <c r="X60225" s="8"/>
      <c r="Y60225" s="8"/>
      <c r="Z60225" s="8"/>
      <c r="AA60225" s="8"/>
    </row>
    <row r="60226" spans="1:27" x14ac:dyDescent="0.25">
      <c r="A60226" s="8"/>
      <c r="B60226" s="8"/>
      <c r="C60226" s="99"/>
      <c r="D60226" s="8"/>
      <c r="E60226" s="8"/>
      <c r="F60226" s="8"/>
      <c r="G60226" s="8"/>
      <c r="H60226" s="8"/>
      <c r="I60226" s="102"/>
      <c r="J60226" s="8"/>
      <c r="K60226" s="8"/>
      <c r="L60226" s="8"/>
      <c r="M60226" s="8"/>
      <c r="N60226" s="8"/>
      <c r="O60226" s="8"/>
      <c r="P60226" s="8"/>
      <c r="Q60226" s="8"/>
      <c r="R60226" s="103"/>
      <c r="S60226" s="8"/>
      <c r="T60226" s="8"/>
      <c r="U60226" s="8"/>
      <c r="V60226" s="8"/>
      <c r="W60226" s="8"/>
      <c r="X60226" s="8"/>
      <c r="Y60226" s="8"/>
      <c r="Z60226" s="8"/>
      <c r="AA60226" s="8"/>
    </row>
    <row r="60227" spans="1:27" x14ac:dyDescent="0.25">
      <c r="A60227" s="8"/>
      <c r="B60227" s="8"/>
      <c r="C60227" s="99"/>
      <c r="D60227" s="8"/>
      <c r="E60227" s="8"/>
      <c r="F60227" s="8"/>
      <c r="G60227" s="8"/>
      <c r="H60227" s="8"/>
      <c r="I60227" s="102"/>
      <c r="J60227" s="8"/>
      <c r="K60227" s="8"/>
      <c r="L60227" s="8"/>
      <c r="M60227" s="8"/>
      <c r="N60227" s="8"/>
      <c r="O60227" s="8"/>
      <c r="P60227" s="8"/>
      <c r="Q60227" s="8"/>
      <c r="R60227" s="103"/>
      <c r="S60227" s="8"/>
      <c r="T60227" s="8"/>
      <c r="U60227" s="8"/>
      <c r="V60227" s="8"/>
      <c r="W60227" s="8"/>
      <c r="X60227" s="8"/>
      <c r="Y60227" s="8"/>
      <c r="Z60227" s="8"/>
      <c r="AA60227" s="8"/>
    </row>
    <row r="60228" spans="1:27" x14ac:dyDescent="0.25">
      <c r="A60228" s="8"/>
      <c r="B60228" s="8"/>
      <c r="C60228" s="99"/>
      <c r="D60228" s="8"/>
      <c r="E60228" s="8"/>
      <c r="F60228" s="8"/>
      <c r="G60228" s="8"/>
      <c r="H60228" s="8"/>
      <c r="I60228" s="102"/>
      <c r="J60228" s="8"/>
      <c r="K60228" s="8"/>
      <c r="L60228" s="8"/>
      <c r="M60228" s="8"/>
      <c r="N60228" s="8"/>
      <c r="O60228" s="8"/>
      <c r="P60228" s="8"/>
      <c r="Q60228" s="8"/>
      <c r="R60228" s="103"/>
      <c r="S60228" s="8"/>
      <c r="T60228" s="8"/>
      <c r="U60228" s="8"/>
      <c r="V60228" s="8"/>
      <c r="W60228" s="8"/>
      <c r="X60228" s="8"/>
      <c r="Y60228" s="8"/>
      <c r="Z60228" s="8"/>
      <c r="AA60228" s="8"/>
    </row>
    <row r="60229" spans="1:27" x14ac:dyDescent="0.25">
      <c r="A60229" s="8"/>
      <c r="B60229" s="8"/>
      <c r="C60229" s="99"/>
      <c r="D60229" s="8"/>
      <c r="E60229" s="8"/>
      <c r="F60229" s="8"/>
      <c r="G60229" s="8"/>
      <c r="H60229" s="8"/>
      <c r="I60229" s="102"/>
      <c r="J60229" s="8"/>
      <c r="K60229" s="8"/>
      <c r="L60229" s="8"/>
      <c r="M60229" s="8"/>
      <c r="N60229" s="8"/>
      <c r="O60229" s="8"/>
      <c r="P60229" s="8"/>
      <c r="Q60229" s="8"/>
      <c r="R60229" s="103"/>
      <c r="S60229" s="8"/>
      <c r="T60229" s="8"/>
      <c r="U60229" s="8"/>
      <c r="V60229" s="8"/>
      <c r="W60229" s="8"/>
      <c r="X60229" s="8"/>
      <c r="Y60229" s="8"/>
      <c r="Z60229" s="8"/>
      <c r="AA60229" s="8"/>
    </row>
    <row r="60230" spans="1:27" x14ac:dyDescent="0.25">
      <c r="A60230" s="8"/>
      <c r="B60230" s="8"/>
      <c r="C60230" s="99"/>
      <c r="D60230" s="8"/>
      <c r="E60230" s="8"/>
      <c r="F60230" s="8"/>
      <c r="G60230" s="8"/>
      <c r="H60230" s="8"/>
      <c r="I60230" s="102"/>
      <c r="J60230" s="8"/>
      <c r="K60230" s="8"/>
      <c r="L60230" s="8"/>
      <c r="M60230" s="8"/>
      <c r="N60230" s="8"/>
      <c r="O60230" s="8"/>
      <c r="P60230" s="8"/>
      <c r="Q60230" s="8"/>
      <c r="R60230" s="103"/>
      <c r="S60230" s="8"/>
      <c r="T60230" s="8"/>
      <c r="U60230" s="8"/>
      <c r="V60230" s="8"/>
      <c r="W60230" s="8"/>
      <c r="X60230" s="8"/>
      <c r="Y60230" s="8"/>
      <c r="Z60230" s="8"/>
      <c r="AA60230" s="8"/>
    </row>
    <row r="60231" spans="1:27" x14ac:dyDescent="0.25">
      <c r="A60231" s="8"/>
      <c r="B60231" s="8"/>
      <c r="C60231" s="99"/>
      <c r="D60231" s="8"/>
      <c r="E60231" s="8"/>
      <c r="F60231" s="8"/>
      <c r="G60231" s="8"/>
      <c r="H60231" s="8"/>
      <c r="I60231" s="102"/>
      <c r="J60231" s="8"/>
      <c r="K60231" s="8"/>
      <c r="L60231" s="8"/>
      <c r="M60231" s="8"/>
      <c r="N60231" s="8"/>
      <c r="O60231" s="8"/>
      <c r="P60231" s="8"/>
      <c r="Q60231" s="8"/>
      <c r="R60231" s="103"/>
      <c r="S60231" s="8"/>
      <c r="T60231" s="8"/>
      <c r="U60231" s="8"/>
      <c r="V60231" s="8"/>
      <c r="W60231" s="8"/>
      <c r="X60231" s="8"/>
      <c r="Y60231" s="8"/>
      <c r="Z60231" s="8"/>
      <c r="AA60231" s="8"/>
    </row>
    <row r="60232" spans="1:27" x14ac:dyDescent="0.25">
      <c r="A60232" s="8"/>
      <c r="B60232" s="8"/>
      <c r="C60232" s="99"/>
      <c r="D60232" s="8"/>
      <c r="E60232" s="8"/>
      <c r="F60232" s="8"/>
      <c r="G60232" s="8"/>
      <c r="H60232" s="8"/>
      <c r="I60232" s="102"/>
      <c r="J60232" s="8"/>
      <c r="K60232" s="8"/>
      <c r="L60232" s="8"/>
      <c r="M60232" s="8"/>
      <c r="N60232" s="8"/>
      <c r="O60232" s="8"/>
      <c r="P60232" s="8"/>
      <c r="Q60232" s="8"/>
      <c r="R60232" s="103"/>
      <c r="S60232" s="8"/>
      <c r="T60232" s="8"/>
      <c r="U60232" s="8"/>
      <c r="V60232" s="8"/>
      <c r="W60232" s="8"/>
      <c r="X60232" s="8"/>
      <c r="Y60232" s="8"/>
      <c r="Z60232" s="8"/>
      <c r="AA60232" s="8"/>
    </row>
    <row r="60233" spans="1:27" x14ac:dyDescent="0.25">
      <c r="A60233" s="8"/>
      <c r="B60233" s="8"/>
      <c r="C60233" s="99"/>
      <c r="D60233" s="8"/>
      <c r="E60233" s="8"/>
      <c r="F60233" s="8"/>
      <c r="G60233" s="8"/>
      <c r="H60233" s="8"/>
      <c r="I60233" s="102"/>
      <c r="J60233" s="8"/>
      <c r="K60233" s="8"/>
      <c r="L60233" s="8"/>
      <c r="M60233" s="8"/>
      <c r="N60233" s="8"/>
      <c r="O60233" s="8"/>
      <c r="P60233" s="8"/>
      <c r="Q60233" s="8"/>
      <c r="R60233" s="103"/>
      <c r="S60233" s="8"/>
      <c r="T60233" s="8"/>
      <c r="U60233" s="8"/>
      <c r="V60233" s="8"/>
      <c r="W60233" s="8"/>
      <c r="X60233" s="8"/>
      <c r="Y60233" s="8"/>
      <c r="Z60233" s="8"/>
      <c r="AA60233" s="8"/>
    </row>
    <row r="60234" spans="1:27" x14ac:dyDescent="0.25">
      <c r="A60234" s="8"/>
      <c r="B60234" s="8"/>
      <c r="C60234" s="99"/>
      <c r="D60234" s="8"/>
      <c r="E60234" s="8"/>
      <c r="F60234" s="8"/>
      <c r="G60234" s="8"/>
      <c r="H60234" s="8"/>
      <c r="I60234" s="102"/>
      <c r="J60234" s="8"/>
      <c r="K60234" s="8"/>
      <c r="L60234" s="8"/>
      <c r="M60234" s="8"/>
      <c r="N60234" s="8"/>
      <c r="O60234" s="8"/>
      <c r="P60234" s="8"/>
      <c r="Q60234" s="8"/>
      <c r="R60234" s="103"/>
      <c r="S60234" s="8"/>
      <c r="T60234" s="8"/>
      <c r="U60234" s="8"/>
      <c r="V60234" s="8"/>
      <c r="W60234" s="8"/>
      <c r="X60234" s="8"/>
      <c r="Y60234" s="8"/>
      <c r="Z60234" s="8"/>
      <c r="AA60234" s="8"/>
    </row>
    <row r="60235" spans="1:27" x14ac:dyDescent="0.25">
      <c r="A60235" s="8"/>
      <c r="B60235" s="8"/>
      <c r="C60235" s="99"/>
      <c r="D60235" s="8"/>
      <c r="E60235" s="8"/>
      <c r="F60235" s="8"/>
      <c r="G60235" s="8"/>
      <c r="H60235" s="8"/>
      <c r="I60235" s="102"/>
      <c r="J60235" s="8"/>
      <c r="K60235" s="8"/>
      <c r="L60235" s="8"/>
      <c r="M60235" s="8"/>
      <c r="N60235" s="8"/>
      <c r="O60235" s="8"/>
      <c r="P60235" s="8"/>
      <c r="Q60235" s="8"/>
      <c r="R60235" s="103"/>
      <c r="S60235" s="8"/>
      <c r="T60235" s="8"/>
      <c r="U60235" s="8"/>
      <c r="V60235" s="8"/>
      <c r="W60235" s="8"/>
      <c r="X60235" s="8"/>
      <c r="Y60235" s="8"/>
      <c r="Z60235" s="8"/>
      <c r="AA60235" s="8"/>
    </row>
    <row r="60236" spans="1:27" x14ac:dyDescent="0.25">
      <c r="A60236" s="8"/>
      <c r="B60236" s="8"/>
      <c r="C60236" s="99"/>
      <c r="D60236" s="8"/>
      <c r="E60236" s="8"/>
      <c r="F60236" s="8"/>
      <c r="G60236" s="8"/>
      <c r="H60236" s="8"/>
      <c r="I60236" s="102"/>
      <c r="J60236" s="8"/>
      <c r="K60236" s="8"/>
      <c r="L60236" s="8"/>
      <c r="M60236" s="8"/>
      <c r="N60236" s="8"/>
      <c r="O60236" s="8"/>
      <c r="P60236" s="8"/>
      <c r="Q60236" s="8"/>
      <c r="R60236" s="103"/>
      <c r="S60236" s="8"/>
      <c r="T60236" s="8"/>
      <c r="U60236" s="8"/>
      <c r="V60236" s="8"/>
      <c r="W60236" s="8"/>
      <c r="X60236" s="8"/>
      <c r="Y60236" s="8"/>
      <c r="Z60236" s="8"/>
      <c r="AA60236" s="8"/>
    </row>
    <row r="60237" spans="1:27" x14ac:dyDescent="0.25">
      <c r="A60237" s="8"/>
      <c r="B60237" s="8"/>
      <c r="C60237" s="99"/>
      <c r="D60237" s="8"/>
      <c r="E60237" s="8"/>
      <c r="F60237" s="8"/>
      <c r="G60237" s="8"/>
      <c r="H60237" s="8"/>
      <c r="I60237" s="102"/>
      <c r="J60237" s="8"/>
      <c r="K60237" s="8"/>
      <c r="L60237" s="8"/>
      <c r="M60237" s="8"/>
      <c r="N60237" s="8"/>
      <c r="O60237" s="8"/>
      <c r="P60237" s="8"/>
      <c r="Q60237" s="8"/>
      <c r="R60237" s="103"/>
      <c r="S60237" s="8"/>
      <c r="T60237" s="8"/>
      <c r="U60237" s="8"/>
      <c r="V60237" s="8"/>
      <c r="W60237" s="8"/>
      <c r="X60237" s="8"/>
      <c r="Y60237" s="8"/>
      <c r="Z60237" s="8"/>
      <c r="AA60237" s="8"/>
    </row>
    <row r="60238" spans="1:27" x14ac:dyDescent="0.25">
      <c r="A60238" s="8"/>
      <c r="B60238" s="8"/>
      <c r="C60238" s="99"/>
      <c r="D60238" s="8"/>
      <c r="E60238" s="8"/>
      <c r="F60238" s="8"/>
      <c r="G60238" s="8"/>
      <c r="H60238" s="8"/>
      <c r="I60238" s="102"/>
      <c r="J60238" s="8"/>
      <c r="K60238" s="8"/>
      <c r="L60238" s="8"/>
      <c r="M60238" s="8"/>
      <c r="N60238" s="8"/>
      <c r="O60238" s="8"/>
      <c r="P60238" s="8"/>
      <c r="Q60238" s="8"/>
      <c r="R60238" s="103"/>
      <c r="S60238" s="8"/>
      <c r="T60238" s="8"/>
      <c r="U60238" s="8"/>
      <c r="V60238" s="8"/>
      <c r="W60238" s="8"/>
      <c r="X60238" s="8"/>
      <c r="Y60238" s="8"/>
      <c r="Z60238" s="8"/>
      <c r="AA60238" s="8"/>
    </row>
    <row r="60239" spans="1:27" x14ac:dyDescent="0.25">
      <c r="A60239" s="8"/>
      <c r="B60239" s="8"/>
      <c r="C60239" s="99"/>
      <c r="D60239" s="8"/>
      <c r="E60239" s="8"/>
      <c r="F60239" s="8"/>
      <c r="G60239" s="8"/>
      <c r="H60239" s="8"/>
      <c r="I60239" s="102"/>
      <c r="J60239" s="8"/>
      <c r="K60239" s="8"/>
      <c r="L60239" s="8"/>
      <c r="M60239" s="8"/>
      <c r="N60239" s="8"/>
      <c r="O60239" s="8"/>
      <c r="P60239" s="8"/>
      <c r="Q60239" s="8"/>
      <c r="R60239" s="103"/>
      <c r="S60239" s="8"/>
      <c r="T60239" s="8"/>
      <c r="U60239" s="8"/>
      <c r="V60239" s="8"/>
      <c r="W60239" s="8"/>
      <c r="X60239" s="8"/>
      <c r="Y60239" s="8"/>
      <c r="Z60239" s="8"/>
      <c r="AA60239" s="8"/>
    </row>
    <row r="60240" spans="1:27" x14ac:dyDescent="0.25">
      <c r="A60240" s="8"/>
      <c r="B60240" s="8"/>
      <c r="C60240" s="99"/>
      <c r="D60240" s="8"/>
      <c r="E60240" s="8"/>
      <c r="F60240" s="8"/>
      <c r="G60240" s="8"/>
      <c r="H60240" s="8"/>
      <c r="I60240" s="102"/>
      <c r="J60240" s="8"/>
      <c r="K60240" s="8"/>
      <c r="L60240" s="8"/>
      <c r="M60240" s="8"/>
      <c r="N60240" s="8"/>
      <c r="O60240" s="8"/>
      <c r="P60240" s="8"/>
      <c r="Q60240" s="8"/>
      <c r="R60240" s="103"/>
      <c r="S60240" s="8"/>
      <c r="T60240" s="8"/>
      <c r="U60240" s="8"/>
      <c r="V60240" s="8"/>
      <c r="W60240" s="8"/>
      <c r="X60240" s="8"/>
      <c r="Y60240" s="8"/>
      <c r="Z60240" s="8"/>
      <c r="AA60240" s="8"/>
    </row>
    <row r="60241" spans="1:27" x14ac:dyDescent="0.25">
      <c r="A60241" s="8"/>
      <c r="B60241" s="8"/>
      <c r="C60241" s="99"/>
      <c r="D60241" s="8"/>
      <c r="E60241" s="8"/>
      <c r="F60241" s="8"/>
      <c r="G60241" s="8"/>
      <c r="H60241" s="8"/>
      <c r="I60241" s="102"/>
      <c r="J60241" s="8"/>
      <c r="K60241" s="8"/>
      <c r="L60241" s="8"/>
      <c r="M60241" s="8"/>
      <c r="N60241" s="8"/>
      <c r="O60241" s="8"/>
      <c r="P60241" s="8"/>
      <c r="Q60241" s="8"/>
      <c r="R60241" s="103"/>
      <c r="S60241" s="8"/>
      <c r="T60241" s="8"/>
      <c r="U60241" s="8"/>
      <c r="V60241" s="8"/>
      <c r="W60241" s="8"/>
      <c r="X60241" s="8"/>
      <c r="Y60241" s="8"/>
      <c r="Z60241" s="8"/>
      <c r="AA60241" s="8"/>
    </row>
    <row r="60242" spans="1:27" x14ac:dyDescent="0.25">
      <c r="A60242" s="8"/>
      <c r="B60242" s="8"/>
      <c r="C60242" s="99"/>
      <c r="D60242" s="8"/>
      <c r="E60242" s="8"/>
      <c r="F60242" s="8"/>
      <c r="G60242" s="8"/>
      <c r="H60242" s="8"/>
      <c r="I60242" s="102"/>
      <c r="J60242" s="8"/>
      <c r="K60242" s="8"/>
      <c r="L60242" s="8"/>
      <c r="M60242" s="8"/>
      <c r="N60242" s="8"/>
      <c r="O60242" s="8"/>
      <c r="P60242" s="8"/>
      <c r="Q60242" s="8"/>
      <c r="R60242" s="103"/>
      <c r="S60242" s="8"/>
      <c r="T60242" s="8"/>
      <c r="U60242" s="8"/>
      <c r="V60242" s="8"/>
      <c r="W60242" s="8"/>
      <c r="X60242" s="8"/>
      <c r="Y60242" s="8"/>
      <c r="Z60242" s="8"/>
      <c r="AA60242" s="8"/>
    </row>
    <row r="60243" spans="1:27" x14ac:dyDescent="0.25">
      <c r="A60243" s="8"/>
      <c r="B60243" s="8"/>
      <c r="C60243" s="99"/>
      <c r="D60243" s="8"/>
      <c r="E60243" s="8"/>
      <c r="F60243" s="8"/>
      <c r="G60243" s="8"/>
      <c r="H60243" s="8"/>
      <c r="I60243" s="102"/>
      <c r="J60243" s="8"/>
      <c r="K60243" s="8"/>
      <c r="L60243" s="8"/>
      <c r="M60243" s="8"/>
      <c r="N60243" s="8"/>
      <c r="O60243" s="8"/>
      <c r="P60243" s="8"/>
      <c r="Q60243" s="8"/>
      <c r="R60243" s="103"/>
      <c r="S60243" s="8"/>
      <c r="T60243" s="8"/>
      <c r="U60243" s="8"/>
      <c r="V60243" s="8"/>
      <c r="W60243" s="8"/>
      <c r="X60243" s="8"/>
      <c r="Y60243" s="8"/>
      <c r="Z60243" s="8"/>
      <c r="AA60243" s="8"/>
    </row>
    <row r="60244" spans="1:27" x14ac:dyDescent="0.25">
      <c r="A60244" s="8"/>
      <c r="B60244" s="8"/>
      <c r="C60244" s="99"/>
      <c r="D60244" s="8"/>
      <c r="E60244" s="8"/>
      <c r="F60244" s="8"/>
      <c r="G60244" s="8"/>
      <c r="H60244" s="8"/>
      <c r="I60244" s="102"/>
      <c r="J60244" s="8"/>
      <c r="K60244" s="8"/>
      <c r="L60244" s="8"/>
      <c r="M60244" s="8"/>
      <c r="N60244" s="8"/>
      <c r="O60244" s="8"/>
      <c r="P60244" s="8"/>
      <c r="Q60244" s="8"/>
      <c r="R60244" s="103"/>
      <c r="S60244" s="8"/>
      <c r="T60244" s="8"/>
      <c r="U60244" s="8"/>
      <c r="V60244" s="8"/>
      <c r="W60244" s="8"/>
      <c r="X60244" s="8"/>
      <c r="Y60244" s="8"/>
      <c r="Z60244" s="8"/>
      <c r="AA60244" s="8"/>
    </row>
    <row r="60245" spans="1:27" x14ac:dyDescent="0.25">
      <c r="A60245" s="8"/>
      <c r="B60245" s="8"/>
      <c r="C60245" s="99"/>
      <c r="D60245" s="8"/>
      <c r="E60245" s="8"/>
      <c r="F60245" s="8"/>
      <c r="G60245" s="8"/>
      <c r="H60245" s="8"/>
      <c r="I60245" s="102"/>
      <c r="J60245" s="8"/>
      <c r="K60245" s="8"/>
      <c r="L60245" s="8"/>
      <c r="M60245" s="8"/>
      <c r="N60245" s="8"/>
      <c r="O60245" s="8"/>
      <c r="P60245" s="8"/>
      <c r="Q60245" s="8"/>
      <c r="R60245" s="103"/>
      <c r="S60245" s="8"/>
      <c r="T60245" s="8"/>
      <c r="U60245" s="8"/>
      <c r="V60245" s="8"/>
      <c r="W60245" s="8"/>
      <c r="X60245" s="8"/>
      <c r="Y60245" s="8"/>
      <c r="Z60245" s="8"/>
      <c r="AA60245" s="8"/>
    </row>
    <row r="60246" spans="1:27" x14ac:dyDescent="0.25">
      <c r="A60246" s="8"/>
      <c r="B60246" s="8"/>
      <c r="C60246" s="99"/>
      <c r="D60246" s="8"/>
      <c r="E60246" s="8"/>
      <c r="F60246" s="8"/>
      <c r="G60246" s="8"/>
      <c r="H60246" s="8"/>
      <c r="I60246" s="102"/>
      <c r="J60246" s="8"/>
      <c r="K60246" s="8"/>
      <c r="L60246" s="8"/>
      <c r="M60246" s="8"/>
      <c r="N60246" s="8"/>
      <c r="O60246" s="8"/>
      <c r="P60246" s="8"/>
      <c r="Q60246" s="8"/>
      <c r="R60246" s="103"/>
      <c r="S60246" s="8"/>
      <c r="T60246" s="8"/>
      <c r="U60246" s="8"/>
      <c r="V60246" s="8"/>
      <c r="W60246" s="8"/>
      <c r="X60246" s="8"/>
      <c r="Y60246" s="8"/>
      <c r="Z60246" s="8"/>
      <c r="AA60246" s="8"/>
    </row>
    <row r="60247" spans="1:27" x14ac:dyDescent="0.25">
      <c r="A60247" s="8"/>
      <c r="B60247" s="8"/>
      <c r="C60247" s="99"/>
      <c r="D60247" s="8"/>
      <c r="E60247" s="8"/>
      <c r="F60247" s="8"/>
      <c r="G60247" s="8"/>
      <c r="H60247" s="8"/>
      <c r="I60247" s="102"/>
      <c r="J60247" s="8"/>
      <c r="K60247" s="8"/>
      <c r="L60247" s="8"/>
      <c r="M60247" s="8"/>
      <c r="N60247" s="8"/>
      <c r="O60247" s="8"/>
      <c r="P60247" s="8"/>
      <c r="Q60247" s="8"/>
      <c r="R60247" s="103"/>
      <c r="S60247" s="8"/>
      <c r="T60247" s="8"/>
      <c r="U60247" s="8"/>
      <c r="V60247" s="8"/>
      <c r="W60247" s="8"/>
      <c r="X60247" s="8"/>
      <c r="Y60247" s="8"/>
      <c r="Z60247" s="8"/>
      <c r="AA60247" s="8"/>
    </row>
    <row r="60248" spans="1:27" x14ac:dyDescent="0.25">
      <c r="A60248" s="8"/>
      <c r="B60248" s="8"/>
      <c r="C60248" s="99"/>
      <c r="D60248" s="8"/>
      <c r="E60248" s="8"/>
      <c r="F60248" s="8"/>
      <c r="G60248" s="8"/>
      <c r="H60248" s="8"/>
      <c r="I60248" s="102"/>
      <c r="J60248" s="8"/>
      <c r="K60248" s="8"/>
      <c r="L60248" s="8"/>
      <c r="M60248" s="8"/>
      <c r="N60248" s="8"/>
      <c r="O60248" s="8"/>
      <c r="P60248" s="8"/>
      <c r="Q60248" s="8"/>
      <c r="R60248" s="103"/>
      <c r="S60248" s="8"/>
      <c r="T60248" s="8"/>
      <c r="U60248" s="8"/>
      <c r="V60248" s="8"/>
      <c r="W60248" s="8"/>
      <c r="X60248" s="8"/>
      <c r="Y60248" s="8"/>
      <c r="Z60248" s="8"/>
      <c r="AA60248" s="8"/>
    </row>
    <row r="60249" spans="1:27" x14ac:dyDescent="0.25">
      <c r="A60249" s="8"/>
      <c r="B60249" s="8"/>
      <c r="C60249" s="99"/>
      <c r="D60249" s="8"/>
      <c r="E60249" s="8"/>
      <c r="F60249" s="8"/>
      <c r="G60249" s="8"/>
      <c r="H60249" s="8"/>
      <c r="I60249" s="102"/>
      <c r="J60249" s="8"/>
      <c r="K60249" s="8"/>
      <c r="L60249" s="8"/>
      <c r="M60249" s="8"/>
      <c r="N60249" s="8"/>
      <c r="O60249" s="8"/>
      <c r="P60249" s="8"/>
      <c r="Q60249" s="8"/>
      <c r="R60249" s="103"/>
      <c r="S60249" s="8"/>
      <c r="T60249" s="8"/>
      <c r="U60249" s="8"/>
      <c r="V60249" s="8"/>
      <c r="W60249" s="8"/>
      <c r="X60249" s="8"/>
      <c r="Y60249" s="8"/>
      <c r="Z60249" s="8"/>
      <c r="AA60249" s="8"/>
    </row>
    <row r="60250" spans="1:27" x14ac:dyDescent="0.25">
      <c r="A60250" s="8"/>
      <c r="B60250" s="8"/>
      <c r="C60250" s="99"/>
      <c r="D60250" s="8"/>
      <c r="E60250" s="8"/>
      <c r="F60250" s="8"/>
      <c r="G60250" s="8"/>
      <c r="H60250" s="8"/>
      <c r="I60250" s="102"/>
      <c r="J60250" s="8"/>
      <c r="K60250" s="8"/>
      <c r="L60250" s="8"/>
      <c r="M60250" s="8"/>
      <c r="N60250" s="8"/>
      <c r="O60250" s="8"/>
      <c r="P60250" s="8"/>
      <c r="Q60250" s="8"/>
      <c r="R60250" s="103"/>
      <c r="S60250" s="8"/>
      <c r="T60250" s="8"/>
      <c r="U60250" s="8"/>
      <c r="V60250" s="8"/>
      <c r="W60250" s="8"/>
      <c r="X60250" s="8"/>
      <c r="Y60250" s="8"/>
      <c r="Z60250" s="8"/>
      <c r="AA60250" s="8"/>
    </row>
    <row r="60251" spans="1:27" x14ac:dyDescent="0.25">
      <c r="A60251" s="8"/>
      <c r="B60251" s="8"/>
      <c r="C60251" s="99"/>
      <c r="D60251" s="8"/>
      <c r="E60251" s="8"/>
      <c r="F60251" s="8"/>
      <c r="G60251" s="8"/>
      <c r="H60251" s="8"/>
      <c r="I60251" s="102"/>
      <c r="J60251" s="8"/>
      <c r="K60251" s="8"/>
      <c r="L60251" s="8"/>
      <c r="M60251" s="8"/>
      <c r="N60251" s="8"/>
      <c r="O60251" s="8"/>
      <c r="P60251" s="8"/>
      <c r="Q60251" s="8"/>
      <c r="R60251" s="103"/>
      <c r="S60251" s="8"/>
      <c r="T60251" s="8"/>
      <c r="U60251" s="8"/>
      <c r="V60251" s="8"/>
      <c r="W60251" s="8"/>
      <c r="X60251" s="8"/>
      <c r="Y60251" s="8"/>
      <c r="Z60251" s="8"/>
      <c r="AA60251" s="8"/>
    </row>
    <row r="60252" spans="1:27" x14ac:dyDescent="0.25">
      <c r="A60252" s="8"/>
      <c r="B60252" s="8"/>
      <c r="C60252" s="99"/>
      <c r="D60252" s="8"/>
      <c r="E60252" s="8"/>
      <c r="F60252" s="8"/>
      <c r="G60252" s="8"/>
      <c r="H60252" s="8"/>
      <c r="I60252" s="102"/>
      <c r="J60252" s="8"/>
      <c r="K60252" s="8"/>
      <c r="L60252" s="8"/>
      <c r="M60252" s="8"/>
      <c r="N60252" s="8"/>
      <c r="O60252" s="8"/>
      <c r="P60252" s="8"/>
      <c r="Q60252" s="8"/>
      <c r="R60252" s="103"/>
      <c r="S60252" s="8"/>
      <c r="T60252" s="8"/>
      <c r="U60252" s="8"/>
      <c r="V60252" s="8"/>
      <c r="W60252" s="8"/>
      <c r="X60252" s="8"/>
      <c r="Y60252" s="8"/>
      <c r="Z60252" s="8"/>
      <c r="AA60252" s="8"/>
    </row>
    <row r="60253" spans="1:27" x14ac:dyDescent="0.25">
      <c r="A60253" s="8"/>
      <c r="B60253" s="8"/>
      <c r="C60253" s="99"/>
      <c r="D60253" s="8"/>
      <c r="E60253" s="8"/>
      <c r="F60253" s="8"/>
      <c r="G60253" s="8"/>
      <c r="H60253" s="8"/>
      <c r="I60253" s="102"/>
      <c r="J60253" s="8"/>
      <c r="K60253" s="8"/>
      <c r="L60253" s="8"/>
      <c r="M60253" s="8"/>
      <c r="N60253" s="8"/>
      <c r="O60253" s="8"/>
      <c r="P60253" s="8"/>
      <c r="Q60253" s="8"/>
      <c r="R60253" s="103"/>
      <c r="S60253" s="8"/>
      <c r="T60253" s="8"/>
      <c r="U60253" s="8"/>
      <c r="V60253" s="8"/>
      <c r="W60253" s="8"/>
      <c r="X60253" s="8"/>
      <c r="Y60253" s="8"/>
      <c r="Z60253" s="8"/>
      <c r="AA60253" s="8"/>
    </row>
    <row r="60254" spans="1:27" x14ac:dyDescent="0.25">
      <c r="A60254" s="8"/>
      <c r="B60254" s="8"/>
      <c r="C60254" s="99"/>
      <c r="D60254" s="8"/>
      <c r="E60254" s="8"/>
      <c r="F60254" s="8"/>
      <c r="G60254" s="8"/>
      <c r="H60254" s="8"/>
      <c r="I60254" s="102"/>
      <c r="J60254" s="8"/>
      <c r="K60254" s="8"/>
      <c r="L60254" s="8"/>
      <c r="M60254" s="8"/>
      <c r="N60254" s="8"/>
      <c r="O60254" s="8"/>
      <c r="P60254" s="8"/>
      <c r="Q60254" s="8"/>
      <c r="R60254" s="103"/>
      <c r="S60254" s="8"/>
      <c r="T60254" s="8"/>
      <c r="U60254" s="8"/>
      <c r="V60254" s="8"/>
      <c r="W60254" s="8"/>
      <c r="X60254" s="8"/>
      <c r="Y60254" s="8"/>
      <c r="Z60254" s="8"/>
      <c r="AA60254" s="8"/>
    </row>
    <row r="60255" spans="1:27" x14ac:dyDescent="0.25">
      <c r="A60255" s="8"/>
      <c r="B60255" s="8"/>
      <c r="C60255" s="99"/>
      <c r="D60255" s="8"/>
      <c r="E60255" s="8"/>
      <c r="F60255" s="8"/>
      <c r="G60255" s="8"/>
      <c r="H60255" s="8"/>
      <c r="I60255" s="102"/>
      <c r="J60255" s="8"/>
      <c r="K60255" s="8"/>
      <c r="L60255" s="8"/>
      <c r="M60255" s="8"/>
      <c r="N60255" s="8"/>
      <c r="O60255" s="8"/>
      <c r="P60255" s="8"/>
      <c r="Q60255" s="8"/>
      <c r="R60255" s="103"/>
      <c r="S60255" s="8"/>
      <c r="T60255" s="8"/>
      <c r="U60255" s="8"/>
      <c r="V60255" s="8"/>
      <c r="W60255" s="8"/>
      <c r="X60255" s="8"/>
      <c r="Y60255" s="8"/>
      <c r="Z60255" s="8"/>
      <c r="AA60255" s="8"/>
    </row>
    <row r="60256" spans="1:27" x14ac:dyDescent="0.25">
      <c r="A60256" s="8"/>
      <c r="B60256" s="8"/>
      <c r="C60256" s="99"/>
      <c r="D60256" s="8"/>
      <c r="E60256" s="8"/>
      <c r="F60256" s="8"/>
      <c r="G60256" s="8"/>
      <c r="H60256" s="8"/>
      <c r="I60256" s="102"/>
      <c r="J60256" s="8"/>
      <c r="K60256" s="8"/>
      <c r="L60256" s="8"/>
      <c r="M60256" s="8"/>
      <c r="N60256" s="8"/>
      <c r="O60256" s="8"/>
      <c r="P60256" s="8"/>
      <c r="Q60256" s="8"/>
      <c r="R60256" s="103"/>
      <c r="S60256" s="8"/>
      <c r="T60256" s="8"/>
      <c r="U60256" s="8"/>
      <c r="V60256" s="8"/>
      <c r="W60256" s="8"/>
      <c r="X60256" s="8"/>
      <c r="Y60256" s="8"/>
      <c r="Z60256" s="8"/>
      <c r="AA60256" s="8"/>
    </row>
    <row r="60257" spans="1:27" x14ac:dyDescent="0.25">
      <c r="A60257" s="8"/>
      <c r="B60257" s="8"/>
      <c r="C60257" s="99"/>
      <c r="D60257" s="8"/>
      <c r="E60257" s="8"/>
      <c r="F60257" s="8"/>
      <c r="G60257" s="8"/>
      <c r="H60257" s="8"/>
      <c r="I60257" s="102"/>
      <c r="J60257" s="8"/>
      <c r="K60257" s="8"/>
      <c r="L60257" s="8"/>
      <c r="M60257" s="8"/>
      <c r="N60257" s="8"/>
      <c r="O60257" s="8"/>
      <c r="P60257" s="8"/>
      <c r="Q60257" s="8"/>
      <c r="R60257" s="103"/>
      <c r="S60257" s="8"/>
      <c r="T60257" s="8"/>
      <c r="U60257" s="8"/>
      <c r="V60257" s="8"/>
      <c r="W60257" s="8"/>
      <c r="X60257" s="8"/>
      <c r="Y60257" s="8"/>
      <c r="Z60257" s="8"/>
      <c r="AA60257" s="8"/>
    </row>
    <row r="60258" spans="1:27" x14ac:dyDescent="0.25">
      <c r="A60258" s="8"/>
      <c r="B60258" s="8"/>
      <c r="C60258" s="99"/>
      <c r="D60258" s="8"/>
      <c r="E60258" s="8"/>
      <c r="F60258" s="8"/>
      <c r="G60258" s="8"/>
      <c r="H60258" s="8"/>
      <c r="I60258" s="102"/>
      <c r="J60258" s="8"/>
      <c r="K60258" s="8"/>
      <c r="L60258" s="8"/>
      <c r="M60258" s="8"/>
      <c r="N60258" s="8"/>
      <c r="O60258" s="8"/>
      <c r="P60258" s="8"/>
      <c r="Q60258" s="8"/>
      <c r="R60258" s="103"/>
      <c r="S60258" s="8"/>
      <c r="T60258" s="8"/>
      <c r="U60258" s="8"/>
      <c r="V60258" s="8"/>
      <c r="W60258" s="8"/>
      <c r="X60258" s="8"/>
      <c r="Y60258" s="8"/>
      <c r="Z60258" s="8"/>
      <c r="AA60258" s="8"/>
    </row>
    <row r="60259" spans="1:27" x14ac:dyDescent="0.25">
      <c r="A60259" s="8"/>
      <c r="B60259" s="8"/>
      <c r="C60259" s="99"/>
      <c r="D60259" s="8"/>
      <c r="E60259" s="8"/>
      <c r="F60259" s="8"/>
      <c r="G60259" s="8"/>
      <c r="H60259" s="8"/>
      <c r="I60259" s="102"/>
      <c r="J60259" s="8"/>
      <c r="K60259" s="8"/>
      <c r="L60259" s="8"/>
      <c r="M60259" s="8"/>
      <c r="N60259" s="8"/>
      <c r="O60259" s="8"/>
      <c r="P60259" s="8"/>
      <c r="Q60259" s="8"/>
      <c r="R60259" s="103"/>
      <c r="S60259" s="8"/>
      <c r="T60259" s="8"/>
      <c r="U60259" s="8"/>
      <c r="V60259" s="8"/>
      <c r="W60259" s="8"/>
      <c r="X60259" s="8"/>
      <c r="Y60259" s="8"/>
      <c r="Z60259" s="8"/>
      <c r="AA60259" s="8"/>
    </row>
    <row r="60260" spans="1:27" x14ac:dyDescent="0.25">
      <c r="A60260" s="8"/>
      <c r="B60260" s="8"/>
      <c r="C60260" s="99"/>
      <c r="D60260" s="8"/>
      <c r="E60260" s="8"/>
      <c r="F60260" s="8"/>
      <c r="G60260" s="8"/>
      <c r="H60260" s="8"/>
      <c r="I60260" s="102"/>
      <c r="J60260" s="8"/>
      <c r="K60260" s="8"/>
      <c r="L60260" s="8"/>
      <c r="M60260" s="8"/>
      <c r="N60260" s="8"/>
      <c r="O60260" s="8"/>
      <c r="P60260" s="8"/>
      <c r="Q60260" s="8"/>
      <c r="R60260" s="103"/>
      <c r="S60260" s="8"/>
      <c r="T60260" s="8"/>
      <c r="U60260" s="8"/>
      <c r="V60260" s="8"/>
      <c r="W60260" s="8"/>
      <c r="X60260" s="8"/>
      <c r="Y60260" s="8"/>
      <c r="Z60260" s="8"/>
      <c r="AA60260" s="8"/>
    </row>
    <row r="60261" spans="1:27" x14ac:dyDescent="0.25">
      <c r="A60261" s="8"/>
      <c r="B60261" s="8"/>
      <c r="C60261" s="99"/>
      <c r="D60261" s="8"/>
      <c r="E60261" s="8"/>
      <c r="F60261" s="8"/>
      <c r="G60261" s="8"/>
      <c r="H60261" s="8"/>
      <c r="I60261" s="102"/>
      <c r="J60261" s="8"/>
      <c r="K60261" s="8"/>
      <c r="L60261" s="8"/>
      <c r="M60261" s="8"/>
      <c r="N60261" s="8"/>
      <c r="O60261" s="8"/>
      <c r="P60261" s="8"/>
      <c r="Q60261" s="8"/>
      <c r="R60261" s="103"/>
      <c r="S60261" s="8"/>
      <c r="T60261" s="8"/>
      <c r="U60261" s="8"/>
      <c r="V60261" s="8"/>
      <c r="W60261" s="8"/>
      <c r="X60261" s="8"/>
      <c r="Y60261" s="8"/>
      <c r="Z60261" s="8"/>
      <c r="AA60261" s="8"/>
    </row>
    <row r="60262" spans="1:27" x14ac:dyDescent="0.25">
      <c r="A60262" s="8"/>
      <c r="B60262" s="8"/>
      <c r="C60262" s="99"/>
      <c r="D60262" s="8"/>
      <c r="E60262" s="8"/>
      <c r="F60262" s="8"/>
      <c r="G60262" s="8"/>
      <c r="H60262" s="8"/>
      <c r="I60262" s="102"/>
      <c r="J60262" s="8"/>
      <c r="K60262" s="8"/>
      <c r="L60262" s="8"/>
      <c r="M60262" s="8"/>
      <c r="N60262" s="8"/>
      <c r="O60262" s="8"/>
      <c r="P60262" s="8"/>
      <c r="Q60262" s="8"/>
      <c r="R60262" s="103"/>
      <c r="S60262" s="8"/>
      <c r="T60262" s="8"/>
      <c r="U60262" s="8"/>
      <c r="V60262" s="8"/>
      <c r="W60262" s="8"/>
      <c r="X60262" s="8"/>
      <c r="Y60262" s="8"/>
      <c r="Z60262" s="8"/>
      <c r="AA60262" s="8"/>
    </row>
    <row r="60263" spans="1:27" x14ac:dyDescent="0.25">
      <c r="A60263" s="8"/>
      <c r="B60263" s="8"/>
      <c r="C60263" s="99"/>
      <c r="D60263" s="8"/>
      <c r="E60263" s="8"/>
      <c r="F60263" s="8"/>
      <c r="G60263" s="8"/>
      <c r="H60263" s="8"/>
      <c r="I60263" s="102"/>
      <c r="J60263" s="8"/>
      <c r="K60263" s="8"/>
      <c r="L60263" s="8"/>
      <c r="M60263" s="8"/>
      <c r="N60263" s="8"/>
      <c r="O60263" s="8"/>
      <c r="P60263" s="8"/>
      <c r="Q60263" s="8"/>
      <c r="R60263" s="103"/>
      <c r="S60263" s="8"/>
      <c r="T60263" s="8"/>
      <c r="U60263" s="8"/>
      <c r="V60263" s="8"/>
      <c r="W60263" s="8"/>
      <c r="X60263" s="8"/>
      <c r="Y60263" s="8"/>
      <c r="Z60263" s="8"/>
      <c r="AA60263" s="8"/>
    </row>
    <row r="60264" spans="1:27" x14ac:dyDescent="0.25">
      <c r="A60264" s="8"/>
      <c r="B60264" s="8"/>
      <c r="C60264" s="99"/>
      <c r="D60264" s="8"/>
      <c r="E60264" s="8"/>
      <c r="F60264" s="8"/>
      <c r="G60264" s="8"/>
      <c r="H60264" s="8"/>
      <c r="I60264" s="102"/>
      <c r="J60264" s="8"/>
      <c r="K60264" s="8"/>
      <c r="L60264" s="8"/>
      <c r="M60264" s="8"/>
      <c r="N60264" s="8"/>
      <c r="O60264" s="8"/>
      <c r="P60264" s="8"/>
      <c r="Q60264" s="8"/>
      <c r="R60264" s="103"/>
      <c r="S60264" s="8"/>
      <c r="T60264" s="8"/>
      <c r="U60264" s="8"/>
      <c r="V60264" s="8"/>
      <c r="W60264" s="8"/>
      <c r="X60264" s="8"/>
      <c r="Y60264" s="8"/>
      <c r="Z60264" s="8"/>
      <c r="AA60264" s="8"/>
    </row>
    <row r="60265" spans="1:27" x14ac:dyDescent="0.25">
      <c r="A60265" s="8"/>
      <c r="B60265" s="8"/>
      <c r="C60265" s="99"/>
      <c r="D60265" s="8"/>
      <c r="E60265" s="8"/>
      <c r="F60265" s="8"/>
      <c r="G60265" s="8"/>
      <c r="H60265" s="8"/>
      <c r="I60265" s="102"/>
      <c r="J60265" s="8"/>
      <c r="K60265" s="8"/>
      <c r="L60265" s="8"/>
      <c r="M60265" s="8"/>
      <c r="N60265" s="8"/>
      <c r="O60265" s="8"/>
      <c r="P60265" s="8"/>
      <c r="Q60265" s="8"/>
      <c r="R60265" s="103"/>
      <c r="S60265" s="8"/>
      <c r="T60265" s="8"/>
      <c r="U60265" s="8"/>
      <c r="V60265" s="8"/>
      <c r="W60265" s="8"/>
      <c r="X60265" s="8"/>
      <c r="Y60265" s="8"/>
      <c r="Z60265" s="8"/>
      <c r="AA60265" s="8"/>
    </row>
    <row r="60266" spans="1:27" x14ac:dyDescent="0.25">
      <c r="A60266" s="8"/>
      <c r="B60266" s="8"/>
      <c r="C60266" s="99"/>
      <c r="D60266" s="8"/>
      <c r="E60266" s="8"/>
      <c r="F60266" s="8"/>
      <c r="G60266" s="8"/>
      <c r="H60266" s="8"/>
      <c r="I60266" s="102"/>
      <c r="J60266" s="8"/>
      <c r="K60266" s="8"/>
      <c r="L60266" s="8"/>
      <c r="M60266" s="8"/>
      <c r="N60266" s="8"/>
      <c r="O60266" s="8"/>
      <c r="P60266" s="8"/>
      <c r="Q60266" s="8"/>
      <c r="R60266" s="103"/>
      <c r="S60266" s="8"/>
      <c r="T60266" s="8"/>
      <c r="U60266" s="8"/>
      <c r="V60266" s="8"/>
      <c r="W60266" s="8"/>
      <c r="X60266" s="8"/>
      <c r="Y60266" s="8"/>
      <c r="Z60266" s="8"/>
      <c r="AA60266" s="8"/>
    </row>
    <row r="60267" spans="1:27" x14ac:dyDescent="0.25">
      <c r="A60267" s="8"/>
      <c r="B60267" s="8"/>
      <c r="C60267" s="99"/>
      <c r="D60267" s="8"/>
      <c r="E60267" s="8"/>
      <c r="F60267" s="8"/>
      <c r="G60267" s="8"/>
      <c r="H60267" s="8"/>
      <c r="I60267" s="102"/>
      <c r="J60267" s="8"/>
      <c r="K60267" s="8"/>
      <c r="L60267" s="8"/>
      <c r="M60267" s="8"/>
      <c r="N60267" s="8"/>
      <c r="O60267" s="8"/>
      <c r="P60267" s="8"/>
      <c r="Q60267" s="8"/>
      <c r="R60267" s="103"/>
      <c r="S60267" s="8"/>
      <c r="T60267" s="8"/>
      <c r="U60267" s="8"/>
      <c r="V60267" s="8"/>
      <c r="W60267" s="8"/>
      <c r="X60267" s="8"/>
      <c r="Y60267" s="8"/>
      <c r="Z60267" s="8"/>
      <c r="AA60267" s="8"/>
    </row>
    <row r="60268" spans="1:27" x14ac:dyDescent="0.25">
      <c r="A60268" s="8"/>
      <c r="B60268" s="8"/>
      <c r="C60268" s="99"/>
      <c r="D60268" s="8"/>
      <c r="E60268" s="8"/>
      <c r="F60268" s="8"/>
      <c r="G60268" s="8"/>
      <c r="H60268" s="8"/>
      <c r="I60268" s="102"/>
      <c r="J60268" s="8"/>
      <c r="K60268" s="8"/>
      <c r="L60268" s="8"/>
      <c r="M60268" s="8"/>
      <c r="N60268" s="8"/>
      <c r="O60268" s="8"/>
      <c r="P60268" s="8"/>
      <c r="Q60268" s="8"/>
      <c r="R60268" s="103"/>
      <c r="S60268" s="8"/>
      <c r="T60268" s="8"/>
      <c r="U60268" s="8"/>
      <c r="V60268" s="8"/>
      <c r="W60268" s="8"/>
      <c r="X60268" s="8"/>
      <c r="Y60268" s="8"/>
      <c r="Z60268" s="8"/>
      <c r="AA60268" s="8"/>
    </row>
    <row r="60269" spans="1:27" x14ac:dyDescent="0.25">
      <c r="A60269" s="8"/>
      <c r="B60269" s="8"/>
      <c r="C60269" s="99"/>
      <c r="D60269" s="8"/>
      <c r="E60269" s="8"/>
      <c r="F60269" s="8"/>
      <c r="G60269" s="8"/>
      <c r="H60269" s="8"/>
      <c r="I60269" s="102"/>
      <c r="J60269" s="8"/>
      <c r="K60269" s="8"/>
      <c r="L60269" s="8"/>
      <c r="M60269" s="8"/>
      <c r="N60269" s="8"/>
      <c r="O60269" s="8"/>
      <c r="P60269" s="8"/>
      <c r="Q60269" s="8"/>
      <c r="R60269" s="103"/>
      <c r="S60269" s="8"/>
      <c r="T60269" s="8"/>
      <c r="U60269" s="8"/>
      <c r="V60269" s="8"/>
      <c r="W60269" s="8"/>
      <c r="X60269" s="8"/>
      <c r="Y60269" s="8"/>
      <c r="Z60269" s="8"/>
      <c r="AA60269" s="8"/>
    </row>
    <row r="60270" spans="1:27" x14ac:dyDescent="0.25">
      <c r="A60270" s="8"/>
      <c r="B60270" s="8"/>
      <c r="C60270" s="99"/>
      <c r="D60270" s="8"/>
      <c r="E60270" s="8"/>
      <c r="F60270" s="8"/>
      <c r="G60270" s="8"/>
      <c r="H60270" s="8"/>
      <c r="I60270" s="102"/>
      <c r="J60270" s="8"/>
      <c r="K60270" s="8"/>
      <c r="L60270" s="8"/>
      <c r="M60270" s="8"/>
      <c r="N60270" s="8"/>
      <c r="O60270" s="8"/>
      <c r="P60270" s="8"/>
      <c r="Q60270" s="8"/>
      <c r="R60270" s="103"/>
      <c r="S60270" s="8"/>
      <c r="T60270" s="8"/>
      <c r="U60270" s="8"/>
      <c r="V60270" s="8"/>
      <c r="W60270" s="8"/>
      <c r="X60270" s="8"/>
      <c r="Y60270" s="8"/>
      <c r="Z60270" s="8"/>
      <c r="AA60270" s="8"/>
    </row>
    <row r="60271" spans="1:27" x14ac:dyDescent="0.25">
      <c r="A60271" s="8"/>
      <c r="B60271" s="8"/>
      <c r="C60271" s="99"/>
      <c r="D60271" s="8"/>
      <c r="E60271" s="8"/>
      <c r="F60271" s="8"/>
      <c r="G60271" s="8"/>
      <c r="H60271" s="8"/>
      <c r="I60271" s="102"/>
      <c r="J60271" s="8"/>
      <c r="K60271" s="8"/>
      <c r="L60271" s="8"/>
      <c r="M60271" s="8"/>
      <c r="N60271" s="8"/>
      <c r="O60271" s="8"/>
      <c r="P60271" s="8"/>
      <c r="Q60271" s="8"/>
      <c r="R60271" s="103"/>
      <c r="S60271" s="8"/>
      <c r="T60271" s="8"/>
      <c r="U60271" s="8"/>
      <c r="V60271" s="8"/>
      <c r="W60271" s="8"/>
      <c r="X60271" s="8"/>
      <c r="Y60271" s="8"/>
      <c r="Z60271" s="8"/>
      <c r="AA60271" s="8"/>
    </row>
    <row r="60272" spans="1:27" x14ac:dyDescent="0.25">
      <c r="A60272" s="8"/>
      <c r="B60272" s="8"/>
      <c r="C60272" s="99"/>
      <c r="D60272" s="8"/>
      <c r="E60272" s="8"/>
      <c r="F60272" s="8"/>
      <c r="G60272" s="8"/>
      <c r="H60272" s="8"/>
      <c r="I60272" s="102"/>
      <c r="J60272" s="8"/>
      <c r="K60272" s="8"/>
      <c r="L60272" s="8"/>
      <c r="M60272" s="8"/>
      <c r="N60272" s="8"/>
      <c r="O60272" s="8"/>
      <c r="P60272" s="8"/>
      <c r="Q60272" s="8"/>
      <c r="R60272" s="103"/>
      <c r="S60272" s="8"/>
      <c r="T60272" s="8"/>
      <c r="U60272" s="8"/>
      <c r="V60272" s="8"/>
      <c r="W60272" s="8"/>
      <c r="X60272" s="8"/>
      <c r="Y60272" s="8"/>
      <c r="Z60272" s="8"/>
      <c r="AA60272" s="8"/>
    </row>
    <row r="60273" spans="1:27" x14ac:dyDescent="0.25">
      <c r="A60273" s="8"/>
      <c r="B60273" s="8"/>
      <c r="C60273" s="99"/>
      <c r="D60273" s="8"/>
      <c r="E60273" s="8"/>
      <c r="F60273" s="8"/>
      <c r="G60273" s="8"/>
      <c r="H60273" s="8"/>
      <c r="I60273" s="102"/>
      <c r="J60273" s="8"/>
      <c r="K60273" s="8"/>
      <c r="L60273" s="8"/>
      <c r="M60273" s="8"/>
      <c r="N60273" s="8"/>
      <c r="O60273" s="8"/>
      <c r="P60273" s="8"/>
      <c r="Q60273" s="8"/>
      <c r="R60273" s="103"/>
      <c r="S60273" s="8"/>
      <c r="T60273" s="8"/>
      <c r="U60273" s="8"/>
      <c r="V60273" s="8"/>
      <c r="W60273" s="8"/>
      <c r="X60273" s="8"/>
      <c r="Y60273" s="8"/>
      <c r="Z60273" s="8"/>
      <c r="AA60273" s="8"/>
    </row>
    <row r="60274" spans="1:27" x14ac:dyDescent="0.25">
      <c r="A60274" s="8"/>
      <c r="B60274" s="8"/>
      <c r="C60274" s="99"/>
      <c r="D60274" s="8"/>
      <c r="E60274" s="8"/>
      <c r="F60274" s="8"/>
      <c r="G60274" s="8"/>
      <c r="H60274" s="8"/>
      <c r="I60274" s="102"/>
      <c r="J60274" s="8"/>
      <c r="K60274" s="8"/>
      <c r="L60274" s="8"/>
      <c r="M60274" s="8"/>
      <c r="N60274" s="8"/>
      <c r="O60274" s="8"/>
      <c r="P60274" s="8"/>
      <c r="Q60274" s="8"/>
      <c r="R60274" s="103"/>
      <c r="S60274" s="8"/>
      <c r="T60274" s="8"/>
      <c r="U60274" s="8"/>
      <c r="V60274" s="8"/>
      <c r="W60274" s="8"/>
      <c r="X60274" s="8"/>
      <c r="Y60274" s="8"/>
      <c r="Z60274" s="8"/>
      <c r="AA60274" s="8"/>
    </row>
    <row r="60275" spans="1:27" x14ac:dyDescent="0.25">
      <c r="A60275" s="8"/>
      <c r="B60275" s="8"/>
      <c r="C60275" s="99"/>
      <c r="D60275" s="8"/>
      <c r="E60275" s="8"/>
      <c r="F60275" s="8"/>
      <c r="G60275" s="8"/>
      <c r="H60275" s="8"/>
      <c r="I60275" s="102"/>
      <c r="J60275" s="8"/>
      <c r="K60275" s="8"/>
      <c r="L60275" s="8"/>
      <c r="M60275" s="8"/>
      <c r="N60275" s="8"/>
      <c r="O60275" s="8"/>
      <c r="P60275" s="8"/>
      <c r="Q60275" s="8"/>
      <c r="R60275" s="103"/>
      <c r="S60275" s="8"/>
      <c r="T60275" s="8"/>
      <c r="U60275" s="8"/>
      <c r="V60275" s="8"/>
      <c r="W60275" s="8"/>
      <c r="X60275" s="8"/>
      <c r="Y60275" s="8"/>
      <c r="Z60275" s="8"/>
      <c r="AA60275" s="8"/>
    </row>
    <row r="60276" spans="1:27" x14ac:dyDescent="0.25">
      <c r="A60276" s="8"/>
      <c r="B60276" s="8"/>
      <c r="C60276" s="99"/>
      <c r="D60276" s="8"/>
      <c r="E60276" s="8"/>
      <c r="F60276" s="8"/>
      <c r="G60276" s="8"/>
      <c r="H60276" s="8"/>
      <c r="I60276" s="102"/>
      <c r="J60276" s="8"/>
      <c r="K60276" s="8"/>
      <c r="L60276" s="8"/>
      <c r="M60276" s="8"/>
      <c r="N60276" s="8"/>
      <c r="O60276" s="8"/>
      <c r="P60276" s="8"/>
      <c r="Q60276" s="8"/>
      <c r="R60276" s="103"/>
      <c r="S60276" s="8"/>
      <c r="T60276" s="8"/>
      <c r="U60276" s="8"/>
      <c r="V60276" s="8"/>
      <c r="W60276" s="8"/>
      <c r="X60276" s="8"/>
      <c r="Y60276" s="8"/>
      <c r="Z60276" s="8"/>
      <c r="AA60276" s="8"/>
    </row>
    <row r="60277" spans="1:27" x14ac:dyDescent="0.25">
      <c r="A60277" s="8"/>
      <c r="B60277" s="8"/>
      <c r="C60277" s="99"/>
      <c r="D60277" s="8"/>
      <c r="E60277" s="8"/>
      <c r="F60277" s="8"/>
      <c r="G60277" s="8"/>
      <c r="H60277" s="8"/>
      <c r="I60277" s="102"/>
      <c r="J60277" s="8"/>
      <c r="K60277" s="8"/>
      <c r="L60277" s="8"/>
      <c r="M60277" s="8"/>
      <c r="N60277" s="8"/>
      <c r="O60277" s="8"/>
      <c r="P60277" s="8"/>
      <c r="Q60277" s="8"/>
      <c r="R60277" s="103"/>
      <c r="S60277" s="8"/>
      <c r="T60277" s="8"/>
      <c r="U60277" s="8"/>
      <c r="V60277" s="8"/>
      <c r="W60277" s="8"/>
      <c r="X60277" s="8"/>
      <c r="Y60277" s="8"/>
      <c r="Z60277" s="8"/>
      <c r="AA60277" s="8"/>
    </row>
    <row r="60278" spans="1:27" x14ac:dyDescent="0.25">
      <c r="A60278" s="8"/>
      <c r="B60278" s="8"/>
      <c r="C60278" s="99"/>
      <c r="D60278" s="8"/>
      <c r="E60278" s="8"/>
      <c r="F60278" s="8"/>
      <c r="G60278" s="8"/>
      <c r="H60278" s="8"/>
      <c r="I60278" s="102"/>
      <c r="J60278" s="8"/>
      <c r="K60278" s="8"/>
      <c r="L60278" s="8"/>
      <c r="M60278" s="8"/>
      <c r="N60278" s="8"/>
      <c r="O60278" s="8"/>
      <c r="P60278" s="8"/>
      <c r="Q60278" s="8"/>
      <c r="R60278" s="103"/>
      <c r="S60278" s="8"/>
      <c r="T60278" s="8"/>
      <c r="U60278" s="8"/>
      <c r="V60278" s="8"/>
      <c r="W60278" s="8"/>
      <c r="X60278" s="8"/>
      <c r="Y60278" s="8"/>
      <c r="Z60278" s="8"/>
      <c r="AA60278" s="8"/>
    </row>
    <row r="60279" spans="1:27" x14ac:dyDescent="0.25">
      <c r="A60279" s="8"/>
      <c r="B60279" s="8"/>
      <c r="C60279" s="99"/>
      <c r="D60279" s="8"/>
      <c r="E60279" s="8"/>
      <c r="F60279" s="8"/>
      <c r="G60279" s="8"/>
      <c r="H60279" s="8"/>
      <c r="I60279" s="102"/>
      <c r="J60279" s="8"/>
      <c r="K60279" s="8"/>
      <c r="L60279" s="8"/>
      <c r="M60279" s="8"/>
      <c r="N60279" s="8"/>
      <c r="O60279" s="8"/>
      <c r="P60279" s="8"/>
      <c r="Q60279" s="8"/>
      <c r="R60279" s="103"/>
      <c r="S60279" s="8"/>
      <c r="T60279" s="8"/>
      <c r="U60279" s="8"/>
      <c r="V60279" s="8"/>
      <c r="W60279" s="8"/>
      <c r="X60279" s="8"/>
      <c r="Y60279" s="8"/>
      <c r="Z60279" s="8"/>
      <c r="AA60279" s="8"/>
    </row>
    <row r="60280" spans="1:27" x14ac:dyDescent="0.25">
      <c r="A60280" s="8"/>
      <c r="B60280" s="8"/>
      <c r="C60280" s="99"/>
      <c r="D60280" s="8"/>
      <c r="E60280" s="8"/>
      <c r="F60280" s="8"/>
      <c r="G60280" s="8"/>
      <c r="H60280" s="8"/>
      <c r="I60280" s="102"/>
      <c r="J60280" s="8"/>
      <c r="K60280" s="8"/>
      <c r="L60280" s="8"/>
      <c r="M60280" s="8"/>
      <c r="N60280" s="8"/>
      <c r="O60280" s="8"/>
      <c r="P60280" s="8"/>
      <c r="Q60280" s="8"/>
      <c r="R60280" s="103"/>
      <c r="S60280" s="8"/>
      <c r="T60280" s="8"/>
      <c r="U60280" s="8"/>
      <c r="V60280" s="8"/>
      <c r="W60280" s="8"/>
      <c r="X60280" s="8"/>
      <c r="Y60280" s="8"/>
      <c r="Z60280" s="8"/>
      <c r="AA60280" s="8"/>
    </row>
    <row r="60281" spans="1:27" x14ac:dyDescent="0.25">
      <c r="A60281" s="8"/>
      <c r="B60281" s="8"/>
      <c r="C60281" s="99"/>
      <c r="D60281" s="8"/>
      <c r="E60281" s="8"/>
      <c r="F60281" s="8"/>
      <c r="G60281" s="8"/>
      <c r="H60281" s="8"/>
      <c r="I60281" s="102"/>
      <c r="J60281" s="8"/>
      <c r="K60281" s="8"/>
      <c r="L60281" s="8"/>
      <c r="M60281" s="8"/>
      <c r="N60281" s="8"/>
      <c r="O60281" s="8"/>
      <c r="P60281" s="8"/>
      <c r="Q60281" s="8"/>
      <c r="R60281" s="103"/>
      <c r="S60281" s="8"/>
      <c r="T60281" s="8"/>
      <c r="U60281" s="8"/>
      <c r="V60281" s="8"/>
      <c r="W60281" s="8"/>
      <c r="X60281" s="8"/>
      <c r="Y60281" s="8"/>
      <c r="Z60281" s="8"/>
      <c r="AA60281" s="8"/>
    </row>
    <row r="60282" spans="1:27" x14ac:dyDescent="0.25">
      <c r="A60282" s="8"/>
      <c r="B60282" s="8"/>
      <c r="C60282" s="99"/>
      <c r="D60282" s="8"/>
      <c r="E60282" s="8"/>
      <c r="F60282" s="8"/>
      <c r="G60282" s="8"/>
      <c r="H60282" s="8"/>
      <c r="I60282" s="102"/>
      <c r="J60282" s="8"/>
      <c r="K60282" s="8"/>
      <c r="L60282" s="8"/>
      <c r="M60282" s="8"/>
      <c r="N60282" s="8"/>
      <c r="O60282" s="8"/>
      <c r="P60282" s="8"/>
      <c r="Q60282" s="8"/>
      <c r="R60282" s="103"/>
      <c r="S60282" s="8"/>
      <c r="T60282" s="8"/>
      <c r="U60282" s="8"/>
      <c r="V60282" s="8"/>
      <c r="W60282" s="8"/>
      <c r="X60282" s="8"/>
      <c r="Y60282" s="8"/>
      <c r="Z60282" s="8"/>
      <c r="AA60282" s="8"/>
    </row>
    <row r="60283" spans="1:27" x14ac:dyDescent="0.25">
      <c r="A60283" s="8"/>
      <c r="B60283" s="8"/>
      <c r="C60283" s="99"/>
      <c r="D60283" s="8"/>
      <c r="E60283" s="8"/>
      <c r="F60283" s="8"/>
      <c r="G60283" s="8"/>
      <c r="H60283" s="8"/>
      <c r="I60283" s="102"/>
      <c r="J60283" s="8"/>
      <c r="K60283" s="8"/>
      <c r="L60283" s="8"/>
      <c r="M60283" s="8"/>
      <c r="N60283" s="8"/>
      <c r="O60283" s="8"/>
      <c r="P60283" s="8"/>
      <c r="Q60283" s="8"/>
      <c r="R60283" s="103"/>
      <c r="S60283" s="8"/>
      <c r="T60283" s="8"/>
      <c r="U60283" s="8"/>
      <c r="V60283" s="8"/>
      <c r="W60283" s="8"/>
      <c r="X60283" s="8"/>
      <c r="Y60283" s="8"/>
      <c r="Z60283" s="8"/>
      <c r="AA60283" s="8"/>
    </row>
    <row r="60284" spans="1:27" x14ac:dyDescent="0.25">
      <c r="A60284" s="8"/>
      <c r="B60284" s="8"/>
      <c r="C60284" s="99"/>
      <c r="D60284" s="8"/>
      <c r="E60284" s="8"/>
      <c r="F60284" s="8"/>
      <c r="G60284" s="8"/>
      <c r="H60284" s="8"/>
      <c r="I60284" s="102"/>
      <c r="J60284" s="8"/>
      <c r="K60284" s="8"/>
      <c r="L60284" s="8"/>
      <c r="M60284" s="8"/>
      <c r="N60284" s="8"/>
      <c r="O60284" s="8"/>
      <c r="P60284" s="8"/>
      <c r="Q60284" s="8"/>
      <c r="R60284" s="103"/>
      <c r="S60284" s="8"/>
      <c r="T60284" s="8"/>
      <c r="U60284" s="8"/>
      <c r="V60284" s="8"/>
      <c r="W60284" s="8"/>
      <c r="X60284" s="8"/>
      <c r="Y60284" s="8"/>
      <c r="Z60284" s="8"/>
      <c r="AA60284" s="8"/>
    </row>
    <row r="60285" spans="1:27" x14ac:dyDescent="0.25">
      <c r="A60285" s="8"/>
      <c r="B60285" s="8"/>
      <c r="C60285" s="99"/>
      <c r="D60285" s="8"/>
      <c r="E60285" s="8"/>
      <c r="F60285" s="8"/>
      <c r="G60285" s="8"/>
      <c r="H60285" s="8"/>
      <c r="I60285" s="102"/>
      <c r="J60285" s="8"/>
      <c r="K60285" s="8"/>
      <c r="L60285" s="8"/>
      <c r="M60285" s="8"/>
      <c r="N60285" s="8"/>
      <c r="O60285" s="8"/>
      <c r="P60285" s="8"/>
      <c r="Q60285" s="8"/>
      <c r="R60285" s="103"/>
      <c r="S60285" s="8"/>
      <c r="T60285" s="8"/>
      <c r="U60285" s="8"/>
      <c r="V60285" s="8"/>
      <c r="W60285" s="8"/>
      <c r="X60285" s="8"/>
      <c r="Y60285" s="8"/>
      <c r="Z60285" s="8"/>
      <c r="AA60285" s="8"/>
    </row>
    <row r="60286" spans="1:27" x14ac:dyDescent="0.25">
      <c r="A60286" s="8"/>
      <c r="B60286" s="8"/>
      <c r="C60286" s="99"/>
      <c r="D60286" s="8"/>
      <c r="E60286" s="8"/>
      <c r="F60286" s="8"/>
      <c r="G60286" s="8"/>
      <c r="H60286" s="8"/>
      <c r="I60286" s="102"/>
      <c r="J60286" s="8"/>
      <c r="K60286" s="8"/>
      <c r="L60286" s="8"/>
      <c r="M60286" s="8"/>
      <c r="N60286" s="8"/>
      <c r="O60286" s="8"/>
      <c r="P60286" s="8"/>
      <c r="Q60286" s="8"/>
      <c r="R60286" s="103"/>
      <c r="S60286" s="8"/>
      <c r="T60286" s="8"/>
      <c r="U60286" s="8"/>
      <c r="V60286" s="8"/>
      <c r="W60286" s="8"/>
      <c r="X60286" s="8"/>
      <c r="Y60286" s="8"/>
      <c r="Z60286" s="8"/>
      <c r="AA60286" s="8"/>
    </row>
    <row r="60287" spans="1:27" x14ac:dyDescent="0.25">
      <c r="A60287" s="8"/>
      <c r="B60287" s="8"/>
      <c r="C60287" s="99"/>
      <c r="D60287" s="8"/>
      <c r="E60287" s="8"/>
      <c r="F60287" s="8"/>
      <c r="G60287" s="8"/>
      <c r="H60287" s="8"/>
      <c r="I60287" s="102"/>
      <c r="J60287" s="8"/>
      <c r="K60287" s="8"/>
      <c r="L60287" s="8"/>
      <c r="M60287" s="8"/>
      <c r="N60287" s="8"/>
      <c r="O60287" s="8"/>
      <c r="P60287" s="8"/>
      <c r="Q60287" s="8"/>
      <c r="R60287" s="103"/>
      <c r="S60287" s="8"/>
      <c r="T60287" s="8"/>
      <c r="U60287" s="8"/>
      <c r="V60287" s="8"/>
      <c r="W60287" s="8"/>
      <c r="X60287" s="8"/>
      <c r="Y60287" s="8"/>
      <c r="Z60287" s="8"/>
      <c r="AA60287" s="8"/>
    </row>
    <row r="60288" spans="1:27" x14ac:dyDescent="0.25">
      <c r="A60288" s="8"/>
      <c r="B60288" s="8"/>
      <c r="C60288" s="99"/>
      <c r="D60288" s="8"/>
      <c r="E60288" s="8"/>
      <c r="F60288" s="8"/>
      <c r="G60288" s="8"/>
      <c r="H60288" s="8"/>
      <c r="I60288" s="102"/>
      <c r="J60288" s="8"/>
      <c r="K60288" s="8"/>
      <c r="L60288" s="8"/>
      <c r="M60288" s="8"/>
      <c r="N60288" s="8"/>
      <c r="O60288" s="8"/>
      <c r="P60288" s="8"/>
      <c r="Q60288" s="8"/>
      <c r="R60288" s="103"/>
      <c r="S60288" s="8"/>
      <c r="T60288" s="8"/>
      <c r="U60288" s="8"/>
      <c r="V60288" s="8"/>
      <c r="W60288" s="8"/>
      <c r="X60288" s="8"/>
      <c r="Y60288" s="8"/>
      <c r="Z60288" s="8"/>
      <c r="AA60288" s="8"/>
    </row>
    <row r="60289" spans="1:27" x14ac:dyDescent="0.25">
      <c r="A60289" s="8"/>
      <c r="B60289" s="8"/>
      <c r="C60289" s="99"/>
      <c r="D60289" s="8"/>
      <c r="E60289" s="8"/>
      <c r="F60289" s="8"/>
      <c r="G60289" s="8"/>
      <c r="H60289" s="8"/>
      <c r="I60289" s="102"/>
      <c r="J60289" s="8"/>
      <c r="K60289" s="8"/>
      <c r="L60289" s="8"/>
      <c r="M60289" s="8"/>
      <c r="N60289" s="8"/>
      <c r="O60289" s="8"/>
      <c r="P60289" s="8"/>
      <c r="Q60289" s="8"/>
      <c r="R60289" s="103"/>
      <c r="S60289" s="8"/>
      <c r="T60289" s="8"/>
      <c r="U60289" s="8"/>
      <c r="V60289" s="8"/>
      <c r="W60289" s="8"/>
      <c r="X60289" s="8"/>
      <c r="Y60289" s="8"/>
      <c r="Z60289" s="8"/>
      <c r="AA60289" s="8"/>
    </row>
    <row r="60290" spans="1:27" x14ac:dyDescent="0.25">
      <c r="A60290" s="8"/>
      <c r="B60290" s="8"/>
      <c r="C60290" s="99"/>
      <c r="D60290" s="8"/>
      <c r="E60290" s="8"/>
      <c r="F60290" s="8"/>
      <c r="G60290" s="8"/>
      <c r="H60290" s="8"/>
      <c r="I60290" s="102"/>
      <c r="J60290" s="8"/>
      <c r="K60290" s="8"/>
      <c r="L60290" s="8"/>
      <c r="M60290" s="8"/>
      <c r="N60290" s="8"/>
      <c r="O60290" s="8"/>
      <c r="P60290" s="8"/>
      <c r="Q60290" s="8"/>
      <c r="R60290" s="103"/>
      <c r="S60290" s="8"/>
      <c r="T60290" s="8"/>
      <c r="U60290" s="8"/>
      <c r="V60290" s="8"/>
      <c r="W60290" s="8"/>
      <c r="X60290" s="8"/>
      <c r="Y60290" s="8"/>
      <c r="Z60290" s="8"/>
      <c r="AA60290" s="8"/>
    </row>
    <row r="60291" spans="1:27" x14ac:dyDescent="0.25">
      <c r="A60291" s="8"/>
      <c r="B60291" s="8"/>
      <c r="C60291" s="99"/>
      <c r="D60291" s="8"/>
      <c r="E60291" s="8"/>
      <c r="F60291" s="8"/>
      <c r="G60291" s="8"/>
      <c r="H60291" s="8"/>
      <c r="I60291" s="102"/>
      <c r="J60291" s="8"/>
      <c r="K60291" s="8"/>
      <c r="L60291" s="8"/>
      <c r="M60291" s="8"/>
      <c r="N60291" s="8"/>
      <c r="O60291" s="8"/>
      <c r="P60291" s="8"/>
      <c r="Q60291" s="8"/>
      <c r="R60291" s="103"/>
      <c r="S60291" s="8"/>
      <c r="T60291" s="8"/>
      <c r="U60291" s="8"/>
      <c r="V60291" s="8"/>
      <c r="W60291" s="8"/>
      <c r="X60291" s="8"/>
      <c r="Y60291" s="8"/>
      <c r="Z60291" s="8"/>
      <c r="AA60291" s="8"/>
    </row>
    <row r="60292" spans="1:27" x14ac:dyDescent="0.25">
      <c r="A60292" s="8"/>
      <c r="B60292" s="8"/>
      <c r="C60292" s="99"/>
      <c r="D60292" s="8"/>
      <c r="E60292" s="8"/>
      <c r="F60292" s="8"/>
      <c r="G60292" s="8"/>
      <c r="H60292" s="8"/>
      <c r="I60292" s="102"/>
      <c r="J60292" s="8"/>
      <c r="K60292" s="8"/>
      <c r="L60292" s="8"/>
      <c r="M60292" s="8"/>
      <c r="N60292" s="8"/>
      <c r="O60292" s="8"/>
      <c r="P60292" s="8"/>
      <c r="Q60292" s="8"/>
      <c r="R60292" s="103"/>
      <c r="S60292" s="8"/>
      <c r="T60292" s="8"/>
      <c r="U60292" s="8"/>
      <c r="V60292" s="8"/>
      <c r="W60292" s="8"/>
      <c r="X60292" s="8"/>
      <c r="Y60292" s="8"/>
      <c r="Z60292" s="8"/>
      <c r="AA60292" s="8"/>
    </row>
    <row r="60293" spans="1:27" x14ac:dyDescent="0.25">
      <c r="A60293" s="8"/>
      <c r="B60293" s="8"/>
      <c r="C60293" s="99"/>
      <c r="D60293" s="8"/>
      <c r="E60293" s="8"/>
      <c r="F60293" s="8"/>
      <c r="G60293" s="8"/>
      <c r="H60293" s="8"/>
      <c r="I60293" s="102"/>
      <c r="J60293" s="8"/>
      <c r="K60293" s="8"/>
      <c r="L60293" s="8"/>
      <c r="M60293" s="8"/>
      <c r="N60293" s="8"/>
      <c r="O60293" s="8"/>
      <c r="P60293" s="8"/>
      <c r="Q60293" s="8"/>
      <c r="R60293" s="103"/>
      <c r="S60293" s="8"/>
      <c r="T60293" s="8"/>
      <c r="U60293" s="8"/>
      <c r="V60293" s="8"/>
      <c r="W60293" s="8"/>
      <c r="X60293" s="8"/>
      <c r="Y60293" s="8"/>
      <c r="Z60293" s="8"/>
      <c r="AA60293" s="8"/>
    </row>
    <row r="60294" spans="1:27" x14ac:dyDescent="0.25">
      <c r="A60294" s="8"/>
      <c r="B60294" s="8"/>
      <c r="C60294" s="99"/>
      <c r="D60294" s="8"/>
      <c r="E60294" s="8"/>
      <c r="F60294" s="8"/>
      <c r="G60294" s="8"/>
      <c r="H60294" s="8"/>
      <c r="I60294" s="102"/>
      <c r="J60294" s="8"/>
      <c r="K60294" s="8"/>
      <c r="L60294" s="8"/>
      <c r="M60294" s="8"/>
      <c r="N60294" s="8"/>
      <c r="O60294" s="8"/>
      <c r="P60294" s="8"/>
      <c r="Q60294" s="8"/>
      <c r="R60294" s="103"/>
      <c r="S60294" s="8"/>
      <c r="T60294" s="8"/>
      <c r="U60294" s="8"/>
      <c r="V60294" s="8"/>
      <c r="W60294" s="8"/>
      <c r="X60294" s="8"/>
      <c r="Y60294" s="8"/>
      <c r="Z60294" s="8"/>
      <c r="AA60294" s="8"/>
    </row>
    <row r="60295" spans="1:27" x14ac:dyDescent="0.25">
      <c r="A60295" s="8"/>
      <c r="B60295" s="8"/>
      <c r="C60295" s="99"/>
      <c r="D60295" s="8"/>
      <c r="E60295" s="8"/>
      <c r="F60295" s="8"/>
      <c r="G60295" s="8"/>
      <c r="H60295" s="8"/>
      <c r="I60295" s="102"/>
      <c r="J60295" s="8"/>
      <c r="K60295" s="8"/>
      <c r="L60295" s="8"/>
      <c r="M60295" s="8"/>
      <c r="N60295" s="8"/>
      <c r="O60295" s="8"/>
      <c r="P60295" s="8"/>
      <c r="Q60295" s="8"/>
      <c r="R60295" s="103"/>
      <c r="S60295" s="8"/>
      <c r="T60295" s="8"/>
      <c r="U60295" s="8"/>
      <c r="V60295" s="8"/>
      <c r="W60295" s="8"/>
      <c r="X60295" s="8"/>
      <c r="Y60295" s="8"/>
      <c r="Z60295" s="8"/>
      <c r="AA60295" s="8"/>
    </row>
    <row r="60296" spans="1:27" x14ac:dyDescent="0.25">
      <c r="A60296" s="8"/>
      <c r="B60296" s="8"/>
      <c r="C60296" s="99"/>
      <c r="D60296" s="8"/>
      <c r="E60296" s="8"/>
      <c r="F60296" s="8"/>
      <c r="G60296" s="8"/>
      <c r="H60296" s="8"/>
      <c r="I60296" s="102"/>
      <c r="J60296" s="8"/>
      <c r="K60296" s="8"/>
      <c r="L60296" s="8"/>
      <c r="M60296" s="8"/>
      <c r="N60296" s="8"/>
      <c r="O60296" s="8"/>
      <c r="P60296" s="8"/>
      <c r="Q60296" s="8"/>
      <c r="R60296" s="103"/>
      <c r="S60296" s="8"/>
      <c r="T60296" s="8"/>
      <c r="U60296" s="8"/>
      <c r="V60296" s="8"/>
      <c r="W60296" s="8"/>
      <c r="X60296" s="8"/>
      <c r="Y60296" s="8"/>
      <c r="Z60296" s="8"/>
      <c r="AA60296" s="8"/>
    </row>
    <row r="60297" spans="1:27" x14ac:dyDescent="0.25">
      <c r="A60297" s="8"/>
      <c r="B60297" s="8"/>
      <c r="C60297" s="99"/>
      <c r="D60297" s="8"/>
      <c r="E60297" s="8"/>
      <c r="F60297" s="8"/>
      <c r="G60297" s="8"/>
      <c r="H60297" s="8"/>
      <c r="I60297" s="102"/>
      <c r="J60297" s="8"/>
      <c r="K60297" s="8"/>
      <c r="L60297" s="8"/>
      <c r="M60297" s="8"/>
      <c r="N60297" s="8"/>
      <c r="O60297" s="8"/>
      <c r="P60297" s="8"/>
      <c r="Q60297" s="8"/>
      <c r="R60297" s="103"/>
      <c r="S60297" s="8"/>
      <c r="T60297" s="8"/>
      <c r="U60297" s="8"/>
      <c r="V60297" s="8"/>
      <c r="W60297" s="8"/>
      <c r="X60297" s="8"/>
      <c r="Y60297" s="8"/>
      <c r="Z60297" s="8"/>
      <c r="AA60297" s="8"/>
    </row>
    <row r="60298" spans="1:27" x14ac:dyDescent="0.25">
      <c r="A60298" s="8"/>
      <c r="B60298" s="8"/>
      <c r="C60298" s="99"/>
      <c r="D60298" s="8"/>
      <c r="E60298" s="8"/>
      <c r="F60298" s="8"/>
      <c r="G60298" s="8"/>
      <c r="H60298" s="8"/>
      <c r="I60298" s="102"/>
      <c r="J60298" s="8"/>
      <c r="K60298" s="8"/>
      <c r="L60298" s="8"/>
      <c r="M60298" s="8"/>
      <c r="N60298" s="8"/>
      <c r="O60298" s="8"/>
      <c r="P60298" s="8"/>
      <c r="Q60298" s="8"/>
      <c r="R60298" s="103"/>
      <c r="S60298" s="8"/>
      <c r="T60298" s="8"/>
      <c r="U60298" s="8"/>
      <c r="V60298" s="8"/>
      <c r="W60298" s="8"/>
      <c r="X60298" s="8"/>
      <c r="Y60298" s="8"/>
      <c r="Z60298" s="8"/>
      <c r="AA60298" s="8"/>
    </row>
    <row r="60299" spans="1:27" x14ac:dyDescent="0.25">
      <c r="A60299" s="8"/>
      <c r="B60299" s="8"/>
      <c r="C60299" s="99"/>
      <c r="D60299" s="8"/>
      <c r="E60299" s="8"/>
      <c r="F60299" s="8"/>
      <c r="G60299" s="8"/>
      <c r="H60299" s="8"/>
      <c r="I60299" s="102"/>
      <c r="J60299" s="8"/>
      <c r="K60299" s="8"/>
      <c r="L60299" s="8"/>
      <c r="M60299" s="8"/>
      <c r="N60299" s="8"/>
      <c r="O60299" s="8"/>
      <c r="P60299" s="8"/>
      <c r="Q60299" s="8"/>
      <c r="R60299" s="103"/>
      <c r="S60299" s="8"/>
      <c r="T60299" s="8"/>
      <c r="U60299" s="8"/>
      <c r="V60299" s="8"/>
      <c r="W60299" s="8"/>
      <c r="X60299" s="8"/>
      <c r="Y60299" s="8"/>
      <c r="Z60299" s="8"/>
      <c r="AA60299" s="8"/>
    </row>
    <row r="60300" spans="1:27" x14ac:dyDescent="0.25">
      <c r="A60300" s="8"/>
      <c r="B60300" s="8"/>
      <c r="C60300" s="99"/>
      <c r="D60300" s="8"/>
      <c r="E60300" s="8"/>
      <c r="F60300" s="8"/>
      <c r="G60300" s="8"/>
      <c r="H60300" s="8"/>
      <c r="I60300" s="102"/>
      <c r="J60300" s="8"/>
      <c r="K60300" s="8"/>
      <c r="L60300" s="8"/>
      <c r="M60300" s="8"/>
      <c r="N60300" s="8"/>
      <c r="O60300" s="8"/>
      <c r="P60300" s="8"/>
      <c r="Q60300" s="8"/>
      <c r="R60300" s="103"/>
      <c r="S60300" s="8"/>
      <c r="T60300" s="8"/>
      <c r="U60300" s="8"/>
      <c r="V60300" s="8"/>
      <c r="W60300" s="8"/>
      <c r="X60300" s="8"/>
      <c r="Y60300" s="8"/>
      <c r="Z60300" s="8"/>
      <c r="AA60300" s="8"/>
    </row>
    <row r="60301" spans="1:27" x14ac:dyDescent="0.25">
      <c r="A60301" s="8"/>
      <c r="B60301" s="8"/>
      <c r="C60301" s="99"/>
      <c r="D60301" s="8"/>
      <c r="E60301" s="8"/>
      <c r="F60301" s="8"/>
      <c r="G60301" s="8"/>
      <c r="H60301" s="8"/>
      <c r="I60301" s="102"/>
      <c r="J60301" s="8"/>
      <c r="K60301" s="8"/>
      <c r="L60301" s="8"/>
      <c r="M60301" s="8"/>
      <c r="N60301" s="8"/>
      <c r="O60301" s="8"/>
      <c r="P60301" s="8"/>
      <c r="Q60301" s="8"/>
      <c r="R60301" s="103"/>
      <c r="S60301" s="8"/>
      <c r="T60301" s="8"/>
      <c r="U60301" s="8"/>
      <c r="V60301" s="8"/>
      <c r="W60301" s="8"/>
      <c r="X60301" s="8"/>
      <c r="Y60301" s="8"/>
      <c r="Z60301" s="8"/>
      <c r="AA60301" s="8"/>
    </row>
    <row r="60302" spans="1:27" x14ac:dyDescent="0.25">
      <c r="A60302" s="8"/>
      <c r="B60302" s="8"/>
      <c r="C60302" s="99"/>
      <c r="D60302" s="8"/>
      <c r="E60302" s="8"/>
      <c r="F60302" s="8"/>
      <c r="G60302" s="8"/>
      <c r="H60302" s="8"/>
      <c r="I60302" s="102"/>
      <c r="J60302" s="8"/>
      <c r="K60302" s="8"/>
      <c r="L60302" s="8"/>
      <c r="M60302" s="8"/>
      <c r="N60302" s="8"/>
      <c r="O60302" s="8"/>
      <c r="P60302" s="8"/>
      <c r="Q60302" s="8"/>
      <c r="R60302" s="103"/>
      <c r="S60302" s="8"/>
      <c r="T60302" s="8"/>
      <c r="U60302" s="8"/>
      <c r="V60302" s="8"/>
      <c r="W60302" s="8"/>
      <c r="X60302" s="8"/>
      <c r="Y60302" s="8"/>
      <c r="Z60302" s="8"/>
      <c r="AA60302" s="8"/>
    </row>
    <row r="60303" spans="1:27" x14ac:dyDescent="0.25">
      <c r="A60303" s="8"/>
      <c r="B60303" s="8"/>
      <c r="C60303" s="99"/>
      <c r="D60303" s="8"/>
      <c r="E60303" s="8"/>
      <c r="F60303" s="8"/>
      <c r="G60303" s="8"/>
      <c r="H60303" s="8"/>
      <c r="I60303" s="102"/>
      <c r="J60303" s="8"/>
      <c r="K60303" s="8"/>
      <c r="L60303" s="8"/>
      <c r="M60303" s="8"/>
      <c r="N60303" s="8"/>
      <c r="O60303" s="8"/>
      <c r="P60303" s="8"/>
      <c r="Q60303" s="8"/>
      <c r="R60303" s="103"/>
      <c r="S60303" s="8"/>
      <c r="T60303" s="8"/>
      <c r="U60303" s="8"/>
      <c r="V60303" s="8"/>
      <c r="W60303" s="8"/>
      <c r="X60303" s="8"/>
      <c r="Y60303" s="8"/>
      <c r="Z60303" s="8"/>
      <c r="AA60303" s="8"/>
    </row>
    <row r="60304" spans="1:27" x14ac:dyDescent="0.25">
      <c r="A60304" s="8"/>
      <c r="B60304" s="8"/>
      <c r="C60304" s="99"/>
      <c r="D60304" s="8"/>
      <c r="E60304" s="8"/>
      <c r="F60304" s="8"/>
      <c r="G60304" s="8"/>
      <c r="H60304" s="8"/>
      <c r="I60304" s="102"/>
      <c r="J60304" s="8"/>
      <c r="K60304" s="8"/>
      <c r="L60304" s="8"/>
      <c r="M60304" s="8"/>
      <c r="N60304" s="8"/>
      <c r="O60304" s="8"/>
      <c r="P60304" s="8"/>
      <c r="Q60304" s="8"/>
      <c r="R60304" s="103"/>
      <c r="S60304" s="8"/>
      <c r="T60304" s="8"/>
      <c r="U60304" s="8"/>
      <c r="V60304" s="8"/>
      <c r="W60304" s="8"/>
      <c r="X60304" s="8"/>
      <c r="Y60304" s="8"/>
      <c r="Z60304" s="8"/>
      <c r="AA60304" s="8"/>
    </row>
    <row r="60305" spans="1:27" x14ac:dyDescent="0.25">
      <c r="A60305" s="8"/>
      <c r="B60305" s="8"/>
      <c r="C60305" s="99"/>
      <c r="D60305" s="8"/>
      <c r="E60305" s="8"/>
      <c r="F60305" s="8"/>
      <c r="G60305" s="8"/>
      <c r="H60305" s="8"/>
      <c r="I60305" s="102"/>
      <c r="J60305" s="8"/>
      <c r="K60305" s="8"/>
      <c r="L60305" s="8"/>
      <c r="M60305" s="8"/>
      <c r="N60305" s="8"/>
      <c r="O60305" s="8"/>
      <c r="P60305" s="8"/>
      <c r="Q60305" s="8"/>
      <c r="R60305" s="103"/>
      <c r="S60305" s="8"/>
      <c r="T60305" s="8"/>
      <c r="U60305" s="8"/>
      <c r="V60305" s="8"/>
      <c r="W60305" s="8"/>
      <c r="X60305" s="8"/>
      <c r="Y60305" s="8"/>
      <c r="Z60305" s="8"/>
      <c r="AA60305" s="8"/>
    </row>
    <row r="60306" spans="1:27" x14ac:dyDescent="0.25">
      <c r="A60306" s="8"/>
      <c r="B60306" s="8"/>
      <c r="C60306" s="99"/>
      <c r="D60306" s="8"/>
      <c r="E60306" s="8"/>
      <c r="F60306" s="8"/>
      <c r="G60306" s="8"/>
      <c r="H60306" s="8"/>
      <c r="I60306" s="102"/>
      <c r="J60306" s="8"/>
      <c r="K60306" s="8"/>
      <c r="L60306" s="8"/>
      <c r="M60306" s="8"/>
      <c r="N60306" s="8"/>
      <c r="O60306" s="8"/>
      <c r="P60306" s="8"/>
      <c r="Q60306" s="8"/>
      <c r="R60306" s="103"/>
      <c r="S60306" s="8"/>
      <c r="T60306" s="8"/>
      <c r="U60306" s="8"/>
      <c r="V60306" s="8"/>
      <c r="W60306" s="8"/>
      <c r="X60306" s="8"/>
      <c r="Y60306" s="8"/>
      <c r="Z60306" s="8"/>
      <c r="AA60306" s="8"/>
    </row>
    <row r="60307" spans="1:27" x14ac:dyDescent="0.25">
      <c r="A60307" s="8"/>
      <c r="B60307" s="8"/>
      <c r="C60307" s="99"/>
      <c r="D60307" s="8"/>
      <c r="E60307" s="8"/>
      <c r="F60307" s="8"/>
      <c r="G60307" s="8"/>
      <c r="H60307" s="8"/>
      <c r="I60307" s="102"/>
      <c r="J60307" s="8"/>
      <c r="K60307" s="8"/>
      <c r="L60307" s="8"/>
      <c r="M60307" s="8"/>
      <c r="N60307" s="8"/>
      <c r="O60307" s="8"/>
      <c r="P60307" s="8"/>
      <c r="Q60307" s="8"/>
      <c r="R60307" s="103"/>
      <c r="S60307" s="8"/>
      <c r="T60307" s="8"/>
      <c r="U60307" s="8"/>
      <c r="V60307" s="8"/>
      <c r="W60307" s="8"/>
      <c r="X60307" s="8"/>
      <c r="Y60307" s="8"/>
      <c r="Z60307" s="8"/>
      <c r="AA60307" s="8"/>
    </row>
    <row r="60308" spans="1:27" x14ac:dyDescent="0.25">
      <c r="A60308" s="8"/>
      <c r="B60308" s="8"/>
      <c r="C60308" s="99"/>
      <c r="D60308" s="8"/>
      <c r="E60308" s="8"/>
      <c r="F60308" s="8"/>
      <c r="G60308" s="8"/>
      <c r="H60308" s="8"/>
      <c r="I60308" s="102"/>
      <c r="J60308" s="8"/>
      <c r="K60308" s="8"/>
      <c r="L60308" s="8"/>
      <c r="M60308" s="8"/>
      <c r="N60308" s="8"/>
      <c r="O60308" s="8"/>
      <c r="P60308" s="8"/>
      <c r="Q60308" s="8"/>
      <c r="R60308" s="103"/>
      <c r="S60308" s="8"/>
      <c r="T60308" s="8"/>
      <c r="U60308" s="8"/>
      <c r="V60308" s="8"/>
      <c r="W60308" s="8"/>
      <c r="X60308" s="8"/>
      <c r="Y60308" s="8"/>
      <c r="Z60308" s="8"/>
      <c r="AA60308" s="8"/>
    </row>
    <row r="60309" spans="1:27" x14ac:dyDescent="0.25">
      <c r="A60309" s="8"/>
      <c r="B60309" s="8"/>
      <c r="C60309" s="99"/>
      <c r="D60309" s="8"/>
      <c r="E60309" s="8"/>
      <c r="F60309" s="8"/>
      <c r="G60309" s="8"/>
      <c r="H60309" s="8"/>
      <c r="I60309" s="102"/>
      <c r="J60309" s="8"/>
      <c r="K60309" s="8"/>
      <c r="L60309" s="8"/>
      <c r="M60309" s="8"/>
      <c r="N60309" s="8"/>
      <c r="O60309" s="8"/>
      <c r="P60309" s="8"/>
      <c r="Q60309" s="8"/>
      <c r="R60309" s="103"/>
      <c r="S60309" s="8"/>
      <c r="T60309" s="8"/>
      <c r="U60309" s="8"/>
      <c r="V60309" s="8"/>
      <c r="W60309" s="8"/>
      <c r="X60309" s="8"/>
      <c r="Y60309" s="8"/>
      <c r="Z60309" s="8"/>
      <c r="AA60309" s="8"/>
    </row>
    <row r="60310" spans="1:27" x14ac:dyDescent="0.25">
      <c r="A60310" s="8"/>
      <c r="B60310" s="8"/>
      <c r="C60310" s="99"/>
      <c r="D60310" s="8"/>
      <c r="E60310" s="8"/>
      <c r="F60310" s="8"/>
      <c r="G60310" s="8"/>
      <c r="H60310" s="8"/>
      <c r="I60310" s="102"/>
      <c r="J60310" s="8"/>
      <c r="K60310" s="8"/>
      <c r="L60310" s="8"/>
      <c r="M60310" s="8"/>
      <c r="N60310" s="8"/>
      <c r="O60310" s="8"/>
      <c r="P60310" s="8"/>
      <c r="Q60310" s="8"/>
      <c r="R60310" s="103"/>
      <c r="S60310" s="8"/>
      <c r="T60310" s="8"/>
      <c r="U60310" s="8"/>
      <c r="V60310" s="8"/>
      <c r="W60310" s="8"/>
      <c r="X60310" s="8"/>
      <c r="Y60310" s="8"/>
      <c r="Z60310" s="8"/>
      <c r="AA60310" s="8"/>
    </row>
    <row r="60311" spans="1:27" x14ac:dyDescent="0.25">
      <c r="A60311" s="8"/>
      <c r="B60311" s="8"/>
      <c r="C60311" s="99"/>
      <c r="D60311" s="8"/>
      <c r="E60311" s="8"/>
      <c r="F60311" s="8"/>
      <c r="G60311" s="8"/>
      <c r="H60311" s="8"/>
      <c r="I60311" s="102"/>
      <c r="J60311" s="8"/>
      <c r="K60311" s="8"/>
      <c r="L60311" s="8"/>
      <c r="M60311" s="8"/>
      <c r="N60311" s="8"/>
      <c r="O60311" s="8"/>
      <c r="P60311" s="8"/>
      <c r="Q60311" s="8"/>
      <c r="R60311" s="103"/>
      <c r="S60311" s="8"/>
      <c r="T60311" s="8"/>
      <c r="U60311" s="8"/>
      <c r="V60311" s="8"/>
      <c r="W60311" s="8"/>
      <c r="X60311" s="8"/>
      <c r="Y60311" s="8"/>
      <c r="Z60311" s="8"/>
      <c r="AA60311" s="8"/>
    </row>
    <row r="60312" spans="1:27" x14ac:dyDescent="0.25">
      <c r="A60312" s="8"/>
      <c r="B60312" s="8"/>
      <c r="C60312" s="99"/>
      <c r="D60312" s="8"/>
      <c r="E60312" s="8"/>
      <c r="F60312" s="8"/>
      <c r="G60312" s="8"/>
      <c r="H60312" s="8"/>
      <c r="I60312" s="102"/>
      <c r="J60312" s="8"/>
      <c r="K60312" s="8"/>
      <c r="L60312" s="8"/>
      <c r="M60312" s="8"/>
      <c r="N60312" s="8"/>
      <c r="O60312" s="8"/>
      <c r="P60312" s="8"/>
      <c r="Q60312" s="8"/>
      <c r="R60312" s="103"/>
      <c r="S60312" s="8"/>
      <c r="T60312" s="8"/>
      <c r="U60312" s="8"/>
      <c r="V60312" s="8"/>
      <c r="W60312" s="8"/>
      <c r="X60312" s="8"/>
      <c r="Y60312" s="8"/>
      <c r="Z60312" s="8"/>
      <c r="AA60312" s="8"/>
    </row>
    <row r="60313" spans="1:27" x14ac:dyDescent="0.25">
      <c r="A60313" s="8"/>
      <c r="B60313" s="8"/>
      <c r="C60313" s="99"/>
      <c r="D60313" s="8"/>
      <c r="E60313" s="8"/>
      <c r="F60313" s="8"/>
      <c r="G60313" s="8"/>
      <c r="H60313" s="8"/>
      <c r="I60313" s="102"/>
      <c r="J60313" s="8"/>
      <c r="K60313" s="8"/>
      <c r="L60313" s="8"/>
      <c r="M60313" s="8"/>
      <c r="N60313" s="8"/>
      <c r="O60313" s="8"/>
      <c r="P60313" s="8"/>
      <c r="Q60313" s="8"/>
      <c r="R60313" s="103"/>
      <c r="S60313" s="8"/>
      <c r="T60313" s="8"/>
      <c r="U60313" s="8"/>
      <c r="V60313" s="8"/>
      <c r="W60313" s="8"/>
      <c r="X60313" s="8"/>
      <c r="Y60313" s="8"/>
      <c r="Z60313" s="8"/>
      <c r="AA60313" s="8"/>
    </row>
    <row r="60314" spans="1:27" x14ac:dyDescent="0.25">
      <c r="A60314" s="8"/>
      <c r="B60314" s="8"/>
      <c r="C60314" s="99"/>
      <c r="D60314" s="8"/>
      <c r="E60314" s="8"/>
      <c r="F60314" s="8"/>
      <c r="G60314" s="8"/>
      <c r="H60314" s="8"/>
      <c r="I60314" s="102"/>
      <c r="J60314" s="8"/>
      <c r="K60314" s="8"/>
      <c r="L60314" s="8"/>
      <c r="M60314" s="8"/>
      <c r="N60314" s="8"/>
      <c r="O60314" s="8"/>
      <c r="P60314" s="8"/>
      <c r="Q60314" s="8"/>
      <c r="R60314" s="103"/>
      <c r="S60314" s="8"/>
      <c r="T60314" s="8"/>
      <c r="U60314" s="8"/>
      <c r="V60314" s="8"/>
      <c r="W60314" s="8"/>
      <c r="X60314" s="8"/>
      <c r="Y60314" s="8"/>
      <c r="Z60314" s="8"/>
      <c r="AA60314" s="8"/>
    </row>
    <row r="60315" spans="1:27" x14ac:dyDescent="0.25">
      <c r="A60315" s="8"/>
      <c r="B60315" s="8"/>
      <c r="C60315" s="99"/>
      <c r="D60315" s="8"/>
      <c r="E60315" s="8"/>
      <c r="F60315" s="8"/>
      <c r="G60315" s="8"/>
      <c r="H60315" s="8"/>
      <c r="I60315" s="102"/>
      <c r="J60315" s="8"/>
      <c r="K60315" s="8"/>
      <c r="L60315" s="8"/>
      <c r="M60315" s="8"/>
      <c r="N60315" s="8"/>
      <c r="O60315" s="8"/>
      <c r="P60315" s="8"/>
      <c r="Q60315" s="8"/>
      <c r="R60315" s="103"/>
      <c r="S60315" s="8"/>
      <c r="T60315" s="8"/>
      <c r="U60315" s="8"/>
      <c r="V60315" s="8"/>
      <c r="W60315" s="8"/>
      <c r="X60315" s="8"/>
      <c r="Y60315" s="8"/>
      <c r="Z60315" s="8"/>
      <c r="AA60315" s="8"/>
    </row>
    <row r="60316" spans="1:27" x14ac:dyDescent="0.25">
      <c r="A60316" s="8"/>
      <c r="B60316" s="8"/>
      <c r="C60316" s="99"/>
      <c r="D60316" s="8"/>
      <c r="E60316" s="8"/>
      <c r="F60316" s="8"/>
      <c r="G60316" s="8"/>
      <c r="H60316" s="8"/>
      <c r="I60316" s="102"/>
      <c r="J60316" s="8"/>
      <c r="K60316" s="8"/>
      <c r="L60316" s="8"/>
      <c r="M60316" s="8"/>
      <c r="N60316" s="8"/>
      <c r="O60316" s="8"/>
      <c r="P60316" s="8"/>
      <c r="Q60316" s="8"/>
      <c r="R60316" s="103"/>
      <c r="S60316" s="8"/>
      <c r="T60316" s="8"/>
      <c r="U60316" s="8"/>
      <c r="V60316" s="8"/>
      <c r="W60316" s="8"/>
      <c r="X60316" s="8"/>
      <c r="Y60316" s="8"/>
      <c r="Z60316" s="8"/>
      <c r="AA60316" s="8"/>
    </row>
    <row r="60317" spans="1:27" x14ac:dyDescent="0.25">
      <c r="A60317" s="8"/>
      <c r="B60317" s="8"/>
      <c r="C60317" s="99"/>
      <c r="D60317" s="8"/>
      <c r="E60317" s="8"/>
      <c r="F60317" s="8"/>
      <c r="G60317" s="8"/>
      <c r="H60317" s="8"/>
      <c r="I60317" s="102"/>
      <c r="J60317" s="8"/>
      <c r="K60317" s="8"/>
      <c r="L60317" s="8"/>
      <c r="M60317" s="8"/>
      <c r="N60317" s="8"/>
      <c r="O60317" s="8"/>
      <c r="P60317" s="8"/>
      <c r="Q60317" s="8"/>
      <c r="R60317" s="103"/>
      <c r="S60317" s="8"/>
      <c r="T60317" s="8"/>
      <c r="U60317" s="8"/>
      <c r="V60317" s="8"/>
      <c r="W60317" s="8"/>
      <c r="X60317" s="8"/>
      <c r="Y60317" s="8"/>
      <c r="Z60317" s="8"/>
      <c r="AA60317" s="8"/>
    </row>
    <row r="60318" spans="1:27" x14ac:dyDescent="0.25">
      <c r="A60318" s="8"/>
      <c r="B60318" s="8"/>
      <c r="C60318" s="99"/>
      <c r="D60318" s="8"/>
      <c r="E60318" s="8"/>
      <c r="F60318" s="8"/>
      <c r="G60318" s="8"/>
      <c r="H60318" s="8"/>
      <c r="I60318" s="102"/>
      <c r="J60318" s="8"/>
      <c r="K60318" s="8"/>
      <c r="L60318" s="8"/>
      <c r="M60318" s="8"/>
      <c r="N60318" s="8"/>
      <c r="O60318" s="8"/>
      <c r="P60318" s="8"/>
      <c r="Q60318" s="8"/>
      <c r="R60318" s="103"/>
      <c r="S60318" s="8"/>
      <c r="T60318" s="8"/>
      <c r="U60318" s="8"/>
      <c r="V60318" s="8"/>
      <c r="W60318" s="8"/>
      <c r="X60318" s="8"/>
      <c r="Y60318" s="8"/>
      <c r="Z60318" s="8"/>
      <c r="AA60318" s="8"/>
    </row>
    <row r="60319" spans="1:27" x14ac:dyDescent="0.25">
      <c r="A60319" s="8"/>
      <c r="B60319" s="8"/>
      <c r="C60319" s="99"/>
      <c r="D60319" s="8"/>
      <c r="E60319" s="8"/>
      <c r="F60319" s="8"/>
      <c r="G60319" s="8"/>
      <c r="H60319" s="8"/>
      <c r="I60319" s="102"/>
      <c r="J60319" s="8"/>
      <c r="K60319" s="8"/>
      <c r="L60319" s="8"/>
      <c r="M60319" s="8"/>
      <c r="N60319" s="8"/>
      <c r="O60319" s="8"/>
      <c r="P60319" s="8"/>
      <c r="Q60319" s="8"/>
      <c r="R60319" s="103"/>
      <c r="S60319" s="8"/>
      <c r="T60319" s="8"/>
      <c r="U60319" s="8"/>
      <c r="V60319" s="8"/>
      <c r="W60319" s="8"/>
      <c r="X60319" s="8"/>
      <c r="Y60319" s="8"/>
      <c r="Z60319" s="8"/>
      <c r="AA60319" s="8"/>
    </row>
    <row r="60320" spans="1:27" x14ac:dyDescent="0.25">
      <c r="A60320" s="8"/>
      <c r="B60320" s="8"/>
      <c r="C60320" s="99"/>
      <c r="D60320" s="8"/>
      <c r="E60320" s="8"/>
      <c r="F60320" s="8"/>
      <c r="G60320" s="8"/>
      <c r="H60320" s="8"/>
      <c r="I60320" s="102"/>
      <c r="J60320" s="8"/>
      <c r="K60320" s="8"/>
      <c r="L60320" s="8"/>
      <c r="M60320" s="8"/>
      <c r="N60320" s="8"/>
      <c r="O60320" s="8"/>
      <c r="P60320" s="8"/>
      <c r="Q60320" s="8"/>
      <c r="R60320" s="103"/>
      <c r="S60320" s="8"/>
      <c r="T60320" s="8"/>
      <c r="U60320" s="8"/>
      <c r="V60320" s="8"/>
      <c r="W60320" s="8"/>
      <c r="X60320" s="8"/>
      <c r="Y60320" s="8"/>
      <c r="Z60320" s="8"/>
      <c r="AA60320" s="8"/>
    </row>
    <row r="60321" spans="1:27" x14ac:dyDescent="0.25">
      <c r="A60321" s="8"/>
      <c r="B60321" s="8"/>
      <c r="C60321" s="99"/>
      <c r="D60321" s="8"/>
      <c r="E60321" s="8"/>
      <c r="F60321" s="8"/>
      <c r="G60321" s="8"/>
      <c r="H60321" s="8"/>
      <c r="I60321" s="102"/>
      <c r="J60321" s="8"/>
      <c r="K60321" s="8"/>
      <c r="L60321" s="8"/>
      <c r="M60321" s="8"/>
      <c r="N60321" s="8"/>
      <c r="O60321" s="8"/>
      <c r="P60321" s="8"/>
      <c r="Q60321" s="8"/>
      <c r="R60321" s="103"/>
      <c r="S60321" s="8"/>
      <c r="T60321" s="8"/>
      <c r="U60321" s="8"/>
      <c r="V60321" s="8"/>
      <c r="W60321" s="8"/>
      <c r="X60321" s="8"/>
      <c r="Y60321" s="8"/>
      <c r="Z60321" s="8"/>
      <c r="AA60321" s="8"/>
    </row>
    <row r="60322" spans="1:27" x14ac:dyDescent="0.25">
      <c r="A60322" s="8"/>
      <c r="B60322" s="8"/>
      <c r="C60322" s="99"/>
      <c r="D60322" s="8"/>
      <c r="E60322" s="8"/>
      <c r="F60322" s="8"/>
      <c r="G60322" s="8"/>
      <c r="H60322" s="8"/>
      <c r="I60322" s="102"/>
      <c r="J60322" s="8"/>
      <c r="K60322" s="8"/>
      <c r="L60322" s="8"/>
      <c r="M60322" s="8"/>
      <c r="N60322" s="8"/>
      <c r="O60322" s="8"/>
      <c r="P60322" s="8"/>
      <c r="Q60322" s="8"/>
      <c r="R60322" s="103"/>
      <c r="S60322" s="8"/>
      <c r="T60322" s="8"/>
      <c r="U60322" s="8"/>
      <c r="V60322" s="8"/>
      <c r="W60322" s="8"/>
      <c r="X60322" s="8"/>
      <c r="Y60322" s="8"/>
      <c r="Z60322" s="8"/>
      <c r="AA60322" s="8"/>
    </row>
    <row r="60323" spans="1:27" x14ac:dyDescent="0.25">
      <c r="A60323" s="8"/>
      <c r="B60323" s="8"/>
      <c r="C60323" s="99"/>
      <c r="D60323" s="8"/>
      <c r="E60323" s="8"/>
      <c r="F60323" s="8"/>
      <c r="G60323" s="8"/>
      <c r="H60323" s="8"/>
      <c r="I60323" s="102"/>
      <c r="J60323" s="8"/>
      <c r="K60323" s="8"/>
      <c r="L60323" s="8"/>
      <c r="M60323" s="8"/>
      <c r="N60323" s="8"/>
      <c r="O60323" s="8"/>
      <c r="P60323" s="8"/>
      <c r="Q60323" s="8"/>
      <c r="R60323" s="103"/>
      <c r="S60323" s="8"/>
      <c r="T60323" s="8"/>
      <c r="U60323" s="8"/>
      <c r="V60323" s="8"/>
      <c r="W60323" s="8"/>
      <c r="X60323" s="8"/>
      <c r="Y60323" s="8"/>
      <c r="Z60323" s="8"/>
      <c r="AA60323" s="8"/>
    </row>
    <row r="60324" spans="1:27" x14ac:dyDescent="0.25">
      <c r="A60324" s="8"/>
      <c r="B60324" s="8"/>
      <c r="C60324" s="99"/>
      <c r="D60324" s="8"/>
      <c r="E60324" s="8"/>
      <c r="F60324" s="8"/>
      <c r="G60324" s="8"/>
      <c r="H60324" s="8"/>
      <c r="I60324" s="102"/>
      <c r="J60324" s="8"/>
      <c r="K60324" s="8"/>
      <c r="L60324" s="8"/>
      <c r="M60324" s="8"/>
      <c r="N60324" s="8"/>
      <c r="O60324" s="8"/>
      <c r="P60324" s="8"/>
      <c r="Q60324" s="8"/>
      <c r="R60324" s="103"/>
      <c r="S60324" s="8"/>
      <c r="T60324" s="8"/>
      <c r="U60324" s="8"/>
      <c r="V60324" s="8"/>
      <c r="W60324" s="8"/>
      <c r="X60324" s="8"/>
      <c r="Y60324" s="8"/>
      <c r="Z60324" s="8"/>
      <c r="AA60324" s="8"/>
    </row>
    <row r="60325" spans="1:27" x14ac:dyDescent="0.25">
      <c r="A60325" s="8"/>
      <c r="B60325" s="8"/>
      <c r="C60325" s="99"/>
      <c r="D60325" s="8"/>
      <c r="E60325" s="8"/>
      <c r="F60325" s="8"/>
      <c r="G60325" s="8"/>
      <c r="H60325" s="8"/>
      <c r="I60325" s="102"/>
      <c r="J60325" s="8"/>
      <c r="K60325" s="8"/>
      <c r="L60325" s="8"/>
      <c r="M60325" s="8"/>
      <c r="N60325" s="8"/>
      <c r="O60325" s="8"/>
      <c r="P60325" s="8"/>
      <c r="Q60325" s="8"/>
      <c r="R60325" s="103"/>
      <c r="S60325" s="8"/>
      <c r="T60325" s="8"/>
      <c r="U60325" s="8"/>
      <c r="V60325" s="8"/>
      <c r="W60325" s="8"/>
      <c r="X60325" s="8"/>
      <c r="Y60325" s="8"/>
      <c r="Z60325" s="8"/>
      <c r="AA60325" s="8"/>
    </row>
    <row r="60326" spans="1:27" x14ac:dyDescent="0.25">
      <c r="A60326" s="8"/>
      <c r="B60326" s="8"/>
      <c r="C60326" s="99"/>
      <c r="D60326" s="8"/>
      <c r="E60326" s="8"/>
      <c r="F60326" s="8"/>
      <c r="G60326" s="8"/>
      <c r="H60326" s="8"/>
      <c r="I60326" s="102"/>
      <c r="J60326" s="8"/>
      <c r="K60326" s="8"/>
      <c r="L60326" s="8"/>
      <c r="M60326" s="8"/>
      <c r="N60326" s="8"/>
      <c r="O60326" s="8"/>
      <c r="P60326" s="8"/>
      <c r="Q60326" s="8"/>
      <c r="R60326" s="103"/>
      <c r="S60326" s="8"/>
      <c r="T60326" s="8"/>
      <c r="U60326" s="8"/>
      <c r="V60326" s="8"/>
      <c r="W60326" s="8"/>
      <c r="X60326" s="8"/>
      <c r="Y60326" s="8"/>
      <c r="Z60326" s="8"/>
      <c r="AA60326" s="8"/>
    </row>
    <row r="60327" spans="1:27" x14ac:dyDescent="0.25">
      <c r="A60327" s="8"/>
      <c r="B60327" s="8"/>
      <c r="C60327" s="99"/>
      <c r="D60327" s="8"/>
      <c r="E60327" s="8"/>
      <c r="F60327" s="8"/>
      <c r="G60327" s="8"/>
      <c r="H60327" s="8"/>
      <c r="I60327" s="102"/>
      <c r="J60327" s="8"/>
      <c r="K60327" s="8"/>
      <c r="L60327" s="8"/>
      <c r="M60327" s="8"/>
      <c r="N60327" s="8"/>
      <c r="O60327" s="8"/>
      <c r="P60327" s="8"/>
      <c r="Q60327" s="8"/>
      <c r="R60327" s="103"/>
      <c r="S60327" s="8"/>
      <c r="T60327" s="8"/>
      <c r="U60327" s="8"/>
      <c r="V60327" s="8"/>
      <c r="W60327" s="8"/>
      <c r="X60327" s="8"/>
      <c r="Y60327" s="8"/>
      <c r="Z60327" s="8"/>
      <c r="AA60327" s="8"/>
    </row>
    <row r="60328" spans="1:27" x14ac:dyDescent="0.25">
      <c r="A60328" s="8"/>
      <c r="B60328" s="8"/>
      <c r="C60328" s="99"/>
      <c r="D60328" s="8"/>
      <c r="E60328" s="8"/>
      <c r="F60328" s="8"/>
      <c r="G60328" s="8"/>
      <c r="H60328" s="8"/>
      <c r="I60328" s="102"/>
      <c r="J60328" s="8"/>
      <c r="K60328" s="8"/>
      <c r="L60328" s="8"/>
      <c r="M60328" s="8"/>
      <c r="N60328" s="8"/>
      <c r="O60328" s="8"/>
      <c r="P60328" s="8"/>
      <c r="Q60328" s="8"/>
      <c r="R60328" s="103"/>
      <c r="S60328" s="8"/>
      <c r="T60328" s="8"/>
      <c r="U60328" s="8"/>
      <c r="V60328" s="8"/>
      <c r="W60328" s="8"/>
      <c r="X60328" s="8"/>
      <c r="Y60328" s="8"/>
      <c r="Z60328" s="8"/>
      <c r="AA60328" s="8"/>
    </row>
    <row r="60329" spans="1:27" x14ac:dyDescent="0.25">
      <c r="A60329" s="8"/>
      <c r="B60329" s="8"/>
      <c r="C60329" s="99"/>
      <c r="D60329" s="8"/>
      <c r="E60329" s="8"/>
      <c r="F60329" s="8"/>
      <c r="G60329" s="8"/>
      <c r="H60329" s="8"/>
      <c r="I60329" s="102"/>
      <c r="J60329" s="8"/>
      <c r="K60329" s="8"/>
      <c r="L60329" s="8"/>
      <c r="M60329" s="8"/>
      <c r="N60329" s="8"/>
      <c r="O60329" s="8"/>
      <c r="P60329" s="8"/>
      <c r="Q60329" s="8"/>
      <c r="R60329" s="103"/>
      <c r="S60329" s="8"/>
      <c r="T60329" s="8"/>
      <c r="U60329" s="8"/>
      <c r="V60329" s="8"/>
      <c r="W60329" s="8"/>
      <c r="X60329" s="8"/>
      <c r="Y60329" s="8"/>
      <c r="Z60329" s="8"/>
      <c r="AA60329" s="8"/>
    </row>
    <row r="60330" spans="1:27" x14ac:dyDescent="0.25">
      <c r="A60330" s="8"/>
      <c r="B60330" s="8"/>
      <c r="C60330" s="99"/>
      <c r="D60330" s="8"/>
      <c r="E60330" s="8"/>
      <c r="F60330" s="8"/>
      <c r="G60330" s="8"/>
      <c r="H60330" s="8"/>
      <c r="I60330" s="102"/>
      <c r="J60330" s="8"/>
      <c r="K60330" s="8"/>
      <c r="L60330" s="8"/>
      <c r="M60330" s="8"/>
      <c r="N60330" s="8"/>
      <c r="O60330" s="8"/>
      <c r="P60330" s="8"/>
      <c r="Q60330" s="8"/>
      <c r="R60330" s="103"/>
      <c r="S60330" s="8"/>
      <c r="T60330" s="8"/>
      <c r="U60330" s="8"/>
      <c r="V60330" s="8"/>
      <c r="W60330" s="8"/>
      <c r="X60330" s="8"/>
      <c r="Y60330" s="8"/>
      <c r="Z60330" s="8"/>
      <c r="AA60330" s="8"/>
    </row>
    <row r="60331" spans="1:27" x14ac:dyDescent="0.25">
      <c r="A60331" s="8"/>
      <c r="B60331" s="8"/>
      <c r="C60331" s="99"/>
      <c r="D60331" s="8"/>
      <c r="E60331" s="8"/>
      <c r="F60331" s="8"/>
      <c r="G60331" s="8"/>
      <c r="H60331" s="8"/>
      <c r="I60331" s="102"/>
      <c r="J60331" s="8"/>
      <c r="K60331" s="8"/>
      <c r="L60331" s="8"/>
      <c r="M60331" s="8"/>
      <c r="N60331" s="8"/>
      <c r="O60331" s="8"/>
      <c r="P60331" s="8"/>
      <c r="Q60331" s="8"/>
      <c r="R60331" s="103"/>
      <c r="S60331" s="8"/>
      <c r="T60331" s="8"/>
      <c r="U60331" s="8"/>
      <c r="V60331" s="8"/>
      <c r="W60331" s="8"/>
      <c r="X60331" s="8"/>
      <c r="Y60331" s="8"/>
      <c r="Z60331" s="8"/>
      <c r="AA60331" s="8"/>
    </row>
    <row r="60332" spans="1:27" x14ac:dyDescent="0.25">
      <c r="A60332" s="8"/>
      <c r="B60332" s="8"/>
      <c r="C60332" s="99"/>
      <c r="D60332" s="8"/>
      <c r="E60332" s="8"/>
      <c r="F60332" s="8"/>
      <c r="G60332" s="8"/>
      <c r="H60332" s="8"/>
      <c r="I60332" s="102"/>
      <c r="J60332" s="8"/>
      <c r="K60332" s="8"/>
      <c r="L60332" s="8"/>
      <c r="M60332" s="8"/>
      <c r="N60332" s="8"/>
      <c r="O60332" s="8"/>
      <c r="P60332" s="8"/>
      <c r="Q60332" s="8"/>
      <c r="R60332" s="103"/>
      <c r="S60332" s="8"/>
      <c r="T60332" s="8"/>
      <c r="U60332" s="8"/>
      <c r="V60332" s="8"/>
      <c r="W60332" s="8"/>
      <c r="X60332" s="8"/>
      <c r="Y60332" s="8"/>
      <c r="Z60332" s="8"/>
      <c r="AA60332" s="8"/>
    </row>
    <row r="60333" spans="1:27" x14ac:dyDescent="0.25">
      <c r="A60333" s="8"/>
      <c r="B60333" s="8"/>
      <c r="C60333" s="99"/>
      <c r="D60333" s="8"/>
      <c r="E60333" s="8"/>
      <c r="F60333" s="8"/>
      <c r="G60333" s="8"/>
      <c r="H60333" s="8"/>
      <c r="I60333" s="102"/>
      <c r="J60333" s="8"/>
      <c r="K60333" s="8"/>
      <c r="L60333" s="8"/>
      <c r="M60333" s="8"/>
      <c r="N60333" s="8"/>
      <c r="O60333" s="8"/>
      <c r="P60333" s="8"/>
      <c r="Q60333" s="8"/>
      <c r="R60333" s="103"/>
      <c r="S60333" s="8"/>
      <c r="T60333" s="8"/>
      <c r="U60333" s="8"/>
      <c r="V60333" s="8"/>
      <c r="W60333" s="8"/>
      <c r="X60333" s="8"/>
      <c r="Y60333" s="8"/>
      <c r="Z60333" s="8"/>
      <c r="AA60333" s="8"/>
    </row>
    <row r="60334" spans="1:27" x14ac:dyDescent="0.25">
      <c r="A60334" s="8"/>
      <c r="B60334" s="8"/>
      <c r="C60334" s="99"/>
      <c r="D60334" s="8"/>
      <c r="E60334" s="8"/>
      <c r="F60334" s="8"/>
      <c r="G60334" s="8"/>
      <c r="H60334" s="8"/>
      <c r="I60334" s="102"/>
      <c r="J60334" s="8"/>
      <c r="K60334" s="8"/>
      <c r="L60334" s="8"/>
      <c r="M60334" s="8"/>
      <c r="N60334" s="8"/>
      <c r="O60334" s="8"/>
      <c r="P60334" s="8"/>
      <c r="Q60334" s="8"/>
      <c r="R60334" s="103"/>
      <c r="S60334" s="8"/>
      <c r="T60334" s="8"/>
      <c r="U60334" s="8"/>
      <c r="V60334" s="8"/>
      <c r="W60334" s="8"/>
      <c r="X60334" s="8"/>
      <c r="Y60334" s="8"/>
      <c r="Z60334" s="8"/>
      <c r="AA60334" s="8"/>
    </row>
    <row r="60335" spans="1:27" x14ac:dyDescent="0.25">
      <c r="A60335" s="8"/>
      <c r="B60335" s="8"/>
      <c r="C60335" s="99"/>
      <c r="D60335" s="8"/>
      <c r="E60335" s="8"/>
      <c r="F60335" s="8"/>
      <c r="G60335" s="8"/>
      <c r="H60335" s="8"/>
      <c r="I60335" s="102"/>
      <c r="J60335" s="8"/>
      <c r="K60335" s="8"/>
      <c r="L60335" s="8"/>
      <c r="M60335" s="8"/>
      <c r="N60335" s="8"/>
      <c r="O60335" s="8"/>
      <c r="P60335" s="8"/>
      <c r="Q60335" s="8"/>
      <c r="R60335" s="103"/>
      <c r="S60335" s="8"/>
      <c r="T60335" s="8"/>
      <c r="U60335" s="8"/>
      <c r="V60335" s="8"/>
      <c r="W60335" s="8"/>
      <c r="X60335" s="8"/>
      <c r="Y60335" s="8"/>
      <c r="Z60335" s="8"/>
      <c r="AA60335" s="8"/>
    </row>
    <row r="60336" spans="1:27" x14ac:dyDescent="0.25">
      <c r="A60336" s="8"/>
      <c r="B60336" s="8"/>
      <c r="C60336" s="99"/>
      <c r="D60336" s="8"/>
      <c r="E60336" s="8"/>
      <c r="F60336" s="8"/>
      <c r="G60336" s="8"/>
      <c r="H60336" s="8"/>
      <c r="I60336" s="102"/>
      <c r="J60336" s="8"/>
      <c r="K60336" s="8"/>
      <c r="L60336" s="8"/>
      <c r="M60336" s="8"/>
      <c r="N60336" s="8"/>
      <c r="O60336" s="8"/>
      <c r="P60336" s="8"/>
      <c r="Q60336" s="8"/>
      <c r="R60336" s="103"/>
      <c r="S60336" s="8"/>
      <c r="T60336" s="8"/>
      <c r="U60336" s="8"/>
      <c r="V60336" s="8"/>
      <c r="W60336" s="8"/>
      <c r="X60336" s="8"/>
      <c r="Y60336" s="8"/>
      <c r="Z60336" s="8"/>
      <c r="AA60336" s="8"/>
    </row>
    <row r="60337" spans="1:27" x14ac:dyDescent="0.25">
      <c r="A60337" s="8"/>
      <c r="B60337" s="8"/>
      <c r="C60337" s="99"/>
      <c r="D60337" s="8"/>
      <c r="E60337" s="8"/>
      <c r="F60337" s="8"/>
      <c r="G60337" s="8"/>
      <c r="H60337" s="8"/>
      <c r="I60337" s="102"/>
      <c r="J60337" s="8"/>
      <c r="K60337" s="8"/>
      <c r="L60337" s="8"/>
      <c r="M60337" s="8"/>
      <c r="N60337" s="8"/>
      <c r="O60337" s="8"/>
      <c r="P60337" s="8"/>
      <c r="Q60337" s="8"/>
      <c r="R60337" s="103"/>
      <c r="S60337" s="8"/>
      <c r="T60337" s="8"/>
      <c r="U60337" s="8"/>
      <c r="V60337" s="8"/>
      <c r="W60337" s="8"/>
      <c r="X60337" s="8"/>
      <c r="Y60337" s="8"/>
      <c r="Z60337" s="8"/>
      <c r="AA60337" s="8"/>
    </row>
    <row r="60338" spans="1:27" x14ac:dyDescent="0.25">
      <c r="A60338" s="8"/>
      <c r="B60338" s="8"/>
      <c r="C60338" s="99"/>
      <c r="D60338" s="8"/>
      <c r="E60338" s="8"/>
      <c r="F60338" s="8"/>
      <c r="G60338" s="8"/>
      <c r="H60338" s="8"/>
      <c r="I60338" s="102"/>
      <c r="J60338" s="8"/>
      <c r="K60338" s="8"/>
      <c r="L60338" s="8"/>
      <c r="M60338" s="8"/>
      <c r="N60338" s="8"/>
      <c r="O60338" s="8"/>
      <c r="P60338" s="8"/>
      <c r="Q60338" s="8"/>
      <c r="R60338" s="103"/>
      <c r="S60338" s="8"/>
      <c r="T60338" s="8"/>
      <c r="U60338" s="8"/>
      <c r="V60338" s="8"/>
      <c r="W60338" s="8"/>
      <c r="X60338" s="8"/>
      <c r="Y60338" s="8"/>
      <c r="Z60338" s="8"/>
      <c r="AA60338" s="8"/>
    </row>
    <row r="60339" spans="1:27" x14ac:dyDescent="0.25">
      <c r="A60339" s="8"/>
      <c r="B60339" s="8"/>
      <c r="C60339" s="99"/>
      <c r="D60339" s="8"/>
      <c r="E60339" s="8"/>
      <c r="F60339" s="8"/>
      <c r="G60339" s="8"/>
      <c r="H60339" s="8"/>
      <c r="I60339" s="102"/>
      <c r="J60339" s="8"/>
      <c r="K60339" s="8"/>
      <c r="L60339" s="8"/>
      <c r="M60339" s="8"/>
      <c r="N60339" s="8"/>
      <c r="O60339" s="8"/>
      <c r="P60339" s="8"/>
      <c r="Q60339" s="8"/>
      <c r="R60339" s="103"/>
      <c r="S60339" s="8"/>
      <c r="T60339" s="8"/>
      <c r="U60339" s="8"/>
      <c r="V60339" s="8"/>
      <c r="W60339" s="8"/>
      <c r="X60339" s="8"/>
      <c r="Y60339" s="8"/>
      <c r="Z60339" s="8"/>
      <c r="AA60339" s="8"/>
    </row>
    <row r="60340" spans="1:27" x14ac:dyDescent="0.25">
      <c r="A60340" s="8"/>
      <c r="B60340" s="8"/>
      <c r="C60340" s="99"/>
      <c r="D60340" s="8"/>
      <c r="E60340" s="8"/>
      <c r="F60340" s="8"/>
      <c r="G60340" s="8"/>
      <c r="H60340" s="8"/>
      <c r="I60340" s="102"/>
      <c r="J60340" s="8"/>
      <c r="K60340" s="8"/>
      <c r="L60340" s="8"/>
      <c r="M60340" s="8"/>
      <c r="N60340" s="8"/>
      <c r="O60340" s="8"/>
      <c r="P60340" s="8"/>
      <c r="Q60340" s="8"/>
      <c r="R60340" s="103"/>
      <c r="S60340" s="8"/>
      <c r="T60340" s="8"/>
      <c r="U60340" s="8"/>
      <c r="V60340" s="8"/>
      <c r="W60340" s="8"/>
      <c r="X60340" s="8"/>
      <c r="Y60340" s="8"/>
      <c r="Z60340" s="8"/>
      <c r="AA60340" s="8"/>
    </row>
    <row r="60341" spans="1:27" x14ac:dyDescent="0.25">
      <c r="A60341" s="8"/>
      <c r="B60341" s="8"/>
      <c r="C60341" s="99"/>
      <c r="D60341" s="8"/>
      <c r="E60341" s="8"/>
      <c r="F60341" s="8"/>
      <c r="G60341" s="8"/>
      <c r="H60341" s="8"/>
      <c r="I60341" s="102"/>
      <c r="J60341" s="8"/>
      <c r="K60341" s="8"/>
      <c r="L60341" s="8"/>
      <c r="M60341" s="8"/>
      <c r="N60341" s="8"/>
      <c r="O60341" s="8"/>
      <c r="P60341" s="8"/>
      <c r="Q60341" s="8"/>
      <c r="R60341" s="103"/>
      <c r="S60341" s="8"/>
      <c r="T60341" s="8"/>
      <c r="U60341" s="8"/>
      <c r="V60341" s="8"/>
      <c r="W60341" s="8"/>
      <c r="X60341" s="8"/>
      <c r="Y60341" s="8"/>
      <c r="Z60341" s="8"/>
      <c r="AA60341" s="8"/>
    </row>
    <row r="60342" spans="1:27" x14ac:dyDescent="0.25">
      <c r="A60342" s="8"/>
      <c r="B60342" s="8"/>
      <c r="C60342" s="99"/>
      <c r="D60342" s="8"/>
      <c r="E60342" s="8"/>
      <c r="F60342" s="8"/>
      <c r="G60342" s="8"/>
      <c r="H60342" s="8"/>
      <c r="I60342" s="102"/>
      <c r="J60342" s="8"/>
      <c r="K60342" s="8"/>
      <c r="L60342" s="8"/>
      <c r="M60342" s="8"/>
      <c r="N60342" s="8"/>
      <c r="O60342" s="8"/>
      <c r="P60342" s="8"/>
      <c r="Q60342" s="8"/>
      <c r="R60342" s="103"/>
      <c r="S60342" s="8"/>
      <c r="T60342" s="8"/>
      <c r="U60342" s="8"/>
      <c r="V60342" s="8"/>
      <c r="W60342" s="8"/>
      <c r="X60342" s="8"/>
      <c r="Y60342" s="8"/>
      <c r="Z60342" s="8"/>
      <c r="AA60342" s="8"/>
    </row>
    <row r="60343" spans="1:27" x14ac:dyDescent="0.25">
      <c r="A60343" s="8"/>
      <c r="B60343" s="8"/>
      <c r="C60343" s="99"/>
      <c r="D60343" s="8"/>
      <c r="E60343" s="8"/>
      <c r="F60343" s="8"/>
      <c r="G60343" s="8"/>
      <c r="H60343" s="8"/>
      <c r="I60343" s="102"/>
      <c r="J60343" s="8"/>
      <c r="K60343" s="8"/>
      <c r="L60343" s="8"/>
      <c r="M60343" s="8"/>
      <c r="N60343" s="8"/>
      <c r="O60343" s="8"/>
      <c r="P60343" s="8"/>
      <c r="Q60343" s="8"/>
      <c r="R60343" s="103"/>
      <c r="S60343" s="8"/>
      <c r="T60343" s="8"/>
      <c r="U60343" s="8"/>
      <c r="V60343" s="8"/>
      <c r="W60343" s="8"/>
      <c r="X60343" s="8"/>
      <c r="Y60343" s="8"/>
      <c r="Z60343" s="8"/>
      <c r="AA60343" s="8"/>
    </row>
    <row r="60344" spans="1:27" x14ac:dyDescent="0.25">
      <c r="A60344" s="8"/>
      <c r="B60344" s="8"/>
      <c r="C60344" s="99"/>
      <c r="D60344" s="8"/>
      <c r="E60344" s="8"/>
      <c r="F60344" s="8"/>
      <c r="G60344" s="8"/>
      <c r="H60344" s="8"/>
      <c r="I60344" s="102"/>
      <c r="J60344" s="8"/>
      <c r="K60344" s="8"/>
      <c r="L60344" s="8"/>
      <c r="M60344" s="8"/>
      <c r="N60344" s="8"/>
      <c r="O60344" s="8"/>
      <c r="P60344" s="8"/>
      <c r="Q60344" s="8"/>
      <c r="R60344" s="103"/>
      <c r="S60344" s="8"/>
      <c r="T60344" s="8"/>
      <c r="U60344" s="8"/>
      <c r="V60344" s="8"/>
      <c r="W60344" s="8"/>
      <c r="X60344" s="8"/>
      <c r="Y60344" s="8"/>
      <c r="Z60344" s="8"/>
      <c r="AA60344" s="8"/>
    </row>
    <row r="60345" spans="1:27" x14ac:dyDescent="0.25">
      <c r="A60345" s="8"/>
      <c r="B60345" s="8"/>
      <c r="C60345" s="99"/>
      <c r="D60345" s="8"/>
      <c r="E60345" s="8"/>
      <c r="F60345" s="8"/>
      <c r="G60345" s="8"/>
      <c r="H60345" s="8"/>
      <c r="I60345" s="102"/>
      <c r="J60345" s="8"/>
      <c r="K60345" s="8"/>
      <c r="L60345" s="8"/>
      <c r="M60345" s="8"/>
      <c r="N60345" s="8"/>
      <c r="O60345" s="8"/>
      <c r="P60345" s="8"/>
      <c r="Q60345" s="8"/>
      <c r="R60345" s="103"/>
      <c r="S60345" s="8"/>
      <c r="T60345" s="8"/>
      <c r="U60345" s="8"/>
      <c r="V60345" s="8"/>
      <c r="W60345" s="8"/>
      <c r="X60345" s="8"/>
      <c r="Y60345" s="8"/>
      <c r="Z60345" s="8"/>
      <c r="AA60345" s="8"/>
    </row>
    <row r="60346" spans="1:27" x14ac:dyDescent="0.25">
      <c r="A60346" s="8"/>
      <c r="B60346" s="8"/>
      <c r="C60346" s="99"/>
      <c r="D60346" s="8"/>
      <c r="E60346" s="8"/>
      <c r="F60346" s="8"/>
      <c r="G60346" s="8"/>
      <c r="H60346" s="8"/>
      <c r="I60346" s="102"/>
      <c r="J60346" s="8"/>
      <c r="K60346" s="8"/>
      <c r="L60346" s="8"/>
      <c r="M60346" s="8"/>
      <c r="N60346" s="8"/>
      <c r="O60346" s="8"/>
      <c r="P60346" s="8"/>
      <c r="Q60346" s="8"/>
      <c r="R60346" s="103"/>
      <c r="S60346" s="8"/>
      <c r="T60346" s="8"/>
      <c r="U60346" s="8"/>
      <c r="V60346" s="8"/>
      <c r="W60346" s="8"/>
      <c r="X60346" s="8"/>
      <c r="Y60346" s="8"/>
      <c r="Z60346" s="8"/>
      <c r="AA60346" s="8"/>
    </row>
    <row r="60347" spans="1:27" x14ac:dyDescent="0.25">
      <c r="A60347" s="8"/>
      <c r="B60347" s="8"/>
      <c r="C60347" s="99"/>
      <c r="D60347" s="8"/>
      <c r="E60347" s="8"/>
      <c r="F60347" s="8"/>
      <c r="G60347" s="8"/>
      <c r="H60347" s="8"/>
      <c r="I60347" s="102"/>
      <c r="J60347" s="8"/>
      <c r="K60347" s="8"/>
      <c r="L60347" s="8"/>
      <c r="M60347" s="8"/>
      <c r="N60347" s="8"/>
      <c r="O60347" s="8"/>
      <c r="P60347" s="8"/>
      <c r="Q60347" s="8"/>
      <c r="R60347" s="103"/>
      <c r="S60347" s="8"/>
      <c r="T60347" s="8"/>
      <c r="U60347" s="8"/>
      <c r="V60347" s="8"/>
      <c r="W60347" s="8"/>
      <c r="X60347" s="8"/>
      <c r="Y60347" s="8"/>
      <c r="Z60347" s="8"/>
      <c r="AA60347" s="8"/>
    </row>
    <row r="60348" spans="1:27" x14ac:dyDescent="0.25">
      <c r="A60348" s="8"/>
      <c r="B60348" s="8"/>
      <c r="C60348" s="99"/>
      <c r="D60348" s="8"/>
      <c r="E60348" s="8"/>
      <c r="F60348" s="8"/>
      <c r="G60348" s="8"/>
      <c r="H60348" s="8"/>
      <c r="I60348" s="102"/>
      <c r="J60348" s="8"/>
      <c r="K60348" s="8"/>
      <c r="L60348" s="8"/>
      <c r="M60348" s="8"/>
      <c r="N60348" s="8"/>
      <c r="O60348" s="8"/>
      <c r="P60348" s="8"/>
      <c r="Q60348" s="8"/>
      <c r="R60348" s="103"/>
      <c r="S60348" s="8"/>
      <c r="T60348" s="8"/>
      <c r="U60348" s="8"/>
      <c r="V60348" s="8"/>
      <c r="W60348" s="8"/>
      <c r="X60348" s="8"/>
      <c r="Y60348" s="8"/>
      <c r="Z60348" s="8"/>
      <c r="AA60348" s="8"/>
    </row>
    <row r="60349" spans="1:27" x14ac:dyDescent="0.25">
      <c r="A60349" s="8"/>
      <c r="B60349" s="8"/>
      <c r="C60349" s="99"/>
      <c r="D60349" s="8"/>
      <c r="E60349" s="8"/>
      <c r="F60349" s="8"/>
      <c r="G60349" s="8"/>
      <c r="H60349" s="8"/>
      <c r="I60349" s="102"/>
      <c r="J60349" s="8"/>
      <c r="K60349" s="8"/>
      <c r="L60349" s="8"/>
      <c r="M60349" s="8"/>
      <c r="N60349" s="8"/>
      <c r="O60349" s="8"/>
      <c r="P60349" s="8"/>
      <c r="Q60349" s="8"/>
      <c r="R60349" s="103"/>
      <c r="S60349" s="8"/>
      <c r="T60349" s="8"/>
      <c r="U60349" s="8"/>
      <c r="V60349" s="8"/>
      <c r="W60349" s="8"/>
      <c r="X60349" s="8"/>
      <c r="Y60349" s="8"/>
      <c r="Z60349" s="8"/>
      <c r="AA60349" s="8"/>
    </row>
    <row r="60350" spans="1:27" x14ac:dyDescent="0.25">
      <c r="A60350" s="8"/>
      <c r="B60350" s="8"/>
      <c r="C60350" s="99"/>
      <c r="D60350" s="8"/>
      <c r="E60350" s="8"/>
      <c r="F60350" s="8"/>
      <c r="G60350" s="8"/>
      <c r="H60350" s="8"/>
      <c r="I60350" s="102"/>
      <c r="J60350" s="8"/>
      <c r="K60350" s="8"/>
      <c r="L60350" s="8"/>
      <c r="M60350" s="8"/>
      <c r="N60350" s="8"/>
      <c r="O60350" s="8"/>
      <c r="P60350" s="8"/>
      <c r="Q60350" s="8"/>
      <c r="R60350" s="103"/>
      <c r="S60350" s="8"/>
      <c r="T60350" s="8"/>
      <c r="U60350" s="8"/>
      <c r="V60350" s="8"/>
      <c r="W60350" s="8"/>
      <c r="X60350" s="8"/>
      <c r="Y60350" s="8"/>
      <c r="Z60350" s="8"/>
      <c r="AA60350" s="8"/>
    </row>
    <row r="60351" spans="1:27" x14ac:dyDescent="0.25">
      <c r="A60351" s="8"/>
      <c r="B60351" s="8"/>
      <c r="C60351" s="99"/>
      <c r="D60351" s="8"/>
      <c r="E60351" s="8"/>
      <c r="F60351" s="8"/>
      <c r="G60351" s="8"/>
      <c r="H60351" s="8"/>
      <c r="I60351" s="102"/>
      <c r="J60351" s="8"/>
      <c r="K60351" s="8"/>
      <c r="L60351" s="8"/>
      <c r="M60351" s="8"/>
      <c r="N60351" s="8"/>
      <c r="O60351" s="8"/>
      <c r="P60351" s="8"/>
      <c r="Q60351" s="8"/>
      <c r="R60351" s="103"/>
      <c r="S60351" s="8"/>
      <c r="T60351" s="8"/>
      <c r="U60351" s="8"/>
      <c r="V60351" s="8"/>
      <c r="W60351" s="8"/>
      <c r="X60351" s="8"/>
      <c r="Y60351" s="8"/>
      <c r="Z60351" s="8"/>
      <c r="AA60351" s="8"/>
    </row>
    <row r="60352" spans="1:27" x14ac:dyDescent="0.25">
      <c r="A60352" s="8"/>
      <c r="B60352" s="8"/>
      <c r="C60352" s="99"/>
      <c r="D60352" s="8"/>
      <c r="E60352" s="8"/>
      <c r="F60352" s="8"/>
      <c r="G60352" s="8"/>
      <c r="H60352" s="8"/>
      <c r="I60352" s="102"/>
      <c r="J60352" s="8"/>
      <c r="K60352" s="8"/>
      <c r="L60352" s="8"/>
      <c r="M60352" s="8"/>
      <c r="N60352" s="8"/>
      <c r="O60352" s="8"/>
      <c r="P60352" s="8"/>
      <c r="Q60352" s="8"/>
      <c r="R60352" s="103"/>
      <c r="S60352" s="8"/>
      <c r="T60352" s="8"/>
      <c r="U60352" s="8"/>
      <c r="V60352" s="8"/>
      <c r="W60352" s="8"/>
      <c r="X60352" s="8"/>
      <c r="Y60352" s="8"/>
      <c r="Z60352" s="8"/>
      <c r="AA60352" s="8"/>
    </row>
    <row r="60353" spans="1:27" x14ac:dyDescent="0.25">
      <c r="A60353" s="8"/>
      <c r="B60353" s="8"/>
      <c r="C60353" s="99"/>
      <c r="D60353" s="8"/>
      <c r="E60353" s="8"/>
      <c r="F60353" s="8"/>
      <c r="G60353" s="8"/>
      <c r="H60353" s="8"/>
      <c r="I60353" s="102"/>
      <c r="J60353" s="8"/>
      <c r="K60353" s="8"/>
      <c r="L60353" s="8"/>
      <c r="M60353" s="8"/>
      <c r="N60353" s="8"/>
      <c r="O60353" s="8"/>
      <c r="P60353" s="8"/>
      <c r="Q60353" s="8"/>
      <c r="R60353" s="103"/>
      <c r="S60353" s="8"/>
      <c r="T60353" s="8"/>
      <c r="U60353" s="8"/>
      <c r="V60353" s="8"/>
      <c r="W60353" s="8"/>
      <c r="X60353" s="8"/>
      <c r="Y60353" s="8"/>
      <c r="Z60353" s="8"/>
      <c r="AA60353" s="8"/>
    </row>
    <row r="60354" spans="1:27" x14ac:dyDescent="0.25">
      <c r="A60354" s="8"/>
      <c r="B60354" s="8"/>
      <c r="C60354" s="99"/>
      <c r="D60354" s="8"/>
      <c r="E60354" s="8"/>
      <c r="F60354" s="8"/>
      <c r="G60354" s="8"/>
      <c r="H60354" s="8"/>
      <c r="I60354" s="102"/>
      <c r="J60354" s="8"/>
      <c r="K60354" s="8"/>
      <c r="L60354" s="8"/>
      <c r="M60354" s="8"/>
      <c r="N60354" s="8"/>
      <c r="O60354" s="8"/>
      <c r="P60354" s="8"/>
      <c r="Q60354" s="8"/>
      <c r="R60354" s="103"/>
      <c r="S60354" s="8"/>
      <c r="T60354" s="8"/>
      <c r="U60354" s="8"/>
      <c r="V60354" s="8"/>
      <c r="W60354" s="8"/>
      <c r="X60354" s="8"/>
      <c r="Y60354" s="8"/>
      <c r="Z60354" s="8"/>
      <c r="AA60354" s="8"/>
    </row>
    <row r="60355" spans="1:27" x14ac:dyDescent="0.25">
      <c r="A60355" s="8"/>
      <c r="B60355" s="8"/>
      <c r="C60355" s="99"/>
      <c r="D60355" s="8"/>
      <c r="E60355" s="8"/>
      <c r="F60355" s="8"/>
      <c r="G60355" s="8"/>
      <c r="H60355" s="8"/>
      <c r="I60355" s="102"/>
      <c r="J60355" s="8"/>
      <c r="K60355" s="8"/>
      <c r="L60355" s="8"/>
      <c r="M60355" s="8"/>
      <c r="N60355" s="8"/>
      <c r="O60355" s="8"/>
      <c r="P60355" s="8"/>
      <c r="Q60355" s="8"/>
      <c r="R60355" s="103"/>
      <c r="S60355" s="8"/>
      <c r="T60355" s="8"/>
      <c r="U60355" s="8"/>
      <c r="V60355" s="8"/>
      <c r="W60355" s="8"/>
      <c r="X60355" s="8"/>
      <c r="Y60355" s="8"/>
      <c r="Z60355" s="8"/>
      <c r="AA60355" s="8"/>
    </row>
    <row r="60356" spans="1:27" x14ac:dyDescent="0.25">
      <c r="A60356" s="8"/>
      <c r="B60356" s="8"/>
      <c r="C60356" s="99"/>
      <c r="D60356" s="8"/>
      <c r="E60356" s="8"/>
      <c r="F60356" s="8"/>
      <c r="G60356" s="8"/>
      <c r="H60356" s="8"/>
      <c r="I60356" s="102"/>
      <c r="J60356" s="8"/>
      <c r="K60356" s="8"/>
      <c r="L60356" s="8"/>
      <c r="M60356" s="8"/>
      <c r="N60356" s="8"/>
      <c r="O60356" s="8"/>
      <c r="P60356" s="8"/>
      <c r="Q60356" s="8"/>
      <c r="R60356" s="103"/>
      <c r="S60356" s="8"/>
      <c r="T60356" s="8"/>
      <c r="U60356" s="8"/>
      <c r="V60356" s="8"/>
      <c r="W60356" s="8"/>
      <c r="X60356" s="8"/>
      <c r="Y60356" s="8"/>
      <c r="Z60356" s="8"/>
      <c r="AA60356" s="8"/>
    </row>
    <row r="60357" spans="1:27" x14ac:dyDescent="0.25">
      <c r="A60357" s="8"/>
      <c r="B60357" s="8"/>
      <c r="C60357" s="99"/>
      <c r="D60357" s="8"/>
      <c r="E60357" s="8"/>
      <c r="F60357" s="8"/>
      <c r="G60357" s="8"/>
      <c r="H60357" s="8"/>
      <c r="I60357" s="102"/>
      <c r="J60357" s="8"/>
      <c r="K60357" s="8"/>
      <c r="L60357" s="8"/>
      <c r="M60357" s="8"/>
      <c r="N60357" s="8"/>
      <c r="O60357" s="8"/>
      <c r="P60357" s="8"/>
      <c r="Q60357" s="8"/>
      <c r="R60357" s="103"/>
      <c r="S60357" s="8"/>
      <c r="T60357" s="8"/>
      <c r="U60357" s="8"/>
      <c r="V60357" s="8"/>
      <c r="W60357" s="8"/>
      <c r="X60357" s="8"/>
      <c r="Y60357" s="8"/>
      <c r="Z60357" s="8"/>
      <c r="AA60357" s="8"/>
    </row>
    <row r="60358" spans="1:27" x14ac:dyDescent="0.25">
      <c r="A60358" s="8"/>
      <c r="B60358" s="8"/>
      <c r="C60358" s="99"/>
      <c r="D60358" s="8"/>
      <c r="E60358" s="8"/>
      <c r="F60358" s="8"/>
      <c r="G60358" s="8"/>
      <c r="H60358" s="8"/>
      <c r="I60358" s="102"/>
      <c r="J60358" s="8"/>
      <c r="K60358" s="8"/>
      <c r="L60358" s="8"/>
      <c r="M60358" s="8"/>
      <c r="N60358" s="8"/>
      <c r="O60358" s="8"/>
      <c r="P60358" s="8"/>
      <c r="Q60358" s="8"/>
      <c r="R60358" s="103"/>
      <c r="S60358" s="8"/>
      <c r="T60358" s="8"/>
      <c r="U60358" s="8"/>
      <c r="V60358" s="8"/>
      <c r="W60358" s="8"/>
      <c r="X60358" s="8"/>
      <c r="Y60358" s="8"/>
      <c r="Z60358" s="8"/>
      <c r="AA60358" s="8"/>
    </row>
    <row r="60359" spans="1:27" x14ac:dyDescent="0.25">
      <c r="A60359" s="8"/>
      <c r="B60359" s="8"/>
      <c r="C60359" s="99"/>
      <c r="D60359" s="8"/>
      <c r="E60359" s="8"/>
      <c r="F60359" s="8"/>
      <c r="G60359" s="8"/>
      <c r="H60359" s="8"/>
      <c r="I60359" s="102"/>
      <c r="J60359" s="8"/>
      <c r="K60359" s="8"/>
      <c r="L60359" s="8"/>
      <c r="M60359" s="8"/>
      <c r="N60359" s="8"/>
      <c r="O60359" s="8"/>
      <c r="P60359" s="8"/>
      <c r="Q60359" s="8"/>
      <c r="R60359" s="103"/>
      <c r="S60359" s="8"/>
      <c r="T60359" s="8"/>
      <c r="U60359" s="8"/>
      <c r="V60359" s="8"/>
      <c r="W60359" s="8"/>
      <c r="X60359" s="8"/>
      <c r="Y60359" s="8"/>
      <c r="Z60359" s="8"/>
      <c r="AA60359" s="8"/>
    </row>
    <row r="60360" spans="1:27" x14ac:dyDescent="0.25">
      <c r="A60360" s="8"/>
      <c r="B60360" s="8"/>
      <c r="C60360" s="99"/>
      <c r="D60360" s="8"/>
      <c r="E60360" s="8"/>
      <c r="F60360" s="8"/>
      <c r="G60360" s="8"/>
      <c r="H60360" s="8"/>
      <c r="I60360" s="102"/>
      <c r="J60360" s="8"/>
      <c r="K60360" s="8"/>
      <c r="L60360" s="8"/>
      <c r="M60360" s="8"/>
      <c r="N60360" s="8"/>
      <c r="O60360" s="8"/>
      <c r="P60360" s="8"/>
      <c r="Q60360" s="8"/>
      <c r="R60360" s="103"/>
      <c r="S60360" s="8"/>
      <c r="T60360" s="8"/>
      <c r="U60360" s="8"/>
      <c r="V60360" s="8"/>
      <c r="W60360" s="8"/>
      <c r="X60360" s="8"/>
      <c r="Y60360" s="8"/>
      <c r="Z60360" s="8"/>
      <c r="AA60360" s="8"/>
    </row>
    <row r="60361" spans="1:27" x14ac:dyDescent="0.25">
      <c r="A60361" s="8"/>
      <c r="B60361" s="8"/>
      <c r="C60361" s="99"/>
      <c r="D60361" s="8"/>
      <c r="E60361" s="8"/>
      <c r="F60361" s="8"/>
      <c r="G60361" s="8"/>
      <c r="H60361" s="8"/>
      <c r="I60361" s="102"/>
      <c r="J60361" s="8"/>
      <c r="K60361" s="8"/>
      <c r="L60361" s="8"/>
      <c r="M60361" s="8"/>
      <c r="N60361" s="8"/>
      <c r="O60361" s="8"/>
      <c r="P60361" s="8"/>
      <c r="Q60361" s="8"/>
      <c r="R60361" s="103"/>
      <c r="S60361" s="8"/>
      <c r="T60361" s="8"/>
      <c r="U60361" s="8"/>
      <c r="V60361" s="8"/>
      <c r="W60361" s="8"/>
      <c r="X60361" s="8"/>
      <c r="Y60361" s="8"/>
      <c r="Z60361" s="8"/>
      <c r="AA60361" s="8"/>
    </row>
    <row r="60362" spans="1:27" x14ac:dyDescent="0.25">
      <c r="A60362" s="8"/>
      <c r="B60362" s="8"/>
      <c r="C60362" s="99"/>
      <c r="D60362" s="8"/>
      <c r="E60362" s="8"/>
      <c r="F60362" s="8"/>
      <c r="G60362" s="8"/>
      <c r="H60362" s="8"/>
      <c r="I60362" s="102"/>
      <c r="J60362" s="8"/>
      <c r="K60362" s="8"/>
      <c r="L60362" s="8"/>
      <c r="M60362" s="8"/>
      <c r="N60362" s="8"/>
      <c r="O60362" s="8"/>
      <c r="P60362" s="8"/>
      <c r="Q60362" s="8"/>
      <c r="R60362" s="103"/>
      <c r="S60362" s="8"/>
      <c r="T60362" s="8"/>
      <c r="U60362" s="8"/>
      <c r="V60362" s="8"/>
      <c r="W60362" s="8"/>
      <c r="X60362" s="8"/>
      <c r="Y60362" s="8"/>
      <c r="Z60362" s="8"/>
      <c r="AA60362" s="8"/>
    </row>
    <row r="60363" spans="1:27" x14ac:dyDescent="0.25">
      <c r="A60363" s="8"/>
      <c r="B60363" s="8"/>
      <c r="C60363" s="99"/>
      <c r="D60363" s="8"/>
      <c r="E60363" s="8"/>
      <c r="F60363" s="8"/>
      <c r="G60363" s="8"/>
      <c r="H60363" s="8"/>
      <c r="I60363" s="102"/>
      <c r="J60363" s="8"/>
      <c r="K60363" s="8"/>
      <c r="L60363" s="8"/>
      <c r="M60363" s="8"/>
      <c r="N60363" s="8"/>
      <c r="O60363" s="8"/>
      <c r="P60363" s="8"/>
      <c r="Q60363" s="8"/>
      <c r="R60363" s="103"/>
      <c r="S60363" s="8"/>
      <c r="T60363" s="8"/>
      <c r="U60363" s="8"/>
      <c r="V60363" s="8"/>
      <c r="W60363" s="8"/>
      <c r="X60363" s="8"/>
      <c r="Y60363" s="8"/>
      <c r="Z60363" s="8"/>
      <c r="AA60363" s="8"/>
    </row>
    <row r="60364" spans="1:27" x14ac:dyDescent="0.25">
      <c r="A60364" s="8"/>
      <c r="B60364" s="8"/>
      <c r="C60364" s="99"/>
      <c r="D60364" s="8"/>
      <c r="E60364" s="8"/>
      <c r="F60364" s="8"/>
      <c r="G60364" s="8"/>
      <c r="H60364" s="8"/>
      <c r="I60364" s="102"/>
      <c r="J60364" s="8"/>
      <c r="K60364" s="8"/>
      <c r="L60364" s="8"/>
      <c r="M60364" s="8"/>
      <c r="N60364" s="8"/>
      <c r="O60364" s="8"/>
      <c r="P60364" s="8"/>
      <c r="Q60364" s="8"/>
      <c r="R60364" s="103"/>
      <c r="S60364" s="8"/>
      <c r="T60364" s="8"/>
      <c r="U60364" s="8"/>
      <c r="V60364" s="8"/>
      <c r="W60364" s="8"/>
      <c r="X60364" s="8"/>
      <c r="Y60364" s="8"/>
      <c r="Z60364" s="8"/>
      <c r="AA60364" s="8"/>
    </row>
    <row r="60365" spans="1:27" x14ac:dyDescent="0.25">
      <c r="A60365" s="8"/>
      <c r="B60365" s="8"/>
      <c r="C60365" s="99"/>
      <c r="D60365" s="8"/>
      <c r="E60365" s="8"/>
      <c r="F60365" s="8"/>
      <c r="G60365" s="8"/>
      <c r="H60365" s="8"/>
      <c r="I60365" s="102"/>
      <c r="J60365" s="8"/>
      <c r="K60365" s="8"/>
      <c r="L60365" s="8"/>
      <c r="M60365" s="8"/>
      <c r="N60365" s="8"/>
      <c r="O60365" s="8"/>
      <c r="P60365" s="8"/>
      <c r="Q60365" s="8"/>
      <c r="R60365" s="103"/>
      <c r="S60365" s="8"/>
      <c r="T60365" s="8"/>
      <c r="U60365" s="8"/>
      <c r="V60365" s="8"/>
      <c r="W60365" s="8"/>
      <c r="X60365" s="8"/>
      <c r="Y60365" s="8"/>
      <c r="Z60365" s="8"/>
      <c r="AA60365" s="8"/>
    </row>
    <row r="60366" spans="1:27" x14ac:dyDescent="0.25">
      <c r="A60366" s="8"/>
      <c r="B60366" s="8"/>
      <c r="C60366" s="99"/>
      <c r="D60366" s="8"/>
      <c r="E60366" s="8"/>
      <c r="F60366" s="8"/>
      <c r="G60366" s="8"/>
      <c r="H60366" s="8"/>
      <c r="I60366" s="102"/>
      <c r="J60366" s="8"/>
      <c r="K60366" s="8"/>
      <c r="L60366" s="8"/>
      <c r="M60366" s="8"/>
      <c r="N60366" s="8"/>
      <c r="O60366" s="8"/>
      <c r="P60366" s="8"/>
      <c r="Q60366" s="8"/>
      <c r="R60366" s="103"/>
      <c r="S60366" s="8"/>
      <c r="T60366" s="8"/>
      <c r="U60366" s="8"/>
      <c r="V60366" s="8"/>
      <c r="W60366" s="8"/>
      <c r="X60366" s="8"/>
      <c r="Y60366" s="8"/>
      <c r="Z60366" s="8"/>
      <c r="AA60366" s="8"/>
    </row>
    <row r="60367" spans="1:27" x14ac:dyDescent="0.25">
      <c r="A60367" s="8"/>
      <c r="B60367" s="8"/>
      <c r="C60367" s="99"/>
      <c r="D60367" s="8"/>
      <c r="E60367" s="8"/>
      <c r="F60367" s="8"/>
      <c r="G60367" s="8"/>
      <c r="H60367" s="8"/>
      <c r="I60367" s="102"/>
      <c r="J60367" s="8"/>
      <c r="K60367" s="8"/>
      <c r="L60367" s="8"/>
      <c r="M60367" s="8"/>
      <c r="N60367" s="8"/>
      <c r="O60367" s="8"/>
      <c r="P60367" s="8"/>
      <c r="Q60367" s="8"/>
      <c r="R60367" s="103"/>
      <c r="S60367" s="8"/>
      <c r="T60367" s="8"/>
      <c r="U60367" s="8"/>
      <c r="V60367" s="8"/>
      <c r="W60367" s="8"/>
      <c r="X60367" s="8"/>
      <c r="Y60367" s="8"/>
      <c r="Z60367" s="8"/>
      <c r="AA60367" s="8"/>
    </row>
    <row r="60368" spans="1:27" x14ac:dyDescent="0.25">
      <c r="A60368" s="8"/>
      <c r="B60368" s="8"/>
      <c r="C60368" s="99"/>
      <c r="D60368" s="8"/>
      <c r="E60368" s="8"/>
      <c r="F60368" s="8"/>
      <c r="G60368" s="8"/>
      <c r="H60368" s="8"/>
      <c r="I60368" s="102"/>
      <c r="J60368" s="8"/>
      <c r="K60368" s="8"/>
      <c r="L60368" s="8"/>
      <c r="M60368" s="8"/>
      <c r="N60368" s="8"/>
      <c r="O60368" s="8"/>
      <c r="P60368" s="8"/>
      <c r="Q60368" s="8"/>
      <c r="R60368" s="103"/>
      <c r="S60368" s="8"/>
      <c r="T60368" s="8"/>
      <c r="U60368" s="8"/>
      <c r="V60368" s="8"/>
      <c r="W60368" s="8"/>
      <c r="X60368" s="8"/>
      <c r="Y60368" s="8"/>
      <c r="Z60368" s="8"/>
      <c r="AA60368" s="8"/>
    </row>
    <row r="60369" spans="1:27" x14ac:dyDescent="0.25">
      <c r="A60369" s="8"/>
      <c r="B60369" s="8"/>
      <c r="C60369" s="99"/>
      <c r="D60369" s="8"/>
      <c r="E60369" s="8"/>
      <c r="F60369" s="8"/>
      <c r="G60369" s="8"/>
      <c r="H60369" s="8"/>
      <c r="I60369" s="102"/>
      <c r="J60369" s="8"/>
      <c r="K60369" s="8"/>
      <c r="L60369" s="8"/>
      <c r="M60369" s="8"/>
      <c r="N60369" s="8"/>
      <c r="O60369" s="8"/>
      <c r="P60369" s="8"/>
      <c r="Q60369" s="8"/>
      <c r="R60369" s="103"/>
      <c r="S60369" s="8"/>
      <c r="T60369" s="8"/>
      <c r="U60369" s="8"/>
      <c r="V60369" s="8"/>
      <c r="W60369" s="8"/>
      <c r="X60369" s="8"/>
      <c r="Y60369" s="8"/>
      <c r="Z60369" s="8"/>
      <c r="AA60369" s="8"/>
    </row>
    <row r="60370" spans="1:27" x14ac:dyDescent="0.25">
      <c r="A60370" s="8"/>
      <c r="B60370" s="8"/>
      <c r="C60370" s="99"/>
      <c r="D60370" s="8"/>
      <c r="E60370" s="8"/>
      <c r="F60370" s="8"/>
      <c r="G60370" s="8"/>
      <c r="H60370" s="8"/>
      <c r="I60370" s="102"/>
      <c r="J60370" s="8"/>
      <c r="K60370" s="8"/>
      <c r="L60370" s="8"/>
      <c r="M60370" s="8"/>
      <c r="N60370" s="8"/>
      <c r="O60370" s="8"/>
      <c r="P60370" s="8"/>
      <c r="Q60370" s="8"/>
      <c r="R60370" s="103"/>
      <c r="S60370" s="8"/>
      <c r="T60370" s="8"/>
      <c r="U60370" s="8"/>
      <c r="V60370" s="8"/>
      <c r="W60370" s="8"/>
      <c r="X60370" s="8"/>
      <c r="Y60370" s="8"/>
      <c r="Z60370" s="8"/>
      <c r="AA60370" s="8"/>
    </row>
    <row r="60371" spans="1:27" x14ac:dyDescent="0.25">
      <c r="A60371" s="8"/>
      <c r="B60371" s="8"/>
      <c r="C60371" s="99"/>
      <c r="D60371" s="8"/>
      <c r="E60371" s="8"/>
      <c r="F60371" s="8"/>
      <c r="G60371" s="8"/>
      <c r="H60371" s="8"/>
      <c r="I60371" s="102"/>
      <c r="J60371" s="8"/>
      <c r="K60371" s="8"/>
      <c r="L60371" s="8"/>
      <c r="M60371" s="8"/>
      <c r="N60371" s="8"/>
      <c r="O60371" s="8"/>
      <c r="P60371" s="8"/>
      <c r="Q60371" s="8"/>
      <c r="R60371" s="103"/>
      <c r="S60371" s="8"/>
      <c r="T60371" s="8"/>
      <c r="U60371" s="8"/>
      <c r="V60371" s="8"/>
      <c r="W60371" s="8"/>
      <c r="X60371" s="8"/>
      <c r="Y60371" s="8"/>
      <c r="Z60371" s="8"/>
      <c r="AA60371" s="8"/>
    </row>
    <row r="60372" spans="1:27" x14ac:dyDescent="0.25">
      <c r="A60372" s="8"/>
      <c r="B60372" s="8"/>
      <c r="C60372" s="99"/>
      <c r="D60372" s="8"/>
      <c r="E60372" s="8"/>
      <c r="F60372" s="8"/>
      <c r="G60372" s="8"/>
      <c r="H60372" s="8"/>
      <c r="I60372" s="102"/>
      <c r="J60372" s="8"/>
      <c r="K60372" s="8"/>
      <c r="L60372" s="8"/>
      <c r="M60372" s="8"/>
      <c r="N60372" s="8"/>
      <c r="O60372" s="8"/>
      <c r="P60372" s="8"/>
      <c r="Q60372" s="8"/>
      <c r="R60372" s="103"/>
      <c r="S60372" s="8"/>
      <c r="T60372" s="8"/>
      <c r="U60372" s="8"/>
      <c r="V60372" s="8"/>
      <c r="W60372" s="8"/>
      <c r="X60372" s="8"/>
      <c r="Y60372" s="8"/>
      <c r="Z60372" s="8"/>
      <c r="AA60372" s="8"/>
    </row>
    <row r="60373" spans="1:27" x14ac:dyDescent="0.25">
      <c r="A60373" s="8"/>
      <c r="B60373" s="8"/>
      <c r="C60373" s="99"/>
      <c r="D60373" s="8"/>
      <c r="E60373" s="8"/>
      <c r="F60373" s="8"/>
      <c r="G60373" s="8"/>
      <c r="H60373" s="8"/>
      <c r="I60373" s="102"/>
      <c r="J60373" s="8"/>
      <c r="K60373" s="8"/>
      <c r="L60373" s="8"/>
      <c r="M60373" s="8"/>
      <c r="N60373" s="8"/>
      <c r="O60373" s="8"/>
      <c r="P60373" s="8"/>
      <c r="Q60373" s="8"/>
      <c r="R60373" s="103"/>
      <c r="S60373" s="8"/>
      <c r="T60373" s="8"/>
      <c r="U60373" s="8"/>
      <c r="V60373" s="8"/>
      <c r="W60373" s="8"/>
      <c r="X60373" s="8"/>
      <c r="Y60373" s="8"/>
      <c r="Z60373" s="8"/>
      <c r="AA60373" s="8"/>
    </row>
    <row r="60374" spans="1:27" x14ac:dyDescent="0.25">
      <c r="A60374" s="8"/>
      <c r="B60374" s="8"/>
      <c r="C60374" s="99"/>
      <c r="D60374" s="8"/>
      <c r="E60374" s="8"/>
      <c r="F60374" s="8"/>
      <c r="G60374" s="8"/>
      <c r="H60374" s="8"/>
      <c r="I60374" s="102"/>
      <c r="J60374" s="8"/>
      <c r="K60374" s="8"/>
      <c r="L60374" s="8"/>
      <c r="M60374" s="8"/>
      <c r="N60374" s="8"/>
      <c r="O60374" s="8"/>
      <c r="P60374" s="8"/>
      <c r="Q60374" s="8"/>
      <c r="R60374" s="103"/>
      <c r="S60374" s="8"/>
      <c r="T60374" s="8"/>
      <c r="U60374" s="8"/>
      <c r="V60374" s="8"/>
      <c r="W60374" s="8"/>
      <c r="X60374" s="8"/>
      <c r="Y60374" s="8"/>
      <c r="Z60374" s="8"/>
      <c r="AA60374" s="8"/>
    </row>
    <row r="60375" spans="1:27" x14ac:dyDescent="0.25">
      <c r="A60375" s="8"/>
      <c r="B60375" s="8"/>
      <c r="C60375" s="99"/>
      <c r="D60375" s="8"/>
      <c r="E60375" s="8"/>
      <c r="F60375" s="8"/>
      <c r="G60375" s="8"/>
      <c r="H60375" s="8"/>
      <c r="I60375" s="102"/>
      <c r="J60375" s="8"/>
      <c r="K60375" s="8"/>
      <c r="L60375" s="8"/>
      <c r="M60375" s="8"/>
      <c r="N60375" s="8"/>
      <c r="O60375" s="8"/>
      <c r="P60375" s="8"/>
      <c r="Q60375" s="8"/>
      <c r="R60375" s="103"/>
      <c r="S60375" s="8"/>
      <c r="T60375" s="8"/>
      <c r="U60375" s="8"/>
      <c r="V60375" s="8"/>
      <c r="W60375" s="8"/>
      <c r="X60375" s="8"/>
      <c r="Y60375" s="8"/>
      <c r="Z60375" s="8"/>
      <c r="AA60375" s="8"/>
    </row>
    <row r="60376" spans="1:27" x14ac:dyDescent="0.25">
      <c r="A60376" s="8"/>
      <c r="B60376" s="8"/>
      <c r="C60376" s="99"/>
      <c r="D60376" s="8"/>
      <c r="E60376" s="8"/>
      <c r="F60376" s="8"/>
      <c r="G60376" s="8"/>
      <c r="H60376" s="8"/>
      <c r="I60376" s="102"/>
      <c r="J60376" s="8"/>
      <c r="K60376" s="8"/>
      <c r="L60376" s="8"/>
      <c r="M60376" s="8"/>
      <c r="N60376" s="8"/>
      <c r="O60376" s="8"/>
      <c r="P60376" s="8"/>
      <c r="Q60376" s="8"/>
      <c r="R60376" s="103"/>
      <c r="S60376" s="8"/>
      <c r="T60376" s="8"/>
      <c r="U60376" s="8"/>
      <c r="V60376" s="8"/>
      <c r="W60376" s="8"/>
      <c r="X60376" s="8"/>
      <c r="Y60376" s="8"/>
      <c r="Z60376" s="8"/>
      <c r="AA60376" s="8"/>
    </row>
    <row r="60377" spans="1:27" x14ac:dyDescent="0.25">
      <c r="A60377" s="8"/>
      <c r="B60377" s="8"/>
      <c r="C60377" s="99"/>
      <c r="D60377" s="8"/>
      <c r="E60377" s="8"/>
      <c r="F60377" s="8"/>
      <c r="G60377" s="8"/>
      <c r="H60377" s="8"/>
      <c r="I60377" s="102"/>
      <c r="J60377" s="8"/>
      <c r="K60377" s="8"/>
      <c r="L60377" s="8"/>
      <c r="M60377" s="8"/>
      <c r="N60377" s="8"/>
      <c r="O60377" s="8"/>
      <c r="P60377" s="8"/>
      <c r="Q60377" s="8"/>
      <c r="R60377" s="103"/>
      <c r="S60377" s="8"/>
      <c r="T60377" s="8"/>
      <c r="U60377" s="8"/>
      <c r="V60377" s="8"/>
      <c r="W60377" s="8"/>
      <c r="X60377" s="8"/>
      <c r="Y60377" s="8"/>
      <c r="Z60377" s="8"/>
      <c r="AA60377" s="8"/>
    </row>
    <row r="60378" spans="1:27" x14ac:dyDescent="0.25">
      <c r="A60378" s="8"/>
      <c r="B60378" s="8"/>
      <c r="C60378" s="99"/>
      <c r="D60378" s="8"/>
      <c r="E60378" s="8"/>
      <c r="F60378" s="8"/>
      <c r="G60378" s="8"/>
      <c r="H60378" s="8"/>
      <c r="I60378" s="102"/>
      <c r="J60378" s="8"/>
      <c r="K60378" s="8"/>
      <c r="L60378" s="8"/>
      <c r="M60378" s="8"/>
      <c r="N60378" s="8"/>
      <c r="O60378" s="8"/>
      <c r="P60378" s="8"/>
      <c r="Q60378" s="8"/>
      <c r="R60378" s="103"/>
      <c r="S60378" s="8"/>
      <c r="T60378" s="8"/>
      <c r="U60378" s="8"/>
      <c r="V60378" s="8"/>
      <c r="W60378" s="8"/>
      <c r="X60378" s="8"/>
      <c r="Y60378" s="8"/>
      <c r="Z60378" s="8"/>
      <c r="AA60378" s="8"/>
    </row>
    <row r="60379" spans="1:27" x14ac:dyDescent="0.25">
      <c r="A60379" s="8"/>
      <c r="B60379" s="8"/>
      <c r="C60379" s="99"/>
      <c r="D60379" s="8"/>
      <c r="E60379" s="8"/>
      <c r="F60379" s="8"/>
      <c r="G60379" s="8"/>
      <c r="H60379" s="8"/>
      <c r="I60379" s="102"/>
      <c r="J60379" s="8"/>
      <c r="K60379" s="8"/>
      <c r="L60379" s="8"/>
      <c r="M60379" s="8"/>
      <c r="N60379" s="8"/>
      <c r="O60379" s="8"/>
      <c r="P60379" s="8"/>
      <c r="Q60379" s="8"/>
      <c r="R60379" s="103"/>
      <c r="S60379" s="8"/>
      <c r="T60379" s="8"/>
      <c r="U60379" s="8"/>
      <c r="V60379" s="8"/>
      <c r="W60379" s="8"/>
      <c r="X60379" s="8"/>
      <c r="Y60379" s="8"/>
      <c r="Z60379" s="8"/>
      <c r="AA60379" s="8"/>
    </row>
    <row r="60380" spans="1:27" x14ac:dyDescent="0.25">
      <c r="A60380" s="8"/>
      <c r="B60380" s="8"/>
      <c r="C60380" s="99"/>
      <c r="D60380" s="8"/>
      <c r="E60380" s="8"/>
      <c r="F60380" s="8"/>
      <c r="G60380" s="8"/>
      <c r="H60380" s="8"/>
      <c r="I60380" s="102"/>
      <c r="J60380" s="8"/>
      <c r="K60380" s="8"/>
      <c r="L60380" s="8"/>
      <c r="M60380" s="8"/>
      <c r="N60380" s="8"/>
      <c r="O60380" s="8"/>
      <c r="P60380" s="8"/>
      <c r="Q60380" s="8"/>
      <c r="R60380" s="103"/>
      <c r="S60380" s="8"/>
      <c r="T60380" s="8"/>
      <c r="U60380" s="8"/>
      <c r="V60380" s="8"/>
      <c r="W60380" s="8"/>
      <c r="X60380" s="8"/>
      <c r="Y60380" s="8"/>
      <c r="Z60380" s="8"/>
      <c r="AA60380" s="8"/>
    </row>
    <row r="60381" spans="1:27" x14ac:dyDescent="0.25">
      <c r="A60381" s="8"/>
      <c r="B60381" s="8"/>
      <c r="C60381" s="99"/>
      <c r="D60381" s="8"/>
      <c r="E60381" s="8"/>
      <c r="F60381" s="8"/>
      <c r="G60381" s="8"/>
      <c r="H60381" s="8"/>
      <c r="I60381" s="102"/>
      <c r="J60381" s="8"/>
      <c r="K60381" s="8"/>
      <c r="L60381" s="8"/>
      <c r="M60381" s="8"/>
      <c r="N60381" s="8"/>
      <c r="O60381" s="8"/>
      <c r="P60381" s="8"/>
      <c r="Q60381" s="8"/>
      <c r="R60381" s="103"/>
      <c r="S60381" s="8"/>
      <c r="T60381" s="8"/>
      <c r="U60381" s="8"/>
      <c r="V60381" s="8"/>
      <c r="W60381" s="8"/>
      <c r="X60381" s="8"/>
      <c r="Y60381" s="8"/>
      <c r="Z60381" s="8"/>
      <c r="AA60381" s="8"/>
    </row>
    <row r="60382" spans="1:27" x14ac:dyDescent="0.25">
      <c r="A60382" s="8"/>
      <c r="B60382" s="8"/>
      <c r="C60382" s="99"/>
      <c r="D60382" s="8"/>
      <c r="E60382" s="8"/>
      <c r="F60382" s="8"/>
      <c r="G60382" s="8"/>
      <c r="H60382" s="8"/>
      <c r="I60382" s="102"/>
      <c r="J60382" s="8"/>
      <c r="K60382" s="8"/>
      <c r="L60382" s="8"/>
      <c r="M60382" s="8"/>
      <c r="N60382" s="8"/>
      <c r="O60382" s="8"/>
      <c r="P60382" s="8"/>
      <c r="Q60382" s="8"/>
      <c r="R60382" s="103"/>
      <c r="S60382" s="8"/>
      <c r="T60382" s="8"/>
      <c r="U60382" s="8"/>
      <c r="V60382" s="8"/>
      <c r="W60382" s="8"/>
      <c r="X60382" s="8"/>
      <c r="Y60382" s="8"/>
      <c r="Z60382" s="8"/>
      <c r="AA60382" s="8"/>
    </row>
    <row r="60383" spans="1:27" x14ac:dyDescent="0.25">
      <c r="A60383" s="8"/>
      <c r="B60383" s="8"/>
      <c r="C60383" s="99"/>
      <c r="D60383" s="8"/>
      <c r="E60383" s="8"/>
      <c r="F60383" s="8"/>
      <c r="G60383" s="8"/>
      <c r="H60383" s="8"/>
      <c r="I60383" s="102"/>
      <c r="J60383" s="8"/>
      <c r="K60383" s="8"/>
      <c r="L60383" s="8"/>
      <c r="M60383" s="8"/>
      <c r="N60383" s="8"/>
      <c r="O60383" s="8"/>
      <c r="P60383" s="8"/>
      <c r="Q60383" s="8"/>
      <c r="R60383" s="103"/>
      <c r="S60383" s="8"/>
      <c r="T60383" s="8"/>
      <c r="U60383" s="8"/>
      <c r="V60383" s="8"/>
      <c r="W60383" s="8"/>
      <c r="X60383" s="8"/>
      <c r="Y60383" s="8"/>
      <c r="Z60383" s="8"/>
      <c r="AA60383" s="8"/>
    </row>
    <row r="60384" spans="1:27" x14ac:dyDescent="0.25">
      <c r="A60384" s="8"/>
      <c r="B60384" s="8"/>
      <c r="C60384" s="99"/>
      <c r="D60384" s="8"/>
      <c r="E60384" s="8"/>
      <c r="F60384" s="8"/>
      <c r="G60384" s="8"/>
      <c r="H60384" s="8"/>
      <c r="I60384" s="102"/>
      <c r="J60384" s="8"/>
      <c r="K60384" s="8"/>
      <c r="L60384" s="8"/>
      <c r="M60384" s="8"/>
      <c r="N60384" s="8"/>
      <c r="O60384" s="8"/>
      <c r="P60384" s="8"/>
      <c r="Q60384" s="8"/>
      <c r="R60384" s="103"/>
      <c r="S60384" s="8"/>
      <c r="T60384" s="8"/>
      <c r="U60384" s="8"/>
      <c r="V60384" s="8"/>
      <c r="W60384" s="8"/>
      <c r="X60384" s="8"/>
      <c r="Y60384" s="8"/>
      <c r="Z60384" s="8"/>
      <c r="AA60384" s="8"/>
    </row>
    <row r="60385" spans="1:27" x14ac:dyDescent="0.25">
      <c r="A60385" s="8"/>
      <c r="B60385" s="8"/>
      <c r="C60385" s="99"/>
      <c r="D60385" s="8"/>
      <c r="E60385" s="8"/>
      <c r="F60385" s="8"/>
      <c r="G60385" s="8"/>
      <c r="H60385" s="8"/>
      <c r="I60385" s="102"/>
      <c r="J60385" s="8"/>
      <c r="K60385" s="8"/>
      <c r="L60385" s="8"/>
      <c r="M60385" s="8"/>
      <c r="N60385" s="8"/>
      <c r="O60385" s="8"/>
      <c r="P60385" s="8"/>
      <c r="Q60385" s="8"/>
      <c r="R60385" s="103"/>
      <c r="S60385" s="8"/>
      <c r="T60385" s="8"/>
      <c r="U60385" s="8"/>
      <c r="V60385" s="8"/>
      <c r="W60385" s="8"/>
      <c r="X60385" s="8"/>
      <c r="Y60385" s="8"/>
      <c r="Z60385" s="8"/>
      <c r="AA60385" s="8"/>
    </row>
    <row r="60386" spans="1:27" x14ac:dyDescent="0.25">
      <c r="A60386" s="8"/>
      <c r="B60386" s="8"/>
      <c r="C60386" s="99"/>
      <c r="D60386" s="8"/>
      <c r="E60386" s="8"/>
      <c r="F60386" s="8"/>
      <c r="G60386" s="8"/>
      <c r="H60386" s="8"/>
      <c r="I60386" s="102"/>
      <c r="J60386" s="8"/>
      <c r="K60386" s="8"/>
      <c r="L60386" s="8"/>
      <c r="M60386" s="8"/>
      <c r="N60386" s="8"/>
      <c r="O60386" s="8"/>
      <c r="P60386" s="8"/>
      <c r="Q60386" s="8"/>
      <c r="R60386" s="103"/>
      <c r="S60386" s="8"/>
      <c r="T60386" s="8"/>
      <c r="U60386" s="8"/>
      <c r="V60386" s="8"/>
      <c r="W60386" s="8"/>
      <c r="X60386" s="8"/>
      <c r="Y60386" s="8"/>
      <c r="Z60386" s="8"/>
      <c r="AA60386" s="8"/>
    </row>
    <row r="60387" spans="1:27" x14ac:dyDescent="0.25">
      <c r="A60387" s="8"/>
      <c r="B60387" s="8"/>
      <c r="C60387" s="99"/>
      <c r="D60387" s="8"/>
      <c r="E60387" s="8"/>
      <c r="F60387" s="8"/>
      <c r="G60387" s="8"/>
      <c r="H60387" s="8"/>
      <c r="I60387" s="102"/>
      <c r="J60387" s="8"/>
      <c r="K60387" s="8"/>
      <c r="L60387" s="8"/>
      <c r="M60387" s="8"/>
      <c r="N60387" s="8"/>
      <c r="O60387" s="8"/>
      <c r="P60387" s="8"/>
      <c r="Q60387" s="8"/>
      <c r="R60387" s="103"/>
      <c r="S60387" s="8"/>
      <c r="T60387" s="8"/>
      <c r="U60387" s="8"/>
      <c r="V60387" s="8"/>
      <c r="W60387" s="8"/>
      <c r="X60387" s="8"/>
      <c r="Y60387" s="8"/>
      <c r="Z60387" s="8"/>
      <c r="AA60387" s="8"/>
    </row>
    <row r="60388" spans="1:27" x14ac:dyDescent="0.25">
      <c r="A60388" s="8"/>
      <c r="B60388" s="8"/>
      <c r="C60388" s="99"/>
      <c r="D60388" s="8"/>
      <c r="E60388" s="8"/>
      <c r="F60388" s="8"/>
      <c r="G60388" s="8"/>
      <c r="H60388" s="8"/>
      <c r="I60388" s="102"/>
      <c r="J60388" s="8"/>
      <c r="K60388" s="8"/>
      <c r="L60388" s="8"/>
      <c r="M60388" s="8"/>
      <c r="N60388" s="8"/>
      <c r="O60388" s="8"/>
      <c r="P60388" s="8"/>
      <c r="Q60388" s="8"/>
      <c r="R60388" s="103"/>
      <c r="S60388" s="8"/>
      <c r="T60388" s="8"/>
      <c r="U60388" s="8"/>
      <c r="V60388" s="8"/>
      <c r="W60388" s="8"/>
      <c r="X60388" s="8"/>
      <c r="Y60388" s="8"/>
      <c r="Z60388" s="8"/>
      <c r="AA60388" s="8"/>
    </row>
    <row r="60389" spans="1:27" x14ac:dyDescent="0.25">
      <c r="A60389" s="8"/>
      <c r="B60389" s="8"/>
      <c r="C60389" s="99"/>
      <c r="D60389" s="8"/>
      <c r="E60389" s="8"/>
      <c r="F60389" s="8"/>
      <c r="G60389" s="8"/>
      <c r="H60389" s="8"/>
      <c r="I60389" s="102"/>
      <c r="J60389" s="8"/>
      <c r="K60389" s="8"/>
      <c r="L60389" s="8"/>
      <c r="M60389" s="8"/>
      <c r="N60389" s="8"/>
      <c r="O60389" s="8"/>
      <c r="P60389" s="8"/>
      <c r="Q60389" s="8"/>
      <c r="R60389" s="103"/>
      <c r="S60389" s="8"/>
      <c r="T60389" s="8"/>
      <c r="U60389" s="8"/>
      <c r="V60389" s="8"/>
      <c r="W60389" s="8"/>
      <c r="X60389" s="8"/>
      <c r="Y60389" s="8"/>
      <c r="Z60389" s="8"/>
      <c r="AA60389" s="8"/>
    </row>
    <row r="60390" spans="1:27" x14ac:dyDescent="0.25">
      <c r="A60390" s="8"/>
      <c r="B60390" s="8"/>
      <c r="C60390" s="99"/>
      <c r="D60390" s="8"/>
      <c r="E60390" s="8"/>
      <c r="F60390" s="8"/>
      <c r="G60390" s="8"/>
      <c r="H60390" s="8"/>
      <c r="I60390" s="102"/>
      <c r="J60390" s="8"/>
      <c r="K60390" s="8"/>
      <c r="L60390" s="8"/>
      <c r="M60390" s="8"/>
      <c r="N60390" s="8"/>
      <c r="O60390" s="8"/>
      <c r="P60390" s="8"/>
      <c r="Q60390" s="8"/>
      <c r="R60390" s="103"/>
      <c r="S60390" s="8"/>
      <c r="T60390" s="8"/>
      <c r="U60390" s="8"/>
      <c r="V60390" s="8"/>
      <c r="W60390" s="8"/>
      <c r="X60390" s="8"/>
      <c r="Y60390" s="8"/>
      <c r="Z60390" s="8"/>
      <c r="AA60390" s="8"/>
    </row>
    <row r="60391" spans="1:27" x14ac:dyDescent="0.25">
      <c r="A60391" s="8"/>
      <c r="B60391" s="8"/>
      <c r="C60391" s="99"/>
      <c r="D60391" s="8"/>
      <c r="E60391" s="8"/>
      <c r="F60391" s="8"/>
      <c r="G60391" s="8"/>
      <c r="H60391" s="8"/>
      <c r="I60391" s="102"/>
      <c r="J60391" s="8"/>
      <c r="K60391" s="8"/>
      <c r="L60391" s="8"/>
      <c r="M60391" s="8"/>
      <c r="N60391" s="8"/>
      <c r="O60391" s="8"/>
      <c r="P60391" s="8"/>
      <c r="Q60391" s="8"/>
      <c r="R60391" s="103"/>
      <c r="S60391" s="8"/>
      <c r="T60391" s="8"/>
      <c r="U60391" s="8"/>
      <c r="V60391" s="8"/>
      <c r="W60391" s="8"/>
      <c r="X60391" s="8"/>
      <c r="Y60391" s="8"/>
      <c r="Z60391" s="8"/>
      <c r="AA60391" s="8"/>
    </row>
    <row r="60392" spans="1:27" x14ac:dyDescent="0.25">
      <c r="A60392" s="8"/>
      <c r="B60392" s="8"/>
      <c r="C60392" s="99"/>
      <c r="D60392" s="8"/>
      <c r="E60392" s="8"/>
      <c r="F60392" s="8"/>
      <c r="G60392" s="8"/>
      <c r="H60392" s="8"/>
      <c r="I60392" s="102"/>
      <c r="J60392" s="8"/>
      <c r="K60392" s="8"/>
      <c r="L60392" s="8"/>
      <c r="M60392" s="8"/>
      <c r="N60392" s="8"/>
      <c r="O60392" s="8"/>
      <c r="P60392" s="8"/>
      <c r="Q60392" s="8"/>
      <c r="R60392" s="103"/>
      <c r="S60392" s="8"/>
      <c r="T60392" s="8"/>
      <c r="U60392" s="8"/>
      <c r="V60392" s="8"/>
      <c r="W60392" s="8"/>
      <c r="X60392" s="8"/>
      <c r="Y60392" s="8"/>
      <c r="Z60392" s="8"/>
      <c r="AA60392" s="8"/>
    </row>
    <row r="60393" spans="1:27" x14ac:dyDescent="0.25">
      <c r="A60393" s="8"/>
      <c r="B60393" s="8"/>
      <c r="C60393" s="99"/>
      <c r="D60393" s="8"/>
      <c r="E60393" s="8"/>
      <c r="F60393" s="8"/>
      <c r="G60393" s="8"/>
      <c r="H60393" s="8"/>
      <c r="I60393" s="102"/>
      <c r="J60393" s="8"/>
      <c r="K60393" s="8"/>
      <c r="L60393" s="8"/>
      <c r="M60393" s="8"/>
      <c r="N60393" s="8"/>
      <c r="O60393" s="8"/>
      <c r="P60393" s="8"/>
      <c r="Q60393" s="8"/>
      <c r="R60393" s="103"/>
      <c r="S60393" s="8"/>
      <c r="T60393" s="8"/>
      <c r="U60393" s="8"/>
      <c r="V60393" s="8"/>
      <c r="W60393" s="8"/>
      <c r="X60393" s="8"/>
      <c r="Y60393" s="8"/>
      <c r="Z60393" s="8"/>
      <c r="AA60393" s="8"/>
    </row>
    <row r="60394" spans="1:27" x14ac:dyDescent="0.25">
      <c r="A60394" s="8"/>
      <c r="B60394" s="8"/>
      <c r="C60394" s="99"/>
      <c r="D60394" s="8"/>
      <c r="E60394" s="8"/>
      <c r="F60394" s="8"/>
      <c r="G60394" s="8"/>
      <c r="H60394" s="8"/>
      <c r="I60394" s="102"/>
      <c r="J60394" s="8"/>
      <c r="K60394" s="8"/>
      <c r="L60394" s="8"/>
      <c r="M60394" s="8"/>
      <c r="N60394" s="8"/>
      <c r="O60394" s="8"/>
      <c r="P60394" s="8"/>
      <c r="Q60394" s="8"/>
      <c r="R60394" s="103"/>
      <c r="S60394" s="8"/>
      <c r="T60394" s="8"/>
      <c r="U60394" s="8"/>
      <c r="V60394" s="8"/>
      <c r="W60394" s="8"/>
      <c r="X60394" s="8"/>
      <c r="Y60394" s="8"/>
      <c r="Z60394" s="8"/>
      <c r="AA60394" s="8"/>
    </row>
    <row r="60395" spans="1:27" x14ac:dyDescent="0.25">
      <c r="A60395" s="8"/>
      <c r="B60395" s="8"/>
      <c r="C60395" s="99"/>
      <c r="D60395" s="8"/>
      <c r="E60395" s="8"/>
      <c r="F60395" s="8"/>
      <c r="G60395" s="8"/>
      <c r="H60395" s="8"/>
      <c r="I60395" s="102"/>
      <c r="J60395" s="8"/>
      <c r="K60395" s="8"/>
      <c r="L60395" s="8"/>
      <c r="M60395" s="8"/>
      <c r="N60395" s="8"/>
      <c r="O60395" s="8"/>
      <c r="P60395" s="8"/>
      <c r="Q60395" s="8"/>
      <c r="R60395" s="103"/>
      <c r="S60395" s="8"/>
      <c r="T60395" s="8"/>
      <c r="U60395" s="8"/>
      <c r="V60395" s="8"/>
      <c r="W60395" s="8"/>
      <c r="X60395" s="8"/>
      <c r="Y60395" s="8"/>
      <c r="Z60395" s="8"/>
      <c r="AA60395" s="8"/>
    </row>
    <row r="60396" spans="1:27" x14ac:dyDescent="0.25">
      <c r="A60396" s="8"/>
      <c r="B60396" s="8"/>
      <c r="C60396" s="99"/>
      <c r="D60396" s="8"/>
      <c r="E60396" s="8"/>
      <c r="F60396" s="8"/>
      <c r="G60396" s="8"/>
      <c r="H60396" s="8"/>
      <c r="I60396" s="102"/>
      <c r="J60396" s="8"/>
      <c r="K60396" s="8"/>
      <c r="L60396" s="8"/>
      <c r="M60396" s="8"/>
      <c r="N60396" s="8"/>
      <c r="O60396" s="8"/>
      <c r="P60396" s="8"/>
      <c r="Q60396" s="8"/>
      <c r="R60396" s="103"/>
      <c r="S60396" s="8"/>
      <c r="T60396" s="8"/>
      <c r="U60396" s="8"/>
      <c r="V60396" s="8"/>
      <c r="W60396" s="8"/>
      <c r="X60396" s="8"/>
      <c r="Y60396" s="8"/>
      <c r="Z60396" s="8"/>
      <c r="AA60396" s="8"/>
    </row>
    <row r="60397" spans="1:27" x14ac:dyDescent="0.25">
      <c r="A60397" s="8"/>
      <c r="B60397" s="8"/>
      <c r="C60397" s="99"/>
      <c r="D60397" s="8"/>
      <c r="E60397" s="8"/>
      <c r="F60397" s="8"/>
      <c r="G60397" s="8"/>
      <c r="H60397" s="8"/>
      <c r="I60397" s="102"/>
      <c r="J60397" s="8"/>
      <c r="K60397" s="8"/>
      <c r="L60397" s="8"/>
      <c r="M60397" s="8"/>
      <c r="N60397" s="8"/>
      <c r="O60397" s="8"/>
      <c r="P60397" s="8"/>
      <c r="Q60397" s="8"/>
      <c r="R60397" s="103"/>
      <c r="S60397" s="8"/>
      <c r="T60397" s="8"/>
      <c r="U60397" s="8"/>
      <c r="V60397" s="8"/>
      <c r="W60397" s="8"/>
      <c r="X60397" s="8"/>
      <c r="Y60397" s="8"/>
      <c r="Z60397" s="8"/>
      <c r="AA60397" s="8"/>
    </row>
    <row r="60398" spans="1:27" x14ac:dyDescent="0.25">
      <c r="A60398" s="8"/>
      <c r="B60398" s="8"/>
      <c r="C60398" s="99"/>
      <c r="D60398" s="8"/>
      <c r="E60398" s="8"/>
      <c r="F60398" s="8"/>
      <c r="G60398" s="8"/>
      <c r="H60398" s="8"/>
      <c r="I60398" s="102"/>
      <c r="J60398" s="8"/>
      <c r="K60398" s="8"/>
      <c r="L60398" s="8"/>
      <c r="M60398" s="8"/>
      <c r="N60398" s="8"/>
      <c r="O60398" s="8"/>
      <c r="P60398" s="8"/>
      <c r="Q60398" s="8"/>
      <c r="R60398" s="103"/>
      <c r="S60398" s="8"/>
      <c r="T60398" s="8"/>
      <c r="U60398" s="8"/>
      <c r="V60398" s="8"/>
      <c r="W60398" s="8"/>
      <c r="X60398" s="8"/>
      <c r="Y60398" s="8"/>
      <c r="Z60398" s="8"/>
      <c r="AA60398" s="8"/>
    </row>
    <row r="60399" spans="1:27" x14ac:dyDescent="0.25">
      <c r="A60399" s="8"/>
      <c r="B60399" s="8"/>
      <c r="C60399" s="99"/>
      <c r="D60399" s="8"/>
      <c r="E60399" s="8"/>
      <c r="F60399" s="8"/>
      <c r="G60399" s="8"/>
      <c r="H60399" s="8"/>
      <c r="I60399" s="102"/>
      <c r="J60399" s="8"/>
      <c r="K60399" s="8"/>
      <c r="L60399" s="8"/>
      <c r="M60399" s="8"/>
      <c r="N60399" s="8"/>
      <c r="O60399" s="8"/>
      <c r="P60399" s="8"/>
      <c r="Q60399" s="8"/>
      <c r="R60399" s="103"/>
      <c r="S60399" s="8"/>
      <c r="T60399" s="8"/>
      <c r="U60399" s="8"/>
      <c r="V60399" s="8"/>
      <c r="W60399" s="8"/>
      <c r="X60399" s="8"/>
      <c r="Y60399" s="8"/>
      <c r="Z60399" s="8"/>
      <c r="AA60399" s="8"/>
    </row>
    <row r="60400" spans="1:27" x14ac:dyDescent="0.25">
      <c r="A60400" s="8"/>
      <c r="B60400" s="8"/>
      <c r="C60400" s="99"/>
      <c r="D60400" s="8"/>
      <c r="E60400" s="8"/>
      <c r="F60400" s="8"/>
      <c r="G60400" s="8"/>
      <c r="H60400" s="8"/>
      <c r="I60400" s="102"/>
      <c r="J60400" s="8"/>
      <c r="K60400" s="8"/>
      <c r="L60400" s="8"/>
      <c r="M60400" s="8"/>
      <c r="N60400" s="8"/>
      <c r="O60400" s="8"/>
      <c r="P60400" s="8"/>
      <c r="Q60400" s="8"/>
      <c r="R60400" s="103"/>
      <c r="S60400" s="8"/>
      <c r="T60400" s="8"/>
      <c r="U60400" s="8"/>
      <c r="V60400" s="8"/>
      <c r="W60400" s="8"/>
      <c r="X60400" s="8"/>
      <c r="Y60400" s="8"/>
      <c r="Z60400" s="8"/>
      <c r="AA60400" s="8"/>
    </row>
    <row r="60401" spans="1:27" x14ac:dyDescent="0.25">
      <c r="A60401" s="8"/>
      <c r="B60401" s="8"/>
      <c r="C60401" s="99"/>
      <c r="D60401" s="8"/>
      <c r="E60401" s="8"/>
      <c r="F60401" s="8"/>
      <c r="G60401" s="8"/>
      <c r="H60401" s="8"/>
      <c r="I60401" s="102"/>
      <c r="J60401" s="8"/>
      <c r="K60401" s="8"/>
      <c r="L60401" s="8"/>
      <c r="M60401" s="8"/>
      <c r="N60401" s="8"/>
      <c r="O60401" s="8"/>
      <c r="P60401" s="8"/>
      <c r="Q60401" s="8"/>
      <c r="R60401" s="103"/>
      <c r="S60401" s="8"/>
      <c r="T60401" s="8"/>
      <c r="U60401" s="8"/>
      <c r="V60401" s="8"/>
      <c r="W60401" s="8"/>
      <c r="X60401" s="8"/>
      <c r="Y60401" s="8"/>
      <c r="Z60401" s="8"/>
      <c r="AA60401" s="8"/>
    </row>
    <row r="60402" spans="1:27" x14ac:dyDescent="0.25">
      <c r="A60402" s="8"/>
      <c r="B60402" s="8"/>
      <c r="C60402" s="99"/>
      <c r="D60402" s="8"/>
      <c r="E60402" s="8"/>
      <c r="F60402" s="8"/>
      <c r="G60402" s="8"/>
      <c r="H60402" s="8"/>
      <c r="I60402" s="102"/>
      <c r="J60402" s="8"/>
      <c r="K60402" s="8"/>
      <c r="L60402" s="8"/>
      <c r="M60402" s="8"/>
      <c r="N60402" s="8"/>
      <c r="O60402" s="8"/>
      <c r="P60402" s="8"/>
      <c r="Q60402" s="8"/>
      <c r="R60402" s="103"/>
      <c r="S60402" s="8"/>
      <c r="T60402" s="8"/>
      <c r="U60402" s="8"/>
      <c r="V60402" s="8"/>
      <c r="W60402" s="8"/>
      <c r="X60402" s="8"/>
      <c r="Y60402" s="8"/>
      <c r="Z60402" s="8"/>
      <c r="AA60402" s="8"/>
    </row>
    <row r="60403" spans="1:27" x14ac:dyDescent="0.25">
      <c r="A60403" s="8"/>
      <c r="B60403" s="8"/>
      <c r="C60403" s="99"/>
      <c r="D60403" s="8"/>
      <c r="E60403" s="8"/>
      <c r="F60403" s="8"/>
      <c r="G60403" s="8"/>
      <c r="H60403" s="8"/>
      <c r="I60403" s="102"/>
      <c r="J60403" s="8"/>
      <c r="K60403" s="8"/>
      <c r="L60403" s="8"/>
      <c r="M60403" s="8"/>
      <c r="N60403" s="8"/>
      <c r="O60403" s="8"/>
      <c r="P60403" s="8"/>
      <c r="Q60403" s="8"/>
      <c r="R60403" s="103"/>
      <c r="S60403" s="8"/>
      <c r="T60403" s="8"/>
      <c r="U60403" s="8"/>
      <c r="V60403" s="8"/>
      <c r="W60403" s="8"/>
      <c r="X60403" s="8"/>
      <c r="Y60403" s="8"/>
      <c r="Z60403" s="8"/>
      <c r="AA60403" s="8"/>
    </row>
    <row r="60404" spans="1:27" x14ac:dyDescent="0.25">
      <c r="A60404" s="8"/>
      <c r="B60404" s="8"/>
      <c r="C60404" s="99"/>
      <c r="D60404" s="8"/>
      <c r="E60404" s="8"/>
      <c r="F60404" s="8"/>
      <c r="G60404" s="8"/>
      <c r="H60404" s="8"/>
      <c r="I60404" s="102"/>
      <c r="J60404" s="8"/>
      <c r="K60404" s="8"/>
      <c r="L60404" s="8"/>
      <c r="M60404" s="8"/>
      <c r="N60404" s="8"/>
      <c r="O60404" s="8"/>
      <c r="P60404" s="8"/>
      <c r="Q60404" s="8"/>
      <c r="R60404" s="103"/>
      <c r="S60404" s="8"/>
      <c r="T60404" s="8"/>
      <c r="U60404" s="8"/>
      <c r="V60404" s="8"/>
      <c r="W60404" s="8"/>
      <c r="X60404" s="8"/>
      <c r="Y60404" s="8"/>
      <c r="Z60404" s="8"/>
      <c r="AA60404" s="8"/>
    </row>
    <row r="60405" spans="1:27" x14ac:dyDescent="0.25">
      <c r="A60405" s="8"/>
      <c r="B60405" s="8"/>
      <c r="C60405" s="99"/>
      <c r="D60405" s="8"/>
      <c r="E60405" s="8"/>
      <c r="F60405" s="8"/>
      <c r="G60405" s="8"/>
      <c r="H60405" s="8"/>
      <c r="I60405" s="102"/>
      <c r="J60405" s="8"/>
      <c r="K60405" s="8"/>
      <c r="L60405" s="8"/>
      <c r="M60405" s="8"/>
      <c r="N60405" s="8"/>
      <c r="O60405" s="8"/>
      <c r="P60405" s="8"/>
      <c r="Q60405" s="8"/>
      <c r="R60405" s="103"/>
      <c r="S60405" s="8"/>
      <c r="T60405" s="8"/>
      <c r="U60405" s="8"/>
      <c r="V60405" s="8"/>
      <c r="W60405" s="8"/>
      <c r="X60405" s="8"/>
      <c r="Y60405" s="8"/>
      <c r="Z60405" s="8"/>
      <c r="AA60405" s="8"/>
    </row>
    <row r="60406" spans="1:27" x14ac:dyDescent="0.25">
      <c r="A60406" s="8"/>
      <c r="B60406" s="8"/>
      <c r="C60406" s="99"/>
      <c r="D60406" s="8"/>
      <c r="E60406" s="8"/>
      <c r="F60406" s="8"/>
      <c r="G60406" s="8"/>
      <c r="H60406" s="8"/>
      <c r="I60406" s="102"/>
      <c r="J60406" s="8"/>
      <c r="K60406" s="8"/>
      <c r="L60406" s="8"/>
      <c r="M60406" s="8"/>
      <c r="N60406" s="8"/>
      <c r="O60406" s="8"/>
      <c r="P60406" s="8"/>
      <c r="Q60406" s="8"/>
      <c r="R60406" s="103"/>
      <c r="S60406" s="8"/>
      <c r="T60406" s="8"/>
      <c r="U60406" s="8"/>
      <c r="V60406" s="8"/>
      <c r="W60406" s="8"/>
      <c r="X60406" s="8"/>
      <c r="Y60406" s="8"/>
      <c r="Z60406" s="8"/>
      <c r="AA60406" s="8"/>
    </row>
    <row r="60407" spans="1:27" x14ac:dyDescent="0.25">
      <c r="A60407" s="8"/>
      <c r="B60407" s="8"/>
      <c r="C60407" s="99"/>
      <c r="D60407" s="8"/>
      <c r="E60407" s="8"/>
      <c r="F60407" s="8"/>
      <c r="G60407" s="8"/>
      <c r="H60407" s="8"/>
      <c r="I60407" s="102"/>
      <c r="J60407" s="8"/>
      <c r="K60407" s="8"/>
      <c r="L60407" s="8"/>
      <c r="M60407" s="8"/>
      <c r="N60407" s="8"/>
      <c r="O60407" s="8"/>
      <c r="P60407" s="8"/>
      <c r="Q60407" s="8"/>
      <c r="R60407" s="103"/>
      <c r="S60407" s="8"/>
      <c r="T60407" s="8"/>
      <c r="U60407" s="8"/>
      <c r="V60407" s="8"/>
      <c r="W60407" s="8"/>
      <c r="X60407" s="8"/>
      <c r="Y60407" s="8"/>
      <c r="Z60407" s="8"/>
      <c r="AA60407" s="8"/>
    </row>
    <row r="60408" spans="1:27" x14ac:dyDescent="0.25">
      <c r="A60408" s="8"/>
      <c r="B60408" s="8"/>
      <c r="C60408" s="99"/>
      <c r="D60408" s="8"/>
      <c r="E60408" s="8"/>
      <c r="F60408" s="8"/>
      <c r="G60408" s="8"/>
      <c r="H60408" s="8"/>
      <c r="I60408" s="102"/>
      <c r="J60408" s="8"/>
      <c r="K60408" s="8"/>
      <c r="L60408" s="8"/>
      <c r="M60408" s="8"/>
      <c r="N60408" s="8"/>
      <c r="O60408" s="8"/>
      <c r="P60408" s="8"/>
      <c r="Q60408" s="8"/>
      <c r="R60408" s="103"/>
      <c r="S60408" s="8"/>
      <c r="T60408" s="8"/>
      <c r="U60408" s="8"/>
      <c r="V60408" s="8"/>
      <c r="W60408" s="8"/>
      <c r="X60408" s="8"/>
      <c r="Y60408" s="8"/>
      <c r="Z60408" s="8"/>
      <c r="AA60408" s="8"/>
    </row>
    <row r="60409" spans="1:27" x14ac:dyDescent="0.25">
      <c r="A60409" s="8"/>
      <c r="B60409" s="8"/>
      <c r="C60409" s="99"/>
      <c r="D60409" s="8"/>
      <c r="E60409" s="8"/>
      <c r="F60409" s="8"/>
      <c r="G60409" s="8"/>
      <c r="H60409" s="8"/>
      <c r="I60409" s="102"/>
      <c r="J60409" s="8"/>
      <c r="K60409" s="8"/>
      <c r="L60409" s="8"/>
      <c r="M60409" s="8"/>
      <c r="N60409" s="8"/>
      <c r="O60409" s="8"/>
      <c r="P60409" s="8"/>
      <c r="Q60409" s="8"/>
      <c r="R60409" s="103"/>
      <c r="S60409" s="8"/>
      <c r="T60409" s="8"/>
      <c r="U60409" s="8"/>
      <c r="V60409" s="8"/>
      <c r="W60409" s="8"/>
      <c r="X60409" s="8"/>
      <c r="Y60409" s="8"/>
      <c r="Z60409" s="8"/>
      <c r="AA60409" s="8"/>
    </row>
    <row r="60410" spans="1:27" x14ac:dyDescent="0.25">
      <c r="A60410" s="8"/>
      <c r="B60410" s="8"/>
      <c r="C60410" s="99"/>
      <c r="D60410" s="8"/>
      <c r="E60410" s="8"/>
      <c r="F60410" s="8"/>
      <c r="G60410" s="8"/>
      <c r="H60410" s="8"/>
      <c r="I60410" s="102"/>
      <c r="J60410" s="8"/>
      <c r="K60410" s="8"/>
      <c r="L60410" s="8"/>
      <c r="M60410" s="8"/>
      <c r="N60410" s="8"/>
      <c r="O60410" s="8"/>
      <c r="P60410" s="8"/>
      <c r="Q60410" s="8"/>
      <c r="R60410" s="103"/>
      <c r="S60410" s="8"/>
      <c r="T60410" s="8"/>
      <c r="U60410" s="8"/>
      <c r="V60410" s="8"/>
      <c r="W60410" s="8"/>
      <c r="X60410" s="8"/>
      <c r="Y60410" s="8"/>
      <c r="Z60410" s="8"/>
      <c r="AA60410" s="8"/>
    </row>
    <row r="60411" spans="1:27" x14ac:dyDescent="0.25">
      <c r="A60411" s="8"/>
      <c r="B60411" s="8"/>
      <c r="C60411" s="99"/>
      <c r="D60411" s="8"/>
      <c r="E60411" s="8"/>
      <c r="F60411" s="8"/>
      <c r="G60411" s="8"/>
      <c r="H60411" s="8"/>
      <c r="I60411" s="102"/>
      <c r="J60411" s="8"/>
      <c r="K60411" s="8"/>
      <c r="L60411" s="8"/>
      <c r="M60411" s="8"/>
      <c r="N60411" s="8"/>
      <c r="O60411" s="8"/>
      <c r="P60411" s="8"/>
      <c r="Q60411" s="8"/>
      <c r="R60411" s="103"/>
      <c r="S60411" s="8"/>
      <c r="T60411" s="8"/>
      <c r="U60411" s="8"/>
      <c r="V60411" s="8"/>
      <c r="W60411" s="8"/>
      <c r="X60411" s="8"/>
      <c r="Y60411" s="8"/>
      <c r="Z60411" s="8"/>
      <c r="AA60411" s="8"/>
    </row>
    <row r="60412" spans="1:27" x14ac:dyDescent="0.25">
      <c r="A60412" s="8"/>
      <c r="B60412" s="8"/>
      <c r="C60412" s="99"/>
      <c r="D60412" s="8"/>
      <c r="E60412" s="8"/>
      <c r="F60412" s="8"/>
      <c r="G60412" s="8"/>
      <c r="H60412" s="8"/>
      <c r="I60412" s="102"/>
      <c r="J60412" s="8"/>
      <c r="K60412" s="8"/>
      <c r="L60412" s="8"/>
      <c r="M60412" s="8"/>
      <c r="N60412" s="8"/>
      <c r="O60412" s="8"/>
      <c r="P60412" s="8"/>
      <c r="Q60412" s="8"/>
      <c r="R60412" s="103"/>
      <c r="S60412" s="8"/>
      <c r="T60412" s="8"/>
      <c r="U60412" s="8"/>
      <c r="V60412" s="8"/>
      <c r="W60412" s="8"/>
      <c r="X60412" s="8"/>
      <c r="Y60412" s="8"/>
      <c r="Z60412" s="8"/>
      <c r="AA60412" s="8"/>
    </row>
    <row r="60413" spans="1:27" x14ac:dyDescent="0.25">
      <c r="A60413" s="8"/>
      <c r="B60413" s="8"/>
      <c r="C60413" s="99"/>
      <c r="D60413" s="8"/>
      <c r="E60413" s="8"/>
      <c r="F60413" s="8"/>
      <c r="G60413" s="8"/>
      <c r="H60413" s="8"/>
      <c r="I60413" s="102"/>
      <c r="J60413" s="8"/>
      <c r="K60413" s="8"/>
      <c r="L60413" s="8"/>
      <c r="M60413" s="8"/>
      <c r="N60413" s="8"/>
      <c r="O60413" s="8"/>
      <c r="P60413" s="8"/>
      <c r="Q60413" s="8"/>
      <c r="R60413" s="103"/>
      <c r="S60413" s="8"/>
      <c r="T60413" s="8"/>
      <c r="U60413" s="8"/>
      <c r="V60413" s="8"/>
      <c r="W60413" s="8"/>
      <c r="X60413" s="8"/>
      <c r="Y60413" s="8"/>
      <c r="Z60413" s="8"/>
      <c r="AA60413" s="8"/>
    </row>
    <row r="60414" spans="1:27" x14ac:dyDescent="0.25">
      <c r="A60414" s="8"/>
      <c r="B60414" s="8"/>
      <c r="C60414" s="99"/>
      <c r="D60414" s="8"/>
      <c r="E60414" s="8"/>
      <c r="F60414" s="8"/>
      <c r="G60414" s="8"/>
      <c r="H60414" s="8"/>
      <c r="I60414" s="102"/>
      <c r="J60414" s="8"/>
      <c r="K60414" s="8"/>
      <c r="L60414" s="8"/>
      <c r="M60414" s="8"/>
      <c r="N60414" s="8"/>
      <c r="O60414" s="8"/>
      <c r="P60414" s="8"/>
      <c r="Q60414" s="8"/>
      <c r="R60414" s="103"/>
      <c r="S60414" s="8"/>
      <c r="T60414" s="8"/>
      <c r="U60414" s="8"/>
      <c r="V60414" s="8"/>
      <c r="W60414" s="8"/>
      <c r="X60414" s="8"/>
      <c r="Y60414" s="8"/>
      <c r="Z60414" s="8"/>
      <c r="AA60414" s="8"/>
    </row>
    <row r="60415" spans="1:27" x14ac:dyDescent="0.25">
      <c r="A60415" s="8"/>
      <c r="B60415" s="8"/>
      <c r="C60415" s="99"/>
      <c r="D60415" s="8"/>
      <c r="E60415" s="8"/>
      <c r="F60415" s="8"/>
      <c r="G60415" s="8"/>
      <c r="H60415" s="8"/>
      <c r="I60415" s="102"/>
      <c r="J60415" s="8"/>
      <c r="K60415" s="8"/>
      <c r="L60415" s="8"/>
      <c r="M60415" s="8"/>
      <c r="N60415" s="8"/>
      <c r="O60415" s="8"/>
      <c r="P60415" s="8"/>
      <c r="Q60415" s="8"/>
      <c r="R60415" s="103"/>
      <c r="S60415" s="8"/>
      <c r="T60415" s="8"/>
      <c r="U60415" s="8"/>
      <c r="V60415" s="8"/>
      <c r="W60415" s="8"/>
      <c r="X60415" s="8"/>
      <c r="Y60415" s="8"/>
      <c r="Z60415" s="8"/>
      <c r="AA60415" s="8"/>
    </row>
    <row r="60416" spans="1:27" x14ac:dyDescent="0.25">
      <c r="A60416" s="8"/>
      <c r="B60416" s="8"/>
      <c r="C60416" s="99"/>
      <c r="D60416" s="8"/>
      <c r="E60416" s="8"/>
      <c r="F60416" s="8"/>
      <c r="G60416" s="8"/>
      <c r="H60416" s="8"/>
      <c r="I60416" s="102"/>
      <c r="J60416" s="8"/>
      <c r="K60416" s="8"/>
      <c r="L60416" s="8"/>
      <c r="M60416" s="8"/>
      <c r="N60416" s="8"/>
      <c r="O60416" s="8"/>
      <c r="P60416" s="8"/>
      <c r="Q60416" s="8"/>
      <c r="R60416" s="103"/>
      <c r="S60416" s="8"/>
      <c r="T60416" s="8"/>
      <c r="U60416" s="8"/>
      <c r="V60416" s="8"/>
      <c r="W60416" s="8"/>
      <c r="X60416" s="8"/>
      <c r="Y60416" s="8"/>
      <c r="Z60416" s="8"/>
      <c r="AA60416" s="8"/>
    </row>
    <row r="60417" spans="1:27" x14ac:dyDescent="0.25">
      <c r="A60417" s="8"/>
      <c r="B60417" s="8"/>
      <c r="C60417" s="99"/>
      <c r="D60417" s="8"/>
      <c r="E60417" s="8"/>
      <c r="F60417" s="8"/>
      <c r="G60417" s="8"/>
      <c r="H60417" s="8"/>
      <c r="I60417" s="102"/>
      <c r="J60417" s="8"/>
      <c r="K60417" s="8"/>
      <c r="L60417" s="8"/>
      <c r="M60417" s="8"/>
      <c r="N60417" s="8"/>
      <c r="O60417" s="8"/>
      <c r="P60417" s="8"/>
      <c r="Q60417" s="8"/>
      <c r="R60417" s="103"/>
      <c r="S60417" s="8"/>
      <c r="T60417" s="8"/>
      <c r="U60417" s="8"/>
      <c r="V60417" s="8"/>
      <c r="W60417" s="8"/>
      <c r="X60417" s="8"/>
      <c r="Y60417" s="8"/>
      <c r="Z60417" s="8"/>
      <c r="AA60417" s="8"/>
    </row>
    <row r="60418" spans="1:27" x14ac:dyDescent="0.25">
      <c r="A60418" s="8"/>
      <c r="B60418" s="8"/>
      <c r="C60418" s="99"/>
      <c r="D60418" s="8"/>
      <c r="E60418" s="8"/>
      <c r="F60418" s="8"/>
      <c r="G60418" s="8"/>
      <c r="H60418" s="8"/>
      <c r="I60418" s="102"/>
      <c r="J60418" s="8"/>
      <c r="K60418" s="8"/>
      <c r="L60418" s="8"/>
      <c r="M60418" s="8"/>
      <c r="N60418" s="8"/>
      <c r="O60418" s="8"/>
      <c r="P60418" s="8"/>
      <c r="Q60418" s="8"/>
      <c r="R60418" s="103"/>
      <c r="S60418" s="8"/>
      <c r="T60418" s="8"/>
      <c r="U60418" s="8"/>
      <c r="V60418" s="8"/>
      <c r="W60418" s="8"/>
      <c r="X60418" s="8"/>
      <c r="Y60418" s="8"/>
      <c r="Z60418" s="8"/>
      <c r="AA60418" s="8"/>
    </row>
    <row r="60419" spans="1:27" x14ac:dyDescent="0.25">
      <c r="A60419" s="8"/>
      <c r="B60419" s="8"/>
      <c r="C60419" s="99"/>
      <c r="D60419" s="8"/>
      <c r="E60419" s="8"/>
      <c r="F60419" s="8"/>
      <c r="G60419" s="8"/>
      <c r="H60419" s="8"/>
      <c r="I60419" s="102"/>
      <c r="J60419" s="8"/>
      <c r="K60419" s="8"/>
      <c r="L60419" s="8"/>
      <c r="M60419" s="8"/>
      <c r="N60419" s="8"/>
      <c r="O60419" s="8"/>
      <c r="P60419" s="8"/>
      <c r="Q60419" s="8"/>
      <c r="R60419" s="103"/>
      <c r="S60419" s="8"/>
      <c r="T60419" s="8"/>
      <c r="U60419" s="8"/>
      <c r="V60419" s="8"/>
      <c r="W60419" s="8"/>
      <c r="X60419" s="8"/>
      <c r="Y60419" s="8"/>
      <c r="Z60419" s="8"/>
      <c r="AA60419" s="8"/>
    </row>
    <row r="60420" spans="1:27" x14ac:dyDescent="0.25">
      <c r="A60420" s="8"/>
      <c r="B60420" s="8"/>
      <c r="C60420" s="99"/>
      <c r="D60420" s="8"/>
      <c r="E60420" s="8"/>
      <c r="F60420" s="8"/>
      <c r="G60420" s="8"/>
      <c r="H60420" s="8"/>
      <c r="I60420" s="102"/>
      <c r="J60420" s="8"/>
      <c r="K60420" s="8"/>
      <c r="L60420" s="8"/>
      <c r="M60420" s="8"/>
      <c r="N60420" s="8"/>
      <c r="O60420" s="8"/>
      <c r="P60420" s="8"/>
      <c r="Q60420" s="8"/>
      <c r="R60420" s="103"/>
      <c r="S60420" s="8"/>
      <c r="T60420" s="8"/>
      <c r="U60420" s="8"/>
      <c r="V60420" s="8"/>
      <c r="W60420" s="8"/>
      <c r="X60420" s="8"/>
      <c r="Y60420" s="8"/>
      <c r="Z60420" s="8"/>
      <c r="AA60420" s="8"/>
    </row>
    <row r="60421" spans="1:27" x14ac:dyDescent="0.25">
      <c r="A60421" s="8"/>
      <c r="B60421" s="8"/>
      <c r="C60421" s="99"/>
      <c r="D60421" s="8"/>
      <c r="E60421" s="8"/>
      <c r="F60421" s="8"/>
      <c r="G60421" s="8"/>
      <c r="H60421" s="8"/>
      <c r="I60421" s="102"/>
      <c r="J60421" s="8"/>
      <c r="K60421" s="8"/>
      <c r="L60421" s="8"/>
      <c r="M60421" s="8"/>
      <c r="N60421" s="8"/>
      <c r="O60421" s="8"/>
      <c r="P60421" s="8"/>
      <c r="Q60421" s="8"/>
      <c r="R60421" s="103"/>
      <c r="S60421" s="8"/>
      <c r="T60421" s="8"/>
      <c r="U60421" s="8"/>
      <c r="V60421" s="8"/>
      <c r="W60421" s="8"/>
      <c r="X60421" s="8"/>
      <c r="Y60421" s="8"/>
      <c r="Z60421" s="8"/>
      <c r="AA60421" s="8"/>
    </row>
    <row r="60422" spans="1:27" x14ac:dyDescent="0.25">
      <c r="A60422" s="8"/>
      <c r="B60422" s="8"/>
      <c r="C60422" s="99"/>
      <c r="D60422" s="8"/>
      <c r="E60422" s="8"/>
      <c r="F60422" s="8"/>
      <c r="G60422" s="8"/>
      <c r="H60422" s="8"/>
      <c r="I60422" s="102"/>
      <c r="J60422" s="8"/>
      <c r="K60422" s="8"/>
      <c r="L60422" s="8"/>
      <c r="M60422" s="8"/>
      <c r="N60422" s="8"/>
      <c r="O60422" s="8"/>
      <c r="P60422" s="8"/>
      <c r="Q60422" s="8"/>
      <c r="R60422" s="103"/>
      <c r="S60422" s="8"/>
      <c r="T60422" s="8"/>
      <c r="U60422" s="8"/>
      <c r="V60422" s="8"/>
      <c r="W60422" s="8"/>
      <c r="X60422" s="8"/>
      <c r="Y60422" s="8"/>
      <c r="Z60422" s="8"/>
      <c r="AA60422" s="8"/>
    </row>
    <row r="60423" spans="1:27" x14ac:dyDescent="0.25">
      <c r="A60423" s="8"/>
      <c r="B60423" s="8"/>
      <c r="C60423" s="99"/>
      <c r="D60423" s="8"/>
      <c r="E60423" s="8"/>
      <c r="F60423" s="8"/>
      <c r="G60423" s="8"/>
      <c r="H60423" s="8"/>
      <c r="I60423" s="102"/>
      <c r="J60423" s="8"/>
      <c r="K60423" s="8"/>
      <c r="L60423" s="8"/>
      <c r="M60423" s="8"/>
      <c r="N60423" s="8"/>
      <c r="O60423" s="8"/>
      <c r="P60423" s="8"/>
      <c r="Q60423" s="8"/>
      <c r="R60423" s="103"/>
      <c r="S60423" s="8"/>
      <c r="T60423" s="8"/>
      <c r="U60423" s="8"/>
      <c r="V60423" s="8"/>
      <c r="W60423" s="8"/>
      <c r="X60423" s="8"/>
      <c r="Y60423" s="8"/>
      <c r="Z60423" s="8"/>
      <c r="AA60423" s="8"/>
    </row>
    <row r="60424" spans="1:27" x14ac:dyDescent="0.25">
      <c r="A60424" s="8"/>
      <c r="B60424" s="8"/>
      <c r="C60424" s="99"/>
      <c r="D60424" s="8"/>
      <c r="E60424" s="8"/>
      <c r="F60424" s="8"/>
      <c r="G60424" s="8"/>
      <c r="H60424" s="8"/>
      <c r="I60424" s="102"/>
      <c r="J60424" s="8"/>
      <c r="K60424" s="8"/>
      <c r="L60424" s="8"/>
      <c r="M60424" s="8"/>
      <c r="N60424" s="8"/>
      <c r="O60424" s="8"/>
      <c r="P60424" s="8"/>
      <c r="Q60424" s="8"/>
      <c r="R60424" s="103"/>
      <c r="S60424" s="8"/>
      <c r="T60424" s="8"/>
      <c r="U60424" s="8"/>
      <c r="V60424" s="8"/>
      <c r="W60424" s="8"/>
      <c r="X60424" s="8"/>
      <c r="Y60424" s="8"/>
      <c r="Z60424" s="8"/>
      <c r="AA60424" s="8"/>
    </row>
    <row r="60425" spans="1:27" x14ac:dyDescent="0.25">
      <c r="A60425" s="8"/>
      <c r="B60425" s="8"/>
      <c r="C60425" s="99"/>
      <c r="D60425" s="8"/>
      <c r="E60425" s="8"/>
      <c r="F60425" s="8"/>
      <c r="G60425" s="8"/>
      <c r="H60425" s="8"/>
      <c r="I60425" s="102"/>
      <c r="J60425" s="8"/>
      <c r="K60425" s="8"/>
      <c r="L60425" s="8"/>
      <c r="M60425" s="8"/>
      <c r="N60425" s="8"/>
      <c r="O60425" s="8"/>
      <c r="P60425" s="8"/>
      <c r="Q60425" s="8"/>
      <c r="R60425" s="103"/>
      <c r="S60425" s="8"/>
      <c r="T60425" s="8"/>
      <c r="U60425" s="8"/>
      <c r="V60425" s="8"/>
      <c r="W60425" s="8"/>
      <c r="X60425" s="8"/>
      <c r="Y60425" s="8"/>
      <c r="Z60425" s="8"/>
      <c r="AA60425" s="8"/>
    </row>
    <row r="60426" spans="1:27" x14ac:dyDescent="0.25">
      <c r="A60426" s="8"/>
      <c r="B60426" s="8"/>
      <c r="C60426" s="99"/>
      <c r="D60426" s="8"/>
      <c r="E60426" s="8"/>
      <c r="F60426" s="8"/>
      <c r="G60426" s="8"/>
      <c r="H60426" s="8"/>
      <c r="I60426" s="102"/>
      <c r="J60426" s="8"/>
      <c r="K60426" s="8"/>
      <c r="L60426" s="8"/>
      <c r="M60426" s="8"/>
      <c r="N60426" s="8"/>
      <c r="O60426" s="8"/>
      <c r="P60426" s="8"/>
      <c r="Q60426" s="8"/>
      <c r="R60426" s="103"/>
      <c r="S60426" s="8"/>
      <c r="T60426" s="8"/>
      <c r="U60426" s="8"/>
      <c r="V60426" s="8"/>
      <c r="W60426" s="8"/>
      <c r="X60426" s="8"/>
      <c r="Y60426" s="8"/>
      <c r="Z60426" s="8"/>
      <c r="AA60426" s="8"/>
    </row>
    <row r="60427" spans="1:27" x14ac:dyDescent="0.25">
      <c r="A60427" s="8"/>
      <c r="B60427" s="8"/>
      <c r="C60427" s="99"/>
      <c r="D60427" s="8"/>
      <c r="E60427" s="8"/>
      <c r="F60427" s="8"/>
      <c r="G60427" s="8"/>
      <c r="H60427" s="8"/>
      <c r="I60427" s="102"/>
      <c r="J60427" s="8"/>
      <c r="K60427" s="8"/>
      <c r="L60427" s="8"/>
      <c r="M60427" s="8"/>
      <c r="N60427" s="8"/>
      <c r="O60427" s="8"/>
      <c r="P60427" s="8"/>
      <c r="Q60427" s="8"/>
      <c r="R60427" s="103"/>
      <c r="S60427" s="8"/>
      <c r="T60427" s="8"/>
      <c r="U60427" s="8"/>
      <c r="V60427" s="8"/>
      <c r="W60427" s="8"/>
      <c r="X60427" s="8"/>
      <c r="Y60427" s="8"/>
      <c r="Z60427" s="8"/>
      <c r="AA60427" s="8"/>
    </row>
    <row r="60428" spans="1:27" x14ac:dyDescent="0.25">
      <c r="A60428" s="8"/>
      <c r="B60428" s="8"/>
      <c r="C60428" s="99"/>
      <c r="D60428" s="8"/>
      <c r="E60428" s="8"/>
      <c r="F60428" s="8"/>
      <c r="G60428" s="8"/>
      <c r="H60428" s="8"/>
      <c r="I60428" s="102"/>
      <c r="J60428" s="8"/>
      <c r="K60428" s="8"/>
      <c r="L60428" s="8"/>
      <c r="M60428" s="8"/>
      <c r="N60428" s="8"/>
      <c r="O60428" s="8"/>
      <c r="P60428" s="8"/>
      <c r="Q60428" s="8"/>
      <c r="R60428" s="103"/>
      <c r="S60428" s="8"/>
      <c r="T60428" s="8"/>
      <c r="U60428" s="8"/>
      <c r="V60428" s="8"/>
      <c r="W60428" s="8"/>
      <c r="X60428" s="8"/>
      <c r="Y60428" s="8"/>
      <c r="Z60428" s="8"/>
      <c r="AA60428" s="8"/>
    </row>
    <row r="60429" spans="1:27" x14ac:dyDescent="0.25">
      <c r="A60429" s="8"/>
      <c r="B60429" s="8"/>
      <c r="C60429" s="99"/>
      <c r="D60429" s="8"/>
      <c r="E60429" s="8"/>
      <c r="F60429" s="8"/>
      <c r="G60429" s="8"/>
      <c r="H60429" s="8"/>
      <c r="I60429" s="102"/>
      <c r="J60429" s="8"/>
      <c r="K60429" s="8"/>
      <c r="L60429" s="8"/>
      <c r="M60429" s="8"/>
      <c r="N60429" s="8"/>
      <c r="O60429" s="8"/>
      <c r="P60429" s="8"/>
      <c r="Q60429" s="8"/>
      <c r="R60429" s="103"/>
      <c r="S60429" s="8"/>
      <c r="T60429" s="8"/>
      <c r="U60429" s="8"/>
      <c r="V60429" s="8"/>
      <c r="W60429" s="8"/>
      <c r="X60429" s="8"/>
      <c r="Y60429" s="8"/>
      <c r="Z60429" s="8"/>
      <c r="AA60429" s="8"/>
    </row>
    <row r="60430" spans="1:27" x14ac:dyDescent="0.25">
      <c r="A60430" s="8"/>
      <c r="B60430" s="8"/>
      <c r="C60430" s="99"/>
      <c r="D60430" s="8"/>
      <c r="E60430" s="8"/>
      <c r="F60430" s="8"/>
      <c r="G60430" s="8"/>
      <c r="H60430" s="8"/>
      <c r="I60430" s="102"/>
      <c r="J60430" s="8"/>
      <c r="K60430" s="8"/>
      <c r="L60430" s="8"/>
      <c r="M60430" s="8"/>
      <c r="N60430" s="8"/>
      <c r="O60430" s="8"/>
      <c r="P60430" s="8"/>
      <c r="Q60430" s="8"/>
      <c r="R60430" s="103"/>
      <c r="S60430" s="8"/>
      <c r="T60430" s="8"/>
      <c r="U60430" s="8"/>
      <c r="V60430" s="8"/>
      <c r="W60430" s="8"/>
      <c r="X60430" s="8"/>
      <c r="Y60430" s="8"/>
      <c r="Z60430" s="8"/>
      <c r="AA60430" s="8"/>
    </row>
    <row r="60431" spans="1:27" x14ac:dyDescent="0.25">
      <c r="A60431" s="8"/>
      <c r="B60431" s="8"/>
      <c r="C60431" s="99"/>
      <c r="D60431" s="8"/>
      <c r="E60431" s="8"/>
      <c r="F60431" s="8"/>
      <c r="G60431" s="8"/>
      <c r="H60431" s="8"/>
      <c r="I60431" s="102"/>
      <c r="J60431" s="8"/>
      <c r="K60431" s="8"/>
      <c r="L60431" s="8"/>
      <c r="M60431" s="8"/>
      <c r="N60431" s="8"/>
      <c r="O60431" s="8"/>
      <c r="P60431" s="8"/>
      <c r="Q60431" s="8"/>
      <c r="R60431" s="103"/>
      <c r="S60431" s="8"/>
      <c r="T60431" s="8"/>
      <c r="U60431" s="8"/>
      <c r="V60431" s="8"/>
      <c r="W60431" s="8"/>
      <c r="X60431" s="8"/>
      <c r="Y60431" s="8"/>
      <c r="Z60431" s="8"/>
      <c r="AA60431" s="8"/>
    </row>
    <row r="60432" spans="1:27" x14ac:dyDescent="0.25">
      <c r="A60432" s="8"/>
      <c r="B60432" s="8"/>
      <c r="C60432" s="99"/>
      <c r="D60432" s="8"/>
      <c r="E60432" s="8"/>
      <c r="F60432" s="8"/>
      <c r="G60432" s="8"/>
      <c r="H60432" s="8"/>
      <c r="I60432" s="102"/>
      <c r="J60432" s="8"/>
      <c r="K60432" s="8"/>
      <c r="L60432" s="8"/>
      <c r="M60432" s="8"/>
      <c r="N60432" s="8"/>
      <c r="O60432" s="8"/>
      <c r="P60432" s="8"/>
      <c r="Q60432" s="8"/>
      <c r="R60432" s="103"/>
      <c r="S60432" s="8"/>
      <c r="T60432" s="8"/>
      <c r="U60432" s="8"/>
      <c r="V60432" s="8"/>
      <c r="W60432" s="8"/>
      <c r="X60432" s="8"/>
      <c r="Y60432" s="8"/>
      <c r="Z60432" s="8"/>
      <c r="AA60432" s="8"/>
    </row>
    <row r="60433" spans="1:27" x14ac:dyDescent="0.25">
      <c r="A60433" s="8"/>
      <c r="B60433" s="8"/>
      <c r="C60433" s="99"/>
      <c r="D60433" s="8"/>
      <c r="E60433" s="8"/>
      <c r="F60433" s="8"/>
      <c r="G60433" s="8"/>
      <c r="H60433" s="8"/>
      <c r="I60433" s="102"/>
      <c r="J60433" s="8"/>
      <c r="K60433" s="8"/>
      <c r="L60433" s="8"/>
      <c r="M60433" s="8"/>
      <c r="N60433" s="8"/>
      <c r="O60433" s="8"/>
      <c r="P60433" s="8"/>
      <c r="Q60433" s="8"/>
      <c r="R60433" s="103"/>
      <c r="S60433" s="8"/>
      <c r="T60433" s="8"/>
      <c r="U60433" s="8"/>
      <c r="V60433" s="8"/>
      <c r="W60433" s="8"/>
      <c r="X60433" s="8"/>
      <c r="Y60433" s="8"/>
      <c r="Z60433" s="8"/>
      <c r="AA60433" s="8"/>
    </row>
    <row r="60434" spans="1:27" x14ac:dyDescent="0.25">
      <c r="A60434" s="8"/>
      <c r="B60434" s="8"/>
      <c r="C60434" s="99"/>
      <c r="D60434" s="8"/>
      <c r="E60434" s="8"/>
      <c r="F60434" s="8"/>
      <c r="G60434" s="8"/>
      <c r="H60434" s="8"/>
      <c r="I60434" s="102"/>
      <c r="J60434" s="8"/>
      <c r="K60434" s="8"/>
      <c r="L60434" s="8"/>
      <c r="M60434" s="8"/>
      <c r="N60434" s="8"/>
      <c r="O60434" s="8"/>
      <c r="P60434" s="8"/>
      <c r="Q60434" s="8"/>
      <c r="R60434" s="103"/>
      <c r="S60434" s="8"/>
      <c r="T60434" s="8"/>
      <c r="U60434" s="8"/>
      <c r="V60434" s="8"/>
      <c r="W60434" s="8"/>
      <c r="X60434" s="8"/>
      <c r="Y60434" s="8"/>
      <c r="Z60434" s="8"/>
      <c r="AA60434" s="8"/>
    </row>
    <row r="60435" spans="1:27" x14ac:dyDescent="0.25">
      <c r="A60435" s="8"/>
      <c r="B60435" s="8"/>
      <c r="C60435" s="99"/>
      <c r="D60435" s="8"/>
      <c r="E60435" s="8"/>
      <c r="F60435" s="8"/>
      <c r="G60435" s="8"/>
      <c r="H60435" s="8"/>
      <c r="I60435" s="102"/>
      <c r="J60435" s="8"/>
      <c r="K60435" s="8"/>
      <c r="L60435" s="8"/>
      <c r="M60435" s="8"/>
      <c r="N60435" s="8"/>
      <c r="O60435" s="8"/>
      <c r="P60435" s="8"/>
      <c r="Q60435" s="8"/>
      <c r="R60435" s="103"/>
      <c r="S60435" s="8"/>
      <c r="T60435" s="8"/>
      <c r="U60435" s="8"/>
      <c r="V60435" s="8"/>
      <c r="W60435" s="8"/>
      <c r="X60435" s="8"/>
      <c r="Y60435" s="8"/>
      <c r="Z60435" s="8"/>
      <c r="AA60435" s="8"/>
    </row>
    <row r="60436" spans="1:27" x14ac:dyDescent="0.25">
      <c r="A60436" s="8"/>
      <c r="B60436" s="8"/>
      <c r="C60436" s="99"/>
      <c r="D60436" s="8"/>
      <c r="E60436" s="8"/>
      <c r="F60436" s="8"/>
      <c r="G60436" s="8"/>
      <c r="H60436" s="8"/>
      <c r="I60436" s="102"/>
      <c r="J60436" s="8"/>
      <c r="K60436" s="8"/>
      <c r="L60436" s="8"/>
      <c r="M60436" s="8"/>
      <c r="N60436" s="8"/>
      <c r="O60436" s="8"/>
      <c r="P60436" s="8"/>
      <c r="Q60436" s="8"/>
      <c r="R60436" s="103"/>
      <c r="S60436" s="8"/>
      <c r="T60436" s="8"/>
      <c r="U60436" s="8"/>
      <c r="V60436" s="8"/>
      <c r="W60436" s="8"/>
      <c r="X60436" s="8"/>
      <c r="Y60436" s="8"/>
      <c r="Z60436" s="8"/>
      <c r="AA60436" s="8"/>
    </row>
    <row r="60437" spans="1:27" x14ac:dyDescent="0.25">
      <c r="A60437" s="8"/>
      <c r="B60437" s="8"/>
      <c r="C60437" s="99"/>
      <c r="D60437" s="8"/>
      <c r="E60437" s="8"/>
      <c r="F60437" s="8"/>
      <c r="G60437" s="8"/>
      <c r="H60437" s="8"/>
      <c r="I60437" s="102"/>
      <c r="J60437" s="8"/>
      <c r="K60437" s="8"/>
      <c r="L60437" s="8"/>
      <c r="M60437" s="8"/>
      <c r="N60437" s="8"/>
      <c r="O60437" s="8"/>
      <c r="P60437" s="8"/>
      <c r="Q60437" s="8"/>
      <c r="R60437" s="103"/>
      <c r="S60437" s="8"/>
      <c r="T60437" s="8"/>
      <c r="U60437" s="8"/>
      <c r="V60437" s="8"/>
      <c r="W60437" s="8"/>
      <c r="X60437" s="8"/>
      <c r="Y60437" s="8"/>
      <c r="Z60437" s="8"/>
      <c r="AA60437" s="8"/>
    </row>
    <row r="60438" spans="1:27" x14ac:dyDescent="0.25">
      <c r="A60438" s="8"/>
      <c r="B60438" s="8"/>
      <c r="C60438" s="99"/>
      <c r="D60438" s="8"/>
      <c r="E60438" s="8"/>
      <c r="F60438" s="8"/>
      <c r="G60438" s="8"/>
      <c r="H60438" s="8"/>
      <c r="I60438" s="102"/>
      <c r="J60438" s="8"/>
      <c r="K60438" s="8"/>
      <c r="L60438" s="8"/>
      <c r="M60438" s="8"/>
      <c r="N60438" s="8"/>
      <c r="O60438" s="8"/>
      <c r="P60438" s="8"/>
      <c r="Q60438" s="8"/>
      <c r="R60438" s="103"/>
      <c r="S60438" s="8"/>
      <c r="T60438" s="8"/>
      <c r="U60438" s="8"/>
      <c r="V60438" s="8"/>
      <c r="W60438" s="8"/>
      <c r="X60438" s="8"/>
      <c r="Y60438" s="8"/>
      <c r="Z60438" s="8"/>
      <c r="AA60438" s="8"/>
    </row>
    <row r="60439" spans="1:27" x14ac:dyDescent="0.25">
      <c r="A60439" s="8"/>
      <c r="B60439" s="8"/>
      <c r="C60439" s="99"/>
      <c r="D60439" s="8"/>
      <c r="E60439" s="8"/>
      <c r="F60439" s="8"/>
      <c r="G60439" s="8"/>
      <c r="H60439" s="8"/>
      <c r="I60439" s="102"/>
      <c r="J60439" s="8"/>
      <c r="K60439" s="8"/>
      <c r="L60439" s="8"/>
      <c r="M60439" s="8"/>
      <c r="N60439" s="8"/>
      <c r="O60439" s="8"/>
      <c r="P60439" s="8"/>
      <c r="Q60439" s="8"/>
      <c r="R60439" s="103"/>
      <c r="S60439" s="8"/>
      <c r="T60439" s="8"/>
      <c r="U60439" s="8"/>
      <c r="V60439" s="8"/>
      <c r="W60439" s="8"/>
      <c r="X60439" s="8"/>
      <c r="Y60439" s="8"/>
      <c r="Z60439" s="8"/>
      <c r="AA60439" s="8"/>
    </row>
    <row r="60440" spans="1:27" x14ac:dyDescent="0.25">
      <c r="A60440" s="8"/>
      <c r="B60440" s="8"/>
      <c r="C60440" s="99"/>
      <c r="D60440" s="8"/>
      <c r="E60440" s="8"/>
      <c r="F60440" s="8"/>
      <c r="G60440" s="8"/>
      <c r="H60440" s="8"/>
      <c r="I60440" s="102"/>
      <c r="J60440" s="8"/>
      <c r="K60440" s="8"/>
      <c r="L60440" s="8"/>
      <c r="M60440" s="8"/>
      <c r="N60440" s="8"/>
      <c r="O60440" s="8"/>
      <c r="P60440" s="8"/>
      <c r="Q60440" s="8"/>
      <c r="R60440" s="103"/>
      <c r="S60440" s="8"/>
      <c r="T60440" s="8"/>
      <c r="U60440" s="8"/>
      <c r="V60440" s="8"/>
      <c r="W60440" s="8"/>
      <c r="X60440" s="8"/>
      <c r="Y60440" s="8"/>
      <c r="Z60440" s="8"/>
      <c r="AA60440" s="8"/>
    </row>
    <row r="60441" spans="1:27" x14ac:dyDescent="0.25">
      <c r="A60441" s="8"/>
      <c r="B60441" s="8"/>
      <c r="C60441" s="99"/>
      <c r="D60441" s="8"/>
      <c r="E60441" s="8"/>
      <c r="F60441" s="8"/>
      <c r="G60441" s="8"/>
      <c r="H60441" s="8"/>
      <c r="I60441" s="102"/>
      <c r="J60441" s="8"/>
      <c r="K60441" s="8"/>
      <c r="L60441" s="8"/>
      <c r="M60441" s="8"/>
      <c r="N60441" s="8"/>
      <c r="O60441" s="8"/>
      <c r="P60441" s="8"/>
      <c r="Q60441" s="8"/>
      <c r="R60441" s="103"/>
      <c r="S60441" s="8"/>
      <c r="T60441" s="8"/>
      <c r="U60441" s="8"/>
      <c r="V60441" s="8"/>
      <c r="W60441" s="8"/>
      <c r="X60441" s="8"/>
      <c r="Y60441" s="8"/>
      <c r="Z60441" s="8"/>
      <c r="AA60441" s="8"/>
    </row>
    <row r="60442" spans="1:27" x14ac:dyDescent="0.25">
      <c r="A60442" s="8"/>
      <c r="B60442" s="8"/>
      <c r="C60442" s="99"/>
      <c r="D60442" s="8"/>
      <c r="E60442" s="8"/>
      <c r="F60442" s="8"/>
      <c r="G60442" s="8"/>
      <c r="H60442" s="8"/>
      <c r="I60442" s="102"/>
      <c r="J60442" s="8"/>
      <c r="K60442" s="8"/>
      <c r="L60442" s="8"/>
      <c r="M60442" s="8"/>
      <c r="N60442" s="8"/>
      <c r="O60442" s="8"/>
      <c r="P60442" s="8"/>
      <c r="Q60442" s="8"/>
      <c r="R60442" s="103"/>
      <c r="S60442" s="8"/>
      <c r="T60442" s="8"/>
      <c r="U60442" s="8"/>
      <c r="V60442" s="8"/>
      <c r="W60442" s="8"/>
      <c r="X60442" s="8"/>
      <c r="Y60442" s="8"/>
      <c r="Z60442" s="8"/>
      <c r="AA60442" s="8"/>
    </row>
    <row r="60443" spans="1:27" x14ac:dyDescent="0.25">
      <c r="A60443" s="8"/>
      <c r="B60443" s="8"/>
      <c r="C60443" s="99"/>
      <c r="D60443" s="8"/>
      <c r="E60443" s="8"/>
      <c r="F60443" s="8"/>
      <c r="G60443" s="8"/>
      <c r="H60443" s="8"/>
      <c r="I60443" s="102"/>
      <c r="J60443" s="8"/>
      <c r="K60443" s="8"/>
      <c r="L60443" s="8"/>
      <c r="M60443" s="8"/>
      <c r="N60443" s="8"/>
      <c r="O60443" s="8"/>
      <c r="P60443" s="8"/>
      <c r="Q60443" s="8"/>
      <c r="R60443" s="103"/>
      <c r="S60443" s="8"/>
      <c r="T60443" s="8"/>
      <c r="U60443" s="8"/>
      <c r="V60443" s="8"/>
      <c r="W60443" s="8"/>
      <c r="X60443" s="8"/>
      <c r="Y60443" s="8"/>
      <c r="Z60443" s="8"/>
      <c r="AA60443" s="8"/>
    </row>
    <row r="60444" spans="1:27" x14ac:dyDescent="0.25">
      <c r="A60444" s="8"/>
      <c r="B60444" s="8"/>
      <c r="C60444" s="99"/>
      <c r="D60444" s="8"/>
      <c r="E60444" s="8"/>
      <c r="F60444" s="8"/>
      <c r="G60444" s="8"/>
      <c r="H60444" s="8"/>
      <c r="I60444" s="102"/>
      <c r="J60444" s="8"/>
      <c r="K60444" s="8"/>
      <c r="L60444" s="8"/>
      <c r="M60444" s="8"/>
      <c r="N60444" s="8"/>
      <c r="O60444" s="8"/>
      <c r="P60444" s="8"/>
      <c r="Q60444" s="8"/>
      <c r="R60444" s="103"/>
      <c r="S60444" s="8"/>
      <c r="T60444" s="8"/>
      <c r="U60444" s="8"/>
      <c r="V60444" s="8"/>
      <c r="W60444" s="8"/>
      <c r="X60444" s="8"/>
      <c r="Y60444" s="8"/>
      <c r="Z60444" s="8"/>
      <c r="AA60444" s="8"/>
    </row>
    <row r="60445" spans="1:27" x14ac:dyDescent="0.25">
      <c r="A60445" s="8"/>
      <c r="B60445" s="8"/>
      <c r="C60445" s="99"/>
      <c r="D60445" s="8"/>
      <c r="E60445" s="8"/>
      <c r="F60445" s="8"/>
      <c r="G60445" s="8"/>
      <c r="H60445" s="8"/>
      <c r="I60445" s="102"/>
      <c r="J60445" s="8"/>
      <c r="K60445" s="8"/>
      <c r="L60445" s="8"/>
      <c r="M60445" s="8"/>
      <c r="N60445" s="8"/>
      <c r="O60445" s="8"/>
      <c r="P60445" s="8"/>
      <c r="Q60445" s="8"/>
      <c r="R60445" s="103"/>
      <c r="S60445" s="8"/>
      <c r="T60445" s="8"/>
      <c r="U60445" s="8"/>
      <c r="V60445" s="8"/>
      <c r="W60445" s="8"/>
      <c r="X60445" s="8"/>
      <c r="Y60445" s="8"/>
      <c r="Z60445" s="8"/>
      <c r="AA60445" s="8"/>
    </row>
    <row r="60446" spans="1:27" x14ac:dyDescent="0.25">
      <c r="A60446" s="8"/>
      <c r="B60446" s="8"/>
      <c r="C60446" s="99"/>
      <c r="D60446" s="8"/>
      <c r="E60446" s="8"/>
      <c r="F60446" s="8"/>
      <c r="G60446" s="8"/>
      <c r="H60446" s="8"/>
      <c r="I60446" s="102"/>
      <c r="J60446" s="8"/>
      <c r="K60446" s="8"/>
      <c r="L60446" s="8"/>
      <c r="M60446" s="8"/>
      <c r="N60446" s="8"/>
      <c r="O60446" s="8"/>
      <c r="P60446" s="8"/>
      <c r="Q60446" s="8"/>
      <c r="R60446" s="103"/>
      <c r="S60446" s="8"/>
      <c r="T60446" s="8"/>
      <c r="U60446" s="8"/>
      <c r="V60446" s="8"/>
      <c r="W60446" s="8"/>
      <c r="X60446" s="8"/>
      <c r="Y60446" s="8"/>
      <c r="Z60446" s="8"/>
      <c r="AA60446" s="8"/>
    </row>
    <row r="60447" spans="1:27" x14ac:dyDescent="0.25">
      <c r="A60447" s="8"/>
      <c r="B60447" s="8"/>
      <c r="C60447" s="99"/>
      <c r="D60447" s="8"/>
      <c r="E60447" s="8"/>
      <c r="F60447" s="8"/>
      <c r="G60447" s="8"/>
      <c r="H60447" s="8"/>
      <c r="I60447" s="102"/>
      <c r="J60447" s="8"/>
      <c r="K60447" s="8"/>
      <c r="L60447" s="8"/>
      <c r="M60447" s="8"/>
      <c r="N60447" s="8"/>
      <c r="O60447" s="8"/>
      <c r="P60447" s="8"/>
      <c r="Q60447" s="8"/>
      <c r="R60447" s="103"/>
      <c r="S60447" s="8"/>
      <c r="T60447" s="8"/>
      <c r="U60447" s="8"/>
      <c r="V60447" s="8"/>
      <c r="W60447" s="8"/>
      <c r="X60447" s="8"/>
      <c r="Y60447" s="8"/>
      <c r="Z60447" s="8"/>
      <c r="AA60447" s="8"/>
    </row>
    <row r="60448" spans="1:27" x14ac:dyDescent="0.25">
      <c r="A60448" s="8"/>
      <c r="B60448" s="8"/>
      <c r="C60448" s="99"/>
      <c r="D60448" s="8"/>
      <c r="E60448" s="8"/>
      <c r="F60448" s="8"/>
      <c r="G60448" s="8"/>
      <c r="H60448" s="8"/>
      <c r="I60448" s="102"/>
      <c r="J60448" s="8"/>
      <c r="K60448" s="8"/>
      <c r="L60448" s="8"/>
      <c r="M60448" s="8"/>
      <c r="N60448" s="8"/>
      <c r="O60448" s="8"/>
      <c r="P60448" s="8"/>
      <c r="Q60448" s="8"/>
      <c r="R60448" s="103"/>
      <c r="S60448" s="8"/>
      <c r="T60448" s="8"/>
      <c r="U60448" s="8"/>
      <c r="V60448" s="8"/>
      <c r="W60448" s="8"/>
      <c r="X60448" s="8"/>
      <c r="Y60448" s="8"/>
      <c r="Z60448" s="8"/>
      <c r="AA60448" s="8"/>
    </row>
    <row r="60449" spans="1:27" x14ac:dyDescent="0.25">
      <c r="A60449" s="8"/>
      <c r="B60449" s="8"/>
      <c r="C60449" s="99"/>
      <c r="D60449" s="8"/>
      <c r="E60449" s="8"/>
      <c r="F60449" s="8"/>
      <c r="G60449" s="8"/>
      <c r="H60449" s="8"/>
      <c r="I60449" s="102"/>
      <c r="J60449" s="8"/>
      <c r="K60449" s="8"/>
      <c r="L60449" s="8"/>
      <c r="M60449" s="8"/>
      <c r="N60449" s="8"/>
      <c r="O60449" s="8"/>
      <c r="P60449" s="8"/>
      <c r="Q60449" s="8"/>
      <c r="R60449" s="103"/>
      <c r="S60449" s="8"/>
      <c r="T60449" s="8"/>
      <c r="U60449" s="8"/>
      <c r="V60449" s="8"/>
      <c r="W60449" s="8"/>
      <c r="X60449" s="8"/>
      <c r="Y60449" s="8"/>
      <c r="Z60449" s="8"/>
      <c r="AA60449" s="8"/>
    </row>
    <row r="60450" spans="1:27" x14ac:dyDescent="0.25">
      <c r="A60450" s="8"/>
      <c r="B60450" s="8"/>
      <c r="C60450" s="99"/>
      <c r="D60450" s="8"/>
      <c r="E60450" s="8"/>
      <c r="F60450" s="8"/>
      <c r="G60450" s="8"/>
      <c r="H60450" s="8"/>
      <c r="I60450" s="102"/>
      <c r="J60450" s="8"/>
      <c r="K60450" s="8"/>
      <c r="L60450" s="8"/>
      <c r="M60450" s="8"/>
      <c r="N60450" s="8"/>
      <c r="O60450" s="8"/>
      <c r="P60450" s="8"/>
      <c r="Q60450" s="8"/>
      <c r="R60450" s="103"/>
      <c r="S60450" s="8"/>
      <c r="T60450" s="8"/>
      <c r="U60450" s="8"/>
      <c r="V60450" s="8"/>
      <c r="W60450" s="8"/>
      <c r="X60450" s="8"/>
      <c r="Y60450" s="8"/>
      <c r="Z60450" s="8"/>
      <c r="AA60450" s="8"/>
    </row>
    <row r="60451" spans="1:27" x14ac:dyDescent="0.25">
      <c r="A60451" s="8"/>
      <c r="B60451" s="8"/>
      <c r="C60451" s="99"/>
      <c r="D60451" s="8"/>
      <c r="E60451" s="8"/>
      <c r="F60451" s="8"/>
      <c r="G60451" s="8"/>
      <c r="H60451" s="8"/>
      <c r="I60451" s="102"/>
      <c r="J60451" s="8"/>
      <c r="K60451" s="8"/>
      <c r="L60451" s="8"/>
      <c r="M60451" s="8"/>
      <c r="N60451" s="8"/>
      <c r="O60451" s="8"/>
      <c r="P60451" s="8"/>
      <c r="Q60451" s="8"/>
      <c r="R60451" s="103"/>
      <c r="S60451" s="8"/>
      <c r="T60451" s="8"/>
      <c r="U60451" s="8"/>
      <c r="V60451" s="8"/>
      <c r="W60451" s="8"/>
      <c r="X60451" s="8"/>
      <c r="Y60451" s="8"/>
      <c r="Z60451" s="8"/>
      <c r="AA60451" s="8"/>
    </row>
    <row r="60452" spans="1:27" x14ac:dyDescent="0.25">
      <c r="A60452" s="8"/>
      <c r="B60452" s="8"/>
      <c r="C60452" s="99"/>
      <c r="D60452" s="8"/>
      <c r="E60452" s="8"/>
      <c r="F60452" s="8"/>
      <c r="G60452" s="8"/>
      <c r="H60452" s="8"/>
      <c r="I60452" s="102"/>
      <c r="J60452" s="8"/>
      <c r="K60452" s="8"/>
      <c r="L60452" s="8"/>
      <c r="M60452" s="8"/>
      <c r="N60452" s="8"/>
      <c r="O60452" s="8"/>
      <c r="P60452" s="8"/>
      <c r="Q60452" s="8"/>
      <c r="R60452" s="103"/>
      <c r="S60452" s="8"/>
      <c r="T60452" s="8"/>
      <c r="U60452" s="8"/>
      <c r="V60452" s="8"/>
      <c r="W60452" s="8"/>
      <c r="X60452" s="8"/>
      <c r="Y60452" s="8"/>
      <c r="Z60452" s="8"/>
      <c r="AA60452" s="8"/>
    </row>
    <row r="60453" spans="1:27" x14ac:dyDescent="0.25">
      <c r="A60453" s="8"/>
      <c r="B60453" s="8"/>
      <c r="C60453" s="99"/>
      <c r="D60453" s="8"/>
      <c r="E60453" s="8"/>
      <c r="F60453" s="8"/>
      <c r="G60453" s="8"/>
      <c r="H60453" s="8"/>
      <c r="I60453" s="102"/>
      <c r="J60453" s="8"/>
      <c r="K60453" s="8"/>
      <c r="L60453" s="8"/>
      <c r="M60453" s="8"/>
      <c r="N60453" s="8"/>
      <c r="O60453" s="8"/>
      <c r="P60453" s="8"/>
      <c r="Q60453" s="8"/>
      <c r="R60453" s="103"/>
      <c r="S60453" s="8"/>
      <c r="T60453" s="8"/>
      <c r="U60453" s="8"/>
      <c r="V60453" s="8"/>
      <c r="W60453" s="8"/>
      <c r="X60453" s="8"/>
      <c r="Y60453" s="8"/>
      <c r="Z60453" s="8"/>
      <c r="AA60453" s="8"/>
    </row>
    <row r="60454" spans="1:27" x14ac:dyDescent="0.25">
      <c r="A60454" s="8"/>
      <c r="B60454" s="8"/>
      <c r="C60454" s="99"/>
      <c r="D60454" s="8"/>
      <c r="E60454" s="8"/>
      <c r="F60454" s="8"/>
      <c r="G60454" s="8"/>
      <c r="H60454" s="8"/>
      <c r="I60454" s="102"/>
      <c r="J60454" s="8"/>
      <c r="K60454" s="8"/>
      <c r="L60454" s="8"/>
      <c r="M60454" s="8"/>
      <c r="N60454" s="8"/>
      <c r="O60454" s="8"/>
      <c r="P60454" s="8"/>
      <c r="Q60454" s="8"/>
      <c r="R60454" s="103"/>
      <c r="S60454" s="8"/>
      <c r="T60454" s="8"/>
      <c r="U60454" s="8"/>
      <c r="V60454" s="8"/>
      <c r="W60454" s="8"/>
      <c r="X60454" s="8"/>
      <c r="Y60454" s="8"/>
      <c r="Z60454" s="8"/>
      <c r="AA60454" s="8"/>
    </row>
    <row r="60455" spans="1:27" x14ac:dyDescent="0.25">
      <c r="A60455" s="8"/>
      <c r="B60455" s="8"/>
      <c r="C60455" s="99"/>
      <c r="D60455" s="8"/>
      <c r="E60455" s="8"/>
      <c r="F60455" s="8"/>
      <c r="G60455" s="8"/>
      <c r="H60455" s="8"/>
      <c r="I60455" s="102"/>
      <c r="J60455" s="8"/>
      <c r="K60455" s="8"/>
      <c r="L60455" s="8"/>
      <c r="M60455" s="8"/>
      <c r="N60455" s="8"/>
      <c r="O60455" s="8"/>
      <c r="P60455" s="8"/>
      <c r="Q60455" s="8"/>
      <c r="R60455" s="103"/>
      <c r="S60455" s="8"/>
      <c r="T60455" s="8"/>
      <c r="U60455" s="8"/>
      <c r="V60455" s="8"/>
      <c r="W60455" s="8"/>
      <c r="X60455" s="8"/>
      <c r="Y60455" s="8"/>
      <c r="Z60455" s="8"/>
      <c r="AA60455" s="8"/>
    </row>
    <row r="60456" spans="1:27" x14ac:dyDescent="0.25">
      <c r="A60456" s="8"/>
      <c r="B60456" s="8"/>
      <c r="C60456" s="99"/>
      <c r="D60456" s="8"/>
      <c r="E60456" s="8"/>
      <c r="F60456" s="8"/>
      <c r="G60456" s="8"/>
      <c r="H60456" s="8"/>
      <c r="I60456" s="102"/>
      <c r="J60456" s="8"/>
      <c r="K60456" s="8"/>
      <c r="L60456" s="8"/>
      <c r="M60456" s="8"/>
      <c r="N60456" s="8"/>
      <c r="O60456" s="8"/>
      <c r="P60456" s="8"/>
      <c r="Q60456" s="8"/>
      <c r="R60456" s="103"/>
      <c r="S60456" s="8"/>
      <c r="T60456" s="8"/>
      <c r="U60456" s="8"/>
      <c r="V60456" s="8"/>
      <c r="W60456" s="8"/>
      <c r="X60456" s="8"/>
      <c r="Y60456" s="8"/>
      <c r="Z60456" s="8"/>
      <c r="AA60456" s="8"/>
    </row>
    <row r="60457" spans="1:27" x14ac:dyDescent="0.25">
      <c r="A60457" s="8"/>
      <c r="B60457" s="8"/>
      <c r="C60457" s="99"/>
      <c r="D60457" s="8"/>
      <c r="E60457" s="8"/>
      <c r="F60457" s="8"/>
      <c r="G60457" s="8"/>
      <c r="H60457" s="8"/>
      <c r="I60457" s="102"/>
      <c r="J60457" s="8"/>
      <c r="K60457" s="8"/>
      <c r="L60457" s="8"/>
      <c r="M60457" s="8"/>
      <c r="N60457" s="8"/>
      <c r="O60457" s="8"/>
      <c r="P60457" s="8"/>
      <c r="Q60457" s="8"/>
      <c r="R60457" s="103"/>
      <c r="S60457" s="8"/>
      <c r="T60457" s="8"/>
      <c r="U60457" s="8"/>
      <c r="V60457" s="8"/>
      <c r="W60457" s="8"/>
      <c r="X60457" s="8"/>
      <c r="Y60457" s="8"/>
      <c r="Z60457" s="8"/>
      <c r="AA60457" s="8"/>
    </row>
    <row r="60458" spans="1:27" x14ac:dyDescent="0.25">
      <c r="A60458" s="8"/>
      <c r="B60458" s="8"/>
      <c r="C60458" s="99"/>
      <c r="D60458" s="8"/>
      <c r="E60458" s="8"/>
      <c r="F60458" s="8"/>
      <c r="G60458" s="8"/>
      <c r="H60458" s="8"/>
      <c r="I60458" s="102"/>
      <c r="J60458" s="8"/>
      <c r="K60458" s="8"/>
      <c r="L60458" s="8"/>
      <c r="M60458" s="8"/>
      <c r="N60458" s="8"/>
      <c r="O60458" s="8"/>
      <c r="P60458" s="8"/>
      <c r="Q60458" s="8"/>
      <c r="R60458" s="103"/>
      <c r="S60458" s="8"/>
      <c r="T60458" s="8"/>
      <c r="U60458" s="8"/>
      <c r="V60458" s="8"/>
      <c r="W60458" s="8"/>
      <c r="X60458" s="8"/>
      <c r="Y60458" s="8"/>
      <c r="Z60458" s="8"/>
      <c r="AA60458" s="8"/>
    </row>
    <row r="60459" spans="1:27" x14ac:dyDescent="0.25">
      <c r="A60459" s="8"/>
      <c r="B60459" s="8"/>
      <c r="C60459" s="99"/>
      <c r="D60459" s="8"/>
      <c r="E60459" s="8"/>
      <c r="F60459" s="8"/>
      <c r="G60459" s="8"/>
      <c r="H60459" s="8"/>
      <c r="I60459" s="102"/>
      <c r="J60459" s="8"/>
      <c r="K60459" s="8"/>
      <c r="L60459" s="8"/>
      <c r="M60459" s="8"/>
      <c r="N60459" s="8"/>
      <c r="O60459" s="8"/>
      <c r="P60459" s="8"/>
      <c r="Q60459" s="8"/>
      <c r="R60459" s="103"/>
      <c r="S60459" s="8"/>
      <c r="T60459" s="8"/>
      <c r="U60459" s="8"/>
      <c r="V60459" s="8"/>
      <c r="W60459" s="8"/>
      <c r="X60459" s="8"/>
      <c r="Y60459" s="8"/>
      <c r="Z60459" s="8"/>
      <c r="AA60459" s="8"/>
    </row>
    <row r="60460" spans="1:27" x14ac:dyDescent="0.25">
      <c r="A60460" s="8"/>
      <c r="B60460" s="8"/>
      <c r="C60460" s="99"/>
      <c r="D60460" s="8"/>
      <c r="E60460" s="8"/>
      <c r="F60460" s="8"/>
      <c r="G60460" s="8"/>
      <c r="H60460" s="8"/>
      <c r="I60460" s="102"/>
      <c r="J60460" s="8"/>
      <c r="K60460" s="8"/>
      <c r="L60460" s="8"/>
      <c r="M60460" s="8"/>
      <c r="N60460" s="8"/>
      <c r="O60460" s="8"/>
      <c r="P60460" s="8"/>
      <c r="Q60460" s="8"/>
      <c r="R60460" s="103"/>
      <c r="S60460" s="8"/>
      <c r="T60460" s="8"/>
      <c r="U60460" s="8"/>
      <c r="V60460" s="8"/>
      <c r="W60460" s="8"/>
      <c r="X60460" s="8"/>
      <c r="Y60460" s="8"/>
      <c r="Z60460" s="8"/>
      <c r="AA60460" s="8"/>
    </row>
    <row r="60461" spans="1:27" x14ac:dyDescent="0.25">
      <c r="A60461" s="8"/>
      <c r="B60461" s="8"/>
      <c r="C60461" s="99"/>
      <c r="D60461" s="8"/>
      <c r="E60461" s="8"/>
      <c r="F60461" s="8"/>
      <c r="G60461" s="8"/>
      <c r="H60461" s="8"/>
      <c r="I60461" s="102"/>
      <c r="J60461" s="8"/>
      <c r="K60461" s="8"/>
      <c r="L60461" s="8"/>
      <c r="M60461" s="8"/>
      <c r="N60461" s="8"/>
      <c r="O60461" s="8"/>
      <c r="P60461" s="8"/>
      <c r="Q60461" s="8"/>
      <c r="R60461" s="103"/>
      <c r="S60461" s="8"/>
      <c r="T60461" s="8"/>
      <c r="U60461" s="8"/>
      <c r="V60461" s="8"/>
      <c r="W60461" s="8"/>
      <c r="X60461" s="8"/>
      <c r="Y60461" s="8"/>
      <c r="Z60461" s="8"/>
      <c r="AA60461" s="8"/>
    </row>
    <row r="60462" spans="1:27" x14ac:dyDescent="0.25">
      <c r="A60462" s="8"/>
      <c r="B60462" s="8"/>
      <c r="C60462" s="99"/>
      <c r="D60462" s="8"/>
      <c r="E60462" s="8"/>
      <c r="F60462" s="8"/>
      <c r="G60462" s="8"/>
      <c r="H60462" s="8"/>
      <c r="I60462" s="102"/>
      <c r="J60462" s="8"/>
      <c r="K60462" s="8"/>
      <c r="L60462" s="8"/>
      <c r="M60462" s="8"/>
      <c r="N60462" s="8"/>
      <c r="O60462" s="8"/>
      <c r="P60462" s="8"/>
      <c r="Q60462" s="8"/>
      <c r="R60462" s="103"/>
      <c r="S60462" s="8"/>
      <c r="T60462" s="8"/>
      <c r="U60462" s="8"/>
      <c r="V60462" s="8"/>
      <c r="W60462" s="8"/>
      <c r="X60462" s="8"/>
      <c r="Y60462" s="8"/>
      <c r="Z60462" s="8"/>
      <c r="AA60462" s="8"/>
    </row>
    <row r="60463" spans="1:27" x14ac:dyDescent="0.25">
      <c r="A60463" s="8"/>
      <c r="B60463" s="8"/>
      <c r="C60463" s="99"/>
      <c r="D60463" s="8"/>
      <c r="E60463" s="8"/>
      <c r="F60463" s="8"/>
      <c r="G60463" s="8"/>
      <c r="H60463" s="8"/>
      <c r="I60463" s="102"/>
      <c r="J60463" s="8"/>
      <c r="K60463" s="8"/>
      <c r="L60463" s="8"/>
      <c r="M60463" s="8"/>
      <c r="N60463" s="8"/>
      <c r="O60463" s="8"/>
      <c r="P60463" s="8"/>
      <c r="Q60463" s="8"/>
      <c r="R60463" s="103"/>
      <c r="S60463" s="8"/>
      <c r="T60463" s="8"/>
      <c r="U60463" s="8"/>
      <c r="V60463" s="8"/>
      <c r="W60463" s="8"/>
      <c r="X60463" s="8"/>
      <c r="Y60463" s="8"/>
      <c r="Z60463" s="8"/>
      <c r="AA60463" s="8"/>
    </row>
    <row r="60464" spans="1:27" x14ac:dyDescent="0.25">
      <c r="A60464" s="8"/>
      <c r="B60464" s="8"/>
      <c r="C60464" s="99"/>
      <c r="D60464" s="8"/>
      <c r="E60464" s="8"/>
      <c r="F60464" s="8"/>
      <c r="G60464" s="8"/>
      <c r="H60464" s="8"/>
      <c r="I60464" s="102"/>
      <c r="J60464" s="8"/>
      <c r="K60464" s="8"/>
      <c r="L60464" s="8"/>
      <c r="M60464" s="8"/>
      <c r="N60464" s="8"/>
      <c r="O60464" s="8"/>
      <c r="P60464" s="8"/>
      <c r="Q60464" s="8"/>
      <c r="R60464" s="103"/>
      <c r="S60464" s="8"/>
      <c r="T60464" s="8"/>
      <c r="U60464" s="8"/>
      <c r="V60464" s="8"/>
      <c r="W60464" s="8"/>
      <c r="X60464" s="8"/>
      <c r="Y60464" s="8"/>
      <c r="Z60464" s="8"/>
      <c r="AA60464" s="8"/>
    </row>
    <row r="60465" spans="1:27" x14ac:dyDescent="0.25">
      <c r="A60465" s="8"/>
      <c r="B60465" s="8"/>
      <c r="C60465" s="99"/>
      <c r="D60465" s="8"/>
      <c r="E60465" s="8"/>
      <c r="F60465" s="8"/>
      <c r="G60465" s="8"/>
      <c r="H60465" s="8"/>
      <c r="I60465" s="102"/>
      <c r="J60465" s="8"/>
      <c r="K60465" s="8"/>
      <c r="L60465" s="8"/>
      <c r="M60465" s="8"/>
      <c r="N60465" s="8"/>
      <c r="O60465" s="8"/>
      <c r="P60465" s="8"/>
      <c r="Q60465" s="8"/>
      <c r="R60465" s="103"/>
      <c r="S60465" s="8"/>
      <c r="T60465" s="8"/>
      <c r="U60465" s="8"/>
      <c r="V60465" s="8"/>
      <c r="W60465" s="8"/>
      <c r="X60465" s="8"/>
      <c r="Y60465" s="8"/>
      <c r="Z60465" s="8"/>
      <c r="AA60465" s="8"/>
    </row>
    <row r="60466" spans="1:27" x14ac:dyDescent="0.25">
      <c r="A60466" s="8"/>
      <c r="B60466" s="8"/>
      <c r="C60466" s="99"/>
      <c r="D60466" s="8"/>
      <c r="E60466" s="8"/>
      <c r="F60466" s="8"/>
      <c r="G60466" s="8"/>
      <c r="H60466" s="8"/>
      <c r="I60466" s="102"/>
      <c r="J60466" s="8"/>
      <c r="K60466" s="8"/>
      <c r="L60466" s="8"/>
      <c r="M60466" s="8"/>
      <c r="N60466" s="8"/>
      <c r="O60466" s="8"/>
      <c r="P60466" s="8"/>
      <c r="Q60466" s="8"/>
      <c r="R60466" s="103"/>
      <c r="S60466" s="8"/>
      <c r="T60466" s="8"/>
      <c r="U60466" s="8"/>
      <c r="V60466" s="8"/>
      <c r="W60466" s="8"/>
      <c r="X60466" s="8"/>
      <c r="Y60466" s="8"/>
      <c r="Z60466" s="8"/>
      <c r="AA60466" s="8"/>
    </row>
    <row r="60467" spans="1:27" x14ac:dyDescent="0.25">
      <c r="A60467" s="8"/>
      <c r="B60467" s="8"/>
      <c r="C60467" s="99"/>
      <c r="D60467" s="8"/>
      <c r="E60467" s="8"/>
      <c r="F60467" s="8"/>
      <c r="G60467" s="8"/>
      <c r="H60467" s="8"/>
      <c r="I60467" s="102"/>
      <c r="J60467" s="8"/>
      <c r="K60467" s="8"/>
      <c r="L60467" s="8"/>
      <c r="M60467" s="8"/>
      <c r="N60467" s="8"/>
      <c r="O60467" s="8"/>
      <c r="P60467" s="8"/>
      <c r="Q60467" s="8"/>
      <c r="R60467" s="103"/>
      <c r="S60467" s="8"/>
      <c r="T60467" s="8"/>
      <c r="U60467" s="8"/>
      <c r="V60467" s="8"/>
      <c r="W60467" s="8"/>
      <c r="X60467" s="8"/>
      <c r="Y60467" s="8"/>
      <c r="Z60467" s="8"/>
      <c r="AA60467" s="8"/>
    </row>
    <row r="60468" spans="1:27" x14ac:dyDescent="0.25">
      <c r="A60468" s="8"/>
      <c r="B60468" s="8"/>
      <c r="C60468" s="99"/>
      <c r="D60468" s="8"/>
      <c r="E60468" s="8"/>
      <c r="F60468" s="8"/>
      <c r="G60468" s="8"/>
      <c r="H60468" s="8"/>
      <c r="I60468" s="102"/>
      <c r="J60468" s="8"/>
      <c r="K60468" s="8"/>
      <c r="L60468" s="8"/>
      <c r="M60468" s="8"/>
      <c r="N60468" s="8"/>
      <c r="O60468" s="8"/>
      <c r="P60468" s="8"/>
      <c r="Q60468" s="8"/>
      <c r="R60468" s="103"/>
      <c r="S60468" s="8"/>
      <c r="T60468" s="8"/>
      <c r="U60468" s="8"/>
      <c r="V60468" s="8"/>
      <c r="W60468" s="8"/>
      <c r="X60468" s="8"/>
      <c r="Y60468" s="8"/>
      <c r="Z60468" s="8"/>
      <c r="AA60468" s="8"/>
    </row>
    <row r="60469" spans="1:27" x14ac:dyDescent="0.25">
      <c r="A60469" s="8"/>
      <c r="B60469" s="8"/>
      <c r="C60469" s="99"/>
      <c r="D60469" s="8"/>
      <c r="E60469" s="8"/>
      <c r="F60469" s="8"/>
      <c r="G60469" s="8"/>
      <c r="H60469" s="8"/>
      <c r="I60469" s="102"/>
      <c r="J60469" s="8"/>
      <c r="K60469" s="8"/>
      <c r="L60469" s="8"/>
      <c r="M60469" s="8"/>
      <c r="N60469" s="8"/>
      <c r="O60469" s="8"/>
      <c r="P60469" s="8"/>
      <c r="Q60469" s="8"/>
      <c r="R60469" s="103"/>
      <c r="S60469" s="8"/>
      <c r="T60469" s="8"/>
      <c r="U60469" s="8"/>
      <c r="V60469" s="8"/>
      <c r="W60469" s="8"/>
      <c r="X60469" s="8"/>
      <c r="Y60469" s="8"/>
      <c r="Z60469" s="8"/>
      <c r="AA60469" s="8"/>
    </row>
    <row r="60470" spans="1:27" x14ac:dyDescent="0.25">
      <c r="A60470" s="8"/>
      <c r="B60470" s="8"/>
      <c r="C60470" s="99"/>
      <c r="D60470" s="8"/>
      <c r="E60470" s="8"/>
      <c r="F60470" s="8"/>
      <c r="G60470" s="8"/>
      <c r="H60470" s="8"/>
      <c r="I60470" s="102"/>
      <c r="J60470" s="8"/>
      <c r="K60470" s="8"/>
      <c r="L60470" s="8"/>
      <c r="M60470" s="8"/>
      <c r="N60470" s="8"/>
      <c r="O60470" s="8"/>
      <c r="P60470" s="8"/>
      <c r="Q60470" s="8"/>
      <c r="R60470" s="103"/>
      <c r="S60470" s="8"/>
      <c r="T60470" s="8"/>
      <c r="U60470" s="8"/>
      <c r="V60470" s="8"/>
      <c r="W60470" s="8"/>
      <c r="X60470" s="8"/>
      <c r="Y60470" s="8"/>
      <c r="Z60470" s="8"/>
      <c r="AA60470" s="8"/>
    </row>
    <row r="60471" spans="1:27" x14ac:dyDescent="0.25">
      <c r="A60471" s="8"/>
      <c r="B60471" s="8"/>
      <c r="C60471" s="99"/>
      <c r="D60471" s="8"/>
      <c r="E60471" s="8"/>
      <c r="F60471" s="8"/>
      <c r="G60471" s="8"/>
      <c r="H60471" s="8"/>
      <c r="I60471" s="102"/>
      <c r="J60471" s="8"/>
      <c r="K60471" s="8"/>
      <c r="L60471" s="8"/>
      <c r="M60471" s="8"/>
      <c r="N60471" s="8"/>
      <c r="O60471" s="8"/>
      <c r="P60471" s="8"/>
      <c r="Q60471" s="8"/>
      <c r="R60471" s="103"/>
      <c r="S60471" s="8"/>
      <c r="T60471" s="8"/>
      <c r="U60471" s="8"/>
      <c r="V60471" s="8"/>
      <c r="W60471" s="8"/>
      <c r="X60471" s="8"/>
      <c r="Y60471" s="8"/>
      <c r="Z60471" s="8"/>
      <c r="AA60471" s="8"/>
    </row>
    <row r="60472" spans="1:27" x14ac:dyDescent="0.25">
      <c r="A60472" s="8"/>
      <c r="B60472" s="8"/>
      <c r="C60472" s="99"/>
      <c r="D60472" s="8"/>
      <c r="E60472" s="8"/>
      <c r="F60472" s="8"/>
      <c r="G60472" s="8"/>
      <c r="H60472" s="8"/>
      <c r="I60472" s="102"/>
      <c r="J60472" s="8"/>
      <c r="K60472" s="8"/>
      <c r="L60472" s="8"/>
      <c r="M60472" s="8"/>
      <c r="N60472" s="8"/>
      <c r="O60472" s="8"/>
      <c r="P60472" s="8"/>
      <c r="Q60472" s="8"/>
      <c r="R60472" s="103"/>
      <c r="S60472" s="8"/>
      <c r="T60472" s="8"/>
      <c r="U60472" s="8"/>
      <c r="V60472" s="8"/>
      <c r="W60472" s="8"/>
      <c r="X60472" s="8"/>
      <c r="Y60472" s="8"/>
      <c r="Z60472" s="8"/>
      <c r="AA60472" s="8"/>
    </row>
    <row r="60473" spans="1:27" x14ac:dyDescent="0.25">
      <c r="A60473" s="8"/>
      <c r="B60473" s="8"/>
      <c r="C60473" s="99"/>
      <c r="D60473" s="8"/>
      <c r="E60473" s="8"/>
      <c r="F60473" s="8"/>
      <c r="G60473" s="8"/>
      <c r="H60473" s="8"/>
      <c r="I60473" s="102"/>
      <c r="J60473" s="8"/>
      <c r="K60473" s="8"/>
      <c r="L60473" s="8"/>
      <c r="M60473" s="8"/>
      <c r="N60473" s="8"/>
      <c r="O60473" s="8"/>
      <c r="P60473" s="8"/>
      <c r="Q60473" s="8"/>
      <c r="R60473" s="103"/>
      <c r="S60473" s="8"/>
      <c r="T60473" s="8"/>
      <c r="U60473" s="8"/>
      <c r="V60473" s="8"/>
      <c r="W60473" s="8"/>
      <c r="X60473" s="8"/>
      <c r="Y60473" s="8"/>
      <c r="Z60473" s="8"/>
      <c r="AA60473" s="8"/>
    </row>
    <row r="60474" spans="1:27" x14ac:dyDescent="0.25">
      <c r="A60474" s="8"/>
      <c r="B60474" s="8"/>
      <c r="C60474" s="99"/>
      <c r="D60474" s="8"/>
      <c r="E60474" s="8"/>
      <c r="F60474" s="8"/>
      <c r="G60474" s="8"/>
      <c r="H60474" s="8"/>
      <c r="I60474" s="102"/>
      <c r="J60474" s="8"/>
      <c r="K60474" s="8"/>
      <c r="L60474" s="8"/>
      <c r="M60474" s="8"/>
      <c r="N60474" s="8"/>
      <c r="O60474" s="8"/>
      <c r="P60474" s="8"/>
      <c r="Q60474" s="8"/>
      <c r="R60474" s="103"/>
      <c r="S60474" s="8"/>
      <c r="T60474" s="8"/>
      <c r="U60474" s="8"/>
      <c r="V60474" s="8"/>
      <c r="W60474" s="8"/>
      <c r="X60474" s="8"/>
      <c r="Y60474" s="8"/>
      <c r="Z60474" s="8"/>
      <c r="AA60474" s="8"/>
    </row>
    <row r="60475" spans="1:27" x14ac:dyDescent="0.25">
      <c r="A60475" s="8"/>
      <c r="B60475" s="8"/>
      <c r="C60475" s="99"/>
      <c r="D60475" s="8"/>
      <c r="E60475" s="8"/>
      <c r="F60475" s="8"/>
      <c r="G60475" s="8"/>
      <c r="H60475" s="8"/>
      <c r="I60475" s="102"/>
      <c r="J60475" s="8"/>
      <c r="K60475" s="8"/>
      <c r="L60475" s="8"/>
      <c r="M60475" s="8"/>
      <c r="N60475" s="8"/>
      <c r="O60475" s="8"/>
      <c r="P60475" s="8"/>
      <c r="Q60475" s="8"/>
      <c r="R60475" s="103"/>
      <c r="S60475" s="8"/>
      <c r="T60475" s="8"/>
      <c r="U60475" s="8"/>
      <c r="V60475" s="8"/>
      <c r="W60475" s="8"/>
      <c r="X60475" s="8"/>
      <c r="Y60475" s="8"/>
      <c r="Z60475" s="8"/>
      <c r="AA60475" s="8"/>
    </row>
    <row r="60476" spans="1:27" x14ac:dyDescent="0.25">
      <c r="A60476" s="8"/>
      <c r="B60476" s="8"/>
      <c r="C60476" s="99"/>
      <c r="D60476" s="8"/>
      <c r="E60476" s="8"/>
      <c r="F60476" s="8"/>
      <c r="G60476" s="8"/>
      <c r="H60476" s="8"/>
      <c r="I60476" s="102"/>
      <c r="J60476" s="8"/>
      <c r="K60476" s="8"/>
      <c r="L60476" s="8"/>
      <c r="M60476" s="8"/>
      <c r="N60476" s="8"/>
      <c r="O60476" s="8"/>
      <c r="P60476" s="8"/>
      <c r="Q60476" s="8"/>
      <c r="R60476" s="103"/>
      <c r="S60476" s="8"/>
      <c r="T60476" s="8"/>
      <c r="U60476" s="8"/>
      <c r="V60476" s="8"/>
      <c r="W60476" s="8"/>
      <c r="X60476" s="8"/>
      <c r="Y60476" s="8"/>
      <c r="Z60476" s="8"/>
      <c r="AA60476" s="8"/>
    </row>
    <row r="60477" spans="1:27" x14ac:dyDescent="0.25">
      <c r="A60477" s="8"/>
      <c r="B60477" s="8"/>
      <c r="C60477" s="99"/>
      <c r="D60477" s="8"/>
      <c r="E60477" s="8"/>
      <c r="F60477" s="8"/>
      <c r="G60477" s="8"/>
      <c r="H60477" s="8"/>
      <c r="I60477" s="102"/>
      <c r="J60477" s="8"/>
      <c r="K60477" s="8"/>
      <c r="L60477" s="8"/>
      <c r="M60477" s="8"/>
      <c r="N60477" s="8"/>
      <c r="O60477" s="8"/>
      <c r="P60477" s="8"/>
      <c r="Q60477" s="8"/>
      <c r="R60477" s="103"/>
      <c r="S60477" s="8"/>
      <c r="T60477" s="8"/>
      <c r="U60477" s="8"/>
      <c r="V60477" s="8"/>
      <c r="W60477" s="8"/>
      <c r="X60477" s="8"/>
      <c r="Y60477" s="8"/>
      <c r="Z60477" s="8"/>
      <c r="AA60477" s="8"/>
    </row>
    <row r="60478" spans="1:27" x14ac:dyDescent="0.25">
      <c r="A60478" s="8"/>
      <c r="B60478" s="8"/>
      <c r="C60478" s="99"/>
      <c r="D60478" s="8"/>
      <c r="E60478" s="8"/>
      <c r="F60478" s="8"/>
      <c r="G60478" s="8"/>
      <c r="H60478" s="8"/>
      <c r="I60478" s="102"/>
      <c r="J60478" s="8"/>
      <c r="K60478" s="8"/>
      <c r="L60478" s="8"/>
      <c r="M60478" s="8"/>
      <c r="N60478" s="8"/>
      <c r="O60478" s="8"/>
      <c r="P60478" s="8"/>
      <c r="Q60478" s="8"/>
      <c r="R60478" s="103"/>
      <c r="S60478" s="8"/>
      <c r="T60478" s="8"/>
      <c r="U60478" s="8"/>
      <c r="V60478" s="8"/>
      <c r="W60478" s="8"/>
      <c r="X60478" s="8"/>
      <c r="Y60478" s="8"/>
      <c r="Z60478" s="8"/>
      <c r="AA60478" s="8"/>
    </row>
    <row r="60479" spans="1:27" x14ac:dyDescent="0.25">
      <c r="A60479" s="8"/>
      <c r="B60479" s="8"/>
      <c r="C60479" s="99"/>
      <c r="D60479" s="8"/>
      <c r="E60479" s="8"/>
      <c r="F60479" s="8"/>
      <c r="G60479" s="8"/>
      <c r="H60479" s="8"/>
      <c r="I60479" s="102"/>
      <c r="J60479" s="8"/>
      <c r="K60479" s="8"/>
      <c r="L60479" s="8"/>
      <c r="M60479" s="8"/>
      <c r="N60479" s="8"/>
      <c r="O60479" s="8"/>
      <c r="P60479" s="8"/>
      <c r="Q60479" s="8"/>
      <c r="R60479" s="103"/>
      <c r="S60479" s="8"/>
      <c r="T60479" s="8"/>
      <c r="U60479" s="8"/>
      <c r="V60479" s="8"/>
      <c r="W60479" s="8"/>
      <c r="X60479" s="8"/>
      <c r="Y60479" s="8"/>
      <c r="Z60479" s="8"/>
      <c r="AA60479" s="8"/>
    </row>
    <row r="60480" spans="1:27" x14ac:dyDescent="0.25">
      <c r="A60480" s="8"/>
      <c r="B60480" s="8"/>
      <c r="C60480" s="99"/>
      <c r="D60480" s="8"/>
      <c r="E60480" s="8"/>
      <c r="F60480" s="8"/>
      <c r="G60480" s="8"/>
      <c r="H60480" s="8"/>
      <c r="I60480" s="102"/>
      <c r="J60480" s="8"/>
      <c r="K60480" s="8"/>
      <c r="L60480" s="8"/>
      <c r="M60480" s="8"/>
      <c r="N60480" s="8"/>
      <c r="O60480" s="8"/>
      <c r="P60480" s="8"/>
      <c r="Q60480" s="8"/>
      <c r="R60480" s="103"/>
      <c r="S60480" s="8"/>
      <c r="T60480" s="8"/>
      <c r="U60480" s="8"/>
      <c r="V60480" s="8"/>
      <c r="W60480" s="8"/>
      <c r="X60480" s="8"/>
      <c r="Y60480" s="8"/>
      <c r="Z60480" s="8"/>
      <c r="AA60480" s="8"/>
    </row>
    <row r="60481" spans="1:27" x14ac:dyDescent="0.25">
      <c r="A60481" s="8"/>
      <c r="B60481" s="8"/>
      <c r="C60481" s="99"/>
      <c r="D60481" s="8"/>
      <c r="E60481" s="8"/>
      <c r="F60481" s="8"/>
      <c r="G60481" s="8"/>
      <c r="H60481" s="8"/>
      <c r="I60481" s="102"/>
      <c r="J60481" s="8"/>
      <c r="K60481" s="8"/>
      <c r="L60481" s="8"/>
      <c r="M60481" s="8"/>
      <c r="N60481" s="8"/>
      <c r="O60481" s="8"/>
      <c r="P60481" s="8"/>
      <c r="Q60481" s="8"/>
      <c r="R60481" s="103"/>
      <c r="S60481" s="8"/>
      <c r="T60481" s="8"/>
      <c r="U60481" s="8"/>
      <c r="V60481" s="8"/>
      <c r="W60481" s="8"/>
      <c r="X60481" s="8"/>
      <c r="Y60481" s="8"/>
      <c r="Z60481" s="8"/>
      <c r="AA60481" s="8"/>
    </row>
    <row r="60482" spans="1:27" x14ac:dyDescent="0.25">
      <c r="A60482" s="8"/>
      <c r="B60482" s="8"/>
      <c r="C60482" s="99"/>
      <c r="D60482" s="8"/>
      <c r="E60482" s="8"/>
      <c r="F60482" s="8"/>
      <c r="G60482" s="8"/>
      <c r="H60482" s="8"/>
      <c r="I60482" s="102"/>
      <c r="J60482" s="8"/>
      <c r="K60482" s="8"/>
      <c r="L60482" s="8"/>
      <c r="M60482" s="8"/>
      <c r="N60482" s="8"/>
      <c r="O60482" s="8"/>
      <c r="P60482" s="8"/>
      <c r="Q60482" s="8"/>
      <c r="R60482" s="103"/>
      <c r="S60482" s="8"/>
      <c r="T60482" s="8"/>
      <c r="U60482" s="8"/>
      <c r="V60482" s="8"/>
      <c r="W60482" s="8"/>
      <c r="X60482" s="8"/>
      <c r="Y60482" s="8"/>
      <c r="Z60482" s="8"/>
      <c r="AA60482" s="8"/>
    </row>
    <row r="60483" spans="1:27" x14ac:dyDescent="0.25">
      <c r="A60483" s="8"/>
      <c r="B60483" s="8"/>
      <c r="C60483" s="99"/>
      <c r="D60483" s="8"/>
      <c r="E60483" s="8"/>
      <c r="F60483" s="8"/>
      <c r="G60483" s="8"/>
      <c r="H60483" s="8"/>
      <c r="I60483" s="102"/>
      <c r="J60483" s="8"/>
      <c r="K60483" s="8"/>
      <c r="L60483" s="8"/>
      <c r="M60483" s="8"/>
      <c r="N60483" s="8"/>
      <c r="O60483" s="8"/>
      <c r="P60483" s="8"/>
      <c r="Q60483" s="8"/>
      <c r="R60483" s="103"/>
      <c r="S60483" s="8"/>
      <c r="T60483" s="8"/>
      <c r="U60483" s="8"/>
      <c r="V60483" s="8"/>
      <c r="W60483" s="8"/>
      <c r="X60483" s="8"/>
      <c r="Y60483" s="8"/>
      <c r="Z60483" s="8"/>
      <c r="AA60483" s="8"/>
    </row>
    <row r="60484" spans="1:27" x14ac:dyDescent="0.25">
      <c r="A60484" s="8"/>
      <c r="B60484" s="8"/>
      <c r="C60484" s="99"/>
      <c r="D60484" s="8"/>
      <c r="E60484" s="8"/>
      <c r="F60484" s="8"/>
      <c r="G60484" s="8"/>
      <c r="H60484" s="8"/>
      <c r="I60484" s="102"/>
      <c r="J60484" s="8"/>
      <c r="K60484" s="8"/>
      <c r="L60484" s="8"/>
      <c r="M60484" s="8"/>
      <c r="N60484" s="8"/>
      <c r="O60484" s="8"/>
      <c r="P60484" s="8"/>
      <c r="Q60484" s="8"/>
      <c r="R60484" s="103"/>
      <c r="S60484" s="8"/>
      <c r="T60484" s="8"/>
      <c r="U60484" s="8"/>
      <c r="V60484" s="8"/>
      <c r="W60484" s="8"/>
      <c r="X60484" s="8"/>
      <c r="Y60484" s="8"/>
      <c r="Z60484" s="8"/>
      <c r="AA60484" s="8"/>
    </row>
    <row r="60485" spans="1:27" x14ac:dyDescent="0.25">
      <c r="A60485" s="8"/>
      <c r="B60485" s="8"/>
      <c r="C60485" s="99"/>
      <c r="D60485" s="8"/>
      <c r="E60485" s="8"/>
      <c r="F60485" s="8"/>
      <c r="G60485" s="8"/>
      <c r="H60485" s="8"/>
      <c r="I60485" s="102"/>
      <c r="J60485" s="8"/>
      <c r="K60485" s="8"/>
      <c r="L60485" s="8"/>
      <c r="M60485" s="8"/>
      <c r="N60485" s="8"/>
      <c r="O60485" s="8"/>
      <c r="P60485" s="8"/>
      <c r="Q60485" s="8"/>
      <c r="R60485" s="103"/>
      <c r="S60485" s="8"/>
      <c r="T60485" s="8"/>
      <c r="U60485" s="8"/>
      <c r="V60485" s="8"/>
      <c r="W60485" s="8"/>
      <c r="X60485" s="8"/>
      <c r="Y60485" s="8"/>
      <c r="Z60485" s="8"/>
      <c r="AA60485" s="8"/>
    </row>
    <row r="60486" spans="1:27" x14ac:dyDescent="0.25">
      <c r="A60486" s="8"/>
      <c r="B60486" s="8"/>
      <c r="C60486" s="99"/>
      <c r="D60486" s="8"/>
      <c r="E60486" s="8"/>
      <c r="F60486" s="8"/>
      <c r="G60486" s="8"/>
      <c r="H60486" s="8"/>
      <c r="I60486" s="102"/>
      <c r="J60486" s="8"/>
      <c r="K60486" s="8"/>
      <c r="L60486" s="8"/>
      <c r="M60486" s="8"/>
      <c r="N60486" s="8"/>
      <c r="O60486" s="8"/>
      <c r="P60486" s="8"/>
      <c r="Q60486" s="8"/>
      <c r="R60486" s="103"/>
      <c r="S60486" s="8"/>
      <c r="T60486" s="8"/>
      <c r="U60486" s="8"/>
      <c r="V60486" s="8"/>
      <c r="W60486" s="8"/>
      <c r="X60486" s="8"/>
      <c r="Y60486" s="8"/>
      <c r="Z60486" s="8"/>
      <c r="AA60486" s="8"/>
    </row>
    <row r="60487" spans="1:27" x14ac:dyDescent="0.25">
      <c r="A60487" s="8"/>
      <c r="B60487" s="8"/>
      <c r="C60487" s="99"/>
      <c r="D60487" s="8"/>
      <c r="E60487" s="8"/>
      <c r="F60487" s="8"/>
      <c r="G60487" s="8"/>
      <c r="H60487" s="8"/>
      <c r="I60487" s="102"/>
      <c r="J60487" s="8"/>
      <c r="K60487" s="8"/>
      <c r="L60487" s="8"/>
      <c r="M60487" s="8"/>
      <c r="N60487" s="8"/>
      <c r="O60487" s="8"/>
      <c r="P60487" s="8"/>
      <c r="Q60487" s="8"/>
      <c r="R60487" s="103"/>
      <c r="S60487" s="8"/>
      <c r="T60487" s="8"/>
      <c r="U60487" s="8"/>
      <c r="V60487" s="8"/>
      <c r="W60487" s="8"/>
      <c r="X60487" s="8"/>
      <c r="Y60487" s="8"/>
      <c r="Z60487" s="8"/>
      <c r="AA60487" s="8"/>
    </row>
    <row r="60488" spans="1:27" x14ac:dyDescent="0.25">
      <c r="A60488" s="8"/>
      <c r="B60488" s="8"/>
      <c r="C60488" s="99"/>
      <c r="D60488" s="8"/>
      <c r="E60488" s="8"/>
      <c r="F60488" s="8"/>
      <c r="G60488" s="8"/>
      <c r="H60488" s="8"/>
      <c r="I60488" s="102"/>
      <c r="J60488" s="8"/>
      <c r="K60488" s="8"/>
      <c r="L60488" s="8"/>
      <c r="M60488" s="8"/>
      <c r="N60488" s="8"/>
      <c r="O60488" s="8"/>
      <c r="P60488" s="8"/>
      <c r="Q60488" s="8"/>
      <c r="R60488" s="103"/>
      <c r="S60488" s="8"/>
      <c r="T60488" s="8"/>
      <c r="U60488" s="8"/>
      <c r="V60488" s="8"/>
      <c r="W60488" s="8"/>
      <c r="X60488" s="8"/>
      <c r="Y60488" s="8"/>
      <c r="Z60488" s="8"/>
      <c r="AA60488" s="8"/>
    </row>
    <row r="60489" spans="1:27" x14ac:dyDescent="0.25">
      <c r="A60489" s="8"/>
      <c r="B60489" s="8"/>
      <c r="C60489" s="99"/>
      <c r="D60489" s="8"/>
      <c r="E60489" s="8"/>
      <c r="F60489" s="8"/>
      <c r="G60489" s="8"/>
      <c r="H60489" s="8"/>
      <c r="I60489" s="102"/>
      <c r="J60489" s="8"/>
      <c r="K60489" s="8"/>
      <c r="L60489" s="8"/>
      <c r="M60489" s="8"/>
      <c r="N60489" s="8"/>
      <c r="O60489" s="8"/>
      <c r="P60489" s="8"/>
      <c r="Q60489" s="8"/>
      <c r="R60489" s="103"/>
      <c r="S60489" s="8"/>
      <c r="T60489" s="8"/>
      <c r="U60489" s="8"/>
      <c r="V60489" s="8"/>
      <c r="W60489" s="8"/>
      <c r="X60489" s="8"/>
      <c r="Y60489" s="8"/>
      <c r="Z60489" s="8"/>
      <c r="AA60489" s="8"/>
    </row>
    <row r="60490" spans="1:27" x14ac:dyDescent="0.25">
      <c r="A60490" s="8"/>
      <c r="B60490" s="8"/>
      <c r="C60490" s="99"/>
      <c r="D60490" s="8"/>
      <c r="E60490" s="8"/>
      <c r="F60490" s="8"/>
      <c r="G60490" s="8"/>
      <c r="H60490" s="8"/>
      <c r="I60490" s="102"/>
      <c r="J60490" s="8"/>
      <c r="K60490" s="8"/>
      <c r="L60490" s="8"/>
      <c r="M60490" s="8"/>
      <c r="N60490" s="8"/>
      <c r="O60490" s="8"/>
      <c r="P60490" s="8"/>
      <c r="Q60490" s="8"/>
      <c r="R60490" s="103"/>
      <c r="S60490" s="8"/>
      <c r="T60490" s="8"/>
      <c r="U60490" s="8"/>
      <c r="V60490" s="8"/>
      <c r="W60490" s="8"/>
      <c r="X60490" s="8"/>
      <c r="Y60490" s="8"/>
      <c r="Z60490" s="8"/>
      <c r="AA60490" s="8"/>
    </row>
    <row r="60491" spans="1:27" x14ac:dyDescent="0.25">
      <c r="A60491" s="8"/>
      <c r="B60491" s="8"/>
      <c r="C60491" s="99"/>
      <c r="D60491" s="8"/>
      <c r="E60491" s="8"/>
      <c r="F60491" s="8"/>
      <c r="G60491" s="8"/>
      <c r="H60491" s="8"/>
      <c r="I60491" s="102"/>
      <c r="J60491" s="8"/>
      <c r="K60491" s="8"/>
      <c r="L60491" s="8"/>
      <c r="M60491" s="8"/>
      <c r="N60491" s="8"/>
      <c r="O60491" s="8"/>
      <c r="P60491" s="8"/>
      <c r="Q60491" s="8"/>
      <c r="R60491" s="103"/>
      <c r="S60491" s="8"/>
      <c r="T60491" s="8"/>
      <c r="U60491" s="8"/>
      <c r="V60491" s="8"/>
      <c r="W60491" s="8"/>
      <c r="X60491" s="8"/>
      <c r="Y60491" s="8"/>
      <c r="Z60491" s="8"/>
      <c r="AA60491" s="8"/>
    </row>
    <row r="60492" spans="1:27" x14ac:dyDescent="0.25">
      <c r="A60492" s="8"/>
      <c r="B60492" s="8"/>
      <c r="C60492" s="99"/>
      <c r="D60492" s="8"/>
      <c r="E60492" s="8"/>
      <c r="F60492" s="8"/>
      <c r="G60492" s="8"/>
      <c r="H60492" s="8"/>
      <c r="I60492" s="102"/>
      <c r="J60492" s="8"/>
      <c r="K60492" s="8"/>
      <c r="L60492" s="8"/>
      <c r="M60492" s="8"/>
      <c r="N60492" s="8"/>
      <c r="O60492" s="8"/>
      <c r="P60492" s="8"/>
      <c r="Q60492" s="8"/>
      <c r="R60492" s="103"/>
      <c r="S60492" s="8"/>
      <c r="T60492" s="8"/>
      <c r="U60492" s="8"/>
      <c r="V60492" s="8"/>
      <c r="W60492" s="8"/>
      <c r="X60492" s="8"/>
      <c r="Y60492" s="8"/>
      <c r="Z60492" s="8"/>
      <c r="AA60492" s="8"/>
    </row>
    <row r="60493" spans="1:27" x14ac:dyDescent="0.25">
      <c r="A60493" s="8"/>
      <c r="B60493" s="8"/>
      <c r="C60493" s="99"/>
      <c r="D60493" s="8"/>
      <c r="E60493" s="8"/>
      <c r="F60493" s="8"/>
      <c r="G60493" s="8"/>
      <c r="H60493" s="8"/>
      <c r="I60493" s="102"/>
      <c r="J60493" s="8"/>
      <c r="K60493" s="8"/>
      <c r="L60493" s="8"/>
      <c r="M60493" s="8"/>
      <c r="N60493" s="8"/>
      <c r="O60493" s="8"/>
      <c r="P60493" s="8"/>
      <c r="Q60493" s="8"/>
      <c r="R60493" s="103"/>
      <c r="S60493" s="8"/>
      <c r="T60493" s="8"/>
      <c r="U60493" s="8"/>
      <c r="V60493" s="8"/>
      <c r="W60493" s="8"/>
      <c r="X60493" s="8"/>
      <c r="Y60493" s="8"/>
      <c r="Z60493" s="8"/>
      <c r="AA60493" s="8"/>
    </row>
    <row r="60494" spans="1:27" x14ac:dyDescent="0.25">
      <c r="A60494" s="8"/>
      <c r="B60494" s="8"/>
      <c r="C60494" s="99"/>
      <c r="D60494" s="8"/>
      <c r="E60494" s="8"/>
      <c r="F60494" s="8"/>
      <c r="G60494" s="8"/>
      <c r="H60494" s="8"/>
      <c r="I60494" s="102"/>
      <c r="J60494" s="8"/>
      <c r="K60494" s="8"/>
      <c r="L60494" s="8"/>
      <c r="M60494" s="8"/>
      <c r="N60494" s="8"/>
      <c r="O60494" s="8"/>
      <c r="P60494" s="8"/>
      <c r="Q60494" s="8"/>
      <c r="R60494" s="103"/>
      <c r="S60494" s="8"/>
      <c r="T60494" s="8"/>
      <c r="U60494" s="8"/>
      <c r="V60494" s="8"/>
      <c r="W60494" s="8"/>
      <c r="X60494" s="8"/>
      <c r="Y60494" s="8"/>
      <c r="Z60494" s="8"/>
      <c r="AA60494" s="8"/>
    </row>
    <row r="60495" spans="1:27" x14ac:dyDescent="0.25">
      <c r="A60495" s="8"/>
      <c r="B60495" s="8"/>
      <c r="C60495" s="99"/>
      <c r="D60495" s="8"/>
      <c r="E60495" s="8"/>
      <c r="F60495" s="8"/>
      <c r="G60495" s="8"/>
      <c r="H60495" s="8"/>
      <c r="I60495" s="102"/>
      <c r="J60495" s="8"/>
      <c r="K60495" s="8"/>
      <c r="L60495" s="8"/>
      <c r="M60495" s="8"/>
      <c r="N60495" s="8"/>
      <c r="O60495" s="8"/>
      <c r="P60495" s="8"/>
      <c r="Q60495" s="8"/>
      <c r="R60495" s="103"/>
      <c r="S60495" s="8"/>
      <c r="T60495" s="8"/>
      <c r="U60495" s="8"/>
      <c r="V60495" s="8"/>
      <c r="W60495" s="8"/>
      <c r="X60495" s="8"/>
      <c r="Y60495" s="8"/>
      <c r="Z60495" s="8"/>
      <c r="AA60495" s="8"/>
    </row>
    <row r="60496" spans="1:27" x14ac:dyDescent="0.25">
      <c r="A60496" s="8"/>
      <c r="B60496" s="8"/>
      <c r="C60496" s="99"/>
      <c r="D60496" s="8"/>
      <c r="E60496" s="8"/>
      <c r="F60496" s="8"/>
      <c r="G60496" s="8"/>
      <c r="H60496" s="8"/>
      <c r="I60496" s="102"/>
      <c r="J60496" s="8"/>
      <c r="K60496" s="8"/>
      <c r="L60496" s="8"/>
      <c r="M60496" s="8"/>
      <c r="N60496" s="8"/>
      <c r="O60496" s="8"/>
      <c r="P60496" s="8"/>
      <c r="Q60496" s="8"/>
      <c r="R60496" s="103"/>
      <c r="S60496" s="8"/>
      <c r="T60496" s="8"/>
      <c r="U60496" s="8"/>
      <c r="V60496" s="8"/>
      <c r="W60496" s="8"/>
      <c r="X60496" s="8"/>
      <c r="Y60496" s="8"/>
      <c r="Z60496" s="8"/>
      <c r="AA60496" s="8"/>
    </row>
    <row r="60497" spans="1:27" x14ac:dyDescent="0.25">
      <c r="A60497" s="8"/>
      <c r="B60497" s="8"/>
      <c r="C60497" s="99"/>
      <c r="D60497" s="8"/>
      <c r="E60497" s="8"/>
      <c r="F60497" s="8"/>
      <c r="G60497" s="8"/>
      <c r="H60497" s="8"/>
      <c r="I60497" s="102"/>
      <c r="J60497" s="8"/>
      <c r="K60497" s="8"/>
      <c r="L60497" s="8"/>
      <c r="M60497" s="8"/>
      <c r="N60497" s="8"/>
      <c r="O60497" s="8"/>
      <c r="P60497" s="8"/>
      <c r="Q60497" s="8"/>
      <c r="R60497" s="103"/>
      <c r="S60497" s="8"/>
      <c r="T60497" s="8"/>
      <c r="U60497" s="8"/>
      <c r="V60497" s="8"/>
      <c r="W60497" s="8"/>
      <c r="X60497" s="8"/>
      <c r="Y60497" s="8"/>
      <c r="Z60497" s="8"/>
      <c r="AA60497" s="8"/>
    </row>
    <row r="60498" spans="1:27" x14ac:dyDescent="0.25">
      <c r="A60498" s="8"/>
      <c r="B60498" s="8"/>
      <c r="C60498" s="99"/>
      <c r="D60498" s="8"/>
      <c r="E60498" s="8"/>
      <c r="F60498" s="8"/>
      <c r="G60498" s="8"/>
      <c r="H60498" s="8"/>
      <c r="I60498" s="102"/>
      <c r="J60498" s="8"/>
      <c r="K60498" s="8"/>
      <c r="L60498" s="8"/>
      <c r="M60498" s="8"/>
      <c r="N60498" s="8"/>
      <c r="O60498" s="8"/>
      <c r="P60498" s="8"/>
      <c r="Q60498" s="8"/>
      <c r="R60498" s="103"/>
      <c r="S60498" s="8"/>
      <c r="T60498" s="8"/>
      <c r="U60498" s="8"/>
      <c r="V60498" s="8"/>
      <c r="W60498" s="8"/>
      <c r="X60498" s="8"/>
      <c r="Y60498" s="8"/>
      <c r="Z60498" s="8"/>
      <c r="AA60498" s="8"/>
    </row>
    <row r="60499" spans="1:27" x14ac:dyDescent="0.25">
      <c r="A60499" s="8"/>
      <c r="B60499" s="8"/>
      <c r="C60499" s="99"/>
      <c r="D60499" s="8"/>
      <c r="E60499" s="8"/>
      <c r="F60499" s="8"/>
      <c r="G60499" s="8"/>
      <c r="H60499" s="8"/>
      <c r="I60499" s="102"/>
      <c r="J60499" s="8"/>
      <c r="K60499" s="8"/>
      <c r="L60499" s="8"/>
      <c r="M60499" s="8"/>
      <c r="N60499" s="8"/>
      <c r="O60499" s="8"/>
      <c r="P60499" s="8"/>
      <c r="Q60499" s="8"/>
      <c r="R60499" s="103"/>
      <c r="S60499" s="8"/>
      <c r="T60499" s="8"/>
      <c r="U60499" s="8"/>
      <c r="V60499" s="8"/>
      <c r="W60499" s="8"/>
      <c r="X60499" s="8"/>
      <c r="Y60499" s="8"/>
      <c r="Z60499" s="8"/>
      <c r="AA60499" s="8"/>
    </row>
    <row r="60500" spans="1:27" x14ac:dyDescent="0.25">
      <c r="A60500" s="8"/>
      <c r="B60500" s="8"/>
      <c r="C60500" s="99"/>
      <c r="D60500" s="8"/>
      <c r="E60500" s="8"/>
      <c r="F60500" s="8"/>
      <c r="G60500" s="8"/>
      <c r="H60500" s="8"/>
      <c r="I60500" s="102"/>
      <c r="J60500" s="8"/>
      <c r="K60500" s="8"/>
      <c r="L60500" s="8"/>
      <c r="M60500" s="8"/>
      <c r="N60500" s="8"/>
      <c r="O60500" s="8"/>
      <c r="P60500" s="8"/>
      <c r="Q60500" s="8"/>
      <c r="R60500" s="103"/>
      <c r="S60500" s="8"/>
      <c r="T60500" s="8"/>
      <c r="U60500" s="8"/>
      <c r="V60500" s="8"/>
      <c r="W60500" s="8"/>
      <c r="X60500" s="8"/>
      <c r="Y60500" s="8"/>
      <c r="Z60500" s="8"/>
      <c r="AA60500" s="8"/>
    </row>
    <row r="60501" spans="1:27" x14ac:dyDescent="0.25">
      <c r="A60501" s="8"/>
      <c r="B60501" s="8"/>
      <c r="C60501" s="99"/>
      <c r="D60501" s="8"/>
      <c r="E60501" s="8"/>
      <c r="F60501" s="8"/>
      <c r="G60501" s="8"/>
      <c r="H60501" s="8"/>
      <c r="I60501" s="102"/>
      <c r="J60501" s="8"/>
      <c r="K60501" s="8"/>
      <c r="L60501" s="8"/>
      <c r="M60501" s="8"/>
      <c r="N60501" s="8"/>
      <c r="O60501" s="8"/>
      <c r="P60501" s="8"/>
      <c r="Q60501" s="8"/>
      <c r="R60501" s="103"/>
      <c r="S60501" s="8"/>
      <c r="T60501" s="8"/>
      <c r="U60501" s="8"/>
      <c r="V60501" s="8"/>
      <c r="W60501" s="8"/>
      <c r="X60501" s="8"/>
      <c r="Y60501" s="8"/>
      <c r="Z60501" s="8"/>
      <c r="AA60501" s="8"/>
    </row>
    <row r="60502" spans="1:27" x14ac:dyDescent="0.25">
      <c r="A60502" s="8"/>
      <c r="B60502" s="8"/>
      <c r="C60502" s="99"/>
      <c r="D60502" s="8"/>
      <c r="E60502" s="8"/>
      <c r="F60502" s="8"/>
      <c r="G60502" s="8"/>
      <c r="H60502" s="8"/>
      <c r="I60502" s="102"/>
      <c r="J60502" s="8"/>
      <c r="K60502" s="8"/>
      <c r="L60502" s="8"/>
      <c r="M60502" s="8"/>
      <c r="N60502" s="8"/>
      <c r="O60502" s="8"/>
      <c r="P60502" s="8"/>
      <c r="Q60502" s="8"/>
      <c r="R60502" s="103"/>
      <c r="S60502" s="8"/>
      <c r="T60502" s="8"/>
      <c r="U60502" s="8"/>
      <c r="V60502" s="8"/>
      <c r="W60502" s="8"/>
      <c r="X60502" s="8"/>
      <c r="Y60502" s="8"/>
      <c r="Z60502" s="8"/>
      <c r="AA60502" s="8"/>
    </row>
    <row r="60503" spans="1:27" x14ac:dyDescent="0.25">
      <c r="A60503" s="8"/>
      <c r="B60503" s="8"/>
      <c r="C60503" s="99"/>
      <c r="D60503" s="8"/>
      <c r="E60503" s="8"/>
      <c r="F60503" s="8"/>
      <c r="G60503" s="8"/>
      <c r="H60503" s="8"/>
      <c r="I60503" s="102"/>
      <c r="J60503" s="8"/>
      <c r="K60503" s="8"/>
      <c r="L60503" s="8"/>
      <c r="M60503" s="8"/>
      <c r="N60503" s="8"/>
      <c r="O60503" s="8"/>
      <c r="P60503" s="8"/>
      <c r="Q60503" s="8"/>
      <c r="R60503" s="103"/>
      <c r="S60503" s="8"/>
      <c r="T60503" s="8"/>
      <c r="U60503" s="8"/>
      <c r="V60503" s="8"/>
      <c r="W60503" s="8"/>
      <c r="X60503" s="8"/>
      <c r="Y60503" s="8"/>
      <c r="Z60503" s="8"/>
      <c r="AA60503" s="8"/>
    </row>
    <row r="60504" spans="1:27" x14ac:dyDescent="0.25">
      <c r="A60504" s="8"/>
      <c r="B60504" s="8"/>
      <c r="C60504" s="99"/>
      <c r="D60504" s="8"/>
      <c r="E60504" s="8"/>
      <c r="F60504" s="8"/>
      <c r="G60504" s="8"/>
      <c r="H60504" s="8"/>
      <c r="I60504" s="102"/>
      <c r="J60504" s="8"/>
      <c r="K60504" s="8"/>
      <c r="L60504" s="8"/>
      <c r="M60504" s="8"/>
      <c r="N60504" s="8"/>
      <c r="O60504" s="8"/>
      <c r="P60504" s="8"/>
      <c r="Q60504" s="8"/>
      <c r="R60504" s="103"/>
      <c r="S60504" s="8"/>
      <c r="T60504" s="8"/>
      <c r="U60504" s="8"/>
      <c r="V60504" s="8"/>
      <c r="W60504" s="8"/>
      <c r="X60504" s="8"/>
      <c r="Y60504" s="8"/>
      <c r="Z60504" s="8"/>
      <c r="AA60504" s="8"/>
    </row>
    <row r="60505" spans="1:27" x14ac:dyDescent="0.25">
      <c r="A60505" s="8"/>
      <c r="B60505" s="8"/>
      <c r="C60505" s="99"/>
      <c r="D60505" s="8"/>
      <c r="E60505" s="8"/>
      <c r="F60505" s="8"/>
      <c r="G60505" s="8"/>
      <c r="H60505" s="8"/>
      <c r="I60505" s="102"/>
      <c r="J60505" s="8"/>
      <c r="K60505" s="8"/>
      <c r="L60505" s="8"/>
      <c r="M60505" s="8"/>
      <c r="N60505" s="8"/>
      <c r="O60505" s="8"/>
      <c r="P60505" s="8"/>
      <c r="Q60505" s="8"/>
      <c r="R60505" s="103"/>
      <c r="S60505" s="8"/>
      <c r="T60505" s="8"/>
      <c r="U60505" s="8"/>
      <c r="V60505" s="8"/>
      <c r="W60505" s="8"/>
      <c r="X60505" s="8"/>
      <c r="Y60505" s="8"/>
      <c r="Z60505" s="8"/>
      <c r="AA60505" s="8"/>
    </row>
    <row r="60506" spans="1:27" x14ac:dyDescent="0.25">
      <c r="A60506" s="8"/>
      <c r="B60506" s="8"/>
      <c r="C60506" s="99"/>
      <c r="D60506" s="8"/>
      <c r="E60506" s="8"/>
      <c r="F60506" s="8"/>
      <c r="G60506" s="8"/>
      <c r="H60506" s="8"/>
      <c r="I60506" s="102"/>
      <c r="J60506" s="8"/>
      <c r="K60506" s="8"/>
      <c r="L60506" s="8"/>
      <c r="M60506" s="8"/>
      <c r="N60506" s="8"/>
      <c r="O60506" s="8"/>
      <c r="P60506" s="8"/>
      <c r="Q60506" s="8"/>
      <c r="R60506" s="103"/>
      <c r="S60506" s="8"/>
      <c r="T60506" s="8"/>
      <c r="U60506" s="8"/>
      <c r="V60506" s="8"/>
      <c r="W60506" s="8"/>
      <c r="X60506" s="8"/>
      <c r="Y60506" s="8"/>
      <c r="Z60506" s="8"/>
      <c r="AA60506" s="8"/>
    </row>
    <row r="60507" spans="1:27" x14ac:dyDescent="0.25">
      <c r="A60507" s="8"/>
      <c r="B60507" s="8"/>
      <c r="C60507" s="99"/>
      <c r="D60507" s="8"/>
      <c r="E60507" s="8"/>
      <c r="F60507" s="8"/>
      <c r="G60507" s="8"/>
      <c r="H60507" s="8"/>
      <c r="I60507" s="102"/>
      <c r="J60507" s="8"/>
      <c r="K60507" s="8"/>
      <c r="L60507" s="8"/>
      <c r="M60507" s="8"/>
      <c r="N60507" s="8"/>
      <c r="O60507" s="8"/>
      <c r="P60507" s="8"/>
      <c r="Q60507" s="8"/>
      <c r="R60507" s="103"/>
      <c r="S60507" s="8"/>
      <c r="T60507" s="8"/>
      <c r="U60507" s="8"/>
      <c r="V60507" s="8"/>
      <c r="W60507" s="8"/>
      <c r="X60507" s="8"/>
      <c r="Y60507" s="8"/>
      <c r="Z60507" s="8"/>
      <c r="AA60507" s="8"/>
    </row>
    <row r="60508" spans="1:27" x14ac:dyDescent="0.25">
      <c r="A60508" s="8"/>
      <c r="B60508" s="8"/>
      <c r="C60508" s="99"/>
      <c r="D60508" s="8"/>
      <c r="E60508" s="8"/>
      <c r="F60508" s="8"/>
      <c r="G60508" s="8"/>
      <c r="H60508" s="8"/>
      <c r="I60508" s="102"/>
      <c r="J60508" s="8"/>
      <c r="K60508" s="8"/>
      <c r="L60508" s="8"/>
      <c r="M60508" s="8"/>
      <c r="N60508" s="8"/>
      <c r="O60508" s="8"/>
      <c r="P60508" s="8"/>
      <c r="Q60508" s="8"/>
      <c r="R60508" s="103"/>
      <c r="S60508" s="8"/>
      <c r="T60508" s="8"/>
      <c r="U60508" s="8"/>
      <c r="V60508" s="8"/>
      <c r="W60508" s="8"/>
      <c r="X60508" s="8"/>
      <c r="Y60508" s="8"/>
      <c r="Z60508" s="8"/>
      <c r="AA60508" s="8"/>
    </row>
    <row r="60509" spans="1:27" x14ac:dyDescent="0.25">
      <c r="A60509" s="8"/>
      <c r="B60509" s="8"/>
      <c r="C60509" s="99"/>
      <c r="D60509" s="8"/>
      <c r="E60509" s="8"/>
      <c r="F60509" s="8"/>
      <c r="G60509" s="8"/>
      <c r="H60509" s="8"/>
      <c r="I60509" s="102"/>
      <c r="J60509" s="8"/>
      <c r="K60509" s="8"/>
      <c r="L60509" s="8"/>
      <c r="M60509" s="8"/>
      <c r="N60509" s="8"/>
      <c r="O60509" s="8"/>
      <c r="P60509" s="8"/>
      <c r="Q60509" s="8"/>
      <c r="R60509" s="103"/>
      <c r="S60509" s="8"/>
      <c r="T60509" s="8"/>
      <c r="U60509" s="8"/>
      <c r="V60509" s="8"/>
      <c r="W60509" s="8"/>
      <c r="X60509" s="8"/>
      <c r="Y60509" s="8"/>
      <c r="Z60509" s="8"/>
      <c r="AA60509" s="8"/>
    </row>
    <row r="60510" spans="1:27" x14ac:dyDescent="0.25">
      <c r="A60510" s="8"/>
      <c r="B60510" s="8"/>
      <c r="C60510" s="99"/>
      <c r="D60510" s="8"/>
      <c r="E60510" s="8"/>
      <c r="F60510" s="8"/>
      <c r="G60510" s="8"/>
      <c r="H60510" s="8"/>
      <c r="I60510" s="102"/>
      <c r="J60510" s="8"/>
      <c r="K60510" s="8"/>
      <c r="L60510" s="8"/>
      <c r="M60510" s="8"/>
      <c r="N60510" s="8"/>
      <c r="O60510" s="8"/>
      <c r="P60510" s="8"/>
      <c r="Q60510" s="8"/>
      <c r="R60510" s="103"/>
      <c r="S60510" s="8"/>
      <c r="T60510" s="8"/>
      <c r="U60510" s="8"/>
      <c r="V60510" s="8"/>
      <c r="W60510" s="8"/>
      <c r="X60510" s="8"/>
      <c r="Y60510" s="8"/>
      <c r="Z60510" s="8"/>
      <c r="AA60510" s="8"/>
    </row>
    <row r="60511" spans="1:27" x14ac:dyDescent="0.25">
      <c r="A60511" s="8"/>
      <c r="B60511" s="8"/>
      <c r="C60511" s="99"/>
      <c r="D60511" s="8"/>
      <c r="E60511" s="8"/>
      <c r="F60511" s="8"/>
      <c r="G60511" s="8"/>
      <c r="H60511" s="8"/>
      <c r="I60511" s="102"/>
      <c r="J60511" s="8"/>
      <c r="K60511" s="8"/>
      <c r="L60511" s="8"/>
      <c r="M60511" s="8"/>
      <c r="N60511" s="8"/>
      <c r="O60511" s="8"/>
      <c r="P60511" s="8"/>
      <c r="Q60511" s="8"/>
      <c r="R60511" s="103"/>
      <c r="S60511" s="8"/>
      <c r="T60511" s="8"/>
      <c r="U60511" s="8"/>
      <c r="V60511" s="8"/>
      <c r="W60511" s="8"/>
      <c r="X60511" s="8"/>
      <c r="Y60511" s="8"/>
      <c r="Z60511" s="8"/>
      <c r="AA60511" s="8"/>
    </row>
    <row r="60512" spans="1:27" x14ac:dyDescent="0.25">
      <c r="A60512" s="8"/>
      <c r="B60512" s="8"/>
      <c r="C60512" s="99"/>
      <c r="D60512" s="8"/>
      <c r="E60512" s="8"/>
      <c r="F60512" s="8"/>
      <c r="G60512" s="8"/>
      <c r="H60512" s="8"/>
      <c r="I60512" s="102"/>
      <c r="J60512" s="8"/>
      <c r="K60512" s="8"/>
      <c r="L60512" s="8"/>
      <c r="M60512" s="8"/>
      <c r="N60512" s="8"/>
      <c r="O60512" s="8"/>
      <c r="P60512" s="8"/>
      <c r="Q60512" s="8"/>
      <c r="R60512" s="103"/>
      <c r="S60512" s="8"/>
      <c r="T60512" s="8"/>
      <c r="U60512" s="8"/>
      <c r="V60512" s="8"/>
      <c r="W60512" s="8"/>
      <c r="X60512" s="8"/>
      <c r="Y60512" s="8"/>
      <c r="Z60512" s="8"/>
      <c r="AA60512" s="8"/>
    </row>
    <row r="60513" spans="1:27" x14ac:dyDescent="0.25">
      <c r="A60513" s="8"/>
      <c r="B60513" s="8"/>
      <c r="C60513" s="99"/>
      <c r="D60513" s="8"/>
      <c r="E60513" s="8"/>
      <c r="F60513" s="8"/>
      <c r="G60513" s="8"/>
      <c r="H60513" s="8"/>
      <c r="I60513" s="102"/>
      <c r="J60513" s="8"/>
      <c r="K60513" s="8"/>
      <c r="L60513" s="8"/>
      <c r="M60513" s="8"/>
      <c r="N60513" s="8"/>
      <c r="O60513" s="8"/>
      <c r="P60513" s="8"/>
      <c r="Q60513" s="8"/>
      <c r="R60513" s="103"/>
      <c r="S60513" s="8"/>
      <c r="T60513" s="8"/>
      <c r="U60513" s="8"/>
      <c r="V60513" s="8"/>
      <c r="W60513" s="8"/>
      <c r="X60513" s="8"/>
      <c r="Y60513" s="8"/>
      <c r="Z60513" s="8"/>
      <c r="AA60513" s="8"/>
    </row>
    <row r="60514" spans="1:27" x14ac:dyDescent="0.25">
      <c r="A60514" s="8"/>
      <c r="B60514" s="8"/>
      <c r="C60514" s="99"/>
      <c r="D60514" s="8"/>
      <c r="E60514" s="8"/>
      <c r="F60514" s="8"/>
      <c r="G60514" s="8"/>
      <c r="H60514" s="8"/>
      <c r="I60514" s="102"/>
      <c r="J60514" s="8"/>
      <c r="K60514" s="8"/>
      <c r="L60514" s="8"/>
      <c r="M60514" s="8"/>
      <c r="N60514" s="8"/>
      <c r="O60514" s="8"/>
      <c r="P60514" s="8"/>
      <c r="Q60514" s="8"/>
      <c r="R60514" s="103"/>
      <c r="S60514" s="8"/>
      <c r="T60514" s="8"/>
      <c r="U60514" s="8"/>
      <c r="V60514" s="8"/>
      <c r="W60514" s="8"/>
      <c r="X60514" s="8"/>
      <c r="Y60514" s="8"/>
      <c r="Z60514" s="8"/>
      <c r="AA60514" s="8"/>
    </row>
    <row r="60515" spans="1:27" x14ac:dyDescent="0.25">
      <c r="A60515" s="8"/>
      <c r="B60515" s="8"/>
      <c r="C60515" s="99"/>
      <c r="D60515" s="8"/>
      <c r="E60515" s="8"/>
      <c r="F60515" s="8"/>
      <c r="G60515" s="8"/>
      <c r="H60515" s="8"/>
      <c r="I60515" s="102"/>
      <c r="J60515" s="8"/>
      <c r="K60515" s="8"/>
      <c r="L60515" s="8"/>
      <c r="M60515" s="8"/>
      <c r="N60515" s="8"/>
      <c r="O60515" s="8"/>
      <c r="P60515" s="8"/>
      <c r="Q60515" s="8"/>
      <c r="R60515" s="103"/>
      <c r="S60515" s="8"/>
      <c r="T60515" s="8"/>
      <c r="U60515" s="8"/>
      <c r="V60515" s="8"/>
      <c r="W60515" s="8"/>
      <c r="X60515" s="8"/>
      <c r="Y60515" s="8"/>
      <c r="Z60515" s="8"/>
      <c r="AA60515" s="8"/>
    </row>
    <row r="60516" spans="1:27" x14ac:dyDescent="0.25">
      <c r="A60516" s="8"/>
      <c r="B60516" s="8"/>
      <c r="C60516" s="99"/>
      <c r="D60516" s="8"/>
      <c r="E60516" s="8"/>
      <c r="F60516" s="8"/>
      <c r="G60516" s="8"/>
      <c r="H60516" s="8"/>
      <c r="I60516" s="102"/>
      <c r="J60516" s="8"/>
      <c r="K60516" s="8"/>
      <c r="L60516" s="8"/>
      <c r="M60516" s="8"/>
      <c r="N60516" s="8"/>
      <c r="O60516" s="8"/>
      <c r="P60516" s="8"/>
      <c r="Q60516" s="8"/>
      <c r="R60516" s="103"/>
      <c r="S60516" s="8"/>
      <c r="T60516" s="8"/>
      <c r="U60516" s="8"/>
      <c r="V60516" s="8"/>
      <c r="W60516" s="8"/>
      <c r="X60516" s="8"/>
      <c r="Y60516" s="8"/>
      <c r="Z60516" s="8"/>
      <c r="AA60516" s="8"/>
    </row>
    <row r="60517" spans="1:27" x14ac:dyDescent="0.25">
      <c r="A60517" s="8"/>
      <c r="B60517" s="8"/>
      <c r="C60517" s="99"/>
      <c r="D60517" s="8"/>
      <c r="E60517" s="8"/>
      <c r="F60517" s="8"/>
      <c r="G60517" s="8"/>
      <c r="H60517" s="8"/>
      <c r="I60517" s="102"/>
      <c r="J60517" s="8"/>
      <c r="K60517" s="8"/>
      <c r="L60517" s="8"/>
      <c r="M60517" s="8"/>
      <c r="N60517" s="8"/>
      <c r="O60517" s="8"/>
      <c r="P60517" s="8"/>
      <c r="Q60517" s="8"/>
      <c r="R60517" s="103"/>
      <c r="S60517" s="8"/>
      <c r="T60517" s="8"/>
      <c r="U60517" s="8"/>
      <c r="V60517" s="8"/>
      <c r="W60517" s="8"/>
      <c r="X60517" s="8"/>
      <c r="Y60517" s="8"/>
      <c r="Z60517" s="8"/>
      <c r="AA60517" s="8"/>
    </row>
    <row r="60518" spans="1:27" x14ac:dyDescent="0.25">
      <c r="A60518" s="8"/>
      <c r="B60518" s="8"/>
      <c r="C60518" s="99"/>
      <c r="D60518" s="8"/>
      <c r="E60518" s="8"/>
      <c r="F60518" s="8"/>
      <c r="G60518" s="8"/>
      <c r="H60518" s="8"/>
      <c r="I60518" s="102"/>
      <c r="J60518" s="8"/>
      <c r="K60518" s="8"/>
      <c r="L60518" s="8"/>
      <c r="M60518" s="8"/>
      <c r="N60518" s="8"/>
      <c r="O60518" s="8"/>
      <c r="P60518" s="8"/>
      <c r="Q60518" s="8"/>
      <c r="R60518" s="103"/>
      <c r="S60518" s="8"/>
      <c r="T60518" s="8"/>
      <c r="U60518" s="8"/>
      <c r="V60518" s="8"/>
      <c r="W60518" s="8"/>
      <c r="X60518" s="8"/>
      <c r="Y60518" s="8"/>
      <c r="Z60518" s="8"/>
      <c r="AA60518" s="8"/>
    </row>
    <row r="60519" spans="1:27" x14ac:dyDescent="0.25">
      <c r="A60519" s="8"/>
      <c r="B60519" s="8"/>
      <c r="C60519" s="99"/>
      <c r="D60519" s="8"/>
      <c r="E60519" s="8"/>
      <c r="F60519" s="8"/>
      <c r="G60519" s="8"/>
      <c r="H60519" s="8"/>
      <c r="I60519" s="102"/>
      <c r="J60519" s="8"/>
      <c r="K60519" s="8"/>
      <c r="L60519" s="8"/>
      <c r="M60519" s="8"/>
      <c r="N60519" s="8"/>
      <c r="O60519" s="8"/>
      <c r="P60519" s="8"/>
      <c r="Q60519" s="8"/>
      <c r="R60519" s="103"/>
      <c r="S60519" s="8"/>
      <c r="T60519" s="8"/>
      <c r="U60519" s="8"/>
      <c r="V60519" s="8"/>
      <c r="W60519" s="8"/>
      <c r="X60519" s="8"/>
      <c r="Y60519" s="8"/>
      <c r="Z60519" s="8"/>
      <c r="AA60519" s="8"/>
    </row>
    <row r="60520" spans="1:27" x14ac:dyDescent="0.25">
      <c r="A60520" s="8"/>
      <c r="B60520" s="8"/>
      <c r="C60520" s="99"/>
      <c r="D60520" s="8"/>
      <c r="E60520" s="8"/>
      <c r="F60520" s="8"/>
      <c r="G60520" s="8"/>
      <c r="H60520" s="8"/>
      <c r="I60520" s="102"/>
      <c r="J60520" s="8"/>
      <c r="K60520" s="8"/>
      <c r="L60520" s="8"/>
      <c r="M60520" s="8"/>
      <c r="N60520" s="8"/>
      <c r="O60520" s="8"/>
      <c r="P60520" s="8"/>
      <c r="Q60520" s="8"/>
      <c r="R60520" s="103"/>
      <c r="S60520" s="8"/>
      <c r="T60520" s="8"/>
      <c r="U60520" s="8"/>
      <c r="V60520" s="8"/>
      <c r="W60520" s="8"/>
      <c r="X60520" s="8"/>
      <c r="Y60520" s="8"/>
      <c r="Z60520" s="8"/>
      <c r="AA60520" s="8"/>
    </row>
    <row r="60521" spans="1:27" x14ac:dyDescent="0.25">
      <c r="A60521" s="8"/>
      <c r="B60521" s="8"/>
      <c r="C60521" s="99"/>
      <c r="D60521" s="8"/>
      <c r="E60521" s="8"/>
      <c r="F60521" s="8"/>
      <c r="G60521" s="8"/>
      <c r="H60521" s="8"/>
      <c r="I60521" s="102"/>
      <c r="J60521" s="8"/>
      <c r="K60521" s="8"/>
      <c r="L60521" s="8"/>
      <c r="M60521" s="8"/>
      <c r="N60521" s="8"/>
      <c r="O60521" s="8"/>
      <c r="P60521" s="8"/>
      <c r="Q60521" s="8"/>
      <c r="R60521" s="103"/>
      <c r="S60521" s="8"/>
      <c r="T60521" s="8"/>
      <c r="U60521" s="8"/>
      <c r="V60521" s="8"/>
      <c r="W60521" s="8"/>
      <c r="X60521" s="8"/>
      <c r="Y60521" s="8"/>
      <c r="Z60521" s="8"/>
      <c r="AA60521" s="8"/>
    </row>
    <row r="60522" spans="1:27" x14ac:dyDescent="0.25">
      <c r="A60522" s="8"/>
      <c r="B60522" s="8"/>
      <c r="C60522" s="99"/>
      <c r="D60522" s="8"/>
      <c r="E60522" s="8"/>
      <c r="F60522" s="8"/>
      <c r="G60522" s="8"/>
      <c r="H60522" s="8"/>
      <c r="I60522" s="102"/>
      <c r="J60522" s="8"/>
      <c r="K60522" s="8"/>
      <c r="L60522" s="8"/>
      <c r="M60522" s="8"/>
      <c r="N60522" s="8"/>
      <c r="O60522" s="8"/>
      <c r="P60522" s="8"/>
      <c r="Q60522" s="8"/>
      <c r="R60522" s="103"/>
      <c r="S60522" s="8"/>
      <c r="T60522" s="8"/>
      <c r="U60522" s="8"/>
      <c r="V60522" s="8"/>
      <c r="W60522" s="8"/>
      <c r="X60522" s="8"/>
      <c r="Y60522" s="8"/>
      <c r="Z60522" s="8"/>
      <c r="AA60522" s="8"/>
    </row>
    <row r="60523" spans="1:27" x14ac:dyDescent="0.25">
      <c r="A60523" s="8"/>
      <c r="B60523" s="8"/>
      <c r="C60523" s="99"/>
      <c r="D60523" s="8"/>
      <c r="E60523" s="8"/>
      <c r="F60523" s="8"/>
      <c r="G60523" s="8"/>
      <c r="H60523" s="8"/>
      <c r="I60523" s="102"/>
      <c r="J60523" s="8"/>
      <c r="K60523" s="8"/>
      <c r="L60523" s="8"/>
      <c r="M60523" s="8"/>
      <c r="N60523" s="8"/>
      <c r="O60523" s="8"/>
      <c r="P60523" s="8"/>
      <c r="Q60523" s="8"/>
      <c r="R60523" s="103"/>
      <c r="S60523" s="8"/>
      <c r="T60523" s="8"/>
      <c r="U60523" s="8"/>
      <c r="V60523" s="8"/>
      <c r="W60523" s="8"/>
      <c r="X60523" s="8"/>
      <c r="Y60523" s="8"/>
      <c r="Z60523" s="8"/>
      <c r="AA60523" s="8"/>
    </row>
    <row r="60524" spans="1:27" x14ac:dyDescent="0.25">
      <c r="A60524" s="8"/>
      <c r="B60524" s="8"/>
      <c r="C60524" s="99"/>
      <c r="D60524" s="8"/>
      <c r="E60524" s="8"/>
      <c r="F60524" s="8"/>
      <c r="G60524" s="8"/>
      <c r="H60524" s="8"/>
      <c r="I60524" s="102"/>
      <c r="J60524" s="8"/>
      <c r="K60524" s="8"/>
      <c r="L60524" s="8"/>
      <c r="M60524" s="8"/>
      <c r="N60524" s="8"/>
      <c r="O60524" s="8"/>
      <c r="P60524" s="8"/>
      <c r="Q60524" s="8"/>
      <c r="R60524" s="103"/>
      <c r="S60524" s="8"/>
      <c r="T60524" s="8"/>
      <c r="U60524" s="8"/>
      <c r="V60524" s="8"/>
      <c r="W60524" s="8"/>
      <c r="X60524" s="8"/>
      <c r="Y60524" s="8"/>
      <c r="Z60524" s="8"/>
      <c r="AA60524" s="8"/>
    </row>
    <row r="60525" spans="1:27" x14ac:dyDescent="0.25">
      <c r="A60525" s="8"/>
      <c r="B60525" s="8"/>
      <c r="C60525" s="99"/>
      <c r="D60525" s="8"/>
      <c r="E60525" s="8"/>
      <c r="F60525" s="8"/>
      <c r="G60525" s="8"/>
      <c r="H60525" s="8"/>
      <c r="I60525" s="102"/>
      <c r="J60525" s="8"/>
      <c r="K60525" s="8"/>
      <c r="L60525" s="8"/>
      <c r="M60525" s="8"/>
      <c r="N60525" s="8"/>
      <c r="O60525" s="8"/>
      <c r="P60525" s="8"/>
      <c r="Q60525" s="8"/>
      <c r="R60525" s="103"/>
      <c r="S60525" s="8"/>
      <c r="T60525" s="8"/>
      <c r="U60525" s="8"/>
      <c r="V60525" s="8"/>
      <c r="W60525" s="8"/>
      <c r="X60525" s="8"/>
      <c r="Y60525" s="8"/>
      <c r="Z60525" s="8"/>
      <c r="AA60525" s="8"/>
    </row>
    <row r="60526" spans="1:27" x14ac:dyDescent="0.25">
      <c r="A60526" s="8"/>
      <c r="B60526" s="8"/>
      <c r="C60526" s="99"/>
      <c r="D60526" s="8"/>
      <c r="E60526" s="8"/>
      <c r="F60526" s="8"/>
      <c r="G60526" s="8"/>
      <c r="H60526" s="8"/>
      <c r="I60526" s="102"/>
      <c r="J60526" s="8"/>
      <c r="K60526" s="8"/>
      <c r="L60526" s="8"/>
      <c r="M60526" s="8"/>
      <c r="N60526" s="8"/>
      <c r="O60526" s="8"/>
      <c r="P60526" s="8"/>
      <c r="Q60526" s="8"/>
      <c r="R60526" s="103"/>
      <c r="S60526" s="8"/>
      <c r="T60526" s="8"/>
      <c r="U60526" s="8"/>
      <c r="V60526" s="8"/>
      <c r="W60526" s="8"/>
      <c r="X60526" s="8"/>
      <c r="Y60526" s="8"/>
      <c r="Z60526" s="8"/>
      <c r="AA60526" s="8"/>
    </row>
    <row r="60527" spans="1:27" x14ac:dyDescent="0.25">
      <c r="A60527" s="8"/>
      <c r="B60527" s="8"/>
      <c r="C60527" s="99"/>
      <c r="D60527" s="8"/>
      <c r="E60527" s="8"/>
      <c r="F60527" s="8"/>
      <c r="G60527" s="8"/>
      <c r="H60527" s="8"/>
      <c r="I60527" s="102"/>
      <c r="J60527" s="8"/>
      <c r="K60527" s="8"/>
      <c r="L60527" s="8"/>
      <c r="M60527" s="8"/>
      <c r="N60527" s="8"/>
      <c r="O60527" s="8"/>
      <c r="P60527" s="8"/>
      <c r="Q60527" s="8"/>
      <c r="R60527" s="103"/>
      <c r="S60527" s="8"/>
      <c r="T60527" s="8"/>
      <c r="U60527" s="8"/>
      <c r="V60527" s="8"/>
      <c r="W60527" s="8"/>
      <c r="X60527" s="8"/>
      <c r="Y60527" s="8"/>
      <c r="Z60527" s="8"/>
      <c r="AA60527" s="8"/>
    </row>
    <row r="60528" spans="1:27" x14ac:dyDescent="0.25">
      <c r="A60528" s="8"/>
      <c r="B60528" s="8"/>
      <c r="C60528" s="99"/>
      <c r="D60528" s="8"/>
      <c r="E60528" s="8"/>
      <c r="F60528" s="8"/>
      <c r="G60528" s="8"/>
      <c r="H60528" s="8"/>
      <c r="I60528" s="102"/>
      <c r="J60528" s="8"/>
      <c r="K60528" s="8"/>
      <c r="L60528" s="8"/>
      <c r="M60528" s="8"/>
      <c r="N60528" s="8"/>
      <c r="O60528" s="8"/>
      <c r="P60528" s="8"/>
      <c r="Q60528" s="8"/>
      <c r="R60528" s="103"/>
      <c r="S60528" s="8"/>
      <c r="T60528" s="8"/>
      <c r="U60528" s="8"/>
      <c r="V60528" s="8"/>
      <c r="W60528" s="8"/>
      <c r="X60528" s="8"/>
      <c r="Y60528" s="8"/>
      <c r="Z60528" s="8"/>
      <c r="AA60528" s="8"/>
    </row>
    <row r="60529" spans="1:27" x14ac:dyDescent="0.25">
      <c r="A60529" s="8"/>
      <c r="B60529" s="8"/>
      <c r="C60529" s="99"/>
      <c r="D60529" s="8"/>
      <c r="E60529" s="8"/>
      <c r="F60529" s="8"/>
      <c r="G60529" s="8"/>
      <c r="H60529" s="8"/>
      <c r="I60529" s="102"/>
      <c r="J60529" s="8"/>
      <c r="K60529" s="8"/>
      <c r="L60529" s="8"/>
      <c r="M60529" s="8"/>
      <c r="N60529" s="8"/>
      <c r="O60529" s="8"/>
      <c r="P60529" s="8"/>
      <c r="Q60529" s="8"/>
      <c r="R60529" s="103"/>
      <c r="S60529" s="8"/>
      <c r="T60529" s="8"/>
      <c r="U60529" s="8"/>
      <c r="V60529" s="8"/>
      <c r="W60529" s="8"/>
      <c r="X60529" s="8"/>
      <c r="Y60529" s="8"/>
      <c r="Z60529" s="8"/>
      <c r="AA60529" s="8"/>
    </row>
    <row r="60530" spans="1:27" x14ac:dyDescent="0.25">
      <c r="A60530" s="8"/>
      <c r="B60530" s="8"/>
      <c r="C60530" s="99"/>
      <c r="D60530" s="8"/>
      <c r="E60530" s="8"/>
      <c r="F60530" s="8"/>
      <c r="G60530" s="8"/>
      <c r="H60530" s="8"/>
      <c r="I60530" s="102"/>
      <c r="J60530" s="8"/>
      <c r="K60530" s="8"/>
      <c r="L60530" s="8"/>
      <c r="M60530" s="8"/>
      <c r="N60530" s="8"/>
      <c r="O60530" s="8"/>
      <c r="P60530" s="8"/>
      <c r="Q60530" s="8"/>
      <c r="R60530" s="103"/>
      <c r="S60530" s="8"/>
      <c r="T60530" s="8"/>
      <c r="U60530" s="8"/>
      <c r="V60530" s="8"/>
      <c r="W60530" s="8"/>
      <c r="X60530" s="8"/>
      <c r="Y60530" s="8"/>
      <c r="Z60530" s="8"/>
      <c r="AA60530" s="8"/>
    </row>
    <row r="60531" spans="1:27" x14ac:dyDescent="0.25">
      <c r="A60531" s="8"/>
      <c r="B60531" s="8"/>
      <c r="C60531" s="99"/>
      <c r="D60531" s="8"/>
      <c r="E60531" s="8"/>
      <c r="F60531" s="8"/>
      <c r="G60531" s="8"/>
      <c r="H60531" s="8"/>
      <c r="I60531" s="102"/>
      <c r="J60531" s="8"/>
      <c r="K60531" s="8"/>
      <c r="L60531" s="8"/>
      <c r="M60531" s="8"/>
      <c r="N60531" s="8"/>
      <c r="O60531" s="8"/>
      <c r="P60531" s="8"/>
      <c r="Q60531" s="8"/>
      <c r="R60531" s="103"/>
      <c r="S60531" s="8"/>
      <c r="T60531" s="8"/>
      <c r="U60531" s="8"/>
      <c r="V60531" s="8"/>
      <c r="W60531" s="8"/>
      <c r="X60531" s="8"/>
      <c r="Y60531" s="8"/>
      <c r="Z60531" s="8"/>
      <c r="AA60531" s="8"/>
    </row>
    <row r="60532" spans="1:27" x14ac:dyDescent="0.25">
      <c r="A60532" s="8"/>
      <c r="B60532" s="8"/>
      <c r="C60532" s="99"/>
      <c r="D60532" s="8"/>
      <c r="E60532" s="8"/>
      <c r="F60532" s="8"/>
      <c r="G60532" s="8"/>
      <c r="H60532" s="8"/>
      <c r="I60532" s="102"/>
      <c r="J60532" s="8"/>
      <c r="K60532" s="8"/>
      <c r="L60532" s="8"/>
      <c r="M60532" s="8"/>
      <c r="N60532" s="8"/>
      <c r="O60532" s="8"/>
      <c r="P60532" s="8"/>
      <c r="Q60532" s="8"/>
      <c r="R60532" s="103"/>
      <c r="S60532" s="8"/>
      <c r="T60532" s="8"/>
      <c r="U60532" s="8"/>
      <c r="V60532" s="8"/>
      <c r="W60532" s="8"/>
      <c r="X60532" s="8"/>
      <c r="Y60532" s="8"/>
      <c r="Z60532" s="8"/>
      <c r="AA60532" s="8"/>
    </row>
    <row r="60533" spans="1:27" x14ac:dyDescent="0.25">
      <c r="A60533" s="8"/>
      <c r="B60533" s="8"/>
      <c r="C60533" s="99"/>
      <c r="D60533" s="8"/>
      <c r="E60533" s="8"/>
      <c r="F60533" s="8"/>
      <c r="G60533" s="8"/>
      <c r="H60533" s="8"/>
      <c r="I60533" s="102"/>
      <c r="J60533" s="8"/>
      <c r="K60533" s="8"/>
      <c r="L60533" s="8"/>
      <c r="M60533" s="8"/>
      <c r="N60533" s="8"/>
      <c r="O60533" s="8"/>
      <c r="P60533" s="8"/>
      <c r="Q60533" s="8"/>
      <c r="R60533" s="103"/>
      <c r="S60533" s="8"/>
      <c r="T60533" s="8"/>
      <c r="U60533" s="8"/>
      <c r="V60533" s="8"/>
      <c r="W60533" s="8"/>
      <c r="X60533" s="8"/>
      <c r="Y60533" s="8"/>
      <c r="Z60533" s="8"/>
      <c r="AA60533" s="8"/>
    </row>
    <row r="60534" spans="1:27" x14ac:dyDescent="0.25">
      <c r="A60534" s="8"/>
      <c r="B60534" s="8"/>
      <c r="C60534" s="99"/>
      <c r="D60534" s="8"/>
      <c r="E60534" s="8"/>
      <c r="F60534" s="8"/>
      <c r="G60534" s="8"/>
      <c r="H60534" s="8"/>
      <c r="I60534" s="102"/>
      <c r="J60534" s="8"/>
      <c r="K60534" s="8"/>
      <c r="L60534" s="8"/>
      <c r="M60534" s="8"/>
      <c r="N60534" s="8"/>
      <c r="O60534" s="8"/>
      <c r="P60534" s="8"/>
      <c r="Q60534" s="8"/>
      <c r="R60534" s="103"/>
      <c r="S60534" s="8"/>
      <c r="T60534" s="8"/>
      <c r="U60534" s="8"/>
      <c r="V60534" s="8"/>
      <c r="W60534" s="8"/>
      <c r="X60534" s="8"/>
      <c r="Y60534" s="8"/>
      <c r="Z60534" s="8"/>
      <c r="AA60534" s="8"/>
    </row>
    <row r="60535" spans="1:27" x14ac:dyDescent="0.25">
      <c r="A60535" s="8"/>
      <c r="B60535" s="8"/>
      <c r="C60535" s="99"/>
      <c r="D60535" s="8"/>
      <c r="E60535" s="8"/>
      <c r="F60535" s="8"/>
      <c r="G60535" s="8"/>
      <c r="H60535" s="8"/>
      <c r="I60535" s="102"/>
      <c r="J60535" s="8"/>
      <c r="K60535" s="8"/>
      <c r="L60535" s="8"/>
      <c r="M60535" s="8"/>
      <c r="N60535" s="8"/>
      <c r="O60535" s="8"/>
      <c r="P60535" s="8"/>
      <c r="Q60535" s="8"/>
      <c r="R60535" s="103"/>
      <c r="S60535" s="8"/>
      <c r="T60535" s="8"/>
      <c r="U60535" s="8"/>
      <c r="V60535" s="8"/>
      <c r="W60535" s="8"/>
      <c r="X60535" s="8"/>
      <c r="Y60535" s="8"/>
      <c r="Z60535" s="8"/>
      <c r="AA60535" s="8"/>
    </row>
    <row r="60536" spans="1:27" x14ac:dyDescent="0.25">
      <c r="A60536" s="8"/>
      <c r="B60536" s="8"/>
      <c r="C60536" s="99"/>
      <c r="D60536" s="8"/>
      <c r="E60536" s="8"/>
      <c r="F60536" s="8"/>
      <c r="G60536" s="8"/>
      <c r="H60536" s="8"/>
      <c r="I60536" s="102"/>
      <c r="J60536" s="8"/>
      <c r="K60536" s="8"/>
      <c r="L60536" s="8"/>
      <c r="M60536" s="8"/>
      <c r="N60536" s="8"/>
      <c r="O60536" s="8"/>
      <c r="P60536" s="8"/>
      <c r="Q60536" s="8"/>
      <c r="R60536" s="103"/>
      <c r="S60536" s="8"/>
      <c r="T60536" s="8"/>
      <c r="U60536" s="8"/>
      <c r="V60536" s="8"/>
      <c r="W60536" s="8"/>
      <c r="X60536" s="8"/>
      <c r="Y60536" s="8"/>
      <c r="Z60536" s="8"/>
      <c r="AA60536" s="8"/>
    </row>
    <row r="60537" spans="1:27" x14ac:dyDescent="0.25">
      <c r="A60537" s="8"/>
      <c r="B60537" s="8"/>
      <c r="C60537" s="99"/>
      <c r="D60537" s="8"/>
      <c r="E60537" s="8"/>
      <c r="F60537" s="8"/>
      <c r="G60537" s="8"/>
      <c r="H60537" s="8"/>
      <c r="I60537" s="102"/>
      <c r="J60537" s="8"/>
      <c r="K60537" s="8"/>
      <c r="L60537" s="8"/>
      <c r="M60537" s="8"/>
      <c r="N60537" s="8"/>
      <c r="O60537" s="8"/>
      <c r="P60537" s="8"/>
      <c r="Q60537" s="8"/>
      <c r="R60537" s="103"/>
      <c r="S60537" s="8"/>
      <c r="T60537" s="8"/>
      <c r="U60537" s="8"/>
      <c r="V60537" s="8"/>
      <c r="W60537" s="8"/>
      <c r="X60537" s="8"/>
      <c r="Y60537" s="8"/>
      <c r="Z60537" s="8"/>
      <c r="AA60537" s="8"/>
    </row>
    <row r="60538" spans="1:27" x14ac:dyDescent="0.25">
      <c r="A60538" s="8"/>
      <c r="B60538" s="8"/>
      <c r="C60538" s="99"/>
      <c r="D60538" s="8"/>
      <c r="E60538" s="8"/>
      <c r="F60538" s="8"/>
      <c r="G60538" s="8"/>
      <c r="H60538" s="8"/>
      <c r="I60538" s="102"/>
      <c r="J60538" s="8"/>
      <c r="K60538" s="8"/>
      <c r="L60538" s="8"/>
      <c r="M60538" s="8"/>
      <c r="N60538" s="8"/>
      <c r="O60538" s="8"/>
      <c r="P60538" s="8"/>
      <c r="Q60538" s="8"/>
      <c r="R60538" s="103"/>
      <c r="S60538" s="8"/>
      <c r="T60538" s="8"/>
      <c r="U60538" s="8"/>
      <c r="V60538" s="8"/>
      <c r="W60538" s="8"/>
      <c r="X60538" s="8"/>
      <c r="Y60538" s="8"/>
      <c r="Z60538" s="8"/>
      <c r="AA60538" s="8"/>
    </row>
    <row r="60539" spans="1:27" x14ac:dyDescent="0.25">
      <c r="A60539" s="8"/>
      <c r="B60539" s="8"/>
      <c r="C60539" s="99"/>
      <c r="D60539" s="8"/>
      <c r="E60539" s="8"/>
      <c r="F60539" s="8"/>
      <c r="G60539" s="8"/>
      <c r="H60539" s="8"/>
      <c r="I60539" s="102"/>
      <c r="J60539" s="8"/>
      <c r="K60539" s="8"/>
      <c r="L60539" s="8"/>
      <c r="M60539" s="8"/>
      <c r="N60539" s="8"/>
      <c r="O60539" s="8"/>
      <c r="P60539" s="8"/>
      <c r="Q60539" s="8"/>
      <c r="R60539" s="103"/>
      <c r="S60539" s="8"/>
      <c r="T60539" s="8"/>
      <c r="U60539" s="8"/>
      <c r="V60539" s="8"/>
      <c r="W60539" s="8"/>
      <c r="X60539" s="8"/>
      <c r="Y60539" s="8"/>
      <c r="Z60539" s="8"/>
      <c r="AA60539" s="8"/>
    </row>
    <row r="60540" spans="1:27" x14ac:dyDescent="0.25">
      <c r="A60540" s="8"/>
      <c r="B60540" s="8"/>
      <c r="C60540" s="99"/>
      <c r="D60540" s="8"/>
      <c r="E60540" s="8"/>
      <c r="F60540" s="8"/>
      <c r="G60540" s="8"/>
      <c r="H60540" s="8"/>
      <c r="I60540" s="102"/>
      <c r="J60540" s="8"/>
      <c r="K60540" s="8"/>
      <c r="L60540" s="8"/>
      <c r="M60540" s="8"/>
      <c r="N60540" s="8"/>
      <c r="O60540" s="8"/>
      <c r="P60540" s="8"/>
      <c r="Q60540" s="8"/>
      <c r="R60540" s="103"/>
      <c r="S60540" s="8"/>
      <c r="T60540" s="8"/>
      <c r="U60540" s="8"/>
      <c r="V60540" s="8"/>
      <c r="W60540" s="8"/>
      <c r="X60540" s="8"/>
      <c r="Y60540" s="8"/>
      <c r="Z60540" s="8"/>
      <c r="AA60540" s="8"/>
    </row>
    <row r="60541" spans="1:27" x14ac:dyDescent="0.25">
      <c r="A60541" s="8"/>
      <c r="B60541" s="8"/>
      <c r="C60541" s="99"/>
      <c r="D60541" s="8"/>
      <c r="E60541" s="8"/>
      <c r="F60541" s="8"/>
      <c r="G60541" s="8"/>
      <c r="H60541" s="8"/>
      <c r="I60541" s="102"/>
      <c r="J60541" s="8"/>
      <c r="K60541" s="8"/>
      <c r="L60541" s="8"/>
      <c r="M60541" s="8"/>
      <c r="N60541" s="8"/>
      <c r="O60541" s="8"/>
      <c r="P60541" s="8"/>
      <c r="Q60541" s="8"/>
      <c r="R60541" s="103"/>
      <c r="S60541" s="8"/>
      <c r="T60541" s="8"/>
      <c r="U60541" s="8"/>
      <c r="V60541" s="8"/>
      <c r="W60541" s="8"/>
      <c r="X60541" s="8"/>
      <c r="Y60541" s="8"/>
      <c r="Z60541" s="8"/>
      <c r="AA60541" s="8"/>
    </row>
    <row r="60542" spans="1:27" x14ac:dyDescent="0.25">
      <c r="A60542" s="8"/>
      <c r="B60542" s="8"/>
      <c r="C60542" s="99"/>
      <c r="D60542" s="8"/>
      <c r="E60542" s="8"/>
      <c r="F60542" s="8"/>
      <c r="G60542" s="8"/>
      <c r="H60542" s="8"/>
      <c r="I60542" s="102"/>
      <c r="J60542" s="8"/>
      <c r="K60542" s="8"/>
      <c r="L60542" s="8"/>
      <c r="M60542" s="8"/>
      <c r="N60542" s="8"/>
      <c r="O60542" s="8"/>
      <c r="P60542" s="8"/>
      <c r="Q60542" s="8"/>
      <c r="R60542" s="103"/>
      <c r="S60542" s="8"/>
      <c r="T60542" s="8"/>
      <c r="U60542" s="8"/>
      <c r="V60542" s="8"/>
      <c r="W60542" s="8"/>
      <c r="X60542" s="8"/>
      <c r="Y60542" s="8"/>
      <c r="Z60542" s="8"/>
      <c r="AA60542" s="8"/>
    </row>
    <row r="60543" spans="1:27" x14ac:dyDescent="0.25">
      <c r="A60543" s="8"/>
      <c r="B60543" s="8"/>
      <c r="C60543" s="99"/>
      <c r="D60543" s="8"/>
      <c r="E60543" s="8"/>
      <c r="F60543" s="8"/>
      <c r="G60543" s="8"/>
      <c r="H60543" s="8"/>
      <c r="I60543" s="102"/>
      <c r="J60543" s="8"/>
      <c r="K60543" s="8"/>
      <c r="L60543" s="8"/>
      <c r="M60543" s="8"/>
      <c r="N60543" s="8"/>
      <c r="O60543" s="8"/>
      <c r="P60543" s="8"/>
      <c r="Q60543" s="8"/>
      <c r="R60543" s="103"/>
      <c r="S60543" s="8"/>
      <c r="T60543" s="8"/>
      <c r="U60543" s="8"/>
      <c r="V60543" s="8"/>
      <c r="W60543" s="8"/>
      <c r="X60543" s="8"/>
      <c r="Y60543" s="8"/>
      <c r="Z60543" s="8"/>
      <c r="AA60543" s="8"/>
    </row>
    <row r="60544" spans="1:27" x14ac:dyDescent="0.25">
      <c r="A60544" s="8"/>
      <c r="B60544" s="8"/>
      <c r="C60544" s="99"/>
      <c r="D60544" s="8"/>
      <c r="E60544" s="8"/>
      <c r="F60544" s="8"/>
      <c r="G60544" s="8"/>
      <c r="H60544" s="8"/>
      <c r="I60544" s="102"/>
      <c r="J60544" s="8"/>
      <c r="K60544" s="8"/>
      <c r="L60544" s="8"/>
      <c r="M60544" s="8"/>
      <c r="N60544" s="8"/>
      <c r="O60544" s="8"/>
      <c r="P60544" s="8"/>
      <c r="Q60544" s="8"/>
      <c r="R60544" s="103"/>
      <c r="S60544" s="8"/>
      <c r="T60544" s="8"/>
      <c r="U60544" s="8"/>
      <c r="V60544" s="8"/>
      <c r="W60544" s="8"/>
      <c r="X60544" s="8"/>
      <c r="Y60544" s="8"/>
      <c r="Z60544" s="8"/>
      <c r="AA60544" s="8"/>
    </row>
    <row r="60545" spans="1:27" x14ac:dyDescent="0.25">
      <c r="A60545" s="8"/>
      <c r="B60545" s="8"/>
      <c r="C60545" s="99"/>
      <c r="D60545" s="8"/>
      <c r="E60545" s="8"/>
      <c r="F60545" s="8"/>
      <c r="G60545" s="8"/>
      <c r="H60545" s="8"/>
      <c r="I60545" s="102"/>
      <c r="J60545" s="8"/>
      <c r="K60545" s="8"/>
      <c r="L60545" s="8"/>
      <c r="M60545" s="8"/>
      <c r="N60545" s="8"/>
      <c r="O60545" s="8"/>
      <c r="P60545" s="8"/>
      <c r="Q60545" s="8"/>
      <c r="R60545" s="103"/>
      <c r="S60545" s="8"/>
      <c r="T60545" s="8"/>
      <c r="U60545" s="8"/>
      <c r="V60545" s="8"/>
      <c r="W60545" s="8"/>
      <c r="X60545" s="8"/>
      <c r="Y60545" s="8"/>
      <c r="Z60545" s="8"/>
      <c r="AA60545" s="8"/>
    </row>
    <row r="60546" spans="1:27" x14ac:dyDescent="0.25">
      <c r="A60546" s="8"/>
      <c r="B60546" s="8"/>
      <c r="C60546" s="99"/>
      <c r="D60546" s="8"/>
      <c r="E60546" s="8"/>
      <c r="F60546" s="8"/>
      <c r="G60546" s="8"/>
      <c r="H60546" s="8"/>
      <c r="I60546" s="102"/>
      <c r="J60546" s="8"/>
      <c r="K60546" s="8"/>
      <c r="L60546" s="8"/>
      <c r="M60546" s="8"/>
      <c r="N60546" s="8"/>
      <c r="O60546" s="8"/>
      <c r="P60546" s="8"/>
      <c r="Q60546" s="8"/>
      <c r="R60546" s="103"/>
      <c r="S60546" s="8"/>
      <c r="T60546" s="8"/>
      <c r="U60546" s="8"/>
      <c r="V60546" s="8"/>
      <c r="W60546" s="8"/>
      <c r="X60546" s="8"/>
      <c r="Y60546" s="8"/>
      <c r="Z60546" s="8"/>
      <c r="AA60546" s="8"/>
    </row>
    <row r="60547" spans="1:27" x14ac:dyDescent="0.25">
      <c r="A60547" s="8"/>
      <c r="B60547" s="8"/>
      <c r="C60547" s="99"/>
      <c r="D60547" s="8"/>
      <c r="E60547" s="8"/>
      <c r="F60547" s="8"/>
      <c r="G60547" s="8"/>
      <c r="H60547" s="8"/>
      <c r="I60547" s="102"/>
      <c r="J60547" s="8"/>
      <c r="K60547" s="8"/>
      <c r="L60547" s="8"/>
      <c r="M60547" s="8"/>
      <c r="N60547" s="8"/>
      <c r="O60547" s="8"/>
      <c r="P60547" s="8"/>
      <c r="Q60547" s="8"/>
      <c r="R60547" s="103"/>
      <c r="S60547" s="8"/>
      <c r="T60547" s="8"/>
      <c r="U60547" s="8"/>
      <c r="V60547" s="8"/>
      <c r="W60547" s="8"/>
      <c r="X60547" s="8"/>
      <c r="Y60547" s="8"/>
      <c r="Z60547" s="8"/>
      <c r="AA60547" s="8"/>
    </row>
    <row r="60548" spans="1:27" x14ac:dyDescent="0.25">
      <c r="A60548" s="8"/>
      <c r="B60548" s="8"/>
      <c r="C60548" s="99"/>
      <c r="D60548" s="8"/>
      <c r="E60548" s="8"/>
      <c r="F60548" s="8"/>
      <c r="G60548" s="8"/>
      <c r="H60548" s="8"/>
      <c r="I60548" s="102"/>
      <c r="J60548" s="8"/>
      <c r="K60548" s="8"/>
      <c r="L60548" s="8"/>
      <c r="M60548" s="8"/>
      <c r="N60548" s="8"/>
      <c r="O60548" s="8"/>
      <c r="P60548" s="8"/>
      <c r="Q60548" s="8"/>
      <c r="R60548" s="103"/>
      <c r="S60548" s="8"/>
      <c r="T60548" s="8"/>
      <c r="U60548" s="8"/>
      <c r="V60548" s="8"/>
      <c r="W60548" s="8"/>
      <c r="X60548" s="8"/>
      <c r="Y60548" s="8"/>
      <c r="Z60548" s="8"/>
      <c r="AA60548" s="8"/>
    </row>
    <row r="60549" spans="1:27" x14ac:dyDescent="0.25">
      <c r="A60549" s="8"/>
      <c r="B60549" s="8"/>
      <c r="C60549" s="99"/>
      <c r="D60549" s="8"/>
      <c r="E60549" s="8"/>
      <c r="F60549" s="8"/>
      <c r="G60549" s="8"/>
      <c r="H60549" s="8"/>
      <c r="I60549" s="102"/>
      <c r="J60549" s="8"/>
      <c r="K60549" s="8"/>
      <c r="L60549" s="8"/>
      <c r="M60549" s="8"/>
      <c r="N60549" s="8"/>
      <c r="O60549" s="8"/>
      <c r="P60549" s="8"/>
      <c r="Q60549" s="8"/>
      <c r="R60549" s="103"/>
      <c r="S60549" s="8"/>
      <c r="T60549" s="8"/>
      <c r="U60549" s="8"/>
      <c r="V60549" s="8"/>
      <c r="W60549" s="8"/>
      <c r="X60549" s="8"/>
      <c r="Y60549" s="8"/>
      <c r="Z60549" s="8"/>
      <c r="AA60549" s="8"/>
    </row>
    <row r="60550" spans="1:27" x14ac:dyDescent="0.25">
      <c r="A60550" s="8"/>
      <c r="B60550" s="8"/>
      <c r="C60550" s="99"/>
      <c r="D60550" s="8"/>
      <c r="E60550" s="8"/>
      <c r="F60550" s="8"/>
      <c r="G60550" s="8"/>
      <c r="H60550" s="8"/>
      <c r="I60550" s="102"/>
      <c r="J60550" s="8"/>
      <c r="K60550" s="8"/>
      <c r="L60550" s="8"/>
      <c r="M60550" s="8"/>
      <c r="N60550" s="8"/>
      <c r="O60550" s="8"/>
      <c r="P60550" s="8"/>
      <c r="Q60550" s="8"/>
      <c r="R60550" s="103"/>
      <c r="S60550" s="8"/>
      <c r="T60550" s="8"/>
      <c r="U60550" s="8"/>
      <c r="V60550" s="8"/>
      <c r="W60550" s="8"/>
      <c r="X60550" s="8"/>
      <c r="Y60550" s="8"/>
      <c r="Z60550" s="8"/>
      <c r="AA60550" s="8"/>
    </row>
    <row r="60551" spans="1:27" x14ac:dyDescent="0.25">
      <c r="A60551" s="8"/>
      <c r="B60551" s="8"/>
      <c r="C60551" s="99"/>
      <c r="D60551" s="8"/>
      <c r="E60551" s="8"/>
      <c r="F60551" s="8"/>
      <c r="G60551" s="8"/>
      <c r="H60551" s="8"/>
      <c r="I60551" s="102"/>
      <c r="J60551" s="8"/>
      <c r="K60551" s="8"/>
      <c r="L60551" s="8"/>
      <c r="M60551" s="8"/>
      <c r="N60551" s="8"/>
      <c r="O60551" s="8"/>
      <c r="P60551" s="8"/>
      <c r="Q60551" s="8"/>
      <c r="R60551" s="103"/>
      <c r="S60551" s="8"/>
      <c r="T60551" s="8"/>
      <c r="U60551" s="8"/>
      <c r="V60551" s="8"/>
      <c r="W60551" s="8"/>
      <c r="X60551" s="8"/>
      <c r="Y60551" s="8"/>
      <c r="Z60551" s="8"/>
      <c r="AA60551" s="8"/>
    </row>
    <row r="60552" spans="1:27" x14ac:dyDescent="0.25">
      <c r="A60552" s="8"/>
      <c r="B60552" s="8"/>
      <c r="C60552" s="99"/>
      <c r="D60552" s="8"/>
      <c r="E60552" s="8"/>
      <c r="F60552" s="8"/>
      <c r="G60552" s="8"/>
      <c r="H60552" s="8"/>
      <c r="I60552" s="102"/>
      <c r="J60552" s="8"/>
      <c r="K60552" s="8"/>
      <c r="L60552" s="8"/>
      <c r="M60552" s="8"/>
      <c r="N60552" s="8"/>
      <c r="O60552" s="8"/>
      <c r="P60552" s="8"/>
      <c r="Q60552" s="8"/>
      <c r="R60552" s="103"/>
      <c r="S60552" s="8"/>
      <c r="T60552" s="8"/>
      <c r="U60552" s="8"/>
      <c r="V60552" s="8"/>
      <c r="W60552" s="8"/>
      <c r="X60552" s="8"/>
      <c r="Y60552" s="8"/>
      <c r="Z60552" s="8"/>
      <c r="AA60552" s="8"/>
    </row>
    <row r="60553" spans="1:27" x14ac:dyDescent="0.25">
      <c r="A60553" s="8"/>
      <c r="B60553" s="8"/>
      <c r="C60553" s="99"/>
      <c r="D60553" s="8"/>
      <c r="E60553" s="8"/>
      <c r="F60553" s="8"/>
      <c r="G60553" s="8"/>
      <c r="H60553" s="8"/>
      <c r="I60553" s="102"/>
      <c r="J60553" s="8"/>
      <c r="K60553" s="8"/>
      <c r="L60553" s="8"/>
      <c r="M60553" s="8"/>
      <c r="N60553" s="8"/>
      <c r="O60553" s="8"/>
      <c r="P60553" s="8"/>
      <c r="Q60553" s="8"/>
      <c r="R60553" s="103"/>
      <c r="S60553" s="8"/>
      <c r="T60553" s="8"/>
      <c r="U60553" s="8"/>
      <c r="V60553" s="8"/>
      <c r="W60553" s="8"/>
      <c r="X60553" s="8"/>
      <c r="Y60553" s="8"/>
      <c r="Z60553" s="8"/>
      <c r="AA60553" s="8"/>
    </row>
    <row r="60554" spans="1:27" x14ac:dyDescent="0.25">
      <c r="A60554" s="8"/>
      <c r="B60554" s="8"/>
      <c r="C60554" s="99"/>
      <c r="D60554" s="8"/>
      <c r="E60554" s="8"/>
      <c r="F60554" s="8"/>
      <c r="G60554" s="8"/>
      <c r="H60554" s="8"/>
      <c r="I60554" s="102"/>
      <c r="J60554" s="8"/>
      <c r="K60554" s="8"/>
      <c r="L60554" s="8"/>
      <c r="M60554" s="8"/>
      <c r="N60554" s="8"/>
      <c r="O60554" s="8"/>
      <c r="P60554" s="8"/>
      <c r="Q60554" s="8"/>
      <c r="R60554" s="103"/>
      <c r="S60554" s="8"/>
      <c r="T60554" s="8"/>
      <c r="U60554" s="8"/>
      <c r="V60554" s="8"/>
      <c r="W60554" s="8"/>
      <c r="X60554" s="8"/>
      <c r="Y60554" s="8"/>
      <c r="Z60554" s="8"/>
      <c r="AA60554" s="8"/>
    </row>
    <row r="60555" spans="1:27" x14ac:dyDescent="0.25">
      <c r="A60555" s="8"/>
      <c r="B60555" s="8"/>
      <c r="C60555" s="99"/>
      <c r="D60555" s="8"/>
      <c r="E60555" s="8"/>
      <c r="F60555" s="8"/>
      <c r="G60555" s="8"/>
      <c r="H60555" s="8"/>
      <c r="I60555" s="102"/>
      <c r="J60555" s="8"/>
      <c r="K60555" s="8"/>
      <c r="L60555" s="8"/>
      <c r="M60555" s="8"/>
      <c r="N60555" s="8"/>
      <c r="O60555" s="8"/>
      <c r="P60555" s="8"/>
      <c r="Q60555" s="8"/>
      <c r="R60555" s="103"/>
      <c r="S60555" s="8"/>
      <c r="T60555" s="8"/>
      <c r="U60555" s="8"/>
      <c r="V60555" s="8"/>
      <c r="W60555" s="8"/>
      <c r="X60555" s="8"/>
      <c r="Y60555" s="8"/>
      <c r="Z60555" s="8"/>
      <c r="AA60555" s="8"/>
    </row>
    <row r="60556" spans="1:27" x14ac:dyDescent="0.25">
      <c r="A60556" s="8"/>
      <c r="B60556" s="8"/>
      <c r="C60556" s="99"/>
      <c r="D60556" s="8"/>
      <c r="E60556" s="8"/>
      <c r="F60556" s="8"/>
      <c r="G60556" s="8"/>
      <c r="H60556" s="8"/>
      <c r="I60556" s="102"/>
      <c r="J60556" s="8"/>
      <c r="K60556" s="8"/>
      <c r="L60556" s="8"/>
      <c r="M60556" s="8"/>
      <c r="N60556" s="8"/>
      <c r="O60556" s="8"/>
      <c r="P60556" s="8"/>
      <c r="Q60556" s="8"/>
      <c r="R60556" s="103"/>
      <c r="S60556" s="8"/>
      <c r="T60556" s="8"/>
      <c r="U60556" s="8"/>
      <c r="V60556" s="8"/>
      <c r="W60556" s="8"/>
      <c r="X60556" s="8"/>
      <c r="Y60556" s="8"/>
      <c r="Z60556" s="8"/>
      <c r="AA60556" s="8"/>
    </row>
    <row r="60557" spans="1:27" x14ac:dyDescent="0.25">
      <c r="A60557" s="8"/>
      <c r="B60557" s="8"/>
      <c r="C60557" s="99"/>
      <c r="D60557" s="8"/>
      <c r="E60557" s="8"/>
      <c r="F60557" s="8"/>
      <c r="G60557" s="8"/>
      <c r="H60557" s="8"/>
      <c r="I60557" s="102"/>
      <c r="J60557" s="8"/>
      <c r="K60557" s="8"/>
      <c r="L60557" s="8"/>
      <c r="M60557" s="8"/>
      <c r="N60557" s="8"/>
      <c r="O60557" s="8"/>
      <c r="P60557" s="8"/>
      <c r="Q60557" s="8"/>
      <c r="R60557" s="103"/>
      <c r="S60557" s="8"/>
      <c r="T60557" s="8"/>
      <c r="U60557" s="8"/>
      <c r="V60557" s="8"/>
      <c r="W60557" s="8"/>
      <c r="X60557" s="8"/>
      <c r="Y60557" s="8"/>
      <c r="Z60557" s="8"/>
      <c r="AA60557" s="8"/>
    </row>
    <row r="60558" spans="1:27" x14ac:dyDescent="0.25">
      <c r="A60558" s="8"/>
      <c r="B60558" s="8"/>
      <c r="C60558" s="99"/>
      <c r="D60558" s="8"/>
      <c r="E60558" s="8"/>
      <c r="F60558" s="8"/>
      <c r="G60558" s="8"/>
      <c r="H60558" s="8"/>
      <c r="I60558" s="102"/>
      <c r="J60558" s="8"/>
      <c r="K60558" s="8"/>
      <c r="L60558" s="8"/>
      <c r="M60558" s="8"/>
      <c r="N60558" s="8"/>
      <c r="O60558" s="8"/>
      <c r="P60558" s="8"/>
      <c r="Q60558" s="8"/>
      <c r="R60558" s="103"/>
      <c r="S60558" s="8"/>
      <c r="T60558" s="8"/>
      <c r="U60558" s="8"/>
      <c r="V60558" s="8"/>
      <c r="W60558" s="8"/>
      <c r="X60558" s="8"/>
      <c r="Y60558" s="8"/>
      <c r="Z60558" s="8"/>
      <c r="AA60558" s="8"/>
    </row>
    <row r="60559" spans="1:27" x14ac:dyDescent="0.25">
      <c r="A60559" s="8"/>
      <c r="B60559" s="8"/>
      <c r="C60559" s="99"/>
      <c r="D60559" s="8"/>
      <c r="E60559" s="8"/>
      <c r="F60559" s="8"/>
      <c r="G60559" s="8"/>
      <c r="H60559" s="8"/>
      <c r="I60559" s="102"/>
      <c r="J60559" s="8"/>
      <c r="K60559" s="8"/>
      <c r="L60559" s="8"/>
      <c r="M60559" s="8"/>
      <c r="N60559" s="8"/>
      <c r="O60559" s="8"/>
      <c r="P60559" s="8"/>
      <c r="Q60559" s="8"/>
      <c r="R60559" s="103"/>
      <c r="S60559" s="8"/>
      <c r="T60559" s="8"/>
      <c r="U60559" s="8"/>
      <c r="V60559" s="8"/>
      <c r="W60559" s="8"/>
      <c r="X60559" s="8"/>
      <c r="Y60559" s="8"/>
      <c r="Z60559" s="8"/>
      <c r="AA60559" s="8"/>
    </row>
    <row r="60560" spans="1:27" x14ac:dyDescent="0.25">
      <c r="A60560" s="8"/>
      <c r="B60560" s="8"/>
      <c r="C60560" s="99"/>
      <c r="D60560" s="8"/>
      <c r="E60560" s="8"/>
      <c r="F60560" s="8"/>
      <c r="G60560" s="8"/>
      <c r="H60560" s="8"/>
      <c r="I60560" s="102"/>
      <c r="J60560" s="8"/>
      <c r="K60560" s="8"/>
      <c r="L60560" s="8"/>
      <c r="M60560" s="8"/>
      <c r="N60560" s="8"/>
      <c r="O60560" s="8"/>
      <c r="P60560" s="8"/>
      <c r="Q60560" s="8"/>
      <c r="R60560" s="103"/>
      <c r="S60560" s="8"/>
      <c r="T60560" s="8"/>
      <c r="U60560" s="8"/>
      <c r="V60560" s="8"/>
      <c r="W60560" s="8"/>
      <c r="X60560" s="8"/>
      <c r="Y60560" s="8"/>
      <c r="Z60560" s="8"/>
      <c r="AA60560" s="8"/>
    </row>
    <row r="60561" spans="1:27" x14ac:dyDescent="0.25">
      <c r="A60561" s="8"/>
      <c r="B60561" s="8"/>
      <c r="C60561" s="99"/>
      <c r="D60561" s="8"/>
      <c r="E60561" s="8"/>
      <c r="F60561" s="8"/>
      <c r="G60561" s="8"/>
      <c r="H60561" s="8"/>
      <c r="I60561" s="102"/>
      <c r="J60561" s="8"/>
      <c r="K60561" s="8"/>
      <c r="L60561" s="8"/>
      <c r="M60561" s="8"/>
      <c r="N60561" s="8"/>
      <c r="O60561" s="8"/>
      <c r="P60561" s="8"/>
      <c r="Q60561" s="8"/>
      <c r="R60561" s="103"/>
      <c r="S60561" s="8"/>
      <c r="T60561" s="8"/>
      <c r="U60561" s="8"/>
      <c r="V60561" s="8"/>
      <c r="W60561" s="8"/>
      <c r="X60561" s="8"/>
      <c r="Y60561" s="8"/>
      <c r="Z60561" s="8"/>
      <c r="AA60561" s="8"/>
    </row>
    <row r="60562" spans="1:27" x14ac:dyDescent="0.25">
      <c r="A60562" s="8"/>
      <c r="B60562" s="8"/>
      <c r="C60562" s="99"/>
      <c r="D60562" s="8"/>
      <c r="E60562" s="8"/>
      <c r="F60562" s="8"/>
      <c r="G60562" s="8"/>
      <c r="H60562" s="8"/>
      <c r="I60562" s="102"/>
      <c r="J60562" s="8"/>
      <c r="K60562" s="8"/>
      <c r="L60562" s="8"/>
      <c r="M60562" s="8"/>
      <c r="N60562" s="8"/>
      <c r="O60562" s="8"/>
      <c r="P60562" s="8"/>
      <c r="Q60562" s="8"/>
      <c r="R60562" s="103"/>
      <c r="S60562" s="8"/>
      <c r="T60562" s="8"/>
      <c r="U60562" s="8"/>
      <c r="V60562" s="8"/>
      <c r="W60562" s="8"/>
      <c r="X60562" s="8"/>
      <c r="Y60562" s="8"/>
      <c r="Z60562" s="8"/>
      <c r="AA60562" s="8"/>
    </row>
    <row r="60563" spans="1:27" x14ac:dyDescent="0.25">
      <c r="A60563" s="8"/>
      <c r="B60563" s="8"/>
      <c r="C60563" s="99"/>
      <c r="D60563" s="8"/>
      <c r="E60563" s="8"/>
      <c r="F60563" s="8"/>
      <c r="G60563" s="8"/>
      <c r="H60563" s="8"/>
      <c r="I60563" s="102"/>
      <c r="J60563" s="8"/>
      <c r="K60563" s="8"/>
      <c r="L60563" s="8"/>
      <c r="M60563" s="8"/>
      <c r="N60563" s="8"/>
      <c r="O60563" s="8"/>
      <c r="P60563" s="8"/>
      <c r="Q60563" s="8"/>
      <c r="R60563" s="103"/>
      <c r="S60563" s="8"/>
      <c r="T60563" s="8"/>
      <c r="U60563" s="8"/>
      <c r="V60563" s="8"/>
      <c r="W60563" s="8"/>
      <c r="X60563" s="8"/>
      <c r="Y60563" s="8"/>
      <c r="Z60563" s="8"/>
      <c r="AA60563" s="8"/>
    </row>
    <row r="60564" spans="1:27" x14ac:dyDescent="0.25">
      <c r="A60564" s="8"/>
      <c r="B60564" s="8"/>
      <c r="C60564" s="99"/>
      <c r="D60564" s="8"/>
      <c r="E60564" s="8"/>
      <c r="F60564" s="8"/>
      <c r="G60564" s="8"/>
      <c r="H60564" s="8"/>
      <c r="I60564" s="102"/>
      <c r="J60564" s="8"/>
      <c r="K60564" s="8"/>
      <c r="L60564" s="8"/>
      <c r="M60564" s="8"/>
      <c r="N60564" s="8"/>
      <c r="O60564" s="8"/>
      <c r="P60564" s="8"/>
      <c r="Q60564" s="8"/>
      <c r="R60564" s="103"/>
      <c r="S60564" s="8"/>
      <c r="T60564" s="8"/>
      <c r="U60564" s="8"/>
      <c r="V60564" s="8"/>
      <c r="W60564" s="8"/>
      <c r="X60564" s="8"/>
      <c r="Y60564" s="8"/>
      <c r="Z60564" s="8"/>
      <c r="AA60564" s="8"/>
    </row>
    <row r="60565" spans="1:27" x14ac:dyDescent="0.25">
      <c r="A60565" s="8"/>
      <c r="B60565" s="8"/>
      <c r="C60565" s="99"/>
      <c r="D60565" s="8"/>
      <c r="E60565" s="8"/>
      <c r="F60565" s="8"/>
      <c r="G60565" s="8"/>
      <c r="H60565" s="8"/>
      <c r="I60565" s="102"/>
      <c r="J60565" s="8"/>
      <c r="K60565" s="8"/>
      <c r="L60565" s="8"/>
      <c r="M60565" s="8"/>
      <c r="N60565" s="8"/>
      <c r="O60565" s="8"/>
      <c r="P60565" s="8"/>
      <c r="Q60565" s="8"/>
      <c r="R60565" s="103"/>
      <c r="S60565" s="8"/>
      <c r="T60565" s="8"/>
      <c r="U60565" s="8"/>
      <c r="V60565" s="8"/>
      <c r="W60565" s="8"/>
      <c r="X60565" s="8"/>
      <c r="Y60565" s="8"/>
      <c r="Z60565" s="8"/>
      <c r="AA60565" s="8"/>
    </row>
    <row r="60566" spans="1:27" x14ac:dyDescent="0.25">
      <c r="A60566" s="8"/>
      <c r="B60566" s="8"/>
      <c r="C60566" s="99"/>
      <c r="D60566" s="8"/>
      <c r="E60566" s="8"/>
      <c r="F60566" s="8"/>
      <c r="G60566" s="8"/>
      <c r="H60566" s="8"/>
      <c r="I60566" s="102"/>
      <c r="J60566" s="8"/>
      <c r="K60566" s="8"/>
      <c r="L60566" s="8"/>
      <c r="M60566" s="8"/>
      <c r="N60566" s="8"/>
      <c r="O60566" s="8"/>
      <c r="P60566" s="8"/>
      <c r="Q60566" s="8"/>
      <c r="R60566" s="103"/>
      <c r="S60566" s="8"/>
      <c r="T60566" s="8"/>
      <c r="U60566" s="8"/>
      <c r="V60566" s="8"/>
      <c r="W60566" s="8"/>
      <c r="X60566" s="8"/>
      <c r="Y60566" s="8"/>
      <c r="Z60566" s="8"/>
      <c r="AA60566" s="8"/>
    </row>
    <row r="60567" spans="1:27" x14ac:dyDescent="0.25">
      <c r="A60567" s="8"/>
      <c r="B60567" s="8"/>
      <c r="C60567" s="99"/>
      <c r="D60567" s="8"/>
      <c r="E60567" s="8"/>
      <c r="F60567" s="8"/>
      <c r="G60567" s="8"/>
      <c r="H60567" s="8"/>
      <c r="I60567" s="102"/>
      <c r="J60567" s="8"/>
      <c r="K60567" s="8"/>
      <c r="L60567" s="8"/>
      <c r="M60567" s="8"/>
      <c r="N60567" s="8"/>
      <c r="O60567" s="8"/>
      <c r="P60567" s="8"/>
      <c r="Q60567" s="8"/>
      <c r="R60567" s="103"/>
      <c r="S60567" s="8"/>
      <c r="T60567" s="8"/>
      <c r="U60567" s="8"/>
      <c r="V60567" s="8"/>
      <c r="W60567" s="8"/>
      <c r="X60567" s="8"/>
      <c r="Y60567" s="8"/>
      <c r="Z60567" s="8"/>
      <c r="AA60567" s="8"/>
    </row>
    <row r="60568" spans="1:27" x14ac:dyDescent="0.25">
      <c r="A60568" s="8"/>
      <c r="B60568" s="8"/>
      <c r="C60568" s="99"/>
      <c r="D60568" s="8"/>
      <c r="E60568" s="8"/>
      <c r="F60568" s="8"/>
      <c r="G60568" s="8"/>
      <c r="H60568" s="8"/>
      <c r="I60568" s="102"/>
      <c r="J60568" s="8"/>
      <c r="K60568" s="8"/>
      <c r="L60568" s="8"/>
      <c r="M60568" s="8"/>
      <c r="N60568" s="8"/>
      <c r="O60568" s="8"/>
      <c r="P60568" s="8"/>
      <c r="Q60568" s="8"/>
      <c r="R60568" s="103"/>
      <c r="S60568" s="8"/>
      <c r="T60568" s="8"/>
      <c r="U60568" s="8"/>
      <c r="V60568" s="8"/>
      <c r="W60568" s="8"/>
      <c r="X60568" s="8"/>
      <c r="Y60568" s="8"/>
      <c r="Z60568" s="8"/>
      <c r="AA60568" s="8"/>
    </row>
    <row r="60569" spans="1:27" x14ac:dyDescent="0.25">
      <c r="A60569" s="8"/>
      <c r="B60569" s="8"/>
      <c r="C60569" s="99"/>
      <c r="D60569" s="8"/>
      <c r="E60569" s="8"/>
      <c r="F60569" s="8"/>
      <c r="G60569" s="8"/>
      <c r="H60569" s="8"/>
      <c r="I60569" s="102"/>
      <c r="J60569" s="8"/>
      <c r="K60569" s="8"/>
      <c r="L60569" s="8"/>
      <c r="M60569" s="8"/>
      <c r="N60569" s="8"/>
      <c r="O60569" s="8"/>
      <c r="P60569" s="8"/>
      <c r="Q60569" s="8"/>
      <c r="R60569" s="103"/>
      <c r="S60569" s="8"/>
      <c r="T60569" s="8"/>
      <c r="U60569" s="8"/>
      <c r="V60569" s="8"/>
      <c r="W60569" s="8"/>
      <c r="X60569" s="8"/>
      <c r="Y60569" s="8"/>
      <c r="Z60569" s="8"/>
      <c r="AA60569" s="8"/>
    </row>
    <row r="60570" spans="1:27" x14ac:dyDescent="0.25">
      <c r="A60570" s="8"/>
      <c r="B60570" s="8"/>
      <c r="C60570" s="99"/>
      <c r="D60570" s="8"/>
      <c r="E60570" s="8"/>
      <c r="F60570" s="8"/>
      <c r="G60570" s="8"/>
      <c r="H60570" s="8"/>
      <c r="I60570" s="102"/>
      <c r="J60570" s="8"/>
      <c r="K60570" s="8"/>
      <c r="L60570" s="8"/>
      <c r="M60570" s="8"/>
      <c r="N60570" s="8"/>
      <c r="O60570" s="8"/>
      <c r="P60570" s="8"/>
      <c r="Q60570" s="8"/>
      <c r="R60570" s="103"/>
      <c r="S60570" s="8"/>
      <c r="T60570" s="8"/>
      <c r="U60570" s="8"/>
      <c r="V60570" s="8"/>
      <c r="W60570" s="8"/>
      <c r="X60570" s="8"/>
      <c r="Y60570" s="8"/>
      <c r="Z60570" s="8"/>
      <c r="AA60570" s="8"/>
    </row>
    <row r="60571" spans="1:27" x14ac:dyDescent="0.25">
      <c r="A60571" s="8"/>
      <c r="B60571" s="8"/>
      <c r="C60571" s="99"/>
      <c r="D60571" s="8"/>
      <c r="E60571" s="8"/>
      <c r="F60571" s="8"/>
      <c r="G60571" s="8"/>
      <c r="H60571" s="8"/>
      <c r="I60571" s="102"/>
      <c r="J60571" s="8"/>
      <c r="K60571" s="8"/>
      <c r="L60571" s="8"/>
      <c r="M60571" s="8"/>
      <c r="N60571" s="8"/>
      <c r="O60571" s="8"/>
      <c r="P60571" s="8"/>
      <c r="Q60571" s="8"/>
      <c r="R60571" s="103"/>
      <c r="S60571" s="8"/>
      <c r="T60571" s="8"/>
      <c r="U60571" s="8"/>
      <c r="V60571" s="8"/>
      <c r="W60571" s="8"/>
      <c r="X60571" s="8"/>
      <c r="Y60571" s="8"/>
      <c r="Z60571" s="8"/>
      <c r="AA60571" s="8"/>
    </row>
    <row r="60572" spans="1:27" x14ac:dyDescent="0.25">
      <c r="A60572" s="8"/>
      <c r="B60572" s="8"/>
      <c r="C60572" s="99"/>
      <c r="D60572" s="8"/>
      <c r="E60572" s="8"/>
      <c r="F60572" s="8"/>
      <c r="G60572" s="8"/>
      <c r="H60572" s="8"/>
      <c r="I60572" s="102"/>
      <c r="J60572" s="8"/>
      <c r="K60572" s="8"/>
      <c r="L60572" s="8"/>
      <c r="M60572" s="8"/>
      <c r="N60572" s="8"/>
      <c r="O60572" s="8"/>
      <c r="P60572" s="8"/>
      <c r="Q60572" s="8"/>
      <c r="R60572" s="103"/>
      <c r="S60572" s="8"/>
      <c r="T60572" s="8"/>
      <c r="U60572" s="8"/>
      <c r="V60572" s="8"/>
      <c r="W60572" s="8"/>
      <c r="X60572" s="8"/>
      <c r="Y60572" s="8"/>
      <c r="Z60572" s="8"/>
      <c r="AA60572" s="8"/>
    </row>
    <row r="60573" spans="1:27" x14ac:dyDescent="0.25">
      <c r="A60573" s="8"/>
      <c r="B60573" s="8"/>
      <c r="C60573" s="99"/>
      <c r="D60573" s="8"/>
      <c r="E60573" s="8"/>
      <c r="F60573" s="8"/>
      <c r="G60573" s="8"/>
      <c r="H60573" s="8"/>
      <c r="I60573" s="102"/>
      <c r="J60573" s="8"/>
      <c r="K60573" s="8"/>
      <c r="L60573" s="8"/>
      <c r="M60573" s="8"/>
      <c r="N60573" s="8"/>
      <c r="O60573" s="8"/>
      <c r="P60573" s="8"/>
      <c r="Q60573" s="8"/>
      <c r="R60573" s="103"/>
      <c r="S60573" s="8"/>
      <c r="T60573" s="8"/>
      <c r="U60573" s="8"/>
      <c r="V60573" s="8"/>
      <c r="W60573" s="8"/>
      <c r="X60573" s="8"/>
      <c r="Y60573" s="8"/>
      <c r="Z60573" s="8"/>
      <c r="AA60573" s="8"/>
    </row>
    <row r="60574" spans="1:27" x14ac:dyDescent="0.25">
      <c r="A60574" s="8"/>
      <c r="B60574" s="8"/>
      <c r="C60574" s="99"/>
      <c r="D60574" s="8"/>
      <c r="E60574" s="8"/>
      <c r="F60574" s="8"/>
      <c r="G60574" s="8"/>
      <c r="H60574" s="8"/>
      <c r="I60574" s="102"/>
      <c r="J60574" s="8"/>
      <c r="K60574" s="8"/>
      <c r="L60574" s="8"/>
      <c r="M60574" s="8"/>
      <c r="N60574" s="8"/>
      <c r="O60574" s="8"/>
      <c r="P60574" s="8"/>
      <c r="Q60574" s="8"/>
      <c r="R60574" s="103"/>
      <c r="S60574" s="8"/>
      <c r="T60574" s="8"/>
      <c r="U60574" s="8"/>
      <c r="V60574" s="8"/>
      <c r="W60574" s="8"/>
      <c r="X60574" s="8"/>
      <c r="Y60574" s="8"/>
      <c r="Z60574" s="8"/>
      <c r="AA60574" s="8"/>
    </row>
    <row r="60575" spans="1:27" x14ac:dyDescent="0.25">
      <c r="A60575" s="8"/>
      <c r="B60575" s="8"/>
      <c r="C60575" s="99"/>
      <c r="D60575" s="8"/>
      <c r="E60575" s="8"/>
      <c r="F60575" s="8"/>
      <c r="G60575" s="8"/>
      <c r="H60575" s="8"/>
      <c r="I60575" s="102"/>
      <c r="J60575" s="8"/>
      <c r="K60575" s="8"/>
      <c r="L60575" s="8"/>
      <c r="M60575" s="8"/>
      <c r="N60575" s="8"/>
      <c r="O60575" s="8"/>
      <c r="P60575" s="8"/>
      <c r="Q60575" s="8"/>
      <c r="R60575" s="103"/>
      <c r="S60575" s="8"/>
      <c r="T60575" s="8"/>
      <c r="U60575" s="8"/>
      <c r="V60575" s="8"/>
      <c r="W60575" s="8"/>
      <c r="X60575" s="8"/>
      <c r="Y60575" s="8"/>
      <c r="Z60575" s="8"/>
      <c r="AA60575" s="8"/>
    </row>
    <row r="60576" spans="1:27" x14ac:dyDescent="0.25">
      <c r="A60576" s="8"/>
      <c r="B60576" s="8"/>
      <c r="C60576" s="99"/>
      <c r="D60576" s="8"/>
      <c r="E60576" s="8"/>
      <c r="F60576" s="8"/>
      <c r="G60576" s="8"/>
      <c r="H60576" s="8"/>
      <c r="I60576" s="102"/>
      <c r="J60576" s="8"/>
      <c r="K60576" s="8"/>
      <c r="L60576" s="8"/>
      <c r="M60576" s="8"/>
      <c r="N60576" s="8"/>
      <c r="O60576" s="8"/>
      <c r="P60576" s="8"/>
      <c r="Q60576" s="8"/>
      <c r="R60576" s="103"/>
      <c r="S60576" s="8"/>
      <c r="T60576" s="8"/>
      <c r="U60576" s="8"/>
      <c r="V60576" s="8"/>
      <c r="W60576" s="8"/>
      <c r="X60576" s="8"/>
      <c r="Y60576" s="8"/>
      <c r="Z60576" s="8"/>
      <c r="AA60576" s="8"/>
    </row>
    <row r="60577" spans="1:27" x14ac:dyDescent="0.25">
      <c r="A60577" s="8"/>
      <c r="B60577" s="8"/>
      <c r="C60577" s="99"/>
      <c r="D60577" s="8"/>
      <c r="E60577" s="8"/>
      <c r="F60577" s="8"/>
      <c r="G60577" s="8"/>
      <c r="H60577" s="8"/>
      <c r="I60577" s="102"/>
      <c r="J60577" s="8"/>
      <c r="K60577" s="8"/>
      <c r="L60577" s="8"/>
      <c r="M60577" s="8"/>
      <c r="N60577" s="8"/>
      <c r="O60577" s="8"/>
      <c r="P60577" s="8"/>
      <c r="Q60577" s="8"/>
      <c r="R60577" s="103"/>
      <c r="S60577" s="8"/>
      <c r="T60577" s="8"/>
      <c r="U60577" s="8"/>
      <c r="V60577" s="8"/>
      <c r="W60577" s="8"/>
      <c r="X60577" s="8"/>
      <c r="Y60577" s="8"/>
      <c r="Z60577" s="8"/>
      <c r="AA60577" s="8"/>
    </row>
    <row r="60578" spans="1:27" x14ac:dyDescent="0.25">
      <c r="A60578" s="8"/>
      <c r="B60578" s="8"/>
      <c r="C60578" s="99"/>
      <c r="D60578" s="8"/>
      <c r="E60578" s="8"/>
      <c r="F60578" s="8"/>
      <c r="G60578" s="8"/>
      <c r="H60578" s="8"/>
      <c r="I60578" s="102"/>
      <c r="J60578" s="8"/>
      <c r="K60578" s="8"/>
      <c r="L60578" s="8"/>
      <c r="M60578" s="8"/>
      <c r="N60578" s="8"/>
      <c r="O60578" s="8"/>
      <c r="P60578" s="8"/>
      <c r="Q60578" s="8"/>
      <c r="R60578" s="103"/>
      <c r="S60578" s="8"/>
      <c r="T60578" s="8"/>
      <c r="U60578" s="8"/>
      <c r="V60578" s="8"/>
      <c r="W60578" s="8"/>
      <c r="X60578" s="8"/>
      <c r="Y60578" s="8"/>
      <c r="Z60578" s="8"/>
      <c r="AA60578" s="8"/>
    </row>
    <row r="60579" spans="1:27" x14ac:dyDescent="0.25">
      <c r="A60579" s="8"/>
      <c r="B60579" s="8"/>
      <c r="C60579" s="99"/>
      <c r="D60579" s="8"/>
      <c r="E60579" s="8"/>
      <c r="F60579" s="8"/>
      <c r="G60579" s="8"/>
      <c r="H60579" s="8"/>
      <c r="I60579" s="102"/>
      <c r="J60579" s="8"/>
      <c r="K60579" s="8"/>
      <c r="L60579" s="8"/>
      <c r="M60579" s="8"/>
      <c r="N60579" s="8"/>
      <c r="O60579" s="8"/>
      <c r="P60579" s="8"/>
      <c r="Q60579" s="8"/>
      <c r="R60579" s="103"/>
      <c r="S60579" s="8"/>
      <c r="T60579" s="8"/>
      <c r="U60579" s="8"/>
      <c r="V60579" s="8"/>
      <c r="W60579" s="8"/>
      <c r="X60579" s="8"/>
      <c r="Y60579" s="8"/>
      <c r="Z60579" s="8"/>
      <c r="AA60579" s="8"/>
    </row>
    <row r="60580" spans="1:27" x14ac:dyDescent="0.25">
      <c r="A60580" s="8"/>
      <c r="B60580" s="8"/>
      <c r="C60580" s="99"/>
      <c r="D60580" s="8"/>
      <c r="E60580" s="8"/>
      <c r="F60580" s="8"/>
      <c r="G60580" s="8"/>
      <c r="H60580" s="8"/>
      <c r="I60580" s="102"/>
      <c r="J60580" s="8"/>
      <c r="K60580" s="8"/>
      <c r="L60580" s="8"/>
      <c r="M60580" s="8"/>
      <c r="N60580" s="8"/>
      <c r="O60580" s="8"/>
      <c r="P60580" s="8"/>
      <c r="Q60580" s="8"/>
      <c r="R60580" s="103"/>
      <c r="S60580" s="8"/>
      <c r="T60580" s="8"/>
      <c r="U60580" s="8"/>
      <c r="V60580" s="8"/>
      <c r="W60580" s="8"/>
      <c r="X60580" s="8"/>
      <c r="Y60580" s="8"/>
      <c r="Z60580" s="8"/>
      <c r="AA60580" s="8"/>
    </row>
    <row r="60581" spans="1:27" x14ac:dyDescent="0.25">
      <c r="A60581" s="8"/>
      <c r="B60581" s="8"/>
      <c r="C60581" s="99"/>
      <c r="D60581" s="8"/>
      <c r="E60581" s="8"/>
      <c r="F60581" s="8"/>
      <c r="G60581" s="8"/>
      <c r="H60581" s="8"/>
      <c r="I60581" s="102"/>
      <c r="J60581" s="8"/>
      <c r="K60581" s="8"/>
      <c r="L60581" s="8"/>
      <c r="M60581" s="8"/>
      <c r="N60581" s="8"/>
      <c r="O60581" s="8"/>
      <c r="P60581" s="8"/>
      <c r="Q60581" s="8"/>
      <c r="R60581" s="103"/>
      <c r="S60581" s="8"/>
      <c r="T60581" s="8"/>
      <c r="U60581" s="8"/>
      <c r="V60581" s="8"/>
      <c r="W60581" s="8"/>
      <c r="X60581" s="8"/>
      <c r="Y60581" s="8"/>
      <c r="Z60581" s="8"/>
      <c r="AA60581" s="8"/>
    </row>
    <row r="60582" spans="1:27" x14ac:dyDescent="0.25">
      <c r="A60582" s="8"/>
      <c r="B60582" s="8"/>
      <c r="C60582" s="99"/>
      <c r="D60582" s="8"/>
      <c r="E60582" s="8"/>
      <c r="F60582" s="8"/>
      <c r="G60582" s="8"/>
      <c r="H60582" s="8"/>
      <c r="I60582" s="102"/>
      <c r="J60582" s="8"/>
      <c r="K60582" s="8"/>
      <c r="L60582" s="8"/>
      <c r="M60582" s="8"/>
      <c r="N60582" s="8"/>
      <c r="O60582" s="8"/>
      <c r="P60582" s="8"/>
      <c r="Q60582" s="8"/>
      <c r="R60582" s="103"/>
      <c r="S60582" s="8"/>
      <c r="T60582" s="8"/>
      <c r="U60582" s="8"/>
      <c r="V60582" s="8"/>
      <c r="W60582" s="8"/>
      <c r="X60582" s="8"/>
      <c r="Y60582" s="8"/>
      <c r="Z60582" s="8"/>
      <c r="AA60582" s="8"/>
    </row>
    <row r="60583" spans="1:27" x14ac:dyDescent="0.25">
      <c r="A60583" s="8"/>
      <c r="B60583" s="8"/>
      <c r="C60583" s="99"/>
      <c r="D60583" s="8"/>
      <c r="E60583" s="8"/>
      <c r="F60583" s="8"/>
      <c r="G60583" s="8"/>
      <c r="H60583" s="8"/>
      <c r="I60583" s="102"/>
      <c r="J60583" s="8"/>
      <c r="K60583" s="8"/>
      <c r="L60583" s="8"/>
      <c r="M60583" s="8"/>
      <c r="N60583" s="8"/>
      <c r="O60583" s="8"/>
      <c r="P60583" s="8"/>
      <c r="Q60583" s="8"/>
      <c r="R60583" s="103"/>
      <c r="S60583" s="8"/>
      <c r="T60583" s="8"/>
      <c r="U60583" s="8"/>
      <c r="V60583" s="8"/>
      <c r="W60583" s="8"/>
      <c r="X60583" s="8"/>
      <c r="Y60583" s="8"/>
      <c r="Z60583" s="8"/>
      <c r="AA60583" s="8"/>
    </row>
    <row r="60584" spans="1:27" x14ac:dyDescent="0.25">
      <c r="A60584" s="8"/>
      <c r="B60584" s="8"/>
      <c r="C60584" s="99"/>
      <c r="D60584" s="8"/>
      <c r="E60584" s="8"/>
      <c r="F60584" s="8"/>
      <c r="G60584" s="8"/>
      <c r="H60584" s="8"/>
      <c r="I60584" s="102"/>
      <c r="J60584" s="8"/>
      <c r="K60584" s="8"/>
      <c r="L60584" s="8"/>
      <c r="M60584" s="8"/>
      <c r="N60584" s="8"/>
      <c r="O60584" s="8"/>
      <c r="P60584" s="8"/>
      <c r="Q60584" s="8"/>
      <c r="R60584" s="103"/>
      <c r="S60584" s="8"/>
      <c r="T60584" s="8"/>
      <c r="U60584" s="8"/>
      <c r="V60584" s="8"/>
      <c r="W60584" s="8"/>
      <c r="X60584" s="8"/>
      <c r="Y60584" s="8"/>
      <c r="Z60584" s="8"/>
      <c r="AA60584" s="8"/>
    </row>
    <row r="60585" spans="1:27" x14ac:dyDescent="0.25">
      <c r="A60585" s="8"/>
      <c r="B60585" s="8"/>
      <c r="C60585" s="99"/>
      <c r="D60585" s="8"/>
      <c r="E60585" s="8"/>
      <c r="F60585" s="8"/>
      <c r="G60585" s="8"/>
      <c r="H60585" s="8"/>
      <c r="I60585" s="102"/>
      <c r="J60585" s="8"/>
      <c r="K60585" s="8"/>
      <c r="L60585" s="8"/>
      <c r="M60585" s="8"/>
      <c r="N60585" s="8"/>
      <c r="O60585" s="8"/>
      <c r="P60585" s="8"/>
      <c r="Q60585" s="8"/>
      <c r="R60585" s="103"/>
      <c r="S60585" s="8"/>
      <c r="T60585" s="8"/>
      <c r="U60585" s="8"/>
      <c r="V60585" s="8"/>
      <c r="W60585" s="8"/>
      <c r="X60585" s="8"/>
      <c r="Y60585" s="8"/>
      <c r="Z60585" s="8"/>
      <c r="AA60585" s="8"/>
    </row>
    <row r="60586" spans="1:27" x14ac:dyDescent="0.25">
      <c r="A60586" s="8"/>
      <c r="B60586" s="8"/>
      <c r="C60586" s="99"/>
      <c r="D60586" s="8"/>
      <c r="E60586" s="8"/>
      <c r="F60586" s="8"/>
      <c r="G60586" s="8"/>
      <c r="H60586" s="8"/>
      <c r="I60586" s="102"/>
      <c r="J60586" s="8"/>
      <c r="K60586" s="8"/>
      <c r="L60586" s="8"/>
      <c r="M60586" s="8"/>
      <c r="N60586" s="8"/>
      <c r="O60586" s="8"/>
      <c r="P60586" s="8"/>
      <c r="Q60586" s="8"/>
      <c r="R60586" s="103"/>
      <c r="S60586" s="8"/>
      <c r="T60586" s="8"/>
      <c r="U60586" s="8"/>
      <c r="V60586" s="8"/>
      <c r="W60586" s="8"/>
      <c r="X60586" s="8"/>
      <c r="Y60586" s="8"/>
      <c r="Z60586" s="8"/>
      <c r="AA60586" s="8"/>
    </row>
    <row r="60587" spans="1:27" x14ac:dyDescent="0.25">
      <c r="A60587" s="8"/>
      <c r="B60587" s="8"/>
      <c r="C60587" s="99"/>
      <c r="D60587" s="8"/>
      <c r="E60587" s="8"/>
      <c r="F60587" s="8"/>
      <c r="G60587" s="8"/>
      <c r="H60587" s="8"/>
      <c r="I60587" s="102"/>
      <c r="J60587" s="8"/>
      <c r="K60587" s="8"/>
      <c r="L60587" s="8"/>
      <c r="M60587" s="8"/>
      <c r="N60587" s="8"/>
      <c r="O60587" s="8"/>
      <c r="P60587" s="8"/>
      <c r="Q60587" s="8"/>
      <c r="R60587" s="103"/>
      <c r="S60587" s="8"/>
      <c r="T60587" s="8"/>
      <c r="U60587" s="8"/>
      <c r="V60587" s="8"/>
      <c r="W60587" s="8"/>
      <c r="X60587" s="8"/>
      <c r="Y60587" s="8"/>
      <c r="Z60587" s="8"/>
      <c r="AA60587" s="8"/>
    </row>
    <row r="60588" spans="1:27" x14ac:dyDescent="0.25">
      <c r="A60588" s="8"/>
      <c r="B60588" s="8"/>
      <c r="C60588" s="99"/>
      <c r="D60588" s="8"/>
      <c r="E60588" s="8"/>
      <c r="F60588" s="8"/>
      <c r="G60588" s="8"/>
      <c r="H60588" s="8"/>
      <c r="I60588" s="102"/>
      <c r="J60588" s="8"/>
      <c r="K60588" s="8"/>
      <c r="L60588" s="8"/>
      <c r="M60588" s="8"/>
      <c r="N60588" s="8"/>
      <c r="O60588" s="8"/>
      <c r="P60588" s="8"/>
      <c r="Q60588" s="8"/>
      <c r="R60588" s="103"/>
      <c r="S60588" s="8"/>
      <c r="T60588" s="8"/>
      <c r="U60588" s="8"/>
      <c r="V60588" s="8"/>
      <c r="W60588" s="8"/>
      <c r="X60588" s="8"/>
      <c r="Y60588" s="8"/>
      <c r="Z60588" s="8"/>
      <c r="AA60588" s="8"/>
    </row>
    <row r="60589" spans="1:27" x14ac:dyDescent="0.25">
      <c r="A60589" s="8"/>
      <c r="B60589" s="8"/>
      <c r="C60589" s="99"/>
      <c r="D60589" s="8"/>
      <c r="E60589" s="8"/>
      <c r="F60589" s="8"/>
      <c r="G60589" s="8"/>
      <c r="H60589" s="8"/>
      <c r="I60589" s="102"/>
      <c r="J60589" s="8"/>
      <c r="K60589" s="8"/>
      <c r="L60589" s="8"/>
      <c r="M60589" s="8"/>
      <c r="N60589" s="8"/>
      <c r="O60589" s="8"/>
      <c r="P60589" s="8"/>
      <c r="Q60589" s="8"/>
      <c r="R60589" s="103"/>
      <c r="S60589" s="8"/>
      <c r="T60589" s="8"/>
      <c r="U60589" s="8"/>
      <c r="V60589" s="8"/>
      <c r="W60589" s="8"/>
      <c r="X60589" s="8"/>
      <c r="Y60589" s="8"/>
      <c r="Z60589" s="8"/>
      <c r="AA60589" s="8"/>
    </row>
    <row r="60590" spans="1:27" x14ac:dyDescent="0.25">
      <c r="A60590" s="8"/>
      <c r="B60590" s="8"/>
      <c r="C60590" s="99"/>
      <c r="D60590" s="8"/>
      <c r="E60590" s="8"/>
      <c r="F60590" s="8"/>
      <c r="G60590" s="8"/>
      <c r="H60590" s="8"/>
      <c r="I60590" s="102"/>
      <c r="J60590" s="8"/>
      <c r="K60590" s="8"/>
      <c r="L60590" s="8"/>
      <c r="M60590" s="8"/>
      <c r="N60590" s="8"/>
      <c r="O60590" s="8"/>
      <c r="P60590" s="8"/>
      <c r="Q60590" s="8"/>
      <c r="R60590" s="103"/>
      <c r="S60590" s="8"/>
      <c r="T60590" s="8"/>
      <c r="U60590" s="8"/>
      <c r="V60590" s="8"/>
      <c r="W60590" s="8"/>
      <c r="X60590" s="8"/>
      <c r="Y60590" s="8"/>
      <c r="Z60590" s="8"/>
      <c r="AA60590" s="8"/>
    </row>
    <row r="60591" spans="1:27" x14ac:dyDescent="0.25">
      <c r="A60591" s="8"/>
      <c r="B60591" s="8"/>
      <c r="C60591" s="99"/>
      <c r="D60591" s="8"/>
      <c r="E60591" s="8"/>
      <c r="F60591" s="8"/>
      <c r="G60591" s="8"/>
      <c r="H60591" s="8"/>
      <c r="I60591" s="102"/>
      <c r="J60591" s="8"/>
      <c r="K60591" s="8"/>
      <c r="L60591" s="8"/>
      <c r="M60591" s="8"/>
      <c r="N60591" s="8"/>
      <c r="O60591" s="8"/>
      <c r="P60591" s="8"/>
      <c r="Q60591" s="8"/>
      <c r="R60591" s="103"/>
      <c r="S60591" s="8"/>
      <c r="T60591" s="8"/>
      <c r="U60591" s="8"/>
      <c r="V60591" s="8"/>
      <c r="W60591" s="8"/>
      <c r="X60591" s="8"/>
      <c r="Y60591" s="8"/>
      <c r="Z60591" s="8"/>
      <c r="AA60591" s="8"/>
    </row>
    <row r="60592" spans="1:27" x14ac:dyDescent="0.25">
      <c r="A60592" s="8"/>
      <c r="B60592" s="8"/>
      <c r="C60592" s="99"/>
      <c r="D60592" s="8"/>
      <c r="E60592" s="8"/>
      <c r="F60592" s="8"/>
      <c r="G60592" s="8"/>
      <c r="H60592" s="8"/>
      <c r="I60592" s="102"/>
      <c r="J60592" s="8"/>
      <c r="K60592" s="8"/>
      <c r="L60592" s="8"/>
      <c r="M60592" s="8"/>
      <c r="N60592" s="8"/>
      <c r="O60592" s="8"/>
      <c r="P60592" s="8"/>
      <c r="Q60592" s="8"/>
      <c r="R60592" s="103"/>
      <c r="S60592" s="8"/>
      <c r="T60592" s="8"/>
      <c r="U60592" s="8"/>
      <c r="V60592" s="8"/>
      <c r="W60592" s="8"/>
      <c r="X60592" s="8"/>
      <c r="Y60592" s="8"/>
      <c r="Z60592" s="8"/>
      <c r="AA60592" s="8"/>
    </row>
    <row r="60593" spans="1:27" x14ac:dyDescent="0.25">
      <c r="A60593" s="8"/>
      <c r="B60593" s="8"/>
      <c r="C60593" s="99"/>
      <c r="D60593" s="8"/>
      <c r="E60593" s="8"/>
      <c r="F60593" s="8"/>
      <c r="G60593" s="8"/>
      <c r="H60593" s="8"/>
      <c r="I60593" s="102"/>
      <c r="J60593" s="8"/>
      <c r="K60593" s="8"/>
      <c r="L60593" s="8"/>
      <c r="M60593" s="8"/>
      <c r="N60593" s="8"/>
      <c r="O60593" s="8"/>
      <c r="P60593" s="8"/>
      <c r="Q60593" s="8"/>
      <c r="R60593" s="103"/>
      <c r="S60593" s="8"/>
      <c r="T60593" s="8"/>
      <c r="U60593" s="8"/>
      <c r="V60593" s="8"/>
      <c r="W60593" s="8"/>
      <c r="X60593" s="8"/>
      <c r="Y60593" s="8"/>
      <c r="Z60593" s="8"/>
      <c r="AA60593" s="8"/>
    </row>
    <row r="60594" spans="1:27" x14ac:dyDescent="0.25">
      <c r="A60594" s="8"/>
      <c r="B60594" s="8"/>
      <c r="C60594" s="99"/>
      <c r="D60594" s="8"/>
      <c r="E60594" s="8"/>
      <c r="F60594" s="8"/>
      <c r="G60594" s="8"/>
      <c r="H60594" s="8"/>
      <c r="I60594" s="102"/>
      <c r="J60594" s="8"/>
      <c r="K60594" s="8"/>
      <c r="L60594" s="8"/>
      <c r="M60594" s="8"/>
      <c r="N60594" s="8"/>
      <c r="O60594" s="8"/>
      <c r="P60594" s="8"/>
      <c r="Q60594" s="8"/>
      <c r="R60594" s="103"/>
      <c r="S60594" s="8"/>
      <c r="T60594" s="8"/>
      <c r="U60594" s="8"/>
      <c r="V60594" s="8"/>
      <c r="W60594" s="8"/>
      <c r="X60594" s="8"/>
      <c r="Y60594" s="8"/>
      <c r="Z60594" s="8"/>
      <c r="AA60594" s="8"/>
    </row>
    <row r="60595" spans="1:27" x14ac:dyDescent="0.25">
      <c r="A60595" s="8"/>
      <c r="B60595" s="8"/>
      <c r="C60595" s="99"/>
      <c r="D60595" s="8"/>
      <c r="E60595" s="8"/>
      <c r="F60595" s="8"/>
      <c r="G60595" s="8"/>
      <c r="H60595" s="8"/>
      <c r="I60595" s="102"/>
      <c r="J60595" s="8"/>
      <c r="K60595" s="8"/>
      <c r="L60595" s="8"/>
      <c r="M60595" s="8"/>
      <c r="N60595" s="8"/>
      <c r="O60595" s="8"/>
      <c r="P60595" s="8"/>
      <c r="Q60595" s="8"/>
      <c r="R60595" s="103"/>
      <c r="S60595" s="8"/>
      <c r="T60595" s="8"/>
      <c r="U60595" s="8"/>
      <c r="V60595" s="8"/>
      <c r="W60595" s="8"/>
      <c r="X60595" s="8"/>
      <c r="Y60595" s="8"/>
      <c r="Z60595" s="8"/>
      <c r="AA60595" s="8"/>
    </row>
    <row r="60596" spans="1:27" x14ac:dyDescent="0.25">
      <c r="A60596" s="8"/>
      <c r="B60596" s="8"/>
      <c r="C60596" s="99"/>
      <c r="D60596" s="8"/>
      <c r="E60596" s="8"/>
      <c r="F60596" s="8"/>
      <c r="G60596" s="8"/>
      <c r="H60596" s="8"/>
      <c r="I60596" s="102"/>
      <c r="J60596" s="8"/>
      <c r="K60596" s="8"/>
      <c r="L60596" s="8"/>
      <c r="M60596" s="8"/>
      <c r="N60596" s="8"/>
      <c r="O60596" s="8"/>
      <c r="P60596" s="8"/>
      <c r="Q60596" s="8"/>
      <c r="R60596" s="103"/>
      <c r="S60596" s="8"/>
      <c r="T60596" s="8"/>
      <c r="U60596" s="8"/>
      <c r="V60596" s="8"/>
      <c r="W60596" s="8"/>
      <c r="X60596" s="8"/>
      <c r="Y60596" s="8"/>
      <c r="Z60596" s="8"/>
      <c r="AA60596" s="8"/>
    </row>
    <row r="60597" spans="1:27" x14ac:dyDescent="0.25">
      <c r="A60597" s="8"/>
      <c r="B60597" s="8"/>
      <c r="C60597" s="99"/>
      <c r="D60597" s="8"/>
      <c r="E60597" s="8"/>
      <c r="F60597" s="8"/>
      <c r="G60597" s="8"/>
      <c r="H60597" s="8"/>
      <c r="I60597" s="102"/>
      <c r="J60597" s="8"/>
      <c r="K60597" s="8"/>
      <c r="L60597" s="8"/>
      <c r="M60597" s="8"/>
      <c r="N60597" s="8"/>
      <c r="O60597" s="8"/>
      <c r="P60597" s="8"/>
      <c r="Q60597" s="8"/>
      <c r="R60597" s="103"/>
      <c r="S60597" s="8"/>
      <c r="T60597" s="8"/>
      <c r="U60597" s="8"/>
      <c r="V60597" s="8"/>
      <c r="W60597" s="8"/>
      <c r="X60597" s="8"/>
      <c r="Y60597" s="8"/>
      <c r="Z60597" s="8"/>
      <c r="AA60597" s="8"/>
    </row>
    <row r="60598" spans="1:27" x14ac:dyDescent="0.25">
      <c r="A60598" s="8"/>
      <c r="B60598" s="8"/>
      <c r="C60598" s="99"/>
      <c r="D60598" s="8"/>
      <c r="E60598" s="8"/>
      <c r="F60598" s="8"/>
      <c r="G60598" s="8"/>
      <c r="H60598" s="8"/>
      <c r="I60598" s="102"/>
      <c r="J60598" s="8"/>
      <c r="K60598" s="8"/>
      <c r="L60598" s="8"/>
      <c r="M60598" s="8"/>
      <c r="N60598" s="8"/>
      <c r="O60598" s="8"/>
      <c r="P60598" s="8"/>
      <c r="Q60598" s="8"/>
      <c r="R60598" s="103"/>
      <c r="S60598" s="8"/>
      <c r="T60598" s="8"/>
      <c r="U60598" s="8"/>
      <c r="V60598" s="8"/>
      <c r="W60598" s="8"/>
      <c r="X60598" s="8"/>
      <c r="Y60598" s="8"/>
      <c r="Z60598" s="8"/>
      <c r="AA60598" s="8"/>
    </row>
    <row r="60599" spans="1:27" x14ac:dyDescent="0.25">
      <c r="A60599" s="8"/>
      <c r="B60599" s="8"/>
      <c r="C60599" s="99"/>
      <c r="D60599" s="8"/>
      <c r="E60599" s="8"/>
      <c r="F60599" s="8"/>
      <c r="G60599" s="8"/>
      <c r="H60599" s="8"/>
      <c r="I60599" s="102"/>
      <c r="J60599" s="8"/>
      <c r="K60599" s="8"/>
      <c r="L60599" s="8"/>
      <c r="M60599" s="8"/>
      <c r="N60599" s="8"/>
      <c r="O60599" s="8"/>
      <c r="P60599" s="8"/>
      <c r="Q60599" s="8"/>
      <c r="R60599" s="103"/>
      <c r="S60599" s="8"/>
      <c r="T60599" s="8"/>
      <c r="U60599" s="8"/>
      <c r="V60599" s="8"/>
      <c r="W60599" s="8"/>
      <c r="X60599" s="8"/>
      <c r="Y60599" s="8"/>
      <c r="Z60599" s="8"/>
      <c r="AA60599" s="8"/>
    </row>
    <row r="60600" spans="1:27" x14ac:dyDescent="0.25">
      <c r="A60600" s="8"/>
      <c r="B60600" s="8"/>
      <c r="C60600" s="99"/>
      <c r="D60600" s="8"/>
      <c r="E60600" s="8"/>
      <c r="F60600" s="8"/>
      <c r="G60600" s="8"/>
      <c r="H60600" s="8"/>
      <c r="I60600" s="102"/>
      <c r="J60600" s="8"/>
      <c r="K60600" s="8"/>
      <c r="L60600" s="8"/>
      <c r="M60600" s="8"/>
      <c r="N60600" s="8"/>
      <c r="O60600" s="8"/>
      <c r="P60600" s="8"/>
      <c r="Q60600" s="8"/>
      <c r="R60600" s="103"/>
      <c r="S60600" s="8"/>
      <c r="T60600" s="8"/>
      <c r="U60600" s="8"/>
      <c r="V60600" s="8"/>
      <c r="W60600" s="8"/>
      <c r="X60600" s="8"/>
      <c r="Y60600" s="8"/>
      <c r="Z60600" s="8"/>
      <c r="AA60600" s="8"/>
    </row>
    <row r="60601" spans="1:27" x14ac:dyDescent="0.25">
      <c r="A60601" s="8"/>
      <c r="B60601" s="8"/>
      <c r="C60601" s="99"/>
      <c r="D60601" s="8"/>
      <c r="E60601" s="8"/>
      <c r="F60601" s="8"/>
      <c r="G60601" s="8"/>
      <c r="H60601" s="8"/>
      <c r="I60601" s="102"/>
      <c r="J60601" s="8"/>
      <c r="K60601" s="8"/>
      <c r="L60601" s="8"/>
      <c r="M60601" s="8"/>
      <c r="N60601" s="8"/>
      <c r="O60601" s="8"/>
      <c r="P60601" s="8"/>
      <c r="Q60601" s="8"/>
      <c r="R60601" s="103"/>
      <c r="S60601" s="8"/>
      <c r="T60601" s="8"/>
      <c r="U60601" s="8"/>
      <c r="V60601" s="8"/>
      <c r="W60601" s="8"/>
      <c r="X60601" s="8"/>
      <c r="Y60601" s="8"/>
      <c r="Z60601" s="8"/>
      <c r="AA60601" s="8"/>
    </row>
    <row r="60602" spans="1:27" x14ac:dyDescent="0.25">
      <c r="A60602" s="8"/>
      <c r="B60602" s="8"/>
      <c r="C60602" s="99"/>
      <c r="D60602" s="8"/>
      <c r="E60602" s="8"/>
      <c r="F60602" s="8"/>
      <c r="G60602" s="8"/>
      <c r="H60602" s="8"/>
      <c r="I60602" s="102"/>
      <c r="J60602" s="8"/>
      <c r="K60602" s="8"/>
      <c r="L60602" s="8"/>
      <c r="M60602" s="8"/>
      <c r="N60602" s="8"/>
      <c r="O60602" s="8"/>
      <c r="P60602" s="8"/>
      <c r="Q60602" s="8"/>
      <c r="R60602" s="103"/>
      <c r="S60602" s="8"/>
      <c r="T60602" s="8"/>
      <c r="U60602" s="8"/>
      <c r="V60602" s="8"/>
      <c r="W60602" s="8"/>
      <c r="X60602" s="8"/>
      <c r="Y60602" s="8"/>
      <c r="Z60602" s="8"/>
      <c r="AA60602" s="8"/>
    </row>
    <row r="60603" spans="1:27" x14ac:dyDescent="0.25">
      <c r="A60603" s="8"/>
      <c r="B60603" s="8"/>
      <c r="C60603" s="99"/>
      <c r="D60603" s="8"/>
      <c r="E60603" s="8"/>
      <c r="F60603" s="8"/>
      <c r="G60603" s="8"/>
      <c r="H60603" s="8"/>
      <c r="I60603" s="102"/>
      <c r="J60603" s="8"/>
      <c r="K60603" s="8"/>
      <c r="L60603" s="8"/>
      <c r="M60603" s="8"/>
      <c r="N60603" s="8"/>
      <c r="O60603" s="8"/>
      <c r="P60603" s="8"/>
      <c r="Q60603" s="8"/>
      <c r="R60603" s="103"/>
      <c r="S60603" s="8"/>
      <c r="T60603" s="8"/>
      <c r="U60603" s="8"/>
      <c r="V60603" s="8"/>
      <c r="W60603" s="8"/>
      <c r="X60603" s="8"/>
      <c r="Y60603" s="8"/>
      <c r="Z60603" s="8"/>
      <c r="AA60603" s="8"/>
    </row>
    <row r="60604" spans="1:27" x14ac:dyDescent="0.25">
      <c r="A60604" s="8"/>
      <c r="B60604" s="8"/>
      <c r="C60604" s="99"/>
      <c r="D60604" s="8"/>
      <c r="E60604" s="8"/>
      <c r="F60604" s="8"/>
      <c r="G60604" s="8"/>
      <c r="H60604" s="8"/>
      <c r="I60604" s="102"/>
      <c r="J60604" s="8"/>
      <c r="K60604" s="8"/>
      <c r="L60604" s="8"/>
      <c r="M60604" s="8"/>
      <c r="N60604" s="8"/>
      <c r="O60604" s="8"/>
      <c r="P60604" s="8"/>
      <c r="Q60604" s="8"/>
      <c r="R60604" s="103"/>
      <c r="S60604" s="8"/>
      <c r="T60604" s="8"/>
      <c r="U60604" s="8"/>
      <c r="V60604" s="8"/>
      <c r="W60604" s="8"/>
      <c r="X60604" s="8"/>
      <c r="Y60604" s="8"/>
      <c r="Z60604" s="8"/>
      <c r="AA60604" s="8"/>
    </row>
    <row r="60605" spans="1:27" x14ac:dyDescent="0.25">
      <c r="A60605" s="8"/>
      <c r="B60605" s="8"/>
      <c r="C60605" s="99"/>
      <c r="D60605" s="8"/>
      <c r="E60605" s="8"/>
      <c r="F60605" s="8"/>
      <c r="G60605" s="8"/>
      <c r="H60605" s="8"/>
      <c r="I60605" s="102"/>
      <c r="J60605" s="8"/>
      <c r="K60605" s="8"/>
      <c r="L60605" s="8"/>
      <c r="M60605" s="8"/>
      <c r="N60605" s="8"/>
      <c r="O60605" s="8"/>
      <c r="P60605" s="8"/>
      <c r="Q60605" s="8"/>
      <c r="R60605" s="103"/>
      <c r="S60605" s="8"/>
      <c r="T60605" s="8"/>
      <c r="U60605" s="8"/>
      <c r="V60605" s="8"/>
      <c r="W60605" s="8"/>
      <c r="X60605" s="8"/>
      <c r="Y60605" s="8"/>
      <c r="Z60605" s="8"/>
      <c r="AA60605" s="8"/>
    </row>
    <row r="60606" spans="1:27" x14ac:dyDescent="0.25">
      <c r="A60606" s="8"/>
      <c r="B60606" s="8"/>
      <c r="C60606" s="99"/>
      <c r="D60606" s="8"/>
      <c r="E60606" s="8"/>
      <c r="F60606" s="8"/>
      <c r="G60606" s="8"/>
      <c r="H60606" s="8"/>
      <c r="I60606" s="102"/>
      <c r="J60606" s="8"/>
      <c r="K60606" s="8"/>
      <c r="L60606" s="8"/>
      <c r="M60606" s="8"/>
      <c r="N60606" s="8"/>
      <c r="O60606" s="8"/>
      <c r="P60606" s="8"/>
      <c r="Q60606" s="8"/>
      <c r="R60606" s="103"/>
      <c r="S60606" s="8"/>
      <c r="T60606" s="8"/>
      <c r="U60606" s="8"/>
      <c r="V60606" s="8"/>
      <c r="W60606" s="8"/>
      <c r="X60606" s="8"/>
      <c r="Y60606" s="8"/>
      <c r="Z60606" s="8"/>
      <c r="AA60606" s="8"/>
    </row>
    <row r="60607" spans="1:27" x14ac:dyDescent="0.25">
      <c r="A60607" s="8"/>
      <c r="B60607" s="8"/>
      <c r="C60607" s="99"/>
      <c r="D60607" s="8"/>
      <c r="E60607" s="8"/>
      <c r="F60607" s="8"/>
      <c r="G60607" s="8"/>
      <c r="H60607" s="8"/>
      <c r="I60607" s="102"/>
      <c r="J60607" s="8"/>
      <c r="K60607" s="8"/>
      <c r="L60607" s="8"/>
      <c r="M60607" s="8"/>
      <c r="N60607" s="8"/>
      <c r="O60607" s="8"/>
      <c r="P60607" s="8"/>
      <c r="Q60607" s="8"/>
      <c r="R60607" s="103"/>
      <c r="S60607" s="8"/>
      <c r="T60607" s="8"/>
      <c r="U60607" s="8"/>
      <c r="V60607" s="8"/>
      <c r="W60607" s="8"/>
      <c r="X60607" s="8"/>
      <c r="Y60607" s="8"/>
      <c r="Z60607" s="8"/>
      <c r="AA60607" s="8"/>
    </row>
    <row r="60608" spans="1:27" x14ac:dyDescent="0.25">
      <c r="A60608" s="8"/>
      <c r="B60608" s="8"/>
      <c r="C60608" s="99"/>
      <c r="D60608" s="8"/>
      <c r="E60608" s="8"/>
      <c r="F60608" s="8"/>
      <c r="G60608" s="8"/>
      <c r="H60608" s="8"/>
      <c r="I60608" s="102"/>
      <c r="J60608" s="8"/>
      <c r="K60608" s="8"/>
      <c r="L60608" s="8"/>
      <c r="M60608" s="8"/>
      <c r="N60608" s="8"/>
      <c r="O60608" s="8"/>
      <c r="P60608" s="8"/>
      <c r="Q60608" s="8"/>
      <c r="R60608" s="103"/>
      <c r="S60608" s="8"/>
      <c r="T60608" s="8"/>
      <c r="U60608" s="8"/>
      <c r="V60608" s="8"/>
      <c r="W60608" s="8"/>
      <c r="X60608" s="8"/>
      <c r="Y60608" s="8"/>
      <c r="Z60608" s="8"/>
      <c r="AA60608" s="8"/>
    </row>
    <row r="60609" spans="1:27" x14ac:dyDescent="0.25">
      <c r="A60609" s="8"/>
      <c r="B60609" s="8"/>
      <c r="C60609" s="99"/>
      <c r="D60609" s="8"/>
      <c r="E60609" s="8"/>
      <c r="F60609" s="8"/>
      <c r="G60609" s="8"/>
      <c r="H60609" s="8"/>
      <c r="I60609" s="102"/>
      <c r="J60609" s="8"/>
      <c r="K60609" s="8"/>
      <c r="L60609" s="8"/>
      <c r="M60609" s="8"/>
      <c r="N60609" s="8"/>
      <c r="O60609" s="8"/>
      <c r="P60609" s="8"/>
      <c r="Q60609" s="8"/>
      <c r="R60609" s="103"/>
      <c r="S60609" s="8"/>
      <c r="T60609" s="8"/>
      <c r="U60609" s="8"/>
      <c r="V60609" s="8"/>
      <c r="W60609" s="8"/>
      <c r="X60609" s="8"/>
      <c r="Y60609" s="8"/>
      <c r="Z60609" s="8"/>
      <c r="AA60609" s="8"/>
    </row>
    <row r="60610" spans="1:27" x14ac:dyDescent="0.25">
      <c r="A60610" s="8"/>
      <c r="B60610" s="8"/>
      <c r="C60610" s="99"/>
      <c r="D60610" s="8"/>
      <c r="E60610" s="8"/>
      <c r="F60610" s="8"/>
      <c r="G60610" s="8"/>
      <c r="H60610" s="8"/>
      <c r="I60610" s="102"/>
      <c r="J60610" s="8"/>
      <c r="K60610" s="8"/>
      <c r="L60610" s="8"/>
      <c r="M60610" s="8"/>
      <c r="N60610" s="8"/>
      <c r="O60610" s="8"/>
      <c r="P60610" s="8"/>
      <c r="Q60610" s="8"/>
      <c r="R60610" s="103"/>
      <c r="S60610" s="8"/>
      <c r="T60610" s="8"/>
      <c r="U60610" s="8"/>
      <c r="V60610" s="8"/>
      <c r="W60610" s="8"/>
      <c r="X60610" s="8"/>
      <c r="Y60610" s="8"/>
      <c r="Z60610" s="8"/>
      <c r="AA60610" s="8"/>
    </row>
    <row r="60611" spans="1:27" x14ac:dyDescent="0.25">
      <c r="A60611" s="8"/>
      <c r="B60611" s="8"/>
      <c r="C60611" s="99"/>
      <c r="D60611" s="8"/>
      <c r="E60611" s="8"/>
      <c r="F60611" s="8"/>
      <c r="G60611" s="8"/>
      <c r="H60611" s="8"/>
      <c r="I60611" s="102"/>
      <c r="J60611" s="8"/>
      <c r="K60611" s="8"/>
      <c r="L60611" s="8"/>
      <c r="M60611" s="8"/>
      <c r="N60611" s="8"/>
      <c r="O60611" s="8"/>
      <c r="P60611" s="8"/>
      <c r="Q60611" s="8"/>
      <c r="R60611" s="103"/>
      <c r="S60611" s="8"/>
      <c r="T60611" s="8"/>
      <c r="U60611" s="8"/>
      <c r="V60611" s="8"/>
      <c r="W60611" s="8"/>
      <c r="X60611" s="8"/>
      <c r="Y60611" s="8"/>
      <c r="Z60611" s="8"/>
      <c r="AA60611" s="8"/>
    </row>
    <row r="60612" spans="1:27" x14ac:dyDescent="0.25">
      <c r="A60612" s="8"/>
      <c r="B60612" s="8"/>
      <c r="C60612" s="99"/>
      <c r="D60612" s="8"/>
      <c r="E60612" s="8"/>
      <c r="F60612" s="8"/>
      <c r="G60612" s="8"/>
      <c r="H60612" s="8"/>
      <c r="I60612" s="102"/>
      <c r="J60612" s="8"/>
      <c r="K60612" s="8"/>
      <c r="L60612" s="8"/>
      <c r="M60612" s="8"/>
      <c r="N60612" s="8"/>
      <c r="O60612" s="8"/>
      <c r="P60612" s="8"/>
      <c r="Q60612" s="8"/>
      <c r="R60612" s="103"/>
      <c r="S60612" s="8"/>
      <c r="T60612" s="8"/>
      <c r="U60612" s="8"/>
      <c r="V60612" s="8"/>
      <c r="W60612" s="8"/>
      <c r="X60612" s="8"/>
      <c r="Y60612" s="8"/>
      <c r="Z60612" s="8"/>
      <c r="AA60612" s="8"/>
    </row>
    <row r="60613" spans="1:27" x14ac:dyDescent="0.25">
      <c r="A60613" s="8"/>
      <c r="B60613" s="8"/>
      <c r="C60613" s="99"/>
      <c r="D60613" s="8"/>
      <c r="E60613" s="8"/>
      <c r="F60613" s="8"/>
      <c r="G60613" s="8"/>
      <c r="H60613" s="8"/>
      <c r="I60613" s="102"/>
      <c r="J60613" s="8"/>
      <c r="K60613" s="8"/>
      <c r="L60613" s="8"/>
      <c r="M60613" s="8"/>
      <c r="N60613" s="8"/>
      <c r="O60613" s="8"/>
      <c r="P60613" s="8"/>
      <c r="Q60613" s="8"/>
      <c r="R60613" s="103"/>
      <c r="S60613" s="8"/>
      <c r="T60613" s="8"/>
      <c r="U60613" s="8"/>
      <c r="V60613" s="8"/>
      <c r="W60613" s="8"/>
      <c r="X60613" s="8"/>
      <c r="Y60613" s="8"/>
      <c r="Z60613" s="8"/>
      <c r="AA60613" s="8"/>
    </row>
    <row r="60614" spans="1:27" x14ac:dyDescent="0.25">
      <c r="A60614" s="8"/>
      <c r="B60614" s="8"/>
      <c r="C60614" s="99"/>
      <c r="D60614" s="8"/>
      <c r="E60614" s="8"/>
      <c r="F60614" s="8"/>
      <c r="G60614" s="8"/>
      <c r="H60614" s="8"/>
      <c r="I60614" s="102"/>
      <c r="J60614" s="8"/>
      <c r="K60614" s="8"/>
      <c r="L60614" s="8"/>
      <c r="M60614" s="8"/>
      <c r="N60614" s="8"/>
      <c r="O60614" s="8"/>
      <c r="P60614" s="8"/>
      <c r="Q60614" s="8"/>
      <c r="R60614" s="103"/>
      <c r="S60614" s="8"/>
      <c r="T60614" s="8"/>
      <c r="U60614" s="8"/>
      <c r="V60614" s="8"/>
      <c r="W60614" s="8"/>
      <c r="X60614" s="8"/>
      <c r="Y60614" s="8"/>
      <c r="Z60614" s="8"/>
      <c r="AA60614" s="8"/>
    </row>
    <row r="60615" spans="1:27" x14ac:dyDescent="0.25">
      <c r="A60615" s="8"/>
      <c r="B60615" s="8"/>
      <c r="C60615" s="99"/>
      <c r="D60615" s="8"/>
      <c r="E60615" s="8"/>
      <c r="F60615" s="8"/>
      <c r="G60615" s="8"/>
      <c r="H60615" s="8"/>
      <c r="I60615" s="102"/>
      <c r="J60615" s="8"/>
      <c r="K60615" s="8"/>
      <c r="L60615" s="8"/>
      <c r="M60615" s="8"/>
      <c r="N60615" s="8"/>
      <c r="O60615" s="8"/>
      <c r="P60615" s="8"/>
      <c r="Q60615" s="8"/>
      <c r="R60615" s="103"/>
      <c r="S60615" s="8"/>
      <c r="T60615" s="8"/>
      <c r="U60615" s="8"/>
      <c r="V60615" s="8"/>
      <c r="W60615" s="8"/>
      <c r="X60615" s="8"/>
      <c r="Y60615" s="8"/>
      <c r="Z60615" s="8"/>
      <c r="AA60615" s="8"/>
    </row>
    <row r="60616" spans="1:27" x14ac:dyDescent="0.25">
      <c r="A60616" s="8"/>
      <c r="B60616" s="8"/>
      <c r="C60616" s="99"/>
      <c r="D60616" s="8"/>
      <c r="E60616" s="8"/>
      <c r="F60616" s="8"/>
      <c r="G60616" s="8"/>
      <c r="H60616" s="8"/>
      <c r="I60616" s="102"/>
      <c r="J60616" s="8"/>
      <c r="K60616" s="8"/>
      <c r="L60616" s="8"/>
      <c r="M60616" s="8"/>
      <c r="N60616" s="8"/>
      <c r="O60616" s="8"/>
      <c r="P60616" s="8"/>
      <c r="Q60616" s="8"/>
      <c r="R60616" s="103"/>
      <c r="S60616" s="8"/>
      <c r="T60616" s="8"/>
      <c r="U60616" s="8"/>
      <c r="V60616" s="8"/>
      <c r="W60616" s="8"/>
      <c r="X60616" s="8"/>
      <c r="Y60616" s="8"/>
      <c r="Z60616" s="8"/>
      <c r="AA60616" s="8"/>
    </row>
    <row r="60617" spans="1:27" x14ac:dyDescent="0.25">
      <c r="A60617" s="8"/>
      <c r="B60617" s="8"/>
      <c r="C60617" s="99"/>
      <c r="D60617" s="8"/>
      <c r="E60617" s="8"/>
      <c r="F60617" s="8"/>
      <c r="G60617" s="8"/>
      <c r="H60617" s="8"/>
      <c r="I60617" s="102"/>
      <c r="J60617" s="8"/>
      <c r="K60617" s="8"/>
      <c r="L60617" s="8"/>
      <c r="M60617" s="8"/>
      <c r="N60617" s="8"/>
      <c r="O60617" s="8"/>
      <c r="P60617" s="8"/>
      <c r="Q60617" s="8"/>
      <c r="R60617" s="103"/>
      <c r="S60617" s="8"/>
      <c r="T60617" s="8"/>
      <c r="U60617" s="8"/>
      <c r="V60617" s="8"/>
      <c r="W60617" s="8"/>
      <c r="X60617" s="8"/>
      <c r="Y60617" s="8"/>
      <c r="Z60617" s="8"/>
      <c r="AA60617" s="8"/>
    </row>
    <row r="60618" spans="1:27" x14ac:dyDescent="0.25">
      <c r="A60618" s="8"/>
      <c r="B60618" s="8"/>
      <c r="C60618" s="99"/>
      <c r="D60618" s="8"/>
      <c r="E60618" s="8"/>
      <c r="F60618" s="8"/>
      <c r="G60618" s="8"/>
      <c r="H60618" s="8"/>
      <c r="I60618" s="102"/>
      <c r="J60618" s="8"/>
      <c r="K60618" s="8"/>
      <c r="L60618" s="8"/>
      <c r="M60618" s="8"/>
      <c r="N60618" s="8"/>
      <c r="O60618" s="8"/>
      <c r="P60618" s="8"/>
      <c r="Q60618" s="8"/>
      <c r="R60618" s="103"/>
      <c r="S60618" s="8"/>
      <c r="T60618" s="8"/>
      <c r="U60618" s="8"/>
      <c r="V60618" s="8"/>
      <c r="W60618" s="8"/>
      <c r="X60618" s="8"/>
      <c r="Y60618" s="8"/>
      <c r="Z60618" s="8"/>
      <c r="AA60618" s="8"/>
    </row>
    <row r="60619" spans="1:27" x14ac:dyDescent="0.25">
      <c r="A60619" s="8"/>
      <c r="B60619" s="8"/>
      <c r="C60619" s="99"/>
      <c r="D60619" s="8"/>
      <c r="E60619" s="8"/>
      <c r="F60619" s="8"/>
      <c r="G60619" s="8"/>
      <c r="H60619" s="8"/>
      <c r="I60619" s="102"/>
      <c r="J60619" s="8"/>
      <c r="K60619" s="8"/>
      <c r="L60619" s="8"/>
      <c r="M60619" s="8"/>
      <c r="N60619" s="8"/>
      <c r="O60619" s="8"/>
      <c r="P60619" s="8"/>
      <c r="Q60619" s="8"/>
      <c r="R60619" s="103"/>
      <c r="S60619" s="8"/>
      <c r="T60619" s="8"/>
      <c r="U60619" s="8"/>
      <c r="V60619" s="8"/>
      <c r="W60619" s="8"/>
      <c r="X60619" s="8"/>
      <c r="Y60619" s="8"/>
      <c r="Z60619" s="8"/>
      <c r="AA60619" s="8"/>
    </row>
    <row r="60620" spans="1:27" x14ac:dyDescent="0.25">
      <c r="A60620" s="8"/>
      <c r="B60620" s="8"/>
      <c r="C60620" s="99"/>
      <c r="D60620" s="8"/>
      <c r="E60620" s="8"/>
      <c r="F60620" s="8"/>
      <c r="G60620" s="8"/>
      <c r="H60620" s="8"/>
      <c r="I60620" s="102"/>
      <c r="J60620" s="8"/>
      <c r="K60620" s="8"/>
      <c r="L60620" s="8"/>
      <c r="M60620" s="8"/>
      <c r="N60620" s="8"/>
      <c r="O60620" s="8"/>
      <c r="P60620" s="8"/>
      <c r="Q60620" s="8"/>
      <c r="R60620" s="103"/>
      <c r="S60620" s="8"/>
      <c r="T60620" s="8"/>
      <c r="U60620" s="8"/>
      <c r="V60620" s="8"/>
      <c r="W60620" s="8"/>
      <c r="X60620" s="8"/>
      <c r="Y60620" s="8"/>
      <c r="Z60620" s="8"/>
      <c r="AA60620" s="8"/>
    </row>
    <row r="60621" spans="1:27" x14ac:dyDescent="0.25">
      <c r="A60621" s="8"/>
      <c r="B60621" s="8"/>
      <c r="C60621" s="99"/>
      <c r="D60621" s="8"/>
      <c r="E60621" s="8"/>
      <c r="F60621" s="8"/>
      <c r="G60621" s="8"/>
      <c r="H60621" s="8"/>
      <c r="I60621" s="102"/>
      <c r="J60621" s="8"/>
      <c r="K60621" s="8"/>
      <c r="L60621" s="8"/>
      <c r="M60621" s="8"/>
      <c r="N60621" s="8"/>
      <c r="O60621" s="8"/>
      <c r="P60621" s="8"/>
      <c r="Q60621" s="8"/>
      <c r="R60621" s="103"/>
      <c r="S60621" s="8"/>
      <c r="T60621" s="8"/>
      <c r="U60621" s="8"/>
      <c r="V60621" s="8"/>
      <c r="W60621" s="8"/>
      <c r="X60621" s="8"/>
      <c r="Y60621" s="8"/>
      <c r="Z60621" s="8"/>
      <c r="AA60621" s="8"/>
    </row>
    <row r="60622" spans="1:27" x14ac:dyDescent="0.25">
      <c r="A60622" s="8"/>
      <c r="B60622" s="8"/>
      <c r="C60622" s="99"/>
      <c r="D60622" s="8"/>
      <c r="E60622" s="8"/>
      <c r="F60622" s="8"/>
      <c r="G60622" s="8"/>
      <c r="H60622" s="8"/>
      <c r="I60622" s="102"/>
      <c r="J60622" s="8"/>
      <c r="K60622" s="8"/>
      <c r="L60622" s="8"/>
      <c r="M60622" s="8"/>
      <c r="N60622" s="8"/>
      <c r="O60622" s="8"/>
      <c r="P60622" s="8"/>
      <c r="Q60622" s="8"/>
      <c r="R60622" s="103"/>
      <c r="S60622" s="8"/>
      <c r="T60622" s="8"/>
      <c r="U60622" s="8"/>
      <c r="V60622" s="8"/>
      <c r="W60622" s="8"/>
      <c r="X60622" s="8"/>
      <c r="Y60622" s="8"/>
      <c r="Z60622" s="8"/>
      <c r="AA60622" s="8"/>
    </row>
    <row r="60623" spans="1:27" x14ac:dyDescent="0.25">
      <c r="A60623" s="8"/>
      <c r="B60623" s="8"/>
      <c r="C60623" s="99"/>
      <c r="D60623" s="8"/>
      <c r="E60623" s="8"/>
      <c r="F60623" s="8"/>
      <c r="G60623" s="8"/>
      <c r="H60623" s="8"/>
      <c r="I60623" s="102"/>
      <c r="J60623" s="8"/>
      <c r="K60623" s="8"/>
      <c r="L60623" s="8"/>
      <c r="M60623" s="8"/>
      <c r="N60623" s="8"/>
      <c r="O60623" s="8"/>
      <c r="P60623" s="8"/>
      <c r="Q60623" s="8"/>
      <c r="R60623" s="103"/>
      <c r="S60623" s="8"/>
      <c r="T60623" s="8"/>
      <c r="U60623" s="8"/>
      <c r="V60623" s="8"/>
      <c r="W60623" s="8"/>
      <c r="X60623" s="8"/>
      <c r="Y60623" s="8"/>
      <c r="Z60623" s="8"/>
      <c r="AA60623" s="8"/>
    </row>
    <row r="60624" spans="1:27" x14ac:dyDescent="0.25">
      <c r="A60624" s="8"/>
      <c r="B60624" s="8"/>
      <c r="C60624" s="99"/>
      <c r="D60624" s="8"/>
      <c r="E60624" s="8"/>
      <c r="F60624" s="8"/>
      <c r="G60624" s="8"/>
      <c r="H60624" s="8"/>
      <c r="I60624" s="102"/>
      <c r="J60624" s="8"/>
      <c r="K60624" s="8"/>
      <c r="L60624" s="8"/>
      <c r="M60624" s="8"/>
      <c r="N60624" s="8"/>
      <c r="O60624" s="8"/>
      <c r="P60624" s="8"/>
      <c r="Q60624" s="8"/>
      <c r="R60624" s="103"/>
      <c r="S60624" s="8"/>
      <c r="T60624" s="8"/>
      <c r="U60624" s="8"/>
      <c r="V60624" s="8"/>
      <c r="W60624" s="8"/>
      <c r="X60624" s="8"/>
      <c r="Y60624" s="8"/>
      <c r="Z60624" s="8"/>
      <c r="AA60624" s="8"/>
    </row>
    <row r="60625" spans="1:27" x14ac:dyDescent="0.25">
      <c r="A60625" s="8"/>
      <c r="B60625" s="8"/>
      <c r="C60625" s="99"/>
      <c r="D60625" s="8"/>
      <c r="E60625" s="8"/>
      <c r="F60625" s="8"/>
      <c r="G60625" s="8"/>
      <c r="H60625" s="8"/>
      <c r="I60625" s="102"/>
      <c r="J60625" s="8"/>
      <c r="K60625" s="8"/>
      <c r="L60625" s="8"/>
      <c r="M60625" s="8"/>
      <c r="N60625" s="8"/>
      <c r="O60625" s="8"/>
      <c r="P60625" s="8"/>
      <c r="Q60625" s="8"/>
      <c r="R60625" s="103"/>
      <c r="S60625" s="8"/>
      <c r="T60625" s="8"/>
      <c r="U60625" s="8"/>
      <c r="V60625" s="8"/>
      <c r="W60625" s="8"/>
      <c r="X60625" s="8"/>
      <c r="Y60625" s="8"/>
      <c r="Z60625" s="8"/>
      <c r="AA60625" s="8"/>
    </row>
    <row r="60626" spans="1:27" x14ac:dyDescent="0.25">
      <c r="A60626" s="8"/>
      <c r="B60626" s="8"/>
      <c r="C60626" s="99"/>
      <c r="D60626" s="8"/>
      <c r="E60626" s="8"/>
      <c r="F60626" s="8"/>
      <c r="G60626" s="8"/>
      <c r="H60626" s="8"/>
      <c r="I60626" s="102"/>
      <c r="J60626" s="8"/>
      <c r="K60626" s="8"/>
      <c r="L60626" s="8"/>
      <c r="M60626" s="8"/>
      <c r="N60626" s="8"/>
      <c r="O60626" s="8"/>
      <c r="P60626" s="8"/>
      <c r="Q60626" s="8"/>
      <c r="R60626" s="103"/>
      <c r="S60626" s="8"/>
      <c r="T60626" s="8"/>
      <c r="U60626" s="8"/>
      <c r="V60626" s="8"/>
      <c r="W60626" s="8"/>
      <c r="X60626" s="8"/>
      <c r="Y60626" s="8"/>
      <c r="Z60626" s="8"/>
      <c r="AA60626" s="8"/>
    </row>
    <row r="60627" spans="1:27" x14ac:dyDescent="0.25">
      <c r="A60627" s="8"/>
      <c r="B60627" s="8"/>
      <c r="C60627" s="99"/>
      <c r="D60627" s="8"/>
      <c r="E60627" s="8"/>
      <c r="F60627" s="8"/>
      <c r="G60627" s="8"/>
      <c r="H60627" s="8"/>
      <c r="I60627" s="102"/>
      <c r="J60627" s="8"/>
      <c r="K60627" s="8"/>
      <c r="L60627" s="8"/>
      <c r="M60627" s="8"/>
      <c r="N60627" s="8"/>
      <c r="O60627" s="8"/>
      <c r="P60627" s="8"/>
      <c r="Q60627" s="8"/>
      <c r="R60627" s="103"/>
      <c r="S60627" s="8"/>
      <c r="T60627" s="8"/>
      <c r="U60627" s="8"/>
      <c r="V60627" s="8"/>
      <c r="W60627" s="8"/>
      <c r="X60627" s="8"/>
      <c r="Y60627" s="8"/>
      <c r="Z60627" s="8"/>
      <c r="AA60627" s="8"/>
    </row>
    <row r="60628" spans="1:27" x14ac:dyDescent="0.25">
      <c r="A60628" s="8"/>
      <c r="B60628" s="8"/>
      <c r="C60628" s="99"/>
      <c r="D60628" s="8"/>
      <c r="E60628" s="8"/>
      <c r="F60628" s="8"/>
      <c r="G60628" s="8"/>
      <c r="H60628" s="8"/>
      <c r="I60628" s="102"/>
      <c r="J60628" s="8"/>
      <c r="K60628" s="8"/>
      <c r="L60628" s="8"/>
      <c r="M60628" s="8"/>
      <c r="N60628" s="8"/>
      <c r="O60628" s="8"/>
      <c r="P60628" s="8"/>
      <c r="Q60628" s="8"/>
      <c r="R60628" s="103"/>
      <c r="S60628" s="8"/>
      <c r="T60628" s="8"/>
      <c r="U60628" s="8"/>
      <c r="V60628" s="8"/>
      <c r="W60628" s="8"/>
      <c r="X60628" s="8"/>
      <c r="Y60628" s="8"/>
      <c r="Z60628" s="8"/>
      <c r="AA60628" s="8"/>
    </row>
    <row r="60629" spans="1:27" x14ac:dyDescent="0.25">
      <c r="A60629" s="8"/>
      <c r="B60629" s="8"/>
      <c r="C60629" s="99"/>
      <c r="D60629" s="8"/>
      <c r="E60629" s="8"/>
      <c r="F60629" s="8"/>
      <c r="G60629" s="8"/>
      <c r="H60629" s="8"/>
      <c r="I60629" s="102"/>
      <c r="J60629" s="8"/>
      <c r="K60629" s="8"/>
      <c r="L60629" s="8"/>
      <c r="M60629" s="8"/>
      <c r="N60629" s="8"/>
      <c r="O60629" s="8"/>
      <c r="P60629" s="8"/>
      <c r="Q60629" s="8"/>
      <c r="R60629" s="103"/>
      <c r="S60629" s="8"/>
      <c r="T60629" s="8"/>
      <c r="U60629" s="8"/>
      <c r="V60629" s="8"/>
      <c r="W60629" s="8"/>
      <c r="X60629" s="8"/>
      <c r="Y60629" s="8"/>
      <c r="Z60629" s="8"/>
      <c r="AA60629" s="8"/>
    </row>
    <row r="60630" spans="1:27" x14ac:dyDescent="0.25">
      <c r="A60630" s="8"/>
      <c r="B60630" s="8"/>
      <c r="C60630" s="99"/>
      <c r="D60630" s="8"/>
      <c r="E60630" s="8"/>
      <c r="F60630" s="8"/>
      <c r="G60630" s="8"/>
      <c r="H60630" s="8"/>
      <c r="I60630" s="102"/>
      <c r="J60630" s="8"/>
      <c r="K60630" s="8"/>
      <c r="L60630" s="8"/>
      <c r="M60630" s="8"/>
      <c r="N60630" s="8"/>
      <c r="O60630" s="8"/>
      <c r="P60630" s="8"/>
      <c r="Q60630" s="8"/>
      <c r="R60630" s="103"/>
      <c r="S60630" s="8"/>
      <c r="T60630" s="8"/>
      <c r="U60630" s="8"/>
      <c r="V60630" s="8"/>
      <c r="W60630" s="8"/>
      <c r="X60630" s="8"/>
      <c r="Y60630" s="8"/>
      <c r="Z60630" s="8"/>
      <c r="AA60630" s="8"/>
    </row>
    <row r="60631" spans="1:27" x14ac:dyDescent="0.25">
      <c r="A60631" s="8"/>
      <c r="B60631" s="8"/>
      <c r="C60631" s="99"/>
      <c r="D60631" s="8"/>
      <c r="E60631" s="8"/>
      <c r="F60631" s="8"/>
      <c r="G60631" s="8"/>
      <c r="H60631" s="8"/>
      <c r="I60631" s="102"/>
      <c r="J60631" s="8"/>
      <c r="K60631" s="8"/>
      <c r="L60631" s="8"/>
      <c r="M60631" s="8"/>
      <c r="N60631" s="8"/>
      <c r="O60631" s="8"/>
      <c r="P60631" s="8"/>
      <c r="Q60631" s="8"/>
      <c r="R60631" s="103"/>
      <c r="S60631" s="8"/>
      <c r="T60631" s="8"/>
      <c r="U60631" s="8"/>
      <c r="V60631" s="8"/>
      <c r="W60631" s="8"/>
      <c r="X60631" s="8"/>
      <c r="Y60631" s="8"/>
      <c r="Z60631" s="8"/>
      <c r="AA60631" s="8"/>
    </row>
    <row r="60632" spans="1:27" x14ac:dyDescent="0.25">
      <c r="A60632" s="8"/>
      <c r="B60632" s="8"/>
      <c r="C60632" s="99"/>
      <c r="D60632" s="8"/>
      <c r="E60632" s="8"/>
      <c r="F60632" s="8"/>
      <c r="G60632" s="8"/>
      <c r="H60632" s="8"/>
      <c r="I60632" s="102"/>
      <c r="J60632" s="8"/>
      <c r="K60632" s="8"/>
      <c r="L60632" s="8"/>
      <c r="M60632" s="8"/>
      <c r="N60632" s="8"/>
      <c r="O60632" s="8"/>
      <c r="P60632" s="8"/>
      <c r="Q60632" s="8"/>
      <c r="R60632" s="103"/>
      <c r="S60632" s="8"/>
      <c r="T60632" s="8"/>
      <c r="U60632" s="8"/>
      <c r="V60632" s="8"/>
      <c r="W60632" s="8"/>
      <c r="X60632" s="8"/>
      <c r="Y60632" s="8"/>
      <c r="Z60632" s="8"/>
      <c r="AA60632" s="8"/>
    </row>
    <row r="60633" spans="1:27" x14ac:dyDescent="0.25">
      <c r="A60633" s="8"/>
      <c r="B60633" s="8"/>
      <c r="C60633" s="99"/>
      <c r="D60633" s="8"/>
      <c r="E60633" s="8"/>
      <c r="F60633" s="8"/>
      <c r="G60633" s="8"/>
      <c r="H60633" s="8"/>
      <c r="I60633" s="102"/>
      <c r="J60633" s="8"/>
      <c r="K60633" s="8"/>
      <c r="L60633" s="8"/>
      <c r="M60633" s="8"/>
      <c r="N60633" s="8"/>
      <c r="O60633" s="8"/>
      <c r="P60633" s="8"/>
      <c r="Q60633" s="8"/>
      <c r="R60633" s="103"/>
      <c r="S60633" s="8"/>
      <c r="T60633" s="8"/>
      <c r="U60633" s="8"/>
      <c r="V60633" s="8"/>
      <c r="W60633" s="8"/>
      <c r="X60633" s="8"/>
      <c r="Y60633" s="8"/>
      <c r="Z60633" s="8"/>
      <c r="AA60633" s="8"/>
    </row>
    <row r="60634" spans="1:27" x14ac:dyDescent="0.25">
      <c r="A60634" s="8"/>
      <c r="B60634" s="8"/>
      <c r="C60634" s="99"/>
      <c r="D60634" s="8"/>
      <c r="E60634" s="8"/>
      <c r="F60634" s="8"/>
      <c r="G60634" s="8"/>
      <c r="H60634" s="8"/>
      <c r="I60634" s="102"/>
      <c r="J60634" s="8"/>
      <c r="K60634" s="8"/>
      <c r="L60634" s="8"/>
      <c r="M60634" s="8"/>
      <c r="N60634" s="8"/>
      <c r="O60634" s="8"/>
      <c r="P60634" s="8"/>
      <c r="Q60634" s="8"/>
      <c r="R60634" s="103"/>
      <c r="S60634" s="8"/>
      <c r="T60634" s="8"/>
      <c r="U60634" s="8"/>
      <c r="V60634" s="8"/>
      <c r="W60634" s="8"/>
      <c r="X60634" s="8"/>
      <c r="Y60634" s="8"/>
      <c r="Z60634" s="8"/>
      <c r="AA60634" s="8"/>
    </row>
    <row r="60635" spans="1:27" x14ac:dyDescent="0.25">
      <c r="A60635" s="8"/>
      <c r="B60635" s="8"/>
      <c r="C60635" s="99"/>
      <c r="D60635" s="8"/>
      <c r="E60635" s="8"/>
      <c r="F60635" s="8"/>
      <c r="G60635" s="8"/>
      <c r="H60635" s="8"/>
      <c r="I60635" s="102"/>
      <c r="J60635" s="8"/>
      <c r="K60635" s="8"/>
      <c r="L60635" s="8"/>
      <c r="M60635" s="8"/>
      <c r="N60635" s="8"/>
      <c r="O60635" s="8"/>
      <c r="P60635" s="8"/>
      <c r="Q60635" s="8"/>
      <c r="R60635" s="103"/>
      <c r="S60635" s="8"/>
      <c r="T60635" s="8"/>
      <c r="U60635" s="8"/>
      <c r="V60635" s="8"/>
      <c r="W60635" s="8"/>
      <c r="X60635" s="8"/>
      <c r="Y60635" s="8"/>
      <c r="Z60635" s="8"/>
      <c r="AA60635" s="8"/>
    </row>
    <row r="60636" spans="1:27" x14ac:dyDescent="0.25">
      <c r="A60636" s="8"/>
      <c r="B60636" s="8"/>
      <c r="C60636" s="99"/>
      <c r="D60636" s="8"/>
      <c r="E60636" s="8"/>
      <c r="F60636" s="8"/>
      <c r="G60636" s="8"/>
      <c r="H60636" s="8"/>
      <c r="I60636" s="102"/>
      <c r="J60636" s="8"/>
      <c r="K60636" s="8"/>
      <c r="L60636" s="8"/>
      <c r="M60636" s="8"/>
      <c r="N60636" s="8"/>
      <c r="O60636" s="8"/>
      <c r="P60636" s="8"/>
      <c r="Q60636" s="8"/>
      <c r="R60636" s="103"/>
      <c r="S60636" s="8"/>
      <c r="T60636" s="8"/>
      <c r="U60636" s="8"/>
      <c r="V60636" s="8"/>
      <c r="W60636" s="8"/>
      <c r="X60636" s="8"/>
      <c r="Y60636" s="8"/>
      <c r="Z60636" s="8"/>
      <c r="AA60636" s="8"/>
    </row>
    <row r="60637" spans="1:27" x14ac:dyDescent="0.25">
      <c r="A60637" s="8"/>
      <c r="B60637" s="8"/>
      <c r="C60637" s="99"/>
      <c r="D60637" s="8"/>
      <c r="E60637" s="8"/>
      <c r="F60637" s="8"/>
      <c r="G60637" s="8"/>
      <c r="H60637" s="8"/>
      <c r="I60637" s="102"/>
      <c r="J60637" s="8"/>
      <c r="K60637" s="8"/>
      <c r="L60637" s="8"/>
      <c r="M60637" s="8"/>
      <c r="N60637" s="8"/>
      <c r="O60637" s="8"/>
      <c r="P60637" s="8"/>
      <c r="Q60637" s="8"/>
      <c r="R60637" s="103"/>
      <c r="S60637" s="8"/>
      <c r="T60637" s="8"/>
      <c r="U60637" s="8"/>
      <c r="V60637" s="8"/>
      <c r="W60637" s="8"/>
      <c r="X60637" s="8"/>
      <c r="Y60637" s="8"/>
      <c r="Z60637" s="8"/>
      <c r="AA60637" s="8"/>
    </row>
    <row r="60638" spans="1:27" x14ac:dyDescent="0.25">
      <c r="A60638" s="8"/>
      <c r="B60638" s="8"/>
      <c r="C60638" s="99"/>
      <c r="D60638" s="8"/>
      <c r="E60638" s="8"/>
      <c r="F60638" s="8"/>
      <c r="G60638" s="8"/>
      <c r="H60638" s="8"/>
      <c r="I60638" s="102"/>
      <c r="J60638" s="8"/>
      <c r="K60638" s="8"/>
      <c r="L60638" s="8"/>
      <c r="M60638" s="8"/>
      <c r="N60638" s="8"/>
      <c r="O60638" s="8"/>
      <c r="P60638" s="8"/>
      <c r="Q60638" s="8"/>
      <c r="R60638" s="103"/>
      <c r="S60638" s="8"/>
      <c r="T60638" s="8"/>
      <c r="U60638" s="8"/>
      <c r="V60638" s="8"/>
      <c r="W60638" s="8"/>
      <c r="X60638" s="8"/>
      <c r="Y60638" s="8"/>
      <c r="Z60638" s="8"/>
      <c r="AA60638" s="8"/>
    </row>
    <row r="60639" spans="1:27" x14ac:dyDescent="0.25">
      <c r="A60639" s="8"/>
      <c r="B60639" s="8"/>
      <c r="C60639" s="99"/>
      <c r="D60639" s="8"/>
      <c r="E60639" s="8"/>
      <c r="F60639" s="8"/>
      <c r="G60639" s="8"/>
      <c r="H60639" s="8"/>
      <c r="I60639" s="102"/>
      <c r="J60639" s="8"/>
      <c r="K60639" s="8"/>
      <c r="L60639" s="8"/>
      <c r="M60639" s="8"/>
      <c r="N60639" s="8"/>
      <c r="O60639" s="8"/>
      <c r="P60639" s="8"/>
      <c r="Q60639" s="8"/>
      <c r="R60639" s="103"/>
      <c r="S60639" s="8"/>
      <c r="T60639" s="8"/>
      <c r="U60639" s="8"/>
      <c r="V60639" s="8"/>
      <c r="W60639" s="8"/>
      <c r="X60639" s="8"/>
      <c r="Y60639" s="8"/>
      <c r="Z60639" s="8"/>
      <c r="AA60639" s="8"/>
    </row>
    <row r="60640" spans="1:27" x14ac:dyDescent="0.25">
      <c r="A60640" s="8"/>
      <c r="B60640" s="8"/>
      <c r="C60640" s="99"/>
      <c r="D60640" s="8"/>
      <c r="E60640" s="8"/>
      <c r="F60640" s="8"/>
      <c r="G60640" s="8"/>
      <c r="H60640" s="8"/>
      <c r="I60640" s="102"/>
      <c r="J60640" s="8"/>
      <c r="K60640" s="8"/>
      <c r="L60640" s="8"/>
      <c r="M60640" s="8"/>
      <c r="N60640" s="8"/>
      <c r="O60640" s="8"/>
      <c r="P60640" s="8"/>
      <c r="Q60640" s="8"/>
      <c r="R60640" s="103"/>
      <c r="S60640" s="8"/>
      <c r="T60640" s="8"/>
      <c r="U60640" s="8"/>
      <c r="V60640" s="8"/>
      <c r="W60640" s="8"/>
      <c r="X60640" s="8"/>
      <c r="Y60640" s="8"/>
      <c r="Z60640" s="8"/>
      <c r="AA60640" s="8"/>
    </row>
    <row r="60641" spans="1:27" x14ac:dyDescent="0.25">
      <c r="A60641" s="8"/>
      <c r="B60641" s="8"/>
      <c r="C60641" s="99"/>
      <c r="D60641" s="8"/>
      <c r="E60641" s="8"/>
      <c r="F60641" s="8"/>
      <c r="G60641" s="8"/>
      <c r="H60641" s="8"/>
      <c r="I60641" s="102"/>
      <c r="J60641" s="8"/>
      <c r="K60641" s="8"/>
      <c r="L60641" s="8"/>
      <c r="M60641" s="8"/>
      <c r="N60641" s="8"/>
      <c r="O60641" s="8"/>
      <c r="P60641" s="8"/>
      <c r="Q60641" s="8"/>
      <c r="R60641" s="103"/>
      <c r="S60641" s="8"/>
      <c r="T60641" s="8"/>
      <c r="U60641" s="8"/>
      <c r="V60641" s="8"/>
      <c r="W60641" s="8"/>
      <c r="X60641" s="8"/>
      <c r="Y60641" s="8"/>
      <c r="Z60641" s="8"/>
      <c r="AA60641" s="8"/>
    </row>
    <row r="60642" spans="1:27" x14ac:dyDescent="0.25">
      <c r="A60642" s="8"/>
      <c r="B60642" s="8"/>
      <c r="C60642" s="99"/>
      <c r="D60642" s="8"/>
      <c r="E60642" s="8"/>
      <c r="F60642" s="8"/>
      <c r="G60642" s="8"/>
      <c r="H60642" s="8"/>
      <c r="I60642" s="102"/>
      <c r="J60642" s="8"/>
      <c r="K60642" s="8"/>
      <c r="L60642" s="8"/>
      <c r="M60642" s="8"/>
      <c r="N60642" s="8"/>
      <c r="O60642" s="8"/>
      <c r="P60642" s="8"/>
      <c r="Q60642" s="8"/>
      <c r="R60642" s="103"/>
      <c r="S60642" s="8"/>
      <c r="T60642" s="8"/>
      <c r="U60642" s="8"/>
      <c r="V60642" s="8"/>
      <c r="W60642" s="8"/>
      <c r="X60642" s="8"/>
      <c r="Y60642" s="8"/>
      <c r="Z60642" s="8"/>
      <c r="AA60642" s="8"/>
    </row>
    <row r="60643" spans="1:27" x14ac:dyDescent="0.25">
      <c r="A60643" s="8"/>
      <c r="B60643" s="8"/>
      <c r="C60643" s="99"/>
      <c r="D60643" s="8"/>
      <c r="E60643" s="8"/>
      <c r="F60643" s="8"/>
      <c r="G60643" s="8"/>
      <c r="H60643" s="8"/>
      <c r="I60643" s="102"/>
      <c r="J60643" s="8"/>
      <c r="K60643" s="8"/>
      <c r="L60643" s="8"/>
      <c r="M60643" s="8"/>
      <c r="N60643" s="8"/>
      <c r="O60643" s="8"/>
      <c r="P60643" s="8"/>
      <c r="Q60643" s="8"/>
      <c r="R60643" s="103"/>
      <c r="S60643" s="8"/>
      <c r="T60643" s="8"/>
      <c r="U60643" s="8"/>
      <c r="V60643" s="8"/>
      <c r="W60643" s="8"/>
      <c r="X60643" s="8"/>
      <c r="Y60643" s="8"/>
      <c r="Z60643" s="8"/>
      <c r="AA60643" s="8"/>
    </row>
    <row r="60644" spans="1:27" x14ac:dyDescent="0.25">
      <c r="A60644" s="8"/>
      <c r="B60644" s="8"/>
      <c r="C60644" s="99"/>
      <c r="D60644" s="8"/>
      <c r="E60644" s="8"/>
      <c r="F60644" s="8"/>
      <c r="G60644" s="8"/>
      <c r="H60644" s="8"/>
      <c r="I60644" s="102"/>
      <c r="J60644" s="8"/>
      <c r="K60644" s="8"/>
      <c r="L60644" s="8"/>
      <c r="M60644" s="8"/>
      <c r="N60644" s="8"/>
      <c r="O60644" s="8"/>
      <c r="P60644" s="8"/>
      <c r="Q60644" s="8"/>
      <c r="R60644" s="103"/>
      <c r="S60644" s="8"/>
      <c r="T60644" s="8"/>
      <c r="U60644" s="8"/>
      <c r="V60644" s="8"/>
      <c r="W60644" s="8"/>
      <c r="X60644" s="8"/>
      <c r="Y60644" s="8"/>
      <c r="Z60644" s="8"/>
      <c r="AA60644" s="8"/>
    </row>
    <row r="60645" spans="1:27" x14ac:dyDescent="0.25">
      <c r="A60645" s="8"/>
      <c r="B60645" s="8"/>
      <c r="C60645" s="99"/>
      <c r="D60645" s="8"/>
      <c r="E60645" s="8"/>
      <c r="F60645" s="8"/>
      <c r="G60645" s="8"/>
      <c r="H60645" s="8"/>
      <c r="I60645" s="102"/>
      <c r="J60645" s="8"/>
      <c r="K60645" s="8"/>
      <c r="L60645" s="8"/>
      <c r="M60645" s="8"/>
      <c r="N60645" s="8"/>
      <c r="O60645" s="8"/>
      <c r="P60645" s="8"/>
      <c r="Q60645" s="8"/>
      <c r="R60645" s="103"/>
      <c r="S60645" s="8"/>
      <c r="T60645" s="8"/>
      <c r="U60645" s="8"/>
      <c r="V60645" s="8"/>
      <c r="W60645" s="8"/>
      <c r="X60645" s="8"/>
      <c r="Y60645" s="8"/>
      <c r="Z60645" s="8"/>
      <c r="AA60645" s="8"/>
    </row>
    <row r="60646" spans="1:27" x14ac:dyDescent="0.25">
      <c r="A60646" s="8"/>
      <c r="B60646" s="8"/>
      <c r="C60646" s="99"/>
      <c r="D60646" s="8"/>
      <c r="E60646" s="8"/>
      <c r="F60646" s="8"/>
      <c r="G60646" s="8"/>
      <c r="H60646" s="8"/>
      <c r="I60646" s="102"/>
      <c r="J60646" s="8"/>
      <c r="K60646" s="8"/>
      <c r="L60646" s="8"/>
      <c r="M60646" s="8"/>
      <c r="N60646" s="8"/>
      <c r="O60646" s="8"/>
      <c r="P60646" s="8"/>
      <c r="Q60646" s="8"/>
      <c r="R60646" s="103"/>
      <c r="S60646" s="8"/>
      <c r="T60646" s="8"/>
      <c r="U60646" s="8"/>
      <c r="V60646" s="8"/>
      <c r="W60646" s="8"/>
      <c r="X60646" s="8"/>
      <c r="Y60646" s="8"/>
      <c r="Z60646" s="8"/>
      <c r="AA60646" s="8"/>
    </row>
    <row r="60647" spans="1:27" x14ac:dyDescent="0.25">
      <c r="A60647" s="8"/>
      <c r="B60647" s="8"/>
      <c r="C60647" s="99"/>
      <c r="D60647" s="8"/>
      <c r="E60647" s="8"/>
      <c r="F60647" s="8"/>
      <c r="G60647" s="8"/>
      <c r="H60647" s="8"/>
      <c r="I60647" s="102"/>
      <c r="J60647" s="8"/>
      <c r="K60647" s="8"/>
      <c r="L60647" s="8"/>
      <c r="M60647" s="8"/>
      <c r="N60647" s="8"/>
      <c r="O60647" s="8"/>
      <c r="P60647" s="8"/>
      <c r="Q60647" s="8"/>
      <c r="R60647" s="103"/>
      <c r="S60647" s="8"/>
      <c r="T60647" s="8"/>
      <c r="U60647" s="8"/>
      <c r="V60647" s="8"/>
      <c r="W60647" s="8"/>
      <c r="X60647" s="8"/>
      <c r="Y60647" s="8"/>
      <c r="Z60647" s="8"/>
      <c r="AA60647" s="8"/>
    </row>
    <row r="60648" spans="1:27" x14ac:dyDescent="0.25">
      <c r="A60648" s="8"/>
      <c r="B60648" s="8"/>
      <c r="C60648" s="99"/>
      <c r="D60648" s="8"/>
      <c r="E60648" s="8"/>
      <c r="F60648" s="8"/>
      <c r="G60648" s="8"/>
      <c r="H60648" s="8"/>
      <c r="I60648" s="102"/>
      <c r="J60648" s="8"/>
      <c r="K60648" s="8"/>
      <c r="L60648" s="8"/>
      <c r="M60648" s="8"/>
      <c r="N60648" s="8"/>
      <c r="O60648" s="8"/>
      <c r="P60648" s="8"/>
      <c r="Q60648" s="8"/>
      <c r="R60648" s="103"/>
      <c r="S60648" s="8"/>
      <c r="T60648" s="8"/>
      <c r="U60648" s="8"/>
      <c r="V60648" s="8"/>
      <c r="W60648" s="8"/>
      <c r="X60648" s="8"/>
      <c r="Y60648" s="8"/>
      <c r="Z60648" s="8"/>
      <c r="AA60648" s="8"/>
    </row>
    <row r="60649" spans="1:27" x14ac:dyDescent="0.25">
      <c r="A60649" s="8"/>
      <c r="B60649" s="8"/>
      <c r="C60649" s="99"/>
      <c r="D60649" s="8"/>
      <c r="E60649" s="8"/>
      <c r="F60649" s="8"/>
      <c r="G60649" s="8"/>
      <c r="H60649" s="8"/>
      <c r="I60649" s="102"/>
      <c r="J60649" s="8"/>
      <c r="K60649" s="8"/>
      <c r="L60649" s="8"/>
      <c r="M60649" s="8"/>
      <c r="N60649" s="8"/>
      <c r="O60649" s="8"/>
      <c r="P60649" s="8"/>
      <c r="Q60649" s="8"/>
      <c r="R60649" s="103"/>
      <c r="S60649" s="8"/>
      <c r="T60649" s="8"/>
      <c r="U60649" s="8"/>
      <c r="V60649" s="8"/>
      <c r="W60649" s="8"/>
      <c r="X60649" s="8"/>
      <c r="Y60649" s="8"/>
      <c r="Z60649" s="8"/>
      <c r="AA60649" s="8"/>
    </row>
    <row r="60650" spans="1:27" x14ac:dyDescent="0.25">
      <c r="A60650" s="8"/>
      <c r="B60650" s="8"/>
      <c r="C60650" s="99"/>
      <c r="D60650" s="8"/>
      <c r="E60650" s="8"/>
      <c r="F60650" s="8"/>
      <c r="G60650" s="8"/>
      <c r="H60650" s="8"/>
      <c r="I60650" s="102"/>
      <c r="J60650" s="8"/>
      <c r="K60650" s="8"/>
      <c r="L60650" s="8"/>
      <c r="M60650" s="8"/>
      <c r="N60650" s="8"/>
      <c r="O60650" s="8"/>
      <c r="P60650" s="8"/>
      <c r="Q60650" s="8"/>
      <c r="R60650" s="103"/>
      <c r="S60650" s="8"/>
      <c r="T60650" s="8"/>
      <c r="U60650" s="8"/>
      <c r="V60650" s="8"/>
      <c r="W60650" s="8"/>
      <c r="X60650" s="8"/>
      <c r="Y60650" s="8"/>
      <c r="Z60650" s="8"/>
      <c r="AA60650" s="8"/>
    </row>
    <row r="60651" spans="1:27" x14ac:dyDescent="0.25">
      <c r="A60651" s="8"/>
      <c r="B60651" s="8"/>
      <c r="C60651" s="99"/>
      <c r="D60651" s="8"/>
      <c r="E60651" s="8"/>
      <c r="F60651" s="8"/>
      <c r="G60651" s="8"/>
      <c r="H60651" s="8"/>
      <c r="I60651" s="102"/>
      <c r="J60651" s="8"/>
      <c r="K60651" s="8"/>
      <c r="L60651" s="8"/>
      <c r="M60651" s="8"/>
      <c r="N60651" s="8"/>
      <c r="O60651" s="8"/>
      <c r="P60651" s="8"/>
      <c r="Q60651" s="8"/>
      <c r="R60651" s="103"/>
      <c r="S60651" s="8"/>
      <c r="T60651" s="8"/>
      <c r="U60651" s="8"/>
      <c r="V60651" s="8"/>
      <c r="W60651" s="8"/>
      <c r="X60651" s="8"/>
      <c r="Y60651" s="8"/>
      <c r="Z60651" s="8"/>
      <c r="AA60651" s="8"/>
    </row>
    <row r="60652" spans="1:27" x14ac:dyDescent="0.25">
      <c r="A60652" s="8"/>
      <c r="B60652" s="8"/>
      <c r="C60652" s="99"/>
      <c r="D60652" s="8"/>
      <c r="E60652" s="8"/>
      <c r="F60652" s="8"/>
      <c r="G60652" s="8"/>
      <c r="H60652" s="8"/>
      <c r="I60652" s="102"/>
      <c r="J60652" s="8"/>
      <c r="K60652" s="8"/>
      <c r="L60652" s="8"/>
      <c r="M60652" s="8"/>
      <c r="N60652" s="8"/>
      <c r="O60652" s="8"/>
      <c r="P60652" s="8"/>
      <c r="Q60652" s="8"/>
      <c r="R60652" s="103"/>
      <c r="S60652" s="8"/>
      <c r="T60652" s="8"/>
      <c r="U60652" s="8"/>
      <c r="V60652" s="8"/>
      <c r="W60652" s="8"/>
      <c r="X60652" s="8"/>
      <c r="Y60652" s="8"/>
      <c r="Z60652" s="8"/>
      <c r="AA60652" s="8"/>
    </row>
    <row r="60653" spans="1:27" x14ac:dyDescent="0.25">
      <c r="A60653" s="8"/>
      <c r="B60653" s="8"/>
      <c r="C60653" s="99"/>
      <c r="D60653" s="8"/>
      <c r="E60653" s="8"/>
      <c r="F60653" s="8"/>
      <c r="G60653" s="8"/>
      <c r="H60653" s="8"/>
      <c r="I60653" s="102"/>
      <c r="J60653" s="8"/>
      <c r="K60653" s="8"/>
      <c r="L60653" s="8"/>
      <c r="M60653" s="8"/>
      <c r="N60653" s="8"/>
      <c r="O60653" s="8"/>
      <c r="P60653" s="8"/>
      <c r="Q60653" s="8"/>
      <c r="R60653" s="103"/>
      <c r="S60653" s="8"/>
      <c r="T60653" s="8"/>
      <c r="U60653" s="8"/>
      <c r="V60653" s="8"/>
      <c r="W60653" s="8"/>
      <c r="X60653" s="8"/>
      <c r="Y60653" s="8"/>
      <c r="Z60653" s="8"/>
      <c r="AA60653" s="8"/>
    </row>
    <row r="60654" spans="1:27" x14ac:dyDescent="0.25">
      <c r="A60654" s="8"/>
      <c r="B60654" s="8"/>
      <c r="C60654" s="99"/>
      <c r="D60654" s="8"/>
      <c r="E60654" s="8"/>
      <c r="F60654" s="8"/>
      <c r="G60654" s="8"/>
      <c r="H60654" s="8"/>
      <c r="I60654" s="102"/>
      <c r="J60654" s="8"/>
      <c r="K60654" s="8"/>
      <c r="L60654" s="8"/>
      <c r="M60654" s="8"/>
      <c r="N60654" s="8"/>
      <c r="O60654" s="8"/>
      <c r="P60654" s="8"/>
      <c r="Q60654" s="8"/>
      <c r="R60654" s="103"/>
      <c r="S60654" s="8"/>
      <c r="T60654" s="8"/>
      <c r="U60654" s="8"/>
      <c r="V60654" s="8"/>
      <c r="W60654" s="8"/>
      <c r="X60654" s="8"/>
      <c r="Y60654" s="8"/>
      <c r="Z60654" s="8"/>
      <c r="AA60654" s="8"/>
    </row>
    <row r="60655" spans="1:27" x14ac:dyDescent="0.25">
      <c r="A60655" s="8"/>
      <c r="B60655" s="8"/>
      <c r="C60655" s="99"/>
      <c r="D60655" s="8"/>
      <c r="E60655" s="8"/>
      <c r="F60655" s="8"/>
      <c r="G60655" s="8"/>
      <c r="H60655" s="8"/>
      <c r="I60655" s="102"/>
      <c r="J60655" s="8"/>
      <c r="K60655" s="8"/>
      <c r="L60655" s="8"/>
      <c r="M60655" s="8"/>
      <c r="N60655" s="8"/>
      <c r="O60655" s="8"/>
      <c r="P60655" s="8"/>
      <c r="Q60655" s="8"/>
      <c r="R60655" s="103"/>
      <c r="S60655" s="8"/>
      <c r="T60655" s="8"/>
      <c r="U60655" s="8"/>
      <c r="V60655" s="8"/>
      <c r="W60655" s="8"/>
      <c r="X60655" s="8"/>
      <c r="Y60655" s="8"/>
      <c r="Z60655" s="8"/>
      <c r="AA60655" s="8"/>
    </row>
    <row r="60656" spans="1:27" x14ac:dyDescent="0.25">
      <c r="A60656" s="8"/>
      <c r="B60656" s="8"/>
      <c r="C60656" s="99"/>
      <c r="D60656" s="8"/>
      <c r="E60656" s="8"/>
      <c r="F60656" s="8"/>
      <c r="G60656" s="8"/>
      <c r="H60656" s="8"/>
      <c r="I60656" s="102"/>
      <c r="J60656" s="8"/>
      <c r="K60656" s="8"/>
      <c r="L60656" s="8"/>
      <c r="M60656" s="8"/>
      <c r="N60656" s="8"/>
      <c r="O60656" s="8"/>
      <c r="P60656" s="8"/>
      <c r="Q60656" s="8"/>
      <c r="R60656" s="103"/>
      <c r="S60656" s="8"/>
      <c r="T60656" s="8"/>
      <c r="U60656" s="8"/>
      <c r="V60656" s="8"/>
      <c r="W60656" s="8"/>
      <c r="X60656" s="8"/>
      <c r="Y60656" s="8"/>
      <c r="Z60656" s="8"/>
      <c r="AA60656" s="8"/>
    </row>
    <row r="60657" spans="1:27" x14ac:dyDescent="0.25">
      <c r="A60657" s="8"/>
      <c r="B60657" s="8"/>
      <c r="C60657" s="99"/>
      <c r="D60657" s="8"/>
      <c r="E60657" s="8"/>
      <c r="F60657" s="8"/>
      <c r="G60657" s="8"/>
      <c r="H60657" s="8"/>
      <c r="I60657" s="102"/>
      <c r="J60657" s="8"/>
      <c r="K60657" s="8"/>
      <c r="L60657" s="8"/>
      <c r="M60657" s="8"/>
      <c r="N60657" s="8"/>
      <c r="O60657" s="8"/>
      <c r="P60657" s="8"/>
      <c r="Q60657" s="8"/>
      <c r="R60657" s="103"/>
      <c r="S60657" s="8"/>
      <c r="T60657" s="8"/>
      <c r="U60657" s="8"/>
      <c r="V60657" s="8"/>
      <c r="W60657" s="8"/>
      <c r="X60657" s="8"/>
      <c r="Y60657" s="8"/>
      <c r="Z60657" s="8"/>
      <c r="AA60657" s="8"/>
    </row>
    <row r="60658" spans="1:27" x14ac:dyDescent="0.25">
      <c r="A60658" s="8"/>
      <c r="B60658" s="8"/>
      <c r="C60658" s="99"/>
      <c r="D60658" s="8"/>
      <c r="E60658" s="8"/>
      <c r="F60658" s="8"/>
      <c r="G60658" s="8"/>
      <c r="H60658" s="8"/>
      <c r="I60658" s="102"/>
      <c r="J60658" s="8"/>
      <c r="K60658" s="8"/>
      <c r="L60658" s="8"/>
      <c r="M60658" s="8"/>
      <c r="N60658" s="8"/>
      <c r="O60658" s="8"/>
      <c r="P60658" s="8"/>
      <c r="Q60658" s="8"/>
      <c r="R60658" s="103"/>
      <c r="S60658" s="8"/>
      <c r="T60658" s="8"/>
      <c r="U60658" s="8"/>
      <c r="V60658" s="8"/>
      <c r="W60658" s="8"/>
      <c r="X60658" s="8"/>
      <c r="Y60658" s="8"/>
      <c r="Z60658" s="8"/>
      <c r="AA60658" s="8"/>
    </row>
    <row r="60659" spans="1:27" x14ac:dyDescent="0.25">
      <c r="A60659" s="8"/>
      <c r="B60659" s="8"/>
      <c r="C60659" s="99"/>
      <c r="D60659" s="8"/>
      <c r="E60659" s="8"/>
      <c r="F60659" s="8"/>
      <c r="G60659" s="8"/>
      <c r="H60659" s="8"/>
      <c r="I60659" s="102"/>
      <c r="J60659" s="8"/>
      <c r="K60659" s="8"/>
      <c r="L60659" s="8"/>
      <c r="M60659" s="8"/>
      <c r="N60659" s="8"/>
      <c r="O60659" s="8"/>
      <c r="P60659" s="8"/>
      <c r="Q60659" s="8"/>
      <c r="R60659" s="103"/>
      <c r="S60659" s="8"/>
      <c r="T60659" s="8"/>
      <c r="U60659" s="8"/>
      <c r="V60659" s="8"/>
      <c r="W60659" s="8"/>
      <c r="X60659" s="8"/>
      <c r="Y60659" s="8"/>
      <c r="Z60659" s="8"/>
      <c r="AA60659" s="8"/>
    </row>
    <row r="60660" spans="1:27" x14ac:dyDescent="0.25">
      <c r="A60660" s="8"/>
      <c r="B60660" s="8"/>
      <c r="C60660" s="99"/>
      <c r="D60660" s="8"/>
      <c r="E60660" s="8"/>
      <c r="F60660" s="8"/>
      <c r="G60660" s="8"/>
      <c r="H60660" s="8"/>
      <c r="I60660" s="102"/>
      <c r="J60660" s="8"/>
      <c r="K60660" s="8"/>
      <c r="L60660" s="8"/>
      <c r="M60660" s="8"/>
      <c r="N60660" s="8"/>
      <c r="O60660" s="8"/>
      <c r="P60660" s="8"/>
      <c r="Q60660" s="8"/>
      <c r="R60660" s="103"/>
      <c r="S60660" s="8"/>
      <c r="T60660" s="8"/>
      <c r="U60660" s="8"/>
      <c r="V60660" s="8"/>
      <c r="W60660" s="8"/>
      <c r="X60660" s="8"/>
      <c r="Y60660" s="8"/>
      <c r="Z60660" s="8"/>
      <c r="AA60660" s="8"/>
    </row>
    <row r="60661" spans="1:27" x14ac:dyDescent="0.25">
      <c r="A60661" s="8"/>
      <c r="B60661" s="8"/>
      <c r="C60661" s="99"/>
      <c r="D60661" s="8"/>
      <c r="E60661" s="8"/>
      <c r="F60661" s="8"/>
      <c r="G60661" s="8"/>
      <c r="H60661" s="8"/>
      <c r="I60661" s="102"/>
      <c r="J60661" s="8"/>
      <c r="K60661" s="8"/>
      <c r="L60661" s="8"/>
      <c r="M60661" s="8"/>
      <c r="N60661" s="8"/>
      <c r="O60661" s="8"/>
      <c r="P60661" s="8"/>
      <c r="Q60661" s="8"/>
      <c r="R60661" s="103"/>
      <c r="S60661" s="8"/>
      <c r="T60661" s="8"/>
      <c r="U60661" s="8"/>
      <c r="V60661" s="8"/>
      <c r="W60661" s="8"/>
      <c r="X60661" s="8"/>
      <c r="Y60661" s="8"/>
      <c r="Z60661" s="8"/>
      <c r="AA60661" s="8"/>
    </row>
    <row r="60662" spans="1:27" x14ac:dyDescent="0.25">
      <c r="A60662" s="8"/>
      <c r="B60662" s="8"/>
      <c r="C60662" s="99"/>
      <c r="D60662" s="8"/>
      <c r="E60662" s="8"/>
      <c r="F60662" s="8"/>
      <c r="G60662" s="8"/>
      <c r="H60662" s="8"/>
      <c r="I60662" s="102"/>
      <c r="J60662" s="8"/>
      <c r="K60662" s="8"/>
      <c r="L60662" s="8"/>
      <c r="M60662" s="8"/>
      <c r="N60662" s="8"/>
      <c r="O60662" s="8"/>
      <c r="P60662" s="8"/>
      <c r="Q60662" s="8"/>
      <c r="R60662" s="103"/>
      <c r="S60662" s="8"/>
      <c r="T60662" s="8"/>
      <c r="U60662" s="8"/>
      <c r="V60662" s="8"/>
      <c r="W60662" s="8"/>
      <c r="X60662" s="8"/>
      <c r="Y60662" s="8"/>
      <c r="Z60662" s="8"/>
      <c r="AA60662" s="8"/>
    </row>
    <row r="60663" spans="1:27" x14ac:dyDescent="0.25">
      <c r="A60663" s="8"/>
      <c r="B60663" s="8"/>
      <c r="C60663" s="99"/>
      <c r="D60663" s="8"/>
      <c r="E60663" s="8"/>
      <c r="F60663" s="8"/>
      <c r="G60663" s="8"/>
      <c r="H60663" s="8"/>
      <c r="I60663" s="102"/>
      <c r="J60663" s="8"/>
      <c r="K60663" s="8"/>
      <c r="L60663" s="8"/>
      <c r="M60663" s="8"/>
      <c r="N60663" s="8"/>
      <c r="O60663" s="8"/>
      <c r="P60663" s="8"/>
      <c r="Q60663" s="8"/>
      <c r="R60663" s="103"/>
      <c r="S60663" s="8"/>
      <c r="T60663" s="8"/>
      <c r="U60663" s="8"/>
      <c r="V60663" s="8"/>
      <c r="W60663" s="8"/>
      <c r="X60663" s="8"/>
      <c r="Y60663" s="8"/>
      <c r="Z60663" s="8"/>
      <c r="AA60663" s="8"/>
    </row>
    <row r="60664" spans="1:27" x14ac:dyDescent="0.25">
      <c r="A60664" s="8"/>
      <c r="B60664" s="8"/>
      <c r="C60664" s="99"/>
      <c r="D60664" s="8"/>
      <c r="E60664" s="8"/>
      <c r="F60664" s="8"/>
      <c r="G60664" s="8"/>
      <c r="H60664" s="8"/>
      <c r="I60664" s="102"/>
      <c r="J60664" s="8"/>
      <c r="K60664" s="8"/>
      <c r="L60664" s="8"/>
      <c r="M60664" s="8"/>
      <c r="N60664" s="8"/>
      <c r="O60664" s="8"/>
      <c r="P60664" s="8"/>
      <c r="Q60664" s="8"/>
      <c r="R60664" s="103"/>
      <c r="S60664" s="8"/>
      <c r="T60664" s="8"/>
      <c r="U60664" s="8"/>
      <c r="V60664" s="8"/>
      <c r="W60664" s="8"/>
      <c r="X60664" s="8"/>
      <c r="Y60664" s="8"/>
      <c r="Z60664" s="8"/>
      <c r="AA60664" s="8"/>
    </row>
    <row r="60665" spans="1:27" x14ac:dyDescent="0.25">
      <c r="A60665" s="8"/>
      <c r="B60665" s="8"/>
      <c r="C60665" s="99"/>
      <c r="D60665" s="8"/>
      <c r="E60665" s="8"/>
      <c r="F60665" s="8"/>
      <c r="G60665" s="8"/>
      <c r="H60665" s="8"/>
      <c r="I60665" s="102"/>
      <c r="J60665" s="8"/>
      <c r="K60665" s="8"/>
      <c r="L60665" s="8"/>
      <c r="M60665" s="8"/>
      <c r="N60665" s="8"/>
      <c r="O60665" s="8"/>
      <c r="P60665" s="8"/>
      <c r="Q60665" s="8"/>
      <c r="R60665" s="103"/>
      <c r="S60665" s="8"/>
      <c r="T60665" s="8"/>
      <c r="U60665" s="8"/>
      <c r="V60665" s="8"/>
      <c r="W60665" s="8"/>
      <c r="X60665" s="8"/>
      <c r="Y60665" s="8"/>
      <c r="Z60665" s="8"/>
      <c r="AA60665" s="8"/>
    </row>
    <row r="60666" spans="1:27" x14ac:dyDescent="0.25">
      <c r="A60666" s="8"/>
      <c r="B60666" s="8"/>
      <c r="C60666" s="99"/>
      <c r="D60666" s="8"/>
      <c r="E60666" s="8"/>
      <c r="F60666" s="8"/>
      <c r="G60666" s="8"/>
      <c r="H60666" s="8"/>
      <c r="I60666" s="102"/>
      <c r="J60666" s="8"/>
      <c r="K60666" s="8"/>
      <c r="L60666" s="8"/>
      <c r="M60666" s="8"/>
      <c r="N60666" s="8"/>
      <c r="O60666" s="8"/>
      <c r="P60666" s="8"/>
      <c r="Q60666" s="8"/>
      <c r="R60666" s="103"/>
      <c r="S60666" s="8"/>
      <c r="T60666" s="8"/>
      <c r="U60666" s="8"/>
      <c r="V60666" s="8"/>
      <c r="W60666" s="8"/>
      <c r="X60666" s="8"/>
      <c r="Y60666" s="8"/>
      <c r="Z60666" s="8"/>
      <c r="AA60666" s="8"/>
    </row>
    <row r="60667" spans="1:27" x14ac:dyDescent="0.25">
      <c r="A60667" s="8"/>
      <c r="B60667" s="8"/>
      <c r="C60667" s="99"/>
      <c r="D60667" s="8"/>
      <c r="E60667" s="8"/>
      <c r="F60667" s="8"/>
      <c r="G60667" s="8"/>
      <c r="H60667" s="8"/>
      <c r="I60667" s="102"/>
      <c r="J60667" s="8"/>
      <c r="K60667" s="8"/>
      <c r="L60667" s="8"/>
      <c r="M60667" s="8"/>
      <c r="N60667" s="8"/>
      <c r="O60667" s="8"/>
      <c r="P60667" s="8"/>
      <c r="Q60667" s="8"/>
      <c r="R60667" s="103"/>
      <c r="S60667" s="8"/>
      <c r="T60667" s="8"/>
      <c r="U60667" s="8"/>
      <c r="V60667" s="8"/>
      <c r="W60667" s="8"/>
      <c r="X60667" s="8"/>
      <c r="Y60667" s="8"/>
      <c r="Z60667" s="8"/>
      <c r="AA60667" s="8"/>
    </row>
    <row r="60668" spans="1:27" x14ac:dyDescent="0.25">
      <c r="A60668" s="8"/>
      <c r="B60668" s="8"/>
      <c r="C60668" s="99"/>
      <c r="D60668" s="8"/>
      <c r="E60668" s="8"/>
      <c r="F60668" s="8"/>
      <c r="G60668" s="8"/>
      <c r="H60668" s="8"/>
      <c r="I60668" s="102"/>
      <c r="J60668" s="8"/>
      <c r="K60668" s="8"/>
      <c r="L60668" s="8"/>
      <c r="M60668" s="8"/>
      <c r="N60668" s="8"/>
      <c r="O60668" s="8"/>
      <c r="P60668" s="8"/>
      <c r="Q60668" s="8"/>
      <c r="R60668" s="103"/>
      <c r="S60668" s="8"/>
      <c r="T60668" s="8"/>
      <c r="U60668" s="8"/>
      <c r="V60668" s="8"/>
      <c r="W60668" s="8"/>
      <c r="X60668" s="8"/>
      <c r="Y60668" s="8"/>
      <c r="Z60668" s="8"/>
      <c r="AA60668" s="8"/>
    </row>
    <row r="60669" spans="1:27" x14ac:dyDescent="0.25">
      <c r="A60669" s="8"/>
      <c r="B60669" s="8"/>
      <c r="C60669" s="99"/>
      <c r="D60669" s="8"/>
      <c r="E60669" s="8"/>
      <c r="F60669" s="8"/>
      <c r="G60669" s="8"/>
      <c r="H60669" s="8"/>
      <c r="I60669" s="102"/>
      <c r="J60669" s="8"/>
      <c r="K60669" s="8"/>
      <c r="L60669" s="8"/>
      <c r="M60669" s="8"/>
      <c r="N60669" s="8"/>
      <c r="O60669" s="8"/>
      <c r="P60669" s="8"/>
      <c r="Q60669" s="8"/>
      <c r="R60669" s="103"/>
      <c r="S60669" s="8"/>
      <c r="T60669" s="8"/>
      <c r="U60669" s="8"/>
      <c r="V60669" s="8"/>
      <c r="W60669" s="8"/>
      <c r="X60669" s="8"/>
      <c r="Y60669" s="8"/>
      <c r="Z60669" s="8"/>
      <c r="AA60669" s="8"/>
    </row>
    <row r="60670" spans="1:27" x14ac:dyDescent="0.25">
      <c r="A60670" s="8"/>
      <c r="B60670" s="8"/>
      <c r="C60670" s="99"/>
      <c r="D60670" s="8"/>
      <c r="E60670" s="8"/>
      <c r="F60670" s="8"/>
      <c r="G60670" s="8"/>
      <c r="H60670" s="8"/>
      <c r="I60670" s="102"/>
      <c r="J60670" s="8"/>
      <c r="K60670" s="8"/>
      <c r="L60670" s="8"/>
      <c r="M60670" s="8"/>
      <c r="N60670" s="8"/>
      <c r="O60670" s="8"/>
      <c r="P60670" s="8"/>
      <c r="Q60670" s="8"/>
      <c r="R60670" s="103"/>
      <c r="S60670" s="8"/>
      <c r="T60670" s="8"/>
      <c r="U60670" s="8"/>
      <c r="V60670" s="8"/>
      <c r="W60670" s="8"/>
      <c r="X60670" s="8"/>
      <c r="Y60670" s="8"/>
      <c r="Z60670" s="8"/>
      <c r="AA60670" s="8"/>
    </row>
    <row r="60671" spans="1:27" x14ac:dyDescent="0.25">
      <c r="A60671" s="8"/>
      <c r="B60671" s="8"/>
      <c r="C60671" s="99"/>
      <c r="D60671" s="8"/>
      <c r="E60671" s="8"/>
      <c r="F60671" s="8"/>
      <c r="G60671" s="8"/>
      <c r="H60671" s="8"/>
      <c r="I60671" s="102"/>
      <c r="J60671" s="8"/>
      <c r="K60671" s="8"/>
      <c r="L60671" s="8"/>
      <c r="M60671" s="8"/>
      <c r="N60671" s="8"/>
      <c r="O60671" s="8"/>
      <c r="P60671" s="8"/>
      <c r="Q60671" s="8"/>
      <c r="R60671" s="103"/>
      <c r="S60671" s="8"/>
      <c r="T60671" s="8"/>
      <c r="U60671" s="8"/>
      <c r="V60671" s="8"/>
      <c r="W60671" s="8"/>
      <c r="X60671" s="8"/>
      <c r="Y60671" s="8"/>
      <c r="Z60671" s="8"/>
      <c r="AA60671" s="8"/>
    </row>
    <row r="60672" spans="1:27" x14ac:dyDescent="0.25">
      <c r="A60672" s="8"/>
      <c r="B60672" s="8"/>
      <c r="C60672" s="99"/>
      <c r="D60672" s="8"/>
      <c r="E60672" s="8"/>
      <c r="F60672" s="8"/>
      <c r="G60672" s="8"/>
      <c r="H60672" s="8"/>
      <c r="I60672" s="102"/>
      <c r="J60672" s="8"/>
      <c r="K60672" s="8"/>
      <c r="L60672" s="8"/>
      <c r="M60672" s="8"/>
      <c r="N60672" s="8"/>
      <c r="O60672" s="8"/>
      <c r="P60672" s="8"/>
      <c r="Q60672" s="8"/>
      <c r="R60672" s="103"/>
      <c r="S60672" s="8"/>
      <c r="T60672" s="8"/>
      <c r="U60672" s="8"/>
      <c r="V60672" s="8"/>
      <c r="W60672" s="8"/>
      <c r="X60672" s="8"/>
      <c r="Y60672" s="8"/>
      <c r="Z60672" s="8"/>
      <c r="AA60672" s="8"/>
    </row>
    <row r="60673" spans="1:27" x14ac:dyDescent="0.25">
      <c r="A60673" s="8"/>
      <c r="B60673" s="8"/>
      <c r="C60673" s="99"/>
      <c r="D60673" s="8"/>
      <c r="E60673" s="8"/>
      <c r="F60673" s="8"/>
      <c r="G60673" s="8"/>
      <c r="H60673" s="8"/>
      <c r="I60673" s="102"/>
      <c r="J60673" s="8"/>
      <c r="K60673" s="8"/>
      <c r="L60673" s="8"/>
      <c r="M60673" s="8"/>
      <c r="N60673" s="8"/>
      <c r="O60673" s="8"/>
      <c r="P60673" s="8"/>
      <c r="Q60673" s="8"/>
      <c r="R60673" s="103"/>
      <c r="S60673" s="8"/>
      <c r="T60673" s="8"/>
      <c r="U60673" s="8"/>
      <c r="V60673" s="8"/>
      <c r="W60673" s="8"/>
      <c r="X60673" s="8"/>
      <c r="Y60673" s="8"/>
      <c r="Z60673" s="8"/>
      <c r="AA60673" s="8"/>
    </row>
    <row r="60674" spans="1:27" x14ac:dyDescent="0.25">
      <c r="A60674" s="8"/>
      <c r="B60674" s="8"/>
      <c r="C60674" s="99"/>
      <c r="D60674" s="8"/>
      <c r="E60674" s="8"/>
      <c r="F60674" s="8"/>
      <c r="G60674" s="8"/>
      <c r="H60674" s="8"/>
      <c r="I60674" s="102"/>
      <c r="J60674" s="8"/>
      <c r="K60674" s="8"/>
      <c r="L60674" s="8"/>
      <c r="M60674" s="8"/>
      <c r="N60674" s="8"/>
      <c r="O60674" s="8"/>
      <c r="P60674" s="8"/>
      <c r="Q60674" s="8"/>
      <c r="R60674" s="103"/>
      <c r="S60674" s="8"/>
      <c r="T60674" s="8"/>
      <c r="U60674" s="8"/>
      <c r="V60674" s="8"/>
      <c r="W60674" s="8"/>
      <c r="X60674" s="8"/>
      <c r="Y60674" s="8"/>
      <c r="Z60674" s="8"/>
      <c r="AA60674" s="8"/>
    </row>
    <row r="60675" spans="1:27" x14ac:dyDescent="0.25">
      <c r="A60675" s="8"/>
      <c r="B60675" s="8"/>
      <c r="C60675" s="99"/>
      <c r="D60675" s="8"/>
      <c r="E60675" s="8"/>
      <c r="F60675" s="8"/>
      <c r="G60675" s="8"/>
      <c r="H60675" s="8"/>
      <c r="I60675" s="102"/>
      <c r="J60675" s="8"/>
      <c r="K60675" s="8"/>
      <c r="L60675" s="8"/>
      <c r="M60675" s="8"/>
      <c r="N60675" s="8"/>
      <c r="O60675" s="8"/>
      <c r="P60675" s="8"/>
      <c r="Q60675" s="8"/>
      <c r="R60675" s="103"/>
      <c r="S60675" s="8"/>
      <c r="T60675" s="8"/>
      <c r="U60675" s="8"/>
      <c r="V60675" s="8"/>
      <c r="W60675" s="8"/>
      <c r="X60675" s="8"/>
      <c r="Y60675" s="8"/>
      <c r="Z60675" s="8"/>
      <c r="AA60675" s="8"/>
    </row>
    <row r="60676" spans="1:27" x14ac:dyDescent="0.25">
      <c r="A60676" s="8"/>
      <c r="B60676" s="8"/>
      <c r="C60676" s="99"/>
      <c r="D60676" s="8"/>
      <c r="E60676" s="8"/>
      <c r="F60676" s="8"/>
      <c r="G60676" s="8"/>
      <c r="H60676" s="8"/>
      <c r="I60676" s="102"/>
      <c r="J60676" s="8"/>
      <c r="K60676" s="8"/>
      <c r="L60676" s="8"/>
      <c r="M60676" s="8"/>
      <c r="N60676" s="8"/>
      <c r="O60676" s="8"/>
      <c r="P60676" s="8"/>
      <c r="Q60676" s="8"/>
      <c r="R60676" s="103"/>
      <c r="S60676" s="8"/>
      <c r="T60676" s="8"/>
      <c r="U60676" s="8"/>
      <c r="V60676" s="8"/>
      <c r="W60676" s="8"/>
      <c r="X60676" s="8"/>
      <c r="Y60676" s="8"/>
      <c r="Z60676" s="8"/>
      <c r="AA60676" s="8"/>
    </row>
    <row r="60677" spans="1:27" x14ac:dyDescent="0.25">
      <c r="A60677" s="8"/>
      <c r="B60677" s="8"/>
      <c r="C60677" s="99"/>
      <c r="D60677" s="8"/>
      <c r="E60677" s="8"/>
      <c r="F60677" s="8"/>
      <c r="G60677" s="8"/>
      <c r="H60677" s="8"/>
      <c r="I60677" s="102"/>
      <c r="J60677" s="8"/>
      <c r="K60677" s="8"/>
      <c r="L60677" s="8"/>
      <c r="M60677" s="8"/>
      <c r="N60677" s="8"/>
      <c r="O60677" s="8"/>
      <c r="P60677" s="8"/>
      <c r="Q60677" s="8"/>
      <c r="R60677" s="103"/>
      <c r="S60677" s="8"/>
      <c r="T60677" s="8"/>
      <c r="U60677" s="8"/>
      <c r="V60677" s="8"/>
      <c r="W60677" s="8"/>
      <c r="X60677" s="8"/>
      <c r="Y60677" s="8"/>
      <c r="Z60677" s="8"/>
      <c r="AA60677" s="8"/>
    </row>
    <row r="60678" spans="1:27" x14ac:dyDescent="0.25">
      <c r="A60678" s="8"/>
      <c r="B60678" s="8"/>
      <c r="C60678" s="99"/>
      <c r="D60678" s="8"/>
      <c r="E60678" s="8"/>
      <c r="F60678" s="8"/>
      <c r="G60678" s="8"/>
      <c r="H60678" s="8"/>
      <c r="I60678" s="102"/>
      <c r="J60678" s="8"/>
      <c r="K60678" s="8"/>
      <c r="L60678" s="8"/>
      <c r="M60678" s="8"/>
      <c r="N60678" s="8"/>
      <c r="O60678" s="8"/>
      <c r="P60678" s="8"/>
      <c r="Q60678" s="8"/>
      <c r="R60678" s="103"/>
      <c r="S60678" s="8"/>
      <c r="T60678" s="8"/>
      <c r="U60678" s="8"/>
      <c r="V60678" s="8"/>
      <c r="W60678" s="8"/>
      <c r="X60678" s="8"/>
      <c r="Y60678" s="8"/>
      <c r="Z60678" s="8"/>
      <c r="AA60678" s="8"/>
    </row>
    <row r="60679" spans="1:27" x14ac:dyDescent="0.25">
      <c r="A60679" s="8"/>
      <c r="B60679" s="8"/>
      <c r="C60679" s="99"/>
      <c r="D60679" s="8"/>
      <c r="E60679" s="8"/>
      <c r="F60679" s="8"/>
      <c r="G60679" s="8"/>
      <c r="H60679" s="8"/>
      <c r="I60679" s="102"/>
      <c r="J60679" s="8"/>
      <c r="K60679" s="8"/>
      <c r="L60679" s="8"/>
      <c r="M60679" s="8"/>
      <c r="N60679" s="8"/>
      <c r="O60679" s="8"/>
      <c r="P60679" s="8"/>
      <c r="Q60679" s="8"/>
      <c r="R60679" s="103"/>
      <c r="S60679" s="8"/>
      <c r="T60679" s="8"/>
      <c r="U60679" s="8"/>
      <c r="V60679" s="8"/>
      <c r="W60679" s="8"/>
      <c r="X60679" s="8"/>
      <c r="Y60679" s="8"/>
      <c r="Z60679" s="8"/>
      <c r="AA60679" s="8"/>
    </row>
    <row r="60680" spans="1:27" x14ac:dyDescent="0.25">
      <c r="A60680" s="8"/>
      <c r="B60680" s="8"/>
      <c r="C60680" s="99"/>
      <c r="D60680" s="8"/>
      <c r="E60680" s="8"/>
      <c r="F60680" s="8"/>
      <c r="G60680" s="8"/>
      <c r="H60680" s="8"/>
      <c r="I60680" s="102"/>
      <c r="J60680" s="8"/>
      <c r="K60680" s="8"/>
      <c r="L60680" s="8"/>
      <c r="M60680" s="8"/>
      <c r="N60680" s="8"/>
      <c r="O60680" s="8"/>
      <c r="P60680" s="8"/>
      <c r="Q60680" s="8"/>
      <c r="R60680" s="103"/>
      <c r="S60680" s="8"/>
      <c r="T60680" s="8"/>
      <c r="U60680" s="8"/>
      <c r="V60680" s="8"/>
      <c r="W60680" s="8"/>
      <c r="X60680" s="8"/>
      <c r="Y60680" s="8"/>
      <c r="Z60680" s="8"/>
      <c r="AA60680" s="8"/>
    </row>
    <row r="60681" spans="1:27" x14ac:dyDescent="0.25">
      <c r="A60681" s="8"/>
      <c r="B60681" s="8"/>
      <c r="C60681" s="99"/>
      <c r="D60681" s="8"/>
      <c r="E60681" s="8"/>
      <c r="F60681" s="8"/>
      <c r="G60681" s="8"/>
      <c r="H60681" s="8"/>
      <c r="I60681" s="102"/>
      <c r="J60681" s="8"/>
      <c r="K60681" s="8"/>
      <c r="L60681" s="8"/>
      <c r="M60681" s="8"/>
      <c r="N60681" s="8"/>
      <c r="O60681" s="8"/>
      <c r="P60681" s="8"/>
      <c r="Q60681" s="8"/>
      <c r="R60681" s="103"/>
      <c r="S60681" s="8"/>
      <c r="T60681" s="8"/>
      <c r="U60681" s="8"/>
      <c r="V60681" s="8"/>
      <c r="W60681" s="8"/>
      <c r="X60681" s="8"/>
      <c r="Y60681" s="8"/>
      <c r="Z60681" s="8"/>
      <c r="AA60681" s="8"/>
    </row>
    <row r="60682" spans="1:27" x14ac:dyDescent="0.25">
      <c r="A60682" s="8"/>
      <c r="B60682" s="8"/>
      <c r="C60682" s="99"/>
      <c r="D60682" s="8"/>
      <c r="E60682" s="8"/>
      <c r="F60682" s="8"/>
      <c r="G60682" s="8"/>
      <c r="H60682" s="8"/>
      <c r="I60682" s="102"/>
      <c r="J60682" s="8"/>
      <c r="K60682" s="8"/>
      <c r="L60682" s="8"/>
      <c r="M60682" s="8"/>
      <c r="N60682" s="8"/>
      <c r="O60682" s="8"/>
      <c r="P60682" s="8"/>
      <c r="Q60682" s="8"/>
      <c r="R60682" s="103"/>
      <c r="S60682" s="8"/>
      <c r="T60682" s="8"/>
      <c r="U60682" s="8"/>
      <c r="V60682" s="8"/>
      <c r="W60682" s="8"/>
      <c r="X60682" s="8"/>
      <c r="Y60682" s="8"/>
      <c r="Z60682" s="8"/>
      <c r="AA60682" s="8"/>
    </row>
    <row r="60683" spans="1:27" x14ac:dyDescent="0.25">
      <c r="A60683" s="8"/>
      <c r="B60683" s="8"/>
      <c r="C60683" s="99"/>
      <c r="D60683" s="8"/>
      <c r="E60683" s="8"/>
      <c r="F60683" s="8"/>
      <c r="G60683" s="8"/>
      <c r="H60683" s="8"/>
      <c r="I60683" s="102"/>
      <c r="J60683" s="8"/>
      <c r="K60683" s="8"/>
      <c r="L60683" s="8"/>
      <c r="M60683" s="8"/>
      <c r="N60683" s="8"/>
      <c r="O60683" s="8"/>
      <c r="P60683" s="8"/>
      <c r="Q60683" s="8"/>
      <c r="R60683" s="103"/>
      <c r="S60683" s="8"/>
      <c r="T60683" s="8"/>
      <c r="U60683" s="8"/>
      <c r="V60683" s="8"/>
      <c r="W60683" s="8"/>
      <c r="X60683" s="8"/>
      <c r="Y60683" s="8"/>
      <c r="Z60683" s="8"/>
      <c r="AA60683" s="8"/>
    </row>
    <row r="60684" spans="1:27" x14ac:dyDescent="0.25">
      <c r="A60684" s="8"/>
      <c r="B60684" s="8"/>
      <c r="C60684" s="99"/>
      <c r="D60684" s="8"/>
      <c r="E60684" s="8"/>
      <c r="F60684" s="8"/>
      <c r="G60684" s="8"/>
      <c r="H60684" s="8"/>
      <c r="I60684" s="102"/>
      <c r="J60684" s="8"/>
      <c r="K60684" s="8"/>
      <c r="L60684" s="8"/>
      <c r="M60684" s="8"/>
      <c r="N60684" s="8"/>
      <c r="O60684" s="8"/>
      <c r="P60684" s="8"/>
      <c r="Q60684" s="8"/>
      <c r="R60684" s="103"/>
      <c r="S60684" s="8"/>
      <c r="T60684" s="8"/>
      <c r="U60684" s="8"/>
      <c r="V60684" s="8"/>
      <c r="W60684" s="8"/>
      <c r="X60684" s="8"/>
      <c r="Y60684" s="8"/>
      <c r="Z60684" s="8"/>
      <c r="AA60684" s="8"/>
    </row>
    <row r="60685" spans="1:27" x14ac:dyDescent="0.25">
      <c r="A60685" s="8"/>
      <c r="B60685" s="8"/>
      <c r="C60685" s="99"/>
      <c r="D60685" s="8"/>
      <c r="E60685" s="8"/>
      <c r="F60685" s="8"/>
      <c r="G60685" s="8"/>
      <c r="H60685" s="8"/>
      <c r="I60685" s="102"/>
      <c r="J60685" s="8"/>
      <c r="K60685" s="8"/>
      <c r="L60685" s="8"/>
      <c r="M60685" s="8"/>
      <c r="N60685" s="8"/>
      <c r="O60685" s="8"/>
      <c r="P60685" s="8"/>
      <c r="Q60685" s="8"/>
      <c r="R60685" s="103"/>
      <c r="S60685" s="8"/>
      <c r="T60685" s="8"/>
      <c r="U60685" s="8"/>
      <c r="V60685" s="8"/>
      <c r="W60685" s="8"/>
      <c r="X60685" s="8"/>
      <c r="Y60685" s="8"/>
      <c r="Z60685" s="8"/>
      <c r="AA60685" s="8"/>
    </row>
    <row r="60686" spans="1:27" x14ac:dyDescent="0.25">
      <c r="A60686" s="8"/>
      <c r="B60686" s="8"/>
      <c r="C60686" s="99"/>
      <c r="D60686" s="8"/>
      <c r="E60686" s="8"/>
      <c r="F60686" s="8"/>
      <c r="G60686" s="8"/>
      <c r="H60686" s="8"/>
      <c r="I60686" s="102"/>
      <c r="J60686" s="8"/>
      <c r="K60686" s="8"/>
      <c r="L60686" s="8"/>
      <c r="M60686" s="8"/>
      <c r="N60686" s="8"/>
      <c r="O60686" s="8"/>
      <c r="P60686" s="8"/>
      <c r="Q60686" s="8"/>
      <c r="R60686" s="103"/>
      <c r="S60686" s="8"/>
      <c r="T60686" s="8"/>
      <c r="U60686" s="8"/>
      <c r="V60686" s="8"/>
      <c r="W60686" s="8"/>
      <c r="X60686" s="8"/>
      <c r="Y60686" s="8"/>
      <c r="Z60686" s="8"/>
      <c r="AA60686" s="8"/>
    </row>
    <row r="60687" spans="1:27" x14ac:dyDescent="0.25">
      <c r="A60687" s="8"/>
      <c r="B60687" s="8"/>
      <c r="C60687" s="99"/>
      <c r="D60687" s="8"/>
      <c r="E60687" s="8"/>
      <c r="F60687" s="8"/>
      <c r="G60687" s="8"/>
      <c r="H60687" s="8"/>
      <c r="I60687" s="102"/>
      <c r="J60687" s="8"/>
      <c r="K60687" s="8"/>
      <c r="L60687" s="8"/>
      <c r="M60687" s="8"/>
      <c r="N60687" s="8"/>
      <c r="O60687" s="8"/>
      <c r="P60687" s="8"/>
      <c r="Q60687" s="8"/>
      <c r="R60687" s="103"/>
      <c r="S60687" s="8"/>
      <c r="T60687" s="8"/>
      <c r="U60687" s="8"/>
      <c r="V60687" s="8"/>
      <c r="W60687" s="8"/>
      <c r="X60687" s="8"/>
      <c r="Y60687" s="8"/>
      <c r="Z60687" s="8"/>
      <c r="AA60687" s="8"/>
    </row>
    <row r="60688" spans="1:27" x14ac:dyDescent="0.25">
      <c r="A60688" s="8"/>
      <c r="B60688" s="8"/>
      <c r="C60688" s="99"/>
      <c r="D60688" s="8"/>
      <c r="E60688" s="8"/>
      <c r="F60688" s="8"/>
      <c r="G60688" s="8"/>
      <c r="H60688" s="8"/>
      <c r="I60688" s="102"/>
      <c r="J60688" s="8"/>
      <c r="K60688" s="8"/>
      <c r="L60688" s="8"/>
      <c r="M60688" s="8"/>
      <c r="N60688" s="8"/>
      <c r="O60688" s="8"/>
      <c r="P60688" s="8"/>
      <c r="Q60688" s="8"/>
      <c r="R60688" s="103"/>
      <c r="S60688" s="8"/>
      <c r="T60688" s="8"/>
      <c r="U60688" s="8"/>
      <c r="V60688" s="8"/>
      <c r="W60688" s="8"/>
      <c r="X60688" s="8"/>
      <c r="Y60688" s="8"/>
      <c r="Z60688" s="8"/>
      <c r="AA60688" s="8"/>
    </row>
    <row r="60689" spans="1:27" x14ac:dyDescent="0.25">
      <c r="A60689" s="8"/>
      <c r="B60689" s="8"/>
      <c r="C60689" s="99"/>
      <c r="D60689" s="8"/>
      <c r="E60689" s="8"/>
      <c r="F60689" s="8"/>
      <c r="G60689" s="8"/>
      <c r="H60689" s="8"/>
      <c r="I60689" s="102"/>
      <c r="J60689" s="8"/>
      <c r="K60689" s="8"/>
      <c r="L60689" s="8"/>
      <c r="M60689" s="8"/>
      <c r="N60689" s="8"/>
      <c r="O60689" s="8"/>
      <c r="P60689" s="8"/>
      <c r="Q60689" s="8"/>
      <c r="R60689" s="103"/>
      <c r="S60689" s="8"/>
      <c r="T60689" s="8"/>
      <c r="U60689" s="8"/>
      <c r="V60689" s="8"/>
      <c r="W60689" s="8"/>
      <c r="X60689" s="8"/>
      <c r="Y60689" s="8"/>
      <c r="Z60689" s="8"/>
      <c r="AA60689" s="8"/>
    </row>
    <row r="60690" spans="1:27" x14ac:dyDescent="0.25">
      <c r="A60690" s="8"/>
      <c r="B60690" s="8"/>
      <c r="C60690" s="99"/>
      <c r="D60690" s="8"/>
      <c r="E60690" s="8"/>
      <c r="F60690" s="8"/>
      <c r="G60690" s="8"/>
      <c r="H60690" s="8"/>
      <c r="I60690" s="102"/>
      <c r="J60690" s="8"/>
      <c r="K60690" s="8"/>
      <c r="L60690" s="8"/>
      <c r="M60690" s="8"/>
      <c r="N60690" s="8"/>
      <c r="O60690" s="8"/>
      <c r="P60690" s="8"/>
      <c r="Q60690" s="8"/>
      <c r="R60690" s="103"/>
      <c r="S60690" s="8"/>
      <c r="T60690" s="8"/>
      <c r="U60690" s="8"/>
      <c r="V60690" s="8"/>
      <c r="W60690" s="8"/>
      <c r="X60690" s="8"/>
      <c r="Y60690" s="8"/>
      <c r="Z60690" s="8"/>
      <c r="AA60690" s="8"/>
    </row>
    <row r="60691" spans="1:27" x14ac:dyDescent="0.25">
      <c r="A60691" s="8"/>
      <c r="B60691" s="8"/>
      <c r="C60691" s="99"/>
      <c r="D60691" s="8"/>
      <c r="E60691" s="8"/>
      <c r="F60691" s="8"/>
      <c r="G60691" s="8"/>
      <c r="H60691" s="8"/>
      <c r="I60691" s="102"/>
      <c r="J60691" s="8"/>
      <c r="K60691" s="8"/>
      <c r="L60691" s="8"/>
      <c r="M60691" s="8"/>
      <c r="N60691" s="8"/>
      <c r="O60691" s="8"/>
      <c r="P60691" s="8"/>
      <c r="Q60691" s="8"/>
      <c r="R60691" s="103"/>
      <c r="S60691" s="8"/>
      <c r="T60691" s="8"/>
      <c r="U60691" s="8"/>
      <c r="V60691" s="8"/>
      <c r="W60691" s="8"/>
      <c r="X60691" s="8"/>
      <c r="Y60691" s="8"/>
      <c r="Z60691" s="8"/>
      <c r="AA60691" s="8"/>
    </row>
    <row r="60692" spans="1:27" x14ac:dyDescent="0.25">
      <c r="A60692" s="8"/>
      <c r="B60692" s="8"/>
      <c r="C60692" s="99"/>
      <c r="D60692" s="8"/>
      <c r="E60692" s="8"/>
      <c r="F60692" s="8"/>
      <c r="G60692" s="8"/>
      <c r="H60692" s="8"/>
      <c r="I60692" s="102"/>
      <c r="J60692" s="8"/>
      <c r="K60692" s="8"/>
      <c r="L60692" s="8"/>
      <c r="M60692" s="8"/>
      <c r="N60692" s="8"/>
      <c r="O60692" s="8"/>
      <c r="P60692" s="8"/>
      <c r="Q60692" s="8"/>
      <c r="R60692" s="103"/>
      <c r="S60692" s="8"/>
      <c r="T60692" s="8"/>
      <c r="U60692" s="8"/>
      <c r="V60692" s="8"/>
      <c r="W60692" s="8"/>
      <c r="X60692" s="8"/>
      <c r="Y60692" s="8"/>
      <c r="Z60692" s="8"/>
      <c r="AA60692" s="8"/>
    </row>
    <row r="60693" spans="1:27" x14ac:dyDescent="0.25">
      <c r="A60693" s="8"/>
      <c r="B60693" s="8"/>
      <c r="C60693" s="99"/>
      <c r="D60693" s="8"/>
      <c r="E60693" s="8"/>
      <c r="F60693" s="8"/>
      <c r="G60693" s="8"/>
      <c r="H60693" s="8"/>
      <c r="I60693" s="102"/>
      <c r="J60693" s="8"/>
      <c r="K60693" s="8"/>
      <c r="L60693" s="8"/>
      <c r="M60693" s="8"/>
      <c r="N60693" s="8"/>
      <c r="O60693" s="8"/>
      <c r="P60693" s="8"/>
      <c r="Q60693" s="8"/>
      <c r="R60693" s="103"/>
      <c r="S60693" s="8"/>
      <c r="T60693" s="8"/>
      <c r="U60693" s="8"/>
      <c r="V60693" s="8"/>
      <c r="W60693" s="8"/>
      <c r="X60693" s="8"/>
      <c r="Y60693" s="8"/>
      <c r="Z60693" s="8"/>
      <c r="AA60693" s="8"/>
    </row>
    <row r="60694" spans="1:27" x14ac:dyDescent="0.25">
      <c r="A60694" s="8"/>
      <c r="B60694" s="8"/>
      <c r="C60694" s="99"/>
      <c r="D60694" s="8"/>
      <c r="E60694" s="8"/>
      <c r="F60694" s="8"/>
      <c r="G60694" s="8"/>
      <c r="H60694" s="8"/>
      <c r="I60694" s="102"/>
      <c r="J60694" s="8"/>
      <c r="K60694" s="8"/>
      <c r="L60694" s="8"/>
      <c r="M60694" s="8"/>
      <c r="N60694" s="8"/>
      <c r="O60694" s="8"/>
      <c r="P60694" s="8"/>
      <c r="Q60694" s="8"/>
      <c r="R60694" s="103"/>
      <c r="S60694" s="8"/>
      <c r="T60694" s="8"/>
      <c r="U60694" s="8"/>
      <c r="V60694" s="8"/>
      <c r="W60694" s="8"/>
      <c r="X60694" s="8"/>
      <c r="Y60694" s="8"/>
      <c r="Z60694" s="8"/>
      <c r="AA60694" s="8"/>
    </row>
    <row r="60695" spans="1:27" x14ac:dyDescent="0.25">
      <c r="A60695" s="8"/>
      <c r="B60695" s="8"/>
      <c r="C60695" s="99"/>
      <c r="D60695" s="8"/>
      <c r="E60695" s="8"/>
      <c r="F60695" s="8"/>
      <c r="G60695" s="8"/>
      <c r="H60695" s="8"/>
      <c r="I60695" s="102"/>
      <c r="J60695" s="8"/>
      <c r="K60695" s="8"/>
      <c r="L60695" s="8"/>
      <c r="M60695" s="8"/>
      <c r="N60695" s="8"/>
      <c r="O60695" s="8"/>
      <c r="P60695" s="8"/>
      <c r="Q60695" s="8"/>
      <c r="R60695" s="103"/>
      <c r="S60695" s="8"/>
      <c r="T60695" s="8"/>
      <c r="U60695" s="8"/>
      <c r="V60695" s="8"/>
      <c r="W60695" s="8"/>
      <c r="X60695" s="8"/>
      <c r="Y60695" s="8"/>
      <c r="Z60695" s="8"/>
      <c r="AA60695" s="8"/>
    </row>
    <row r="60696" spans="1:27" x14ac:dyDescent="0.25">
      <c r="A60696" s="8"/>
      <c r="B60696" s="8"/>
      <c r="C60696" s="99"/>
      <c r="D60696" s="8"/>
      <c r="E60696" s="8"/>
      <c r="F60696" s="8"/>
      <c r="G60696" s="8"/>
      <c r="H60696" s="8"/>
      <c r="I60696" s="102"/>
      <c r="J60696" s="8"/>
      <c r="K60696" s="8"/>
      <c r="L60696" s="8"/>
      <c r="M60696" s="8"/>
      <c r="N60696" s="8"/>
      <c r="O60696" s="8"/>
      <c r="P60696" s="8"/>
      <c r="Q60696" s="8"/>
      <c r="R60696" s="103"/>
      <c r="S60696" s="8"/>
      <c r="T60696" s="8"/>
      <c r="U60696" s="8"/>
      <c r="V60696" s="8"/>
      <c r="W60696" s="8"/>
      <c r="X60696" s="8"/>
      <c r="Y60696" s="8"/>
      <c r="Z60696" s="8"/>
      <c r="AA60696" s="8"/>
    </row>
    <row r="60697" spans="1:27" x14ac:dyDescent="0.25">
      <c r="A60697" s="8"/>
      <c r="B60697" s="8"/>
      <c r="C60697" s="99"/>
      <c r="D60697" s="8"/>
      <c r="E60697" s="8"/>
      <c r="F60697" s="8"/>
      <c r="G60697" s="8"/>
      <c r="H60697" s="8"/>
      <c r="I60697" s="102"/>
      <c r="J60697" s="8"/>
      <c r="K60697" s="8"/>
      <c r="L60697" s="8"/>
      <c r="M60697" s="8"/>
      <c r="N60697" s="8"/>
      <c r="O60697" s="8"/>
      <c r="P60697" s="8"/>
      <c r="Q60697" s="8"/>
      <c r="R60697" s="103"/>
      <c r="S60697" s="8"/>
      <c r="T60697" s="8"/>
      <c r="U60697" s="8"/>
      <c r="V60697" s="8"/>
      <c r="W60697" s="8"/>
      <c r="X60697" s="8"/>
      <c r="Y60697" s="8"/>
      <c r="Z60697" s="8"/>
      <c r="AA60697" s="8"/>
    </row>
    <row r="60698" spans="1:27" x14ac:dyDescent="0.25">
      <c r="A60698" s="8"/>
      <c r="B60698" s="8"/>
      <c r="C60698" s="99"/>
      <c r="D60698" s="8"/>
      <c r="E60698" s="8"/>
      <c r="F60698" s="8"/>
      <c r="G60698" s="8"/>
      <c r="H60698" s="8"/>
      <c r="I60698" s="102"/>
      <c r="J60698" s="8"/>
      <c r="K60698" s="8"/>
      <c r="L60698" s="8"/>
      <c r="M60698" s="8"/>
      <c r="N60698" s="8"/>
      <c r="O60698" s="8"/>
      <c r="P60698" s="8"/>
      <c r="Q60698" s="8"/>
      <c r="R60698" s="103"/>
      <c r="S60698" s="8"/>
      <c r="T60698" s="8"/>
      <c r="U60698" s="8"/>
      <c r="V60698" s="8"/>
      <c r="W60698" s="8"/>
      <c r="X60698" s="8"/>
      <c r="Y60698" s="8"/>
      <c r="Z60698" s="8"/>
      <c r="AA60698" s="8"/>
    </row>
    <row r="60699" spans="1:27" x14ac:dyDescent="0.25">
      <c r="A60699" s="8"/>
      <c r="B60699" s="8"/>
      <c r="C60699" s="99"/>
      <c r="D60699" s="8"/>
      <c r="E60699" s="8"/>
      <c r="F60699" s="8"/>
      <c r="G60699" s="8"/>
      <c r="H60699" s="8"/>
      <c r="I60699" s="102"/>
      <c r="J60699" s="8"/>
      <c r="K60699" s="8"/>
      <c r="L60699" s="8"/>
      <c r="M60699" s="8"/>
      <c r="N60699" s="8"/>
      <c r="O60699" s="8"/>
      <c r="P60699" s="8"/>
      <c r="Q60699" s="8"/>
      <c r="R60699" s="103"/>
      <c r="S60699" s="8"/>
      <c r="T60699" s="8"/>
      <c r="U60699" s="8"/>
      <c r="V60699" s="8"/>
      <c r="W60699" s="8"/>
      <c r="X60699" s="8"/>
      <c r="Y60699" s="8"/>
      <c r="Z60699" s="8"/>
      <c r="AA60699" s="8"/>
    </row>
    <row r="60700" spans="1:27" x14ac:dyDescent="0.25">
      <c r="A60700" s="8"/>
      <c r="B60700" s="8"/>
      <c r="C60700" s="99"/>
      <c r="D60700" s="8"/>
      <c r="E60700" s="8"/>
      <c r="F60700" s="8"/>
      <c r="G60700" s="8"/>
      <c r="H60700" s="8"/>
      <c r="I60700" s="102"/>
      <c r="J60700" s="8"/>
      <c r="K60700" s="8"/>
      <c r="L60700" s="8"/>
      <c r="M60700" s="8"/>
      <c r="N60700" s="8"/>
      <c r="O60700" s="8"/>
      <c r="P60700" s="8"/>
      <c r="Q60700" s="8"/>
      <c r="R60700" s="103"/>
      <c r="S60700" s="8"/>
      <c r="T60700" s="8"/>
      <c r="U60700" s="8"/>
      <c r="V60700" s="8"/>
      <c r="W60700" s="8"/>
      <c r="X60700" s="8"/>
      <c r="Y60700" s="8"/>
      <c r="Z60700" s="8"/>
      <c r="AA60700" s="8"/>
    </row>
    <row r="60701" spans="1:27" x14ac:dyDescent="0.25">
      <c r="A60701" s="8"/>
      <c r="B60701" s="8"/>
      <c r="C60701" s="99"/>
      <c r="D60701" s="8"/>
      <c r="E60701" s="8"/>
      <c r="F60701" s="8"/>
      <c r="G60701" s="8"/>
      <c r="H60701" s="8"/>
      <c r="I60701" s="102"/>
      <c r="J60701" s="8"/>
      <c r="K60701" s="8"/>
      <c r="L60701" s="8"/>
      <c r="M60701" s="8"/>
      <c r="N60701" s="8"/>
      <c r="O60701" s="8"/>
      <c r="P60701" s="8"/>
      <c r="Q60701" s="8"/>
      <c r="R60701" s="103"/>
      <c r="S60701" s="8"/>
      <c r="T60701" s="8"/>
      <c r="U60701" s="8"/>
      <c r="V60701" s="8"/>
      <c r="W60701" s="8"/>
      <c r="X60701" s="8"/>
      <c r="Y60701" s="8"/>
      <c r="Z60701" s="8"/>
      <c r="AA60701" s="8"/>
    </row>
    <row r="60702" spans="1:27" x14ac:dyDescent="0.25">
      <c r="A60702" s="8"/>
      <c r="B60702" s="8"/>
      <c r="C60702" s="99"/>
      <c r="D60702" s="8"/>
      <c r="E60702" s="8"/>
      <c r="F60702" s="8"/>
      <c r="G60702" s="8"/>
      <c r="H60702" s="8"/>
      <c r="I60702" s="102"/>
      <c r="J60702" s="8"/>
      <c r="K60702" s="8"/>
      <c r="L60702" s="8"/>
      <c r="M60702" s="8"/>
      <c r="N60702" s="8"/>
      <c r="O60702" s="8"/>
      <c r="P60702" s="8"/>
      <c r="Q60702" s="8"/>
      <c r="R60702" s="103"/>
      <c r="S60702" s="8"/>
      <c r="T60702" s="8"/>
      <c r="U60702" s="8"/>
      <c r="V60702" s="8"/>
      <c r="W60702" s="8"/>
      <c r="X60702" s="8"/>
      <c r="Y60702" s="8"/>
      <c r="Z60702" s="8"/>
      <c r="AA60702" s="8"/>
    </row>
    <row r="60703" spans="1:27" x14ac:dyDescent="0.25">
      <c r="A60703" s="8"/>
      <c r="B60703" s="8"/>
      <c r="C60703" s="99"/>
      <c r="D60703" s="8"/>
      <c r="E60703" s="8"/>
      <c r="F60703" s="8"/>
      <c r="G60703" s="8"/>
      <c r="H60703" s="8"/>
      <c r="I60703" s="102"/>
      <c r="J60703" s="8"/>
      <c r="K60703" s="8"/>
      <c r="L60703" s="8"/>
      <c r="M60703" s="8"/>
      <c r="N60703" s="8"/>
      <c r="O60703" s="8"/>
      <c r="P60703" s="8"/>
      <c r="Q60703" s="8"/>
      <c r="R60703" s="103"/>
      <c r="S60703" s="8"/>
      <c r="T60703" s="8"/>
      <c r="U60703" s="8"/>
      <c r="V60703" s="8"/>
      <c r="W60703" s="8"/>
      <c r="X60703" s="8"/>
      <c r="Y60703" s="8"/>
      <c r="Z60703" s="8"/>
      <c r="AA60703" s="8"/>
    </row>
    <row r="60704" spans="1:27" x14ac:dyDescent="0.25">
      <c r="A60704" s="8"/>
      <c r="B60704" s="8"/>
      <c r="C60704" s="99"/>
      <c r="D60704" s="8"/>
      <c r="E60704" s="8"/>
      <c r="F60704" s="8"/>
      <c r="G60704" s="8"/>
      <c r="H60704" s="8"/>
      <c r="I60704" s="102"/>
      <c r="J60704" s="8"/>
      <c r="K60704" s="8"/>
      <c r="L60704" s="8"/>
      <c r="M60704" s="8"/>
      <c r="N60704" s="8"/>
      <c r="O60704" s="8"/>
      <c r="P60704" s="8"/>
      <c r="Q60704" s="8"/>
      <c r="R60704" s="103"/>
      <c r="S60704" s="8"/>
      <c r="T60704" s="8"/>
      <c r="U60704" s="8"/>
      <c r="V60704" s="8"/>
      <c r="W60704" s="8"/>
      <c r="X60704" s="8"/>
      <c r="Y60704" s="8"/>
      <c r="Z60704" s="8"/>
      <c r="AA60704" s="8"/>
    </row>
    <row r="60705" spans="1:27" x14ac:dyDescent="0.25">
      <c r="A60705" s="8"/>
      <c r="B60705" s="8"/>
      <c r="C60705" s="99"/>
      <c r="D60705" s="8"/>
      <c r="E60705" s="8"/>
      <c r="F60705" s="8"/>
      <c r="G60705" s="8"/>
      <c r="H60705" s="8"/>
      <c r="I60705" s="102"/>
      <c r="J60705" s="8"/>
      <c r="K60705" s="8"/>
      <c r="L60705" s="8"/>
      <c r="M60705" s="8"/>
      <c r="N60705" s="8"/>
      <c r="O60705" s="8"/>
      <c r="P60705" s="8"/>
      <c r="Q60705" s="8"/>
      <c r="R60705" s="103"/>
      <c r="S60705" s="8"/>
      <c r="T60705" s="8"/>
      <c r="U60705" s="8"/>
      <c r="V60705" s="8"/>
      <c r="W60705" s="8"/>
      <c r="X60705" s="8"/>
      <c r="Y60705" s="8"/>
      <c r="Z60705" s="8"/>
      <c r="AA60705" s="8"/>
    </row>
    <row r="60706" spans="1:27" x14ac:dyDescent="0.25">
      <c r="A60706" s="8"/>
      <c r="B60706" s="8"/>
      <c r="C60706" s="99"/>
      <c r="D60706" s="8"/>
      <c r="E60706" s="8"/>
      <c r="F60706" s="8"/>
      <c r="G60706" s="8"/>
      <c r="H60706" s="8"/>
      <c r="I60706" s="102"/>
      <c r="J60706" s="8"/>
      <c r="K60706" s="8"/>
      <c r="L60706" s="8"/>
      <c r="M60706" s="8"/>
      <c r="N60706" s="8"/>
      <c r="O60706" s="8"/>
      <c r="P60706" s="8"/>
      <c r="Q60706" s="8"/>
      <c r="R60706" s="103"/>
      <c r="S60706" s="8"/>
      <c r="T60706" s="8"/>
      <c r="U60706" s="8"/>
      <c r="V60706" s="8"/>
      <c r="W60706" s="8"/>
      <c r="X60706" s="8"/>
      <c r="Y60706" s="8"/>
      <c r="Z60706" s="8"/>
      <c r="AA60706" s="8"/>
    </row>
    <row r="60707" spans="1:27" x14ac:dyDescent="0.25">
      <c r="A60707" s="8"/>
      <c r="B60707" s="8"/>
      <c r="C60707" s="99"/>
      <c r="D60707" s="8"/>
      <c r="E60707" s="8"/>
      <c r="F60707" s="8"/>
      <c r="G60707" s="8"/>
      <c r="H60707" s="8"/>
      <c r="I60707" s="102"/>
      <c r="J60707" s="8"/>
      <c r="K60707" s="8"/>
      <c r="L60707" s="8"/>
      <c r="M60707" s="8"/>
      <c r="N60707" s="8"/>
      <c r="O60707" s="8"/>
      <c r="P60707" s="8"/>
      <c r="Q60707" s="8"/>
      <c r="R60707" s="103"/>
      <c r="S60707" s="8"/>
      <c r="T60707" s="8"/>
      <c r="U60707" s="8"/>
      <c r="V60707" s="8"/>
      <c r="W60707" s="8"/>
      <c r="X60707" s="8"/>
      <c r="Y60707" s="8"/>
      <c r="Z60707" s="8"/>
      <c r="AA60707" s="8"/>
    </row>
    <row r="60708" spans="1:27" x14ac:dyDescent="0.25">
      <c r="A60708" s="8"/>
      <c r="B60708" s="8"/>
      <c r="C60708" s="99"/>
      <c r="D60708" s="8"/>
      <c r="E60708" s="8"/>
      <c r="F60708" s="8"/>
      <c r="G60708" s="8"/>
      <c r="H60708" s="8"/>
      <c r="I60708" s="102"/>
      <c r="J60708" s="8"/>
      <c r="K60708" s="8"/>
      <c r="L60708" s="8"/>
      <c r="M60708" s="8"/>
      <c r="N60708" s="8"/>
      <c r="O60708" s="8"/>
      <c r="P60708" s="8"/>
      <c r="Q60708" s="8"/>
      <c r="R60708" s="103"/>
      <c r="S60708" s="8"/>
      <c r="T60708" s="8"/>
      <c r="U60708" s="8"/>
      <c r="V60708" s="8"/>
      <c r="W60708" s="8"/>
      <c r="X60708" s="8"/>
      <c r="Y60708" s="8"/>
      <c r="Z60708" s="8"/>
      <c r="AA60708" s="8"/>
    </row>
    <row r="60709" spans="1:27" x14ac:dyDescent="0.25">
      <c r="A60709" s="8"/>
      <c r="B60709" s="8"/>
      <c r="C60709" s="99"/>
      <c r="D60709" s="8"/>
      <c r="E60709" s="8"/>
      <c r="F60709" s="8"/>
      <c r="G60709" s="8"/>
      <c r="H60709" s="8"/>
      <c r="I60709" s="102"/>
      <c r="J60709" s="8"/>
      <c r="K60709" s="8"/>
      <c r="L60709" s="8"/>
      <c r="M60709" s="8"/>
      <c r="N60709" s="8"/>
      <c r="O60709" s="8"/>
      <c r="P60709" s="8"/>
      <c r="Q60709" s="8"/>
      <c r="R60709" s="103"/>
      <c r="S60709" s="8"/>
      <c r="T60709" s="8"/>
      <c r="U60709" s="8"/>
      <c r="V60709" s="8"/>
      <c r="W60709" s="8"/>
      <c r="X60709" s="8"/>
      <c r="Y60709" s="8"/>
      <c r="Z60709" s="8"/>
      <c r="AA60709" s="8"/>
    </row>
    <row r="60710" spans="1:27" x14ac:dyDescent="0.25">
      <c r="A60710" s="8"/>
      <c r="B60710" s="8"/>
      <c r="C60710" s="99"/>
      <c r="D60710" s="8"/>
      <c r="E60710" s="8"/>
      <c r="F60710" s="8"/>
      <c r="G60710" s="8"/>
      <c r="H60710" s="8"/>
      <c r="I60710" s="102"/>
      <c r="J60710" s="8"/>
      <c r="K60710" s="8"/>
      <c r="L60710" s="8"/>
      <c r="M60710" s="8"/>
      <c r="N60710" s="8"/>
      <c r="O60710" s="8"/>
      <c r="P60710" s="8"/>
      <c r="Q60710" s="8"/>
      <c r="R60710" s="103"/>
      <c r="S60710" s="8"/>
      <c r="T60710" s="8"/>
      <c r="U60710" s="8"/>
      <c r="V60710" s="8"/>
      <c r="W60710" s="8"/>
      <c r="X60710" s="8"/>
      <c r="Y60710" s="8"/>
      <c r="Z60710" s="8"/>
      <c r="AA60710" s="8"/>
    </row>
    <row r="60711" spans="1:27" x14ac:dyDescent="0.25">
      <c r="A60711" s="8"/>
      <c r="B60711" s="8"/>
      <c r="C60711" s="99"/>
      <c r="D60711" s="8"/>
      <c r="E60711" s="8"/>
      <c r="F60711" s="8"/>
      <c r="G60711" s="8"/>
      <c r="H60711" s="8"/>
      <c r="I60711" s="102"/>
      <c r="J60711" s="8"/>
      <c r="K60711" s="8"/>
      <c r="L60711" s="8"/>
      <c r="M60711" s="8"/>
      <c r="N60711" s="8"/>
      <c r="O60711" s="8"/>
      <c r="P60711" s="8"/>
      <c r="Q60711" s="8"/>
      <c r="R60711" s="103"/>
      <c r="S60711" s="8"/>
      <c r="T60711" s="8"/>
      <c r="U60711" s="8"/>
      <c r="V60711" s="8"/>
      <c r="W60711" s="8"/>
      <c r="X60711" s="8"/>
      <c r="Y60711" s="8"/>
      <c r="Z60711" s="8"/>
      <c r="AA60711" s="8"/>
    </row>
    <row r="60712" spans="1:27" x14ac:dyDescent="0.25">
      <c r="A60712" s="8"/>
      <c r="B60712" s="8"/>
      <c r="C60712" s="99"/>
      <c r="D60712" s="8"/>
      <c r="E60712" s="8"/>
      <c r="F60712" s="8"/>
      <c r="G60712" s="8"/>
      <c r="H60712" s="8"/>
      <c r="I60712" s="102"/>
      <c r="J60712" s="8"/>
      <c r="K60712" s="8"/>
      <c r="L60712" s="8"/>
      <c r="M60712" s="8"/>
      <c r="N60712" s="8"/>
      <c r="O60712" s="8"/>
      <c r="P60712" s="8"/>
      <c r="Q60712" s="8"/>
      <c r="R60712" s="103"/>
      <c r="S60712" s="8"/>
      <c r="T60712" s="8"/>
      <c r="U60712" s="8"/>
      <c r="V60712" s="8"/>
      <c r="W60712" s="8"/>
      <c r="X60712" s="8"/>
      <c r="Y60712" s="8"/>
      <c r="Z60712" s="8"/>
      <c r="AA60712" s="8"/>
    </row>
    <row r="60713" spans="1:27" x14ac:dyDescent="0.25">
      <c r="A60713" s="8"/>
      <c r="B60713" s="8"/>
      <c r="C60713" s="99"/>
      <c r="D60713" s="8"/>
      <c r="E60713" s="8"/>
      <c r="F60713" s="8"/>
      <c r="G60713" s="8"/>
      <c r="H60713" s="8"/>
      <c r="I60713" s="102"/>
      <c r="J60713" s="8"/>
      <c r="K60713" s="8"/>
      <c r="L60713" s="8"/>
      <c r="M60713" s="8"/>
      <c r="N60713" s="8"/>
      <c r="O60713" s="8"/>
      <c r="P60713" s="8"/>
      <c r="Q60713" s="8"/>
      <c r="R60713" s="103"/>
      <c r="S60713" s="8"/>
      <c r="T60713" s="8"/>
      <c r="U60713" s="8"/>
      <c r="V60713" s="8"/>
      <c r="W60713" s="8"/>
      <c r="X60713" s="8"/>
      <c r="Y60713" s="8"/>
      <c r="Z60713" s="8"/>
      <c r="AA60713" s="8"/>
    </row>
    <row r="60714" spans="1:27" x14ac:dyDescent="0.25">
      <c r="A60714" s="8"/>
      <c r="B60714" s="8"/>
      <c r="C60714" s="99"/>
      <c r="D60714" s="8"/>
      <c r="E60714" s="8"/>
      <c r="F60714" s="8"/>
      <c r="G60714" s="8"/>
      <c r="H60714" s="8"/>
      <c r="I60714" s="102"/>
      <c r="J60714" s="8"/>
      <c r="K60714" s="8"/>
      <c r="L60714" s="8"/>
      <c r="M60714" s="8"/>
      <c r="N60714" s="8"/>
      <c r="O60714" s="8"/>
      <c r="P60714" s="8"/>
      <c r="Q60714" s="8"/>
      <c r="R60714" s="103"/>
      <c r="S60714" s="8"/>
      <c r="T60714" s="8"/>
      <c r="U60714" s="8"/>
      <c r="V60714" s="8"/>
      <c r="W60714" s="8"/>
      <c r="X60714" s="8"/>
      <c r="Y60714" s="8"/>
      <c r="Z60714" s="8"/>
      <c r="AA60714" s="8"/>
    </row>
    <row r="60715" spans="1:27" x14ac:dyDescent="0.25">
      <c r="A60715" s="8"/>
      <c r="B60715" s="8"/>
      <c r="C60715" s="99"/>
      <c r="D60715" s="8"/>
      <c r="E60715" s="8"/>
      <c r="F60715" s="8"/>
      <c r="G60715" s="8"/>
      <c r="H60715" s="8"/>
      <c r="I60715" s="102"/>
      <c r="J60715" s="8"/>
      <c r="K60715" s="8"/>
      <c r="L60715" s="8"/>
      <c r="M60715" s="8"/>
      <c r="N60715" s="8"/>
      <c r="O60715" s="8"/>
      <c r="P60715" s="8"/>
      <c r="Q60715" s="8"/>
      <c r="R60715" s="103"/>
      <c r="S60715" s="8"/>
      <c r="T60715" s="8"/>
      <c r="U60715" s="8"/>
      <c r="V60715" s="8"/>
      <c r="W60715" s="8"/>
      <c r="X60715" s="8"/>
      <c r="Y60715" s="8"/>
      <c r="Z60715" s="8"/>
      <c r="AA60715" s="8"/>
    </row>
    <row r="60716" spans="1:27" x14ac:dyDescent="0.25">
      <c r="A60716" s="8"/>
      <c r="B60716" s="8"/>
      <c r="C60716" s="99"/>
      <c r="D60716" s="8"/>
      <c r="E60716" s="8"/>
      <c r="F60716" s="8"/>
      <c r="G60716" s="8"/>
      <c r="H60716" s="8"/>
      <c r="I60716" s="102"/>
      <c r="J60716" s="8"/>
      <c r="K60716" s="8"/>
      <c r="L60716" s="8"/>
      <c r="M60716" s="8"/>
      <c r="N60716" s="8"/>
      <c r="O60716" s="8"/>
      <c r="P60716" s="8"/>
      <c r="Q60716" s="8"/>
      <c r="R60716" s="103"/>
      <c r="S60716" s="8"/>
      <c r="T60716" s="8"/>
      <c r="U60716" s="8"/>
      <c r="V60716" s="8"/>
      <c r="W60716" s="8"/>
      <c r="X60716" s="8"/>
      <c r="Y60716" s="8"/>
      <c r="Z60716" s="8"/>
      <c r="AA60716" s="8"/>
    </row>
    <row r="60717" spans="1:27" x14ac:dyDescent="0.25">
      <c r="A60717" s="8"/>
      <c r="B60717" s="8"/>
      <c r="C60717" s="99"/>
      <c r="D60717" s="8"/>
      <c r="E60717" s="8"/>
      <c r="F60717" s="8"/>
      <c r="G60717" s="8"/>
      <c r="H60717" s="8"/>
      <c r="I60717" s="102"/>
      <c r="J60717" s="8"/>
      <c r="K60717" s="8"/>
      <c r="L60717" s="8"/>
      <c r="M60717" s="8"/>
      <c r="N60717" s="8"/>
      <c r="O60717" s="8"/>
      <c r="P60717" s="8"/>
      <c r="Q60717" s="8"/>
      <c r="R60717" s="103"/>
      <c r="S60717" s="8"/>
      <c r="T60717" s="8"/>
      <c r="U60717" s="8"/>
      <c r="V60717" s="8"/>
      <c r="W60717" s="8"/>
      <c r="X60717" s="8"/>
      <c r="Y60717" s="8"/>
      <c r="Z60717" s="8"/>
      <c r="AA60717" s="8"/>
    </row>
    <row r="60718" spans="1:27" x14ac:dyDescent="0.25">
      <c r="A60718" s="8"/>
      <c r="B60718" s="8"/>
      <c r="C60718" s="99"/>
      <c r="D60718" s="8"/>
      <c r="E60718" s="8"/>
      <c r="F60718" s="8"/>
      <c r="G60718" s="8"/>
      <c r="H60718" s="8"/>
      <c r="I60718" s="102"/>
      <c r="J60718" s="8"/>
      <c r="K60718" s="8"/>
      <c r="L60718" s="8"/>
      <c r="M60718" s="8"/>
      <c r="N60718" s="8"/>
      <c r="O60718" s="8"/>
      <c r="P60718" s="8"/>
      <c r="Q60718" s="8"/>
      <c r="R60718" s="103"/>
      <c r="S60718" s="8"/>
      <c r="T60718" s="8"/>
      <c r="U60718" s="8"/>
      <c r="V60718" s="8"/>
      <c r="W60718" s="8"/>
      <c r="X60718" s="8"/>
      <c r="Y60718" s="8"/>
      <c r="Z60718" s="8"/>
      <c r="AA60718" s="8"/>
    </row>
    <row r="60719" spans="1:27" x14ac:dyDescent="0.25">
      <c r="A60719" s="8"/>
      <c r="B60719" s="8"/>
      <c r="C60719" s="99"/>
      <c r="D60719" s="8"/>
      <c r="E60719" s="8"/>
      <c r="F60719" s="8"/>
      <c r="G60719" s="8"/>
      <c r="H60719" s="8"/>
      <c r="I60719" s="102"/>
      <c r="J60719" s="8"/>
      <c r="K60719" s="8"/>
      <c r="L60719" s="8"/>
      <c r="M60719" s="8"/>
      <c r="N60719" s="8"/>
      <c r="O60719" s="8"/>
      <c r="P60719" s="8"/>
      <c r="Q60719" s="8"/>
      <c r="R60719" s="103"/>
      <c r="S60719" s="8"/>
      <c r="T60719" s="8"/>
      <c r="U60719" s="8"/>
      <c r="V60719" s="8"/>
      <c r="W60719" s="8"/>
      <c r="X60719" s="8"/>
      <c r="Y60719" s="8"/>
      <c r="Z60719" s="8"/>
      <c r="AA60719" s="8"/>
    </row>
    <row r="60720" spans="1:27" x14ac:dyDescent="0.25">
      <c r="A60720" s="8"/>
      <c r="B60720" s="8"/>
      <c r="C60720" s="99"/>
      <c r="D60720" s="8"/>
      <c r="E60720" s="8"/>
      <c r="F60720" s="8"/>
      <c r="G60720" s="8"/>
      <c r="H60720" s="8"/>
      <c r="I60720" s="102"/>
      <c r="J60720" s="8"/>
      <c r="K60720" s="8"/>
      <c r="L60720" s="8"/>
      <c r="M60720" s="8"/>
      <c r="N60720" s="8"/>
      <c r="O60720" s="8"/>
      <c r="P60720" s="8"/>
      <c r="Q60720" s="8"/>
      <c r="R60720" s="103"/>
      <c r="S60720" s="8"/>
      <c r="T60720" s="8"/>
      <c r="U60720" s="8"/>
      <c r="V60720" s="8"/>
      <c r="W60720" s="8"/>
      <c r="X60720" s="8"/>
      <c r="Y60720" s="8"/>
      <c r="Z60720" s="8"/>
      <c r="AA60720" s="8"/>
    </row>
    <row r="60721" spans="1:27" x14ac:dyDescent="0.25">
      <c r="A60721" s="8"/>
      <c r="B60721" s="8"/>
      <c r="C60721" s="99"/>
      <c r="D60721" s="8"/>
      <c r="E60721" s="8"/>
      <c r="F60721" s="8"/>
      <c r="G60721" s="8"/>
      <c r="H60721" s="8"/>
      <c r="I60721" s="102"/>
      <c r="J60721" s="8"/>
      <c r="K60721" s="8"/>
      <c r="L60721" s="8"/>
      <c r="M60721" s="8"/>
      <c r="N60721" s="8"/>
      <c r="O60721" s="8"/>
      <c r="P60721" s="8"/>
      <c r="Q60721" s="8"/>
      <c r="R60721" s="103"/>
      <c r="S60721" s="8"/>
      <c r="T60721" s="8"/>
      <c r="U60721" s="8"/>
      <c r="V60721" s="8"/>
      <c r="W60721" s="8"/>
      <c r="X60721" s="8"/>
      <c r="Y60721" s="8"/>
      <c r="Z60721" s="8"/>
      <c r="AA60721" s="8"/>
    </row>
    <row r="60722" spans="1:27" x14ac:dyDescent="0.25">
      <c r="A60722" s="8"/>
      <c r="B60722" s="8"/>
      <c r="C60722" s="99"/>
      <c r="D60722" s="8"/>
      <c r="E60722" s="8"/>
      <c r="F60722" s="8"/>
      <c r="G60722" s="8"/>
      <c r="H60722" s="8"/>
      <c r="I60722" s="102"/>
      <c r="J60722" s="8"/>
      <c r="K60722" s="8"/>
      <c r="L60722" s="8"/>
      <c r="M60722" s="8"/>
      <c r="N60722" s="8"/>
      <c r="O60722" s="8"/>
      <c r="P60722" s="8"/>
      <c r="Q60722" s="8"/>
      <c r="R60722" s="103"/>
      <c r="S60722" s="8"/>
      <c r="T60722" s="8"/>
      <c r="U60722" s="8"/>
      <c r="V60722" s="8"/>
      <c r="W60722" s="8"/>
      <c r="X60722" s="8"/>
      <c r="Y60722" s="8"/>
      <c r="Z60722" s="8"/>
      <c r="AA60722" s="8"/>
    </row>
    <row r="60723" spans="1:27" x14ac:dyDescent="0.25">
      <c r="A60723" s="8"/>
      <c r="B60723" s="8"/>
      <c r="C60723" s="99"/>
      <c r="D60723" s="8"/>
      <c r="E60723" s="8"/>
      <c r="F60723" s="8"/>
      <c r="G60723" s="8"/>
      <c r="H60723" s="8"/>
      <c r="I60723" s="102"/>
      <c r="J60723" s="8"/>
      <c r="K60723" s="8"/>
      <c r="L60723" s="8"/>
      <c r="M60723" s="8"/>
      <c r="N60723" s="8"/>
      <c r="O60723" s="8"/>
      <c r="P60723" s="8"/>
      <c r="Q60723" s="8"/>
      <c r="R60723" s="103"/>
      <c r="S60723" s="8"/>
      <c r="T60723" s="8"/>
      <c r="U60723" s="8"/>
      <c r="V60723" s="8"/>
      <c r="W60723" s="8"/>
      <c r="X60723" s="8"/>
      <c r="Y60723" s="8"/>
      <c r="Z60723" s="8"/>
      <c r="AA60723" s="8"/>
    </row>
    <row r="60724" spans="1:27" x14ac:dyDescent="0.25">
      <c r="A60724" s="8"/>
      <c r="B60724" s="8"/>
      <c r="C60724" s="99"/>
      <c r="D60724" s="8"/>
      <c r="E60724" s="8"/>
      <c r="F60724" s="8"/>
      <c r="G60724" s="8"/>
      <c r="H60724" s="8"/>
      <c r="I60724" s="102"/>
      <c r="J60724" s="8"/>
      <c r="K60724" s="8"/>
      <c r="L60724" s="8"/>
      <c r="M60724" s="8"/>
      <c r="N60724" s="8"/>
      <c r="O60724" s="8"/>
      <c r="P60724" s="8"/>
      <c r="Q60724" s="8"/>
      <c r="R60724" s="103"/>
      <c r="S60724" s="8"/>
      <c r="T60724" s="8"/>
      <c r="U60724" s="8"/>
      <c r="V60724" s="8"/>
      <c r="W60724" s="8"/>
      <c r="X60724" s="8"/>
      <c r="Y60724" s="8"/>
      <c r="Z60724" s="8"/>
      <c r="AA60724" s="8"/>
    </row>
    <row r="60725" spans="1:27" x14ac:dyDescent="0.25">
      <c r="A60725" s="8"/>
      <c r="B60725" s="8"/>
      <c r="C60725" s="99"/>
      <c r="D60725" s="8"/>
      <c r="E60725" s="8"/>
      <c r="F60725" s="8"/>
      <c r="G60725" s="8"/>
      <c r="H60725" s="8"/>
      <c r="I60725" s="102"/>
      <c r="J60725" s="8"/>
      <c r="K60725" s="8"/>
      <c r="L60725" s="8"/>
      <c r="M60725" s="8"/>
      <c r="N60725" s="8"/>
      <c r="O60725" s="8"/>
      <c r="P60725" s="8"/>
      <c r="Q60725" s="8"/>
      <c r="R60725" s="103"/>
      <c r="S60725" s="8"/>
      <c r="T60725" s="8"/>
      <c r="U60725" s="8"/>
      <c r="V60725" s="8"/>
      <c r="W60725" s="8"/>
      <c r="X60725" s="8"/>
      <c r="Y60725" s="8"/>
      <c r="Z60725" s="8"/>
      <c r="AA60725" s="8"/>
    </row>
    <row r="60726" spans="1:27" x14ac:dyDescent="0.25">
      <c r="A60726" s="8"/>
      <c r="B60726" s="8"/>
      <c r="C60726" s="99"/>
      <c r="D60726" s="8"/>
      <c r="E60726" s="8"/>
      <c r="F60726" s="8"/>
      <c r="G60726" s="8"/>
      <c r="H60726" s="8"/>
      <c r="I60726" s="102"/>
      <c r="J60726" s="8"/>
      <c r="K60726" s="8"/>
      <c r="L60726" s="8"/>
      <c r="M60726" s="8"/>
      <c r="N60726" s="8"/>
      <c r="O60726" s="8"/>
      <c r="P60726" s="8"/>
      <c r="Q60726" s="8"/>
      <c r="R60726" s="103"/>
      <c r="S60726" s="8"/>
      <c r="T60726" s="8"/>
      <c r="U60726" s="8"/>
      <c r="V60726" s="8"/>
      <c r="W60726" s="8"/>
      <c r="X60726" s="8"/>
      <c r="Y60726" s="8"/>
      <c r="Z60726" s="8"/>
      <c r="AA60726" s="8"/>
    </row>
    <row r="60727" spans="1:27" x14ac:dyDescent="0.25">
      <c r="A60727" s="8"/>
      <c r="B60727" s="8"/>
      <c r="C60727" s="99"/>
      <c r="D60727" s="8"/>
      <c r="E60727" s="8"/>
      <c r="F60727" s="8"/>
      <c r="G60727" s="8"/>
      <c r="H60727" s="8"/>
      <c r="I60727" s="102"/>
      <c r="J60727" s="8"/>
      <c r="K60727" s="8"/>
      <c r="L60727" s="8"/>
      <c r="M60727" s="8"/>
      <c r="N60727" s="8"/>
      <c r="O60727" s="8"/>
      <c r="P60727" s="8"/>
      <c r="Q60727" s="8"/>
      <c r="R60727" s="103"/>
      <c r="S60727" s="8"/>
      <c r="T60727" s="8"/>
      <c r="U60727" s="8"/>
      <c r="V60727" s="8"/>
      <c r="W60727" s="8"/>
      <c r="X60727" s="8"/>
      <c r="Y60727" s="8"/>
      <c r="Z60727" s="8"/>
      <c r="AA60727" s="8"/>
    </row>
    <row r="60728" spans="1:27" x14ac:dyDescent="0.25">
      <c r="A60728" s="8"/>
      <c r="B60728" s="8"/>
      <c r="C60728" s="99"/>
      <c r="D60728" s="8"/>
      <c r="E60728" s="8"/>
      <c r="F60728" s="8"/>
      <c r="G60728" s="8"/>
      <c r="H60728" s="8"/>
      <c r="I60728" s="102"/>
      <c r="J60728" s="8"/>
      <c r="K60728" s="8"/>
      <c r="L60728" s="8"/>
      <c r="M60728" s="8"/>
      <c r="N60728" s="8"/>
      <c r="O60728" s="8"/>
      <c r="P60728" s="8"/>
      <c r="Q60728" s="8"/>
      <c r="R60728" s="103"/>
      <c r="S60728" s="8"/>
      <c r="T60728" s="8"/>
      <c r="U60728" s="8"/>
      <c r="V60728" s="8"/>
      <c r="W60728" s="8"/>
      <c r="X60728" s="8"/>
      <c r="Y60728" s="8"/>
      <c r="Z60728" s="8"/>
      <c r="AA60728" s="8"/>
    </row>
    <row r="60729" spans="1:27" x14ac:dyDescent="0.25">
      <c r="A60729" s="8"/>
      <c r="B60729" s="8"/>
      <c r="C60729" s="99"/>
      <c r="D60729" s="8"/>
      <c r="E60729" s="8"/>
      <c r="F60729" s="8"/>
      <c r="G60729" s="8"/>
      <c r="H60729" s="8"/>
      <c r="I60729" s="102"/>
      <c r="J60729" s="8"/>
      <c r="K60729" s="8"/>
      <c r="L60729" s="8"/>
      <c r="M60729" s="8"/>
      <c r="N60729" s="8"/>
      <c r="O60729" s="8"/>
      <c r="P60729" s="8"/>
      <c r="Q60729" s="8"/>
      <c r="R60729" s="103"/>
      <c r="S60729" s="8"/>
      <c r="T60729" s="8"/>
      <c r="U60729" s="8"/>
      <c r="V60729" s="8"/>
      <c r="W60729" s="8"/>
      <c r="X60729" s="8"/>
      <c r="Y60729" s="8"/>
      <c r="Z60729" s="8"/>
      <c r="AA60729" s="8"/>
    </row>
    <row r="60730" spans="1:27" x14ac:dyDescent="0.25">
      <c r="A60730" s="8"/>
      <c r="B60730" s="8"/>
      <c r="C60730" s="99"/>
      <c r="D60730" s="8"/>
      <c r="E60730" s="8"/>
      <c r="F60730" s="8"/>
      <c r="G60730" s="8"/>
      <c r="H60730" s="8"/>
      <c r="I60730" s="102"/>
      <c r="J60730" s="8"/>
      <c r="K60730" s="8"/>
      <c r="L60730" s="8"/>
      <c r="M60730" s="8"/>
      <c r="N60730" s="8"/>
      <c r="O60730" s="8"/>
      <c r="P60730" s="8"/>
      <c r="Q60730" s="8"/>
      <c r="R60730" s="103"/>
      <c r="S60730" s="8"/>
      <c r="T60730" s="8"/>
      <c r="U60730" s="8"/>
      <c r="V60730" s="8"/>
      <c r="W60730" s="8"/>
      <c r="X60730" s="8"/>
      <c r="Y60730" s="8"/>
      <c r="Z60730" s="8"/>
      <c r="AA60730" s="8"/>
    </row>
    <row r="60731" spans="1:27" x14ac:dyDescent="0.25">
      <c r="A60731" s="8"/>
      <c r="B60731" s="8"/>
      <c r="C60731" s="99"/>
      <c r="D60731" s="8"/>
      <c r="E60731" s="8"/>
      <c r="F60731" s="8"/>
      <c r="G60731" s="8"/>
      <c r="H60731" s="8"/>
      <c r="I60731" s="102"/>
      <c r="J60731" s="8"/>
      <c r="K60731" s="8"/>
      <c r="L60731" s="8"/>
      <c r="M60731" s="8"/>
      <c r="N60731" s="8"/>
      <c r="O60731" s="8"/>
      <c r="P60731" s="8"/>
      <c r="Q60731" s="8"/>
      <c r="R60731" s="103"/>
      <c r="S60731" s="8"/>
      <c r="T60731" s="8"/>
      <c r="U60731" s="8"/>
      <c r="V60731" s="8"/>
      <c r="W60731" s="8"/>
      <c r="X60731" s="8"/>
      <c r="Y60731" s="8"/>
      <c r="Z60731" s="8"/>
      <c r="AA60731" s="8"/>
    </row>
    <row r="60732" spans="1:27" x14ac:dyDescent="0.25">
      <c r="A60732" s="8"/>
      <c r="B60732" s="8"/>
      <c r="C60732" s="99"/>
      <c r="D60732" s="8"/>
      <c r="E60732" s="8"/>
      <c r="F60732" s="8"/>
      <c r="G60732" s="8"/>
      <c r="H60732" s="8"/>
      <c r="I60732" s="102"/>
      <c r="J60732" s="8"/>
      <c r="K60732" s="8"/>
      <c r="L60732" s="8"/>
      <c r="M60732" s="8"/>
      <c r="N60732" s="8"/>
      <c r="O60732" s="8"/>
      <c r="P60732" s="8"/>
      <c r="Q60732" s="8"/>
      <c r="R60732" s="103"/>
      <c r="S60732" s="8"/>
      <c r="T60732" s="8"/>
      <c r="U60732" s="8"/>
      <c r="V60732" s="8"/>
      <c r="W60732" s="8"/>
      <c r="X60732" s="8"/>
      <c r="Y60732" s="8"/>
      <c r="Z60732" s="8"/>
      <c r="AA60732" s="8"/>
    </row>
    <row r="60733" spans="1:27" x14ac:dyDescent="0.25">
      <c r="A60733" s="8"/>
      <c r="B60733" s="8"/>
      <c r="C60733" s="99"/>
      <c r="D60733" s="8"/>
      <c r="E60733" s="8"/>
      <c r="F60733" s="8"/>
      <c r="G60733" s="8"/>
      <c r="H60733" s="8"/>
      <c r="I60733" s="102"/>
      <c r="J60733" s="8"/>
      <c r="K60733" s="8"/>
      <c r="L60733" s="8"/>
      <c r="M60733" s="8"/>
      <c r="N60733" s="8"/>
      <c r="O60733" s="8"/>
      <c r="P60733" s="8"/>
      <c r="Q60733" s="8"/>
      <c r="R60733" s="103"/>
      <c r="S60733" s="8"/>
      <c r="T60733" s="8"/>
      <c r="U60733" s="8"/>
      <c r="V60733" s="8"/>
      <c r="W60733" s="8"/>
      <c r="X60733" s="8"/>
      <c r="Y60733" s="8"/>
      <c r="Z60733" s="8"/>
      <c r="AA60733" s="8"/>
    </row>
    <row r="60734" spans="1:27" x14ac:dyDescent="0.25">
      <c r="A60734" s="8"/>
      <c r="B60734" s="8"/>
      <c r="C60734" s="99"/>
      <c r="D60734" s="8"/>
      <c r="E60734" s="8"/>
      <c r="F60734" s="8"/>
      <c r="G60734" s="8"/>
      <c r="H60734" s="8"/>
      <c r="I60734" s="102"/>
      <c r="J60734" s="8"/>
      <c r="K60734" s="8"/>
      <c r="L60734" s="8"/>
      <c r="M60734" s="8"/>
      <c r="N60734" s="8"/>
      <c r="O60734" s="8"/>
      <c r="P60734" s="8"/>
      <c r="Q60734" s="8"/>
      <c r="R60734" s="103"/>
      <c r="S60734" s="8"/>
      <c r="T60734" s="8"/>
      <c r="U60734" s="8"/>
      <c r="V60734" s="8"/>
      <c r="W60734" s="8"/>
      <c r="X60734" s="8"/>
      <c r="Y60734" s="8"/>
      <c r="Z60734" s="8"/>
      <c r="AA60734" s="8"/>
    </row>
    <row r="60735" spans="1:27" x14ac:dyDescent="0.25">
      <c r="A60735" s="8"/>
      <c r="B60735" s="8"/>
      <c r="C60735" s="99"/>
      <c r="D60735" s="8"/>
      <c r="E60735" s="8"/>
      <c r="F60735" s="8"/>
      <c r="G60735" s="8"/>
      <c r="H60735" s="8"/>
      <c r="I60735" s="102"/>
      <c r="J60735" s="8"/>
      <c r="K60735" s="8"/>
      <c r="L60735" s="8"/>
      <c r="M60735" s="8"/>
      <c r="N60735" s="8"/>
      <c r="O60735" s="8"/>
      <c r="P60735" s="8"/>
      <c r="Q60735" s="8"/>
      <c r="R60735" s="103"/>
      <c r="S60735" s="8"/>
      <c r="T60735" s="8"/>
      <c r="U60735" s="8"/>
      <c r="V60735" s="8"/>
      <c r="W60735" s="8"/>
      <c r="X60735" s="8"/>
      <c r="Y60735" s="8"/>
      <c r="Z60735" s="8"/>
      <c r="AA60735" s="8"/>
    </row>
    <row r="60736" spans="1:27" x14ac:dyDescent="0.25">
      <c r="A60736" s="8"/>
      <c r="B60736" s="8"/>
      <c r="C60736" s="99"/>
      <c r="D60736" s="8"/>
      <c r="E60736" s="8"/>
      <c r="F60736" s="8"/>
      <c r="G60736" s="8"/>
      <c r="H60736" s="8"/>
      <c r="I60736" s="102"/>
      <c r="J60736" s="8"/>
      <c r="K60736" s="8"/>
      <c r="L60736" s="8"/>
      <c r="M60736" s="8"/>
      <c r="N60736" s="8"/>
      <c r="O60736" s="8"/>
      <c r="P60736" s="8"/>
      <c r="Q60736" s="8"/>
      <c r="R60736" s="103"/>
      <c r="S60736" s="8"/>
      <c r="T60736" s="8"/>
      <c r="U60736" s="8"/>
      <c r="V60736" s="8"/>
      <c r="W60736" s="8"/>
      <c r="X60736" s="8"/>
      <c r="Y60736" s="8"/>
      <c r="Z60736" s="8"/>
      <c r="AA60736" s="8"/>
    </row>
    <row r="60737" spans="1:27" x14ac:dyDescent="0.25">
      <c r="A60737" s="8"/>
      <c r="B60737" s="8"/>
      <c r="C60737" s="99"/>
      <c r="D60737" s="8"/>
      <c r="E60737" s="8"/>
      <c r="F60737" s="8"/>
      <c r="G60737" s="8"/>
      <c r="H60737" s="8"/>
      <c r="I60737" s="102"/>
      <c r="J60737" s="8"/>
      <c r="K60737" s="8"/>
      <c r="L60737" s="8"/>
      <c r="M60737" s="8"/>
      <c r="N60737" s="8"/>
      <c r="O60737" s="8"/>
      <c r="P60737" s="8"/>
      <c r="Q60737" s="8"/>
      <c r="R60737" s="103"/>
      <c r="S60737" s="8"/>
      <c r="T60737" s="8"/>
      <c r="U60737" s="8"/>
      <c r="V60737" s="8"/>
      <c r="W60737" s="8"/>
      <c r="X60737" s="8"/>
      <c r="Y60737" s="8"/>
      <c r="Z60737" s="8"/>
      <c r="AA60737" s="8"/>
    </row>
    <row r="60738" spans="1:27" x14ac:dyDescent="0.25">
      <c r="A60738" s="8"/>
      <c r="B60738" s="8"/>
      <c r="C60738" s="99"/>
      <c r="D60738" s="8"/>
      <c r="E60738" s="8"/>
      <c r="F60738" s="8"/>
      <c r="G60738" s="8"/>
      <c r="H60738" s="8"/>
      <c r="I60738" s="102"/>
      <c r="J60738" s="8"/>
      <c r="K60738" s="8"/>
      <c r="L60738" s="8"/>
      <c r="M60738" s="8"/>
      <c r="N60738" s="8"/>
      <c r="O60738" s="8"/>
      <c r="P60738" s="8"/>
      <c r="Q60738" s="8"/>
      <c r="R60738" s="103"/>
      <c r="S60738" s="8"/>
      <c r="T60738" s="8"/>
      <c r="U60738" s="8"/>
      <c r="V60738" s="8"/>
      <c r="W60738" s="8"/>
      <c r="X60738" s="8"/>
      <c r="Y60738" s="8"/>
      <c r="Z60738" s="8"/>
      <c r="AA60738" s="8"/>
    </row>
    <row r="60739" spans="1:27" x14ac:dyDescent="0.25">
      <c r="A60739" s="8"/>
      <c r="B60739" s="8"/>
      <c r="C60739" s="99"/>
      <c r="D60739" s="8"/>
      <c r="E60739" s="8"/>
      <c r="F60739" s="8"/>
      <c r="G60739" s="8"/>
      <c r="H60739" s="8"/>
      <c r="I60739" s="102"/>
      <c r="J60739" s="8"/>
      <c r="K60739" s="8"/>
      <c r="L60739" s="8"/>
      <c r="M60739" s="8"/>
      <c r="N60739" s="8"/>
      <c r="O60739" s="8"/>
      <c r="P60739" s="8"/>
      <c r="Q60739" s="8"/>
      <c r="R60739" s="103"/>
      <c r="S60739" s="8"/>
      <c r="T60739" s="8"/>
      <c r="U60739" s="8"/>
      <c r="V60739" s="8"/>
      <c r="W60739" s="8"/>
      <c r="X60739" s="8"/>
      <c r="Y60739" s="8"/>
      <c r="Z60739" s="8"/>
      <c r="AA60739" s="8"/>
    </row>
    <row r="60740" spans="1:27" x14ac:dyDescent="0.25">
      <c r="A60740" s="8"/>
      <c r="B60740" s="8"/>
      <c r="C60740" s="99"/>
      <c r="D60740" s="8"/>
      <c r="E60740" s="8"/>
      <c r="F60740" s="8"/>
      <c r="G60740" s="8"/>
      <c r="H60740" s="8"/>
      <c r="I60740" s="102"/>
      <c r="J60740" s="8"/>
      <c r="K60740" s="8"/>
      <c r="L60740" s="8"/>
      <c r="M60740" s="8"/>
      <c r="N60740" s="8"/>
      <c r="O60740" s="8"/>
      <c r="P60740" s="8"/>
      <c r="Q60740" s="8"/>
      <c r="R60740" s="103"/>
      <c r="S60740" s="8"/>
      <c r="T60740" s="8"/>
      <c r="U60740" s="8"/>
      <c r="V60740" s="8"/>
      <c r="W60740" s="8"/>
      <c r="X60740" s="8"/>
      <c r="Y60740" s="8"/>
      <c r="Z60740" s="8"/>
      <c r="AA60740" s="8"/>
    </row>
    <row r="60741" spans="1:27" x14ac:dyDescent="0.25">
      <c r="A60741" s="8"/>
      <c r="B60741" s="8"/>
      <c r="C60741" s="99"/>
      <c r="D60741" s="8"/>
      <c r="E60741" s="8"/>
      <c r="F60741" s="8"/>
      <c r="G60741" s="8"/>
      <c r="H60741" s="8"/>
      <c r="I60741" s="102"/>
      <c r="J60741" s="8"/>
      <c r="K60741" s="8"/>
      <c r="L60741" s="8"/>
      <c r="M60741" s="8"/>
      <c r="N60741" s="8"/>
      <c r="O60741" s="8"/>
      <c r="P60741" s="8"/>
      <c r="Q60741" s="8"/>
      <c r="R60741" s="103"/>
      <c r="S60741" s="8"/>
      <c r="T60741" s="8"/>
      <c r="U60741" s="8"/>
      <c r="V60741" s="8"/>
      <c r="W60741" s="8"/>
      <c r="X60741" s="8"/>
      <c r="Y60741" s="8"/>
      <c r="Z60741" s="8"/>
      <c r="AA60741" s="8"/>
    </row>
    <row r="60742" spans="1:27" x14ac:dyDescent="0.25">
      <c r="A60742" s="8"/>
      <c r="B60742" s="8"/>
      <c r="C60742" s="99"/>
      <c r="D60742" s="8"/>
      <c r="E60742" s="8"/>
      <c r="F60742" s="8"/>
      <c r="G60742" s="8"/>
      <c r="H60742" s="8"/>
      <c r="I60742" s="102"/>
      <c r="J60742" s="8"/>
      <c r="K60742" s="8"/>
      <c r="L60742" s="8"/>
      <c r="M60742" s="8"/>
      <c r="N60742" s="8"/>
      <c r="O60742" s="8"/>
      <c r="P60742" s="8"/>
      <c r="Q60742" s="8"/>
      <c r="R60742" s="103"/>
      <c r="S60742" s="8"/>
      <c r="T60742" s="8"/>
      <c r="U60742" s="8"/>
      <c r="V60742" s="8"/>
      <c r="W60742" s="8"/>
      <c r="X60742" s="8"/>
      <c r="Y60742" s="8"/>
      <c r="Z60742" s="8"/>
      <c r="AA60742" s="8"/>
    </row>
    <row r="60743" spans="1:27" x14ac:dyDescent="0.25">
      <c r="A60743" s="8"/>
      <c r="B60743" s="8"/>
      <c r="C60743" s="99"/>
      <c r="D60743" s="8"/>
      <c r="E60743" s="8"/>
      <c r="F60743" s="8"/>
      <c r="G60743" s="8"/>
      <c r="H60743" s="8"/>
      <c r="I60743" s="102"/>
      <c r="J60743" s="8"/>
      <c r="K60743" s="8"/>
      <c r="L60743" s="8"/>
      <c r="M60743" s="8"/>
      <c r="N60743" s="8"/>
      <c r="O60743" s="8"/>
      <c r="P60743" s="8"/>
      <c r="Q60743" s="8"/>
      <c r="R60743" s="103"/>
      <c r="S60743" s="8"/>
      <c r="T60743" s="8"/>
      <c r="U60743" s="8"/>
      <c r="V60743" s="8"/>
      <c r="W60743" s="8"/>
      <c r="X60743" s="8"/>
      <c r="Y60743" s="8"/>
      <c r="Z60743" s="8"/>
      <c r="AA60743" s="8"/>
    </row>
    <row r="60744" spans="1:27" x14ac:dyDescent="0.25">
      <c r="A60744" s="8"/>
      <c r="B60744" s="8"/>
      <c r="C60744" s="99"/>
      <c r="D60744" s="8"/>
      <c r="E60744" s="8"/>
      <c r="F60744" s="8"/>
      <c r="G60744" s="8"/>
      <c r="H60744" s="8"/>
      <c r="I60744" s="102"/>
      <c r="J60744" s="8"/>
      <c r="K60744" s="8"/>
      <c r="L60744" s="8"/>
      <c r="M60744" s="8"/>
      <c r="N60744" s="8"/>
      <c r="O60744" s="8"/>
      <c r="P60744" s="8"/>
      <c r="Q60744" s="8"/>
      <c r="R60744" s="103"/>
      <c r="S60744" s="8"/>
      <c r="T60744" s="8"/>
      <c r="U60744" s="8"/>
      <c r="V60744" s="8"/>
      <c r="W60744" s="8"/>
      <c r="X60744" s="8"/>
      <c r="Y60744" s="8"/>
      <c r="Z60744" s="8"/>
      <c r="AA60744" s="8"/>
    </row>
    <row r="60745" spans="1:27" x14ac:dyDescent="0.25">
      <c r="A60745" s="8"/>
      <c r="B60745" s="8"/>
      <c r="C60745" s="99"/>
      <c r="D60745" s="8"/>
      <c r="E60745" s="8"/>
      <c r="F60745" s="8"/>
      <c r="G60745" s="8"/>
      <c r="H60745" s="8"/>
      <c r="I60745" s="102"/>
      <c r="J60745" s="8"/>
      <c r="K60745" s="8"/>
      <c r="L60745" s="8"/>
      <c r="M60745" s="8"/>
      <c r="N60745" s="8"/>
      <c r="O60745" s="8"/>
      <c r="P60745" s="8"/>
      <c r="Q60745" s="8"/>
      <c r="R60745" s="103"/>
      <c r="S60745" s="8"/>
      <c r="T60745" s="8"/>
      <c r="U60745" s="8"/>
      <c r="V60745" s="8"/>
      <c r="W60745" s="8"/>
      <c r="X60745" s="8"/>
      <c r="Y60745" s="8"/>
      <c r="Z60745" s="8"/>
      <c r="AA60745" s="8"/>
    </row>
    <row r="60746" spans="1:27" x14ac:dyDescent="0.25">
      <c r="A60746" s="8"/>
      <c r="B60746" s="8"/>
      <c r="C60746" s="99"/>
      <c r="D60746" s="8"/>
      <c r="E60746" s="8"/>
      <c r="F60746" s="8"/>
      <c r="G60746" s="8"/>
      <c r="H60746" s="8"/>
      <c r="I60746" s="102"/>
      <c r="J60746" s="8"/>
      <c r="K60746" s="8"/>
      <c r="L60746" s="8"/>
      <c r="M60746" s="8"/>
      <c r="N60746" s="8"/>
      <c r="O60746" s="8"/>
      <c r="P60746" s="8"/>
      <c r="Q60746" s="8"/>
      <c r="R60746" s="103"/>
      <c r="S60746" s="8"/>
      <c r="T60746" s="8"/>
      <c r="U60746" s="8"/>
      <c r="V60746" s="8"/>
      <c r="W60746" s="8"/>
      <c r="X60746" s="8"/>
      <c r="Y60746" s="8"/>
      <c r="Z60746" s="8"/>
      <c r="AA60746" s="8"/>
    </row>
    <row r="60747" spans="1:27" x14ac:dyDescent="0.25">
      <c r="A60747" s="8"/>
      <c r="B60747" s="8"/>
      <c r="C60747" s="99"/>
      <c r="D60747" s="8"/>
      <c r="E60747" s="8"/>
      <c r="F60747" s="8"/>
      <c r="G60747" s="8"/>
      <c r="H60747" s="8"/>
      <c r="I60747" s="102"/>
      <c r="J60747" s="8"/>
      <c r="K60747" s="8"/>
      <c r="L60747" s="8"/>
      <c r="M60747" s="8"/>
      <c r="N60747" s="8"/>
      <c r="O60747" s="8"/>
      <c r="P60747" s="8"/>
      <c r="Q60747" s="8"/>
      <c r="R60747" s="103"/>
      <c r="S60747" s="8"/>
      <c r="T60747" s="8"/>
      <c r="U60747" s="8"/>
      <c r="V60747" s="8"/>
      <c r="W60747" s="8"/>
      <c r="X60747" s="8"/>
      <c r="Y60747" s="8"/>
      <c r="Z60747" s="8"/>
      <c r="AA60747" s="8"/>
    </row>
    <row r="60748" spans="1:27" x14ac:dyDescent="0.25">
      <c r="A60748" s="8"/>
      <c r="B60748" s="8"/>
      <c r="C60748" s="99"/>
      <c r="D60748" s="8"/>
      <c r="E60748" s="8"/>
      <c r="F60748" s="8"/>
      <c r="G60748" s="8"/>
      <c r="H60748" s="8"/>
      <c r="I60748" s="102"/>
      <c r="J60748" s="8"/>
      <c r="K60748" s="8"/>
      <c r="L60748" s="8"/>
      <c r="M60748" s="8"/>
      <c r="N60748" s="8"/>
      <c r="O60748" s="8"/>
      <c r="P60748" s="8"/>
      <c r="Q60748" s="8"/>
      <c r="R60748" s="103"/>
      <c r="S60748" s="8"/>
      <c r="T60748" s="8"/>
      <c r="U60748" s="8"/>
      <c r="V60748" s="8"/>
      <c r="W60748" s="8"/>
      <c r="X60748" s="8"/>
      <c r="Y60748" s="8"/>
      <c r="Z60748" s="8"/>
      <c r="AA60748" s="8"/>
    </row>
    <row r="60749" spans="1:27" x14ac:dyDescent="0.25">
      <c r="A60749" s="8"/>
      <c r="B60749" s="8"/>
      <c r="C60749" s="99"/>
      <c r="D60749" s="8"/>
      <c r="E60749" s="8"/>
      <c r="F60749" s="8"/>
      <c r="G60749" s="8"/>
      <c r="H60749" s="8"/>
      <c r="I60749" s="102"/>
      <c r="J60749" s="8"/>
      <c r="K60749" s="8"/>
      <c r="L60749" s="8"/>
      <c r="M60749" s="8"/>
      <c r="N60749" s="8"/>
      <c r="O60749" s="8"/>
      <c r="P60749" s="8"/>
      <c r="Q60749" s="8"/>
      <c r="R60749" s="103"/>
      <c r="S60749" s="8"/>
      <c r="T60749" s="8"/>
      <c r="U60749" s="8"/>
      <c r="V60749" s="8"/>
      <c r="W60749" s="8"/>
      <c r="X60749" s="8"/>
      <c r="Y60749" s="8"/>
      <c r="Z60749" s="8"/>
      <c r="AA60749" s="8"/>
    </row>
    <row r="60750" spans="1:27" x14ac:dyDescent="0.25">
      <c r="A60750" s="8"/>
      <c r="B60750" s="8"/>
      <c r="C60750" s="99"/>
      <c r="D60750" s="8"/>
      <c r="E60750" s="8"/>
      <c r="F60750" s="8"/>
      <c r="G60750" s="8"/>
      <c r="H60750" s="8"/>
      <c r="I60750" s="102"/>
      <c r="J60750" s="8"/>
      <c r="K60750" s="8"/>
      <c r="L60750" s="8"/>
      <c r="M60750" s="8"/>
      <c r="N60750" s="8"/>
      <c r="O60750" s="8"/>
      <c r="P60750" s="8"/>
      <c r="Q60750" s="8"/>
      <c r="R60750" s="103"/>
      <c r="S60750" s="8"/>
      <c r="T60750" s="8"/>
      <c r="U60750" s="8"/>
      <c r="V60750" s="8"/>
      <c r="W60750" s="8"/>
      <c r="X60750" s="8"/>
      <c r="Y60750" s="8"/>
      <c r="Z60750" s="8"/>
      <c r="AA60750" s="8"/>
    </row>
    <row r="60751" spans="1:27" x14ac:dyDescent="0.25">
      <c r="A60751" s="8"/>
      <c r="B60751" s="8"/>
      <c r="C60751" s="99"/>
      <c r="D60751" s="8"/>
      <c r="E60751" s="8"/>
      <c r="F60751" s="8"/>
      <c r="G60751" s="8"/>
      <c r="H60751" s="8"/>
      <c r="I60751" s="102"/>
      <c r="J60751" s="8"/>
      <c r="K60751" s="8"/>
      <c r="L60751" s="8"/>
      <c r="M60751" s="8"/>
      <c r="N60751" s="8"/>
      <c r="O60751" s="8"/>
      <c r="P60751" s="8"/>
      <c r="Q60751" s="8"/>
      <c r="R60751" s="103"/>
      <c r="S60751" s="8"/>
      <c r="T60751" s="8"/>
      <c r="U60751" s="8"/>
      <c r="V60751" s="8"/>
      <c r="W60751" s="8"/>
      <c r="X60751" s="8"/>
      <c r="Y60751" s="8"/>
      <c r="Z60751" s="8"/>
      <c r="AA60751" s="8"/>
    </row>
    <row r="60752" spans="1:27" x14ac:dyDescent="0.25">
      <c r="A60752" s="8"/>
      <c r="B60752" s="8"/>
      <c r="C60752" s="99"/>
      <c r="D60752" s="8"/>
      <c r="E60752" s="8"/>
      <c r="F60752" s="8"/>
      <c r="G60752" s="8"/>
      <c r="H60752" s="8"/>
      <c r="I60752" s="102"/>
      <c r="J60752" s="8"/>
      <c r="K60752" s="8"/>
      <c r="L60752" s="8"/>
      <c r="M60752" s="8"/>
      <c r="N60752" s="8"/>
      <c r="O60752" s="8"/>
      <c r="P60752" s="8"/>
      <c r="Q60752" s="8"/>
      <c r="R60752" s="103"/>
      <c r="S60752" s="8"/>
      <c r="T60752" s="8"/>
      <c r="U60752" s="8"/>
      <c r="V60752" s="8"/>
      <c r="W60752" s="8"/>
      <c r="X60752" s="8"/>
      <c r="Y60752" s="8"/>
      <c r="Z60752" s="8"/>
      <c r="AA60752" s="8"/>
    </row>
    <row r="60753" spans="1:27" x14ac:dyDescent="0.25">
      <c r="A60753" s="8"/>
      <c r="B60753" s="8"/>
      <c r="C60753" s="99"/>
      <c r="D60753" s="8"/>
      <c r="E60753" s="8"/>
      <c r="F60753" s="8"/>
      <c r="G60753" s="8"/>
      <c r="H60753" s="8"/>
      <c r="I60753" s="102"/>
      <c r="J60753" s="8"/>
      <c r="K60753" s="8"/>
      <c r="L60753" s="8"/>
      <c r="M60753" s="8"/>
      <c r="N60753" s="8"/>
      <c r="O60753" s="8"/>
      <c r="P60753" s="8"/>
      <c r="Q60753" s="8"/>
      <c r="R60753" s="103"/>
      <c r="S60753" s="8"/>
      <c r="T60753" s="8"/>
      <c r="U60753" s="8"/>
      <c r="V60753" s="8"/>
      <c r="W60753" s="8"/>
      <c r="X60753" s="8"/>
      <c r="Y60753" s="8"/>
      <c r="Z60753" s="8"/>
      <c r="AA60753" s="8"/>
    </row>
    <row r="60754" spans="1:27" x14ac:dyDescent="0.25">
      <c r="A60754" s="8"/>
      <c r="B60754" s="8"/>
      <c r="C60754" s="99"/>
      <c r="D60754" s="8"/>
      <c r="E60754" s="8"/>
      <c r="F60754" s="8"/>
      <c r="G60754" s="8"/>
      <c r="H60754" s="8"/>
      <c r="I60754" s="102"/>
      <c r="J60754" s="8"/>
      <c r="K60754" s="8"/>
      <c r="L60754" s="8"/>
      <c r="M60754" s="8"/>
      <c r="N60754" s="8"/>
      <c r="O60754" s="8"/>
      <c r="P60754" s="8"/>
      <c r="Q60754" s="8"/>
      <c r="R60754" s="103"/>
      <c r="S60754" s="8"/>
      <c r="T60754" s="8"/>
      <c r="U60754" s="8"/>
      <c r="V60754" s="8"/>
      <c r="W60754" s="8"/>
      <c r="X60754" s="8"/>
      <c r="Y60754" s="8"/>
      <c r="Z60754" s="8"/>
      <c r="AA60754" s="8"/>
    </row>
    <row r="60755" spans="1:27" x14ac:dyDescent="0.25">
      <c r="A60755" s="8"/>
      <c r="B60755" s="8"/>
      <c r="C60755" s="99"/>
      <c r="D60755" s="8"/>
      <c r="E60755" s="8"/>
      <c r="F60755" s="8"/>
      <c r="G60755" s="8"/>
      <c r="H60755" s="8"/>
      <c r="I60755" s="102"/>
      <c r="J60755" s="8"/>
      <c r="K60755" s="8"/>
      <c r="L60755" s="8"/>
      <c r="M60755" s="8"/>
      <c r="N60755" s="8"/>
      <c r="O60755" s="8"/>
      <c r="P60755" s="8"/>
      <c r="Q60755" s="8"/>
      <c r="R60755" s="103"/>
      <c r="S60755" s="8"/>
      <c r="T60755" s="8"/>
      <c r="U60755" s="8"/>
      <c r="V60755" s="8"/>
      <c r="W60755" s="8"/>
      <c r="X60755" s="8"/>
      <c r="Y60755" s="8"/>
      <c r="Z60755" s="8"/>
      <c r="AA60755" s="8"/>
    </row>
    <row r="60756" spans="1:27" x14ac:dyDescent="0.25">
      <c r="A60756" s="8"/>
      <c r="B60756" s="8"/>
      <c r="C60756" s="99"/>
      <c r="D60756" s="8"/>
      <c r="E60756" s="8"/>
      <c r="F60756" s="8"/>
      <c r="G60756" s="8"/>
      <c r="H60756" s="8"/>
      <c r="I60756" s="102"/>
      <c r="J60756" s="8"/>
      <c r="K60756" s="8"/>
      <c r="L60756" s="8"/>
      <c r="M60756" s="8"/>
      <c r="N60756" s="8"/>
      <c r="O60756" s="8"/>
      <c r="P60756" s="8"/>
      <c r="Q60756" s="8"/>
      <c r="R60756" s="103"/>
      <c r="S60756" s="8"/>
      <c r="T60756" s="8"/>
      <c r="U60756" s="8"/>
      <c r="V60756" s="8"/>
      <c r="W60756" s="8"/>
      <c r="X60756" s="8"/>
      <c r="Y60756" s="8"/>
      <c r="Z60756" s="8"/>
      <c r="AA60756" s="8"/>
    </row>
    <row r="60757" spans="1:27" x14ac:dyDescent="0.25">
      <c r="A60757" s="8"/>
      <c r="B60757" s="8"/>
      <c r="C60757" s="99"/>
      <c r="D60757" s="8"/>
      <c r="E60757" s="8"/>
      <c r="F60757" s="8"/>
      <c r="G60757" s="8"/>
      <c r="H60757" s="8"/>
      <c r="I60757" s="102"/>
      <c r="J60757" s="8"/>
      <c r="K60757" s="8"/>
      <c r="L60757" s="8"/>
      <c r="M60757" s="8"/>
      <c r="N60757" s="8"/>
      <c r="O60757" s="8"/>
      <c r="P60757" s="8"/>
      <c r="Q60757" s="8"/>
      <c r="R60757" s="103"/>
      <c r="S60757" s="8"/>
      <c r="T60757" s="8"/>
      <c r="U60757" s="8"/>
      <c r="V60757" s="8"/>
      <c r="W60757" s="8"/>
      <c r="X60757" s="8"/>
      <c r="Y60757" s="8"/>
      <c r="Z60757" s="8"/>
      <c r="AA60757" s="8"/>
    </row>
    <row r="60758" spans="1:27" x14ac:dyDescent="0.25">
      <c r="A60758" s="8"/>
      <c r="B60758" s="8"/>
      <c r="C60758" s="99"/>
      <c r="D60758" s="8"/>
      <c r="E60758" s="8"/>
      <c r="F60758" s="8"/>
      <c r="G60758" s="8"/>
      <c r="H60758" s="8"/>
      <c r="I60758" s="102"/>
      <c r="J60758" s="8"/>
      <c r="K60758" s="8"/>
      <c r="L60758" s="8"/>
      <c r="M60758" s="8"/>
      <c r="N60758" s="8"/>
      <c r="O60758" s="8"/>
      <c r="P60758" s="8"/>
      <c r="Q60758" s="8"/>
      <c r="R60758" s="103"/>
      <c r="S60758" s="8"/>
      <c r="T60758" s="8"/>
      <c r="U60758" s="8"/>
      <c r="V60758" s="8"/>
      <c r="W60758" s="8"/>
      <c r="X60758" s="8"/>
      <c r="Y60758" s="8"/>
      <c r="Z60758" s="8"/>
      <c r="AA60758" s="8"/>
    </row>
    <row r="60759" spans="1:27" x14ac:dyDescent="0.25">
      <c r="A60759" s="8"/>
      <c r="B60759" s="8"/>
      <c r="C60759" s="99"/>
      <c r="D60759" s="8"/>
      <c r="E60759" s="8"/>
      <c r="F60759" s="8"/>
      <c r="G60759" s="8"/>
      <c r="H60759" s="8"/>
      <c r="I60759" s="102"/>
      <c r="J60759" s="8"/>
      <c r="K60759" s="8"/>
      <c r="L60759" s="8"/>
      <c r="M60759" s="8"/>
      <c r="N60759" s="8"/>
      <c r="O60759" s="8"/>
      <c r="P60759" s="8"/>
      <c r="Q60759" s="8"/>
      <c r="R60759" s="103"/>
      <c r="S60759" s="8"/>
      <c r="T60759" s="8"/>
      <c r="U60759" s="8"/>
      <c r="V60759" s="8"/>
      <c r="W60759" s="8"/>
      <c r="X60759" s="8"/>
      <c r="Y60759" s="8"/>
      <c r="Z60759" s="8"/>
      <c r="AA60759" s="8"/>
    </row>
    <row r="60760" spans="1:27" x14ac:dyDescent="0.25">
      <c r="A60760" s="8"/>
      <c r="B60760" s="8"/>
      <c r="C60760" s="99"/>
      <c r="D60760" s="8"/>
      <c r="E60760" s="8"/>
      <c r="F60760" s="8"/>
      <c r="G60760" s="8"/>
      <c r="H60760" s="8"/>
      <c r="I60760" s="102"/>
      <c r="J60760" s="8"/>
      <c r="K60760" s="8"/>
      <c r="L60760" s="8"/>
      <c r="M60760" s="8"/>
      <c r="N60760" s="8"/>
      <c r="O60760" s="8"/>
      <c r="P60760" s="8"/>
      <c r="Q60760" s="8"/>
      <c r="R60760" s="103"/>
      <c r="S60760" s="8"/>
      <c r="T60760" s="8"/>
      <c r="U60760" s="8"/>
      <c r="V60760" s="8"/>
      <c r="W60760" s="8"/>
      <c r="X60760" s="8"/>
      <c r="Y60760" s="8"/>
      <c r="Z60760" s="8"/>
      <c r="AA60760" s="8"/>
    </row>
    <row r="60761" spans="1:27" x14ac:dyDescent="0.25">
      <c r="A60761" s="8"/>
      <c r="B60761" s="8"/>
      <c r="C60761" s="99"/>
      <c r="D60761" s="8"/>
      <c r="E60761" s="8"/>
      <c r="F60761" s="8"/>
      <c r="G60761" s="8"/>
      <c r="H60761" s="8"/>
      <c r="I60761" s="102"/>
      <c r="J60761" s="8"/>
      <c r="K60761" s="8"/>
      <c r="L60761" s="8"/>
      <c r="M60761" s="8"/>
      <c r="N60761" s="8"/>
      <c r="O60761" s="8"/>
      <c r="P60761" s="8"/>
      <c r="Q60761" s="8"/>
      <c r="R60761" s="103"/>
      <c r="S60761" s="8"/>
      <c r="T60761" s="8"/>
      <c r="U60761" s="8"/>
      <c r="V60761" s="8"/>
      <c r="W60761" s="8"/>
      <c r="X60761" s="8"/>
      <c r="Y60761" s="8"/>
      <c r="Z60761" s="8"/>
      <c r="AA60761" s="8"/>
    </row>
    <row r="60762" spans="1:27" x14ac:dyDescent="0.25">
      <c r="A60762" s="8"/>
      <c r="B60762" s="8"/>
      <c r="C60762" s="99"/>
      <c r="D60762" s="8"/>
      <c r="E60762" s="8"/>
      <c r="F60762" s="8"/>
      <c r="G60762" s="8"/>
      <c r="H60762" s="8"/>
      <c r="I60762" s="102"/>
      <c r="J60762" s="8"/>
      <c r="K60762" s="8"/>
      <c r="L60762" s="8"/>
      <c r="M60762" s="8"/>
      <c r="N60762" s="8"/>
      <c r="O60762" s="8"/>
      <c r="P60762" s="8"/>
      <c r="Q60762" s="8"/>
      <c r="R60762" s="103"/>
      <c r="S60762" s="8"/>
      <c r="T60762" s="8"/>
      <c r="U60762" s="8"/>
      <c r="V60762" s="8"/>
      <c r="W60762" s="8"/>
      <c r="X60762" s="8"/>
      <c r="Y60762" s="8"/>
      <c r="Z60762" s="8"/>
      <c r="AA60762" s="8"/>
    </row>
    <row r="60763" spans="1:27" x14ac:dyDescent="0.25">
      <c r="A60763" s="8"/>
      <c r="B60763" s="8"/>
      <c r="C60763" s="99"/>
      <c r="D60763" s="8"/>
      <c r="E60763" s="8"/>
      <c r="F60763" s="8"/>
      <c r="G60763" s="8"/>
      <c r="H60763" s="8"/>
      <c r="I60763" s="102"/>
      <c r="J60763" s="8"/>
      <c r="K60763" s="8"/>
      <c r="L60763" s="8"/>
      <c r="M60763" s="8"/>
      <c r="N60763" s="8"/>
      <c r="O60763" s="8"/>
      <c r="P60763" s="8"/>
      <c r="Q60763" s="8"/>
      <c r="R60763" s="103"/>
      <c r="S60763" s="8"/>
      <c r="T60763" s="8"/>
      <c r="U60763" s="8"/>
      <c r="V60763" s="8"/>
      <c r="W60763" s="8"/>
      <c r="X60763" s="8"/>
      <c r="Y60763" s="8"/>
      <c r="Z60763" s="8"/>
      <c r="AA60763" s="8"/>
    </row>
    <row r="60764" spans="1:27" x14ac:dyDescent="0.25">
      <c r="A60764" s="8"/>
      <c r="B60764" s="8"/>
      <c r="C60764" s="99"/>
      <c r="D60764" s="8"/>
      <c r="E60764" s="8"/>
      <c r="F60764" s="8"/>
      <c r="G60764" s="8"/>
      <c r="H60764" s="8"/>
      <c r="I60764" s="102"/>
      <c r="J60764" s="8"/>
      <c r="K60764" s="8"/>
      <c r="L60764" s="8"/>
      <c r="M60764" s="8"/>
      <c r="N60764" s="8"/>
      <c r="O60764" s="8"/>
      <c r="P60764" s="8"/>
      <c r="Q60764" s="8"/>
      <c r="R60764" s="103"/>
      <c r="S60764" s="8"/>
      <c r="T60764" s="8"/>
      <c r="U60764" s="8"/>
      <c r="V60764" s="8"/>
      <c r="W60764" s="8"/>
      <c r="X60764" s="8"/>
      <c r="Y60764" s="8"/>
      <c r="Z60764" s="8"/>
      <c r="AA60764" s="8"/>
    </row>
    <row r="60765" spans="1:27" x14ac:dyDescent="0.25">
      <c r="A60765" s="8"/>
      <c r="B60765" s="8"/>
      <c r="C60765" s="99"/>
      <c r="D60765" s="8"/>
      <c r="E60765" s="8"/>
      <c r="F60765" s="8"/>
      <c r="G60765" s="8"/>
      <c r="H60765" s="8"/>
      <c r="I60765" s="102"/>
      <c r="J60765" s="8"/>
      <c r="K60765" s="8"/>
      <c r="L60765" s="8"/>
      <c r="M60765" s="8"/>
      <c r="N60765" s="8"/>
      <c r="O60765" s="8"/>
      <c r="P60765" s="8"/>
      <c r="Q60765" s="8"/>
      <c r="R60765" s="103"/>
      <c r="S60765" s="8"/>
      <c r="T60765" s="8"/>
      <c r="U60765" s="8"/>
      <c r="V60765" s="8"/>
      <c r="W60765" s="8"/>
      <c r="X60765" s="8"/>
      <c r="Y60765" s="8"/>
      <c r="Z60765" s="8"/>
      <c r="AA60765" s="8"/>
    </row>
    <row r="60766" spans="1:27" x14ac:dyDescent="0.25">
      <c r="A60766" s="8"/>
      <c r="B60766" s="8"/>
      <c r="C60766" s="99"/>
      <c r="D60766" s="8"/>
      <c r="E60766" s="8"/>
      <c r="F60766" s="8"/>
      <c r="G60766" s="8"/>
      <c r="H60766" s="8"/>
      <c r="I60766" s="102"/>
      <c r="J60766" s="8"/>
      <c r="K60766" s="8"/>
      <c r="L60766" s="8"/>
      <c r="M60766" s="8"/>
      <c r="N60766" s="8"/>
      <c r="O60766" s="8"/>
      <c r="P60766" s="8"/>
      <c r="Q60766" s="8"/>
      <c r="R60766" s="103"/>
      <c r="S60766" s="8"/>
      <c r="T60766" s="8"/>
      <c r="U60766" s="8"/>
      <c r="V60766" s="8"/>
      <c r="W60766" s="8"/>
      <c r="X60766" s="8"/>
      <c r="Y60766" s="8"/>
      <c r="Z60766" s="8"/>
      <c r="AA60766" s="8"/>
    </row>
    <row r="60767" spans="1:27" x14ac:dyDescent="0.25">
      <c r="A60767" s="8"/>
      <c r="B60767" s="8"/>
      <c r="C60767" s="99"/>
      <c r="D60767" s="8"/>
      <c r="E60767" s="8"/>
      <c r="F60767" s="8"/>
      <c r="G60767" s="8"/>
      <c r="H60767" s="8"/>
      <c r="I60767" s="102"/>
      <c r="J60767" s="8"/>
      <c r="K60767" s="8"/>
      <c r="L60767" s="8"/>
      <c r="M60767" s="8"/>
      <c r="N60767" s="8"/>
      <c r="O60767" s="8"/>
      <c r="P60767" s="8"/>
      <c r="Q60767" s="8"/>
      <c r="R60767" s="103"/>
      <c r="S60767" s="8"/>
      <c r="T60767" s="8"/>
      <c r="U60767" s="8"/>
      <c r="V60767" s="8"/>
      <c r="W60767" s="8"/>
      <c r="X60767" s="8"/>
      <c r="Y60767" s="8"/>
      <c r="Z60767" s="8"/>
      <c r="AA60767" s="8"/>
    </row>
    <row r="60768" spans="1:27" x14ac:dyDescent="0.25">
      <c r="A60768" s="8"/>
      <c r="B60768" s="8"/>
      <c r="C60768" s="99"/>
      <c r="D60768" s="8"/>
      <c r="E60768" s="8"/>
      <c r="F60768" s="8"/>
      <c r="G60768" s="8"/>
      <c r="H60768" s="8"/>
      <c r="I60768" s="102"/>
      <c r="J60768" s="8"/>
      <c r="K60768" s="8"/>
      <c r="L60768" s="8"/>
      <c r="M60768" s="8"/>
      <c r="N60768" s="8"/>
      <c r="O60768" s="8"/>
      <c r="P60768" s="8"/>
      <c r="Q60768" s="8"/>
      <c r="R60768" s="103"/>
      <c r="S60768" s="8"/>
      <c r="T60768" s="8"/>
      <c r="U60768" s="8"/>
      <c r="V60768" s="8"/>
      <c r="W60768" s="8"/>
      <c r="X60768" s="8"/>
      <c r="Y60768" s="8"/>
      <c r="Z60768" s="8"/>
      <c r="AA60768" s="8"/>
    </row>
    <row r="60769" spans="1:27" x14ac:dyDescent="0.25">
      <c r="A60769" s="8"/>
      <c r="B60769" s="8"/>
      <c r="C60769" s="99"/>
      <c r="D60769" s="8"/>
      <c r="E60769" s="8"/>
      <c r="F60769" s="8"/>
      <c r="G60769" s="8"/>
      <c r="H60769" s="8"/>
      <c r="I60769" s="102"/>
      <c r="J60769" s="8"/>
      <c r="K60769" s="8"/>
      <c r="L60769" s="8"/>
      <c r="M60769" s="8"/>
      <c r="N60769" s="8"/>
      <c r="O60769" s="8"/>
      <c r="P60769" s="8"/>
      <c r="Q60769" s="8"/>
      <c r="R60769" s="103"/>
      <c r="S60769" s="8"/>
      <c r="T60769" s="8"/>
      <c r="U60769" s="8"/>
      <c r="V60769" s="8"/>
      <c r="W60769" s="8"/>
      <c r="X60769" s="8"/>
      <c r="Y60769" s="8"/>
      <c r="Z60769" s="8"/>
      <c r="AA60769" s="8"/>
    </row>
    <row r="60770" spans="1:27" x14ac:dyDescent="0.25">
      <c r="A60770" s="8"/>
      <c r="B60770" s="8"/>
      <c r="C60770" s="99"/>
      <c r="D60770" s="8"/>
      <c r="E60770" s="8"/>
      <c r="F60770" s="8"/>
      <c r="G60770" s="8"/>
      <c r="H60770" s="8"/>
      <c r="I60770" s="102"/>
      <c r="J60770" s="8"/>
      <c r="K60770" s="8"/>
      <c r="L60770" s="8"/>
      <c r="M60770" s="8"/>
      <c r="N60770" s="8"/>
      <c r="O60770" s="8"/>
      <c r="P60770" s="8"/>
      <c r="Q60770" s="8"/>
      <c r="R60770" s="103"/>
      <c r="S60770" s="8"/>
      <c r="T60770" s="8"/>
      <c r="U60770" s="8"/>
      <c r="V60770" s="8"/>
      <c r="W60770" s="8"/>
      <c r="X60770" s="8"/>
      <c r="Y60770" s="8"/>
      <c r="Z60770" s="8"/>
      <c r="AA60770" s="8"/>
    </row>
    <row r="60771" spans="1:27" x14ac:dyDescent="0.25">
      <c r="A60771" s="8"/>
      <c r="B60771" s="8"/>
      <c r="C60771" s="99"/>
      <c r="D60771" s="8"/>
      <c r="E60771" s="8"/>
      <c r="F60771" s="8"/>
      <c r="G60771" s="8"/>
      <c r="H60771" s="8"/>
      <c r="I60771" s="102"/>
      <c r="J60771" s="8"/>
      <c r="K60771" s="8"/>
      <c r="L60771" s="8"/>
      <c r="M60771" s="8"/>
      <c r="N60771" s="8"/>
      <c r="O60771" s="8"/>
      <c r="P60771" s="8"/>
      <c r="Q60771" s="8"/>
      <c r="R60771" s="103"/>
      <c r="S60771" s="8"/>
      <c r="T60771" s="8"/>
      <c r="U60771" s="8"/>
      <c r="V60771" s="8"/>
      <c r="W60771" s="8"/>
      <c r="X60771" s="8"/>
      <c r="Y60771" s="8"/>
      <c r="Z60771" s="8"/>
      <c r="AA60771" s="8"/>
    </row>
    <row r="60772" spans="1:27" x14ac:dyDescent="0.25">
      <c r="A60772" s="8"/>
      <c r="B60772" s="8"/>
      <c r="C60772" s="99"/>
      <c r="D60772" s="8"/>
      <c r="E60772" s="8"/>
      <c r="F60772" s="8"/>
      <c r="G60772" s="8"/>
      <c r="H60772" s="8"/>
      <c r="I60772" s="102"/>
      <c r="J60772" s="8"/>
      <c r="K60772" s="8"/>
      <c r="L60772" s="8"/>
      <c r="M60772" s="8"/>
      <c r="N60772" s="8"/>
      <c r="O60772" s="8"/>
      <c r="P60772" s="8"/>
      <c r="Q60772" s="8"/>
      <c r="R60772" s="103"/>
      <c r="S60772" s="8"/>
      <c r="T60772" s="8"/>
      <c r="U60772" s="8"/>
      <c r="V60772" s="8"/>
      <c r="W60772" s="8"/>
      <c r="X60772" s="8"/>
      <c r="Y60772" s="8"/>
      <c r="Z60772" s="8"/>
      <c r="AA60772" s="8"/>
    </row>
    <row r="60773" spans="1:27" x14ac:dyDescent="0.25">
      <c r="A60773" s="8"/>
      <c r="B60773" s="8"/>
      <c r="C60773" s="99"/>
      <c r="D60773" s="8"/>
      <c r="E60773" s="8"/>
      <c r="F60773" s="8"/>
      <c r="G60773" s="8"/>
      <c r="H60773" s="8"/>
      <c r="I60773" s="102"/>
      <c r="J60773" s="8"/>
      <c r="K60773" s="8"/>
      <c r="L60773" s="8"/>
      <c r="M60773" s="8"/>
      <c r="N60773" s="8"/>
      <c r="O60773" s="8"/>
      <c r="P60773" s="8"/>
      <c r="Q60773" s="8"/>
      <c r="R60773" s="103"/>
      <c r="S60773" s="8"/>
      <c r="T60773" s="8"/>
      <c r="U60773" s="8"/>
      <c r="V60773" s="8"/>
      <c r="W60773" s="8"/>
      <c r="X60773" s="8"/>
      <c r="Y60773" s="8"/>
      <c r="Z60773" s="8"/>
      <c r="AA60773" s="8"/>
    </row>
    <row r="60774" spans="1:27" x14ac:dyDescent="0.25">
      <c r="A60774" s="8"/>
      <c r="B60774" s="8"/>
      <c r="C60774" s="99"/>
      <c r="D60774" s="8"/>
      <c r="E60774" s="8"/>
      <c r="F60774" s="8"/>
      <c r="G60774" s="8"/>
      <c r="H60774" s="8"/>
      <c r="I60774" s="102"/>
      <c r="J60774" s="8"/>
      <c r="K60774" s="8"/>
      <c r="L60774" s="8"/>
      <c r="M60774" s="8"/>
      <c r="N60774" s="8"/>
      <c r="O60774" s="8"/>
      <c r="P60774" s="8"/>
      <c r="Q60774" s="8"/>
      <c r="R60774" s="103"/>
      <c r="S60774" s="8"/>
      <c r="T60774" s="8"/>
      <c r="U60774" s="8"/>
      <c r="V60774" s="8"/>
      <c r="W60774" s="8"/>
      <c r="X60774" s="8"/>
      <c r="Y60774" s="8"/>
      <c r="Z60774" s="8"/>
      <c r="AA60774" s="8"/>
    </row>
    <row r="60775" spans="1:27" x14ac:dyDescent="0.25">
      <c r="A60775" s="8"/>
      <c r="B60775" s="8"/>
      <c r="C60775" s="99"/>
      <c r="D60775" s="8"/>
      <c r="E60775" s="8"/>
      <c r="F60775" s="8"/>
      <c r="G60775" s="8"/>
      <c r="H60775" s="8"/>
      <c r="I60775" s="102"/>
      <c r="J60775" s="8"/>
      <c r="K60775" s="8"/>
      <c r="L60775" s="8"/>
      <c r="M60775" s="8"/>
      <c r="N60775" s="8"/>
      <c r="O60775" s="8"/>
      <c r="P60775" s="8"/>
      <c r="Q60775" s="8"/>
      <c r="R60775" s="103"/>
      <c r="S60775" s="8"/>
      <c r="T60775" s="8"/>
      <c r="U60775" s="8"/>
      <c r="V60775" s="8"/>
      <c r="W60775" s="8"/>
      <c r="X60775" s="8"/>
      <c r="Y60775" s="8"/>
      <c r="Z60775" s="8"/>
      <c r="AA60775" s="8"/>
    </row>
    <row r="60776" spans="1:27" x14ac:dyDescent="0.25">
      <c r="A60776" s="8"/>
      <c r="B60776" s="8"/>
      <c r="C60776" s="99"/>
      <c r="D60776" s="8"/>
      <c r="E60776" s="8"/>
      <c r="F60776" s="8"/>
      <c r="G60776" s="8"/>
      <c r="H60776" s="8"/>
      <c r="I60776" s="102"/>
      <c r="J60776" s="8"/>
      <c r="K60776" s="8"/>
      <c r="L60776" s="8"/>
      <c r="M60776" s="8"/>
      <c r="N60776" s="8"/>
      <c r="O60776" s="8"/>
      <c r="P60776" s="8"/>
      <c r="Q60776" s="8"/>
      <c r="R60776" s="103"/>
      <c r="S60776" s="8"/>
      <c r="T60776" s="8"/>
      <c r="U60776" s="8"/>
      <c r="V60776" s="8"/>
      <c r="W60776" s="8"/>
      <c r="X60776" s="8"/>
      <c r="Y60776" s="8"/>
      <c r="Z60776" s="8"/>
      <c r="AA60776" s="8"/>
    </row>
    <row r="60777" spans="1:27" x14ac:dyDescent="0.25">
      <c r="A60777" s="8"/>
      <c r="B60777" s="8"/>
      <c r="C60777" s="99"/>
      <c r="D60777" s="8"/>
      <c r="E60777" s="8"/>
      <c r="F60777" s="8"/>
      <c r="G60777" s="8"/>
      <c r="H60777" s="8"/>
      <c r="I60777" s="102"/>
      <c r="J60777" s="8"/>
      <c r="K60777" s="8"/>
      <c r="L60777" s="8"/>
      <c r="M60777" s="8"/>
      <c r="N60777" s="8"/>
      <c r="O60777" s="8"/>
      <c r="P60777" s="8"/>
      <c r="Q60777" s="8"/>
      <c r="R60777" s="103"/>
      <c r="S60777" s="8"/>
      <c r="T60777" s="8"/>
      <c r="U60777" s="8"/>
      <c r="V60777" s="8"/>
      <c r="W60777" s="8"/>
      <c r="X60777" s="8"/>
      <c r="Y60777" s="8"/>
      <c r="Z60777" s="8"/>
      <c r="AA60777" s="8"/>
    </row>
    <row r="60778" spans="1:27" x14ac:dyDescent="0.25">
      <c r="A60778" s="8"/>
      <c r="B60778" s="8"/>
      <c r="C60778" s="99"/>
      <c r="D60778" s="8"/>
      <c r="E60778" s="8"/>
      <c r="F60778" s="8"/>
      <c r="G60778" s="8"/>
      <c r="H60778" s="8"/>
      <c r="I60778" s="102"/>
      <c r="J60778" s="8"/>
      <c r="K60778" s="8"/>
      <c r="L60778" s="8"/>
      <c r="M60778" s="8"/>
      <c r="N60778" s="8"/>
      <c r="O60778" s="8"/>
      <c r="P60778" s="8"/>
      <c r="Q60778" s="8"/>
      <c r="R60778" s="103"/>
      <c r="S60778" s="8"/>
      <c r="T60778" s="8"/>
      <c r="U60778" s="8"/>
      <c r="V60778" s="8"/>
      <c r="W60778" s="8"/>
      <c r="X60778" s="8"/>
      <c r="Y60778" s="8"/>
      <c r="Z60778" s="8"/>
      <c r="AA60778" s="8"/>
    </row>
    <row r="60779" spans="1:27" x14ac:dyDescent="0.25">
      <c r="A60779" s="8"/>
      <c r="B60779" s="8"/>
      <c r="C60779" s="99"/>
      <c r="D60779" s="8"/>
      <c r="E60779" s="8"/>
      <c r="F60779" s="8"/>
      <c r="G60779" s="8"/>
      <c r="H60779" s="8"/>
      <c r="I60779" s="102"/>
      <c r="J60779" s="8"/>
      <c r="K60779" s="8"/>
      <c r="L60779" s="8"/>
      <c r="M60779" s="8"/>
      <c r="N60779" s="8"/>
      <c r="O60779" s="8"/>
      <c r="P60779" s="8"/>
      <c r="Q60779" s="8"/>
      <c r="R60779" s="103"/>
      <c r="S60779" s="8"/>
      <c r="T60779" s="8"/>
      <c r="U60779" s="8"/>
      <c r="V60779" s="8"/>
      <c r="W60779" s="8"/>
      <c r="X60779" s="8"/>
      <c r="Y60779" s="8"/>
      <c r="Z60779" s="8"/>
      <c r="AA60779" s="8"/>
    </row>
    <row r="60780" spans="1:27" x14ac:dyDescent="0.25">
      <c r="A60780" s="8"/>
      <c r="B60780" s="8"/>
      <c r="C60780" s="99"/>
      <c r="D60780" s="8"/>
      <c r="E60780" s="8"/>
      <c r="F60780" s="8"/>
      <c r="G60780" s="8"/>
      <c r="H60780" s="8"/>
      <c r="I60780" s="102"/>
      <c r="J60780" s="8"/>
      <c r="K60780" s="8"/>
      <c r="L60780" s="8"/>
      <c r="M60780" s="8"/>
      <c r="N60780" s="8"/>
      <c r="O60780" s="8"/>
      <c r="P60780" s="8"/>
      <c r="Q60780" s="8"/>
      <c r="R60780" s="103"/>
      <c r="S60780" s="8"/>
      <c r="T60780" s="8"/>
      <c r="U60780" s="8"/>
      <c r="V60780" s="8"/>
      <c r="W60780" s="8"/>
      <c r="X60780" s="8"/>
      <c r="Y60780" s="8"/>
      <c r="Z60780" s="8"/>
      <c r="AA60780" s="8"/>
    </row>
    <row r="60781" spans="1:27" x14ac:dyDescent="0.25">
      <c r="A60781" s="8"/>
      <c r="B60781" s="8"/>
      <c r="C60781" s="99"/>
      <c r="D60781" s="8"/>
      <c r="E60781" s="8"/>
      <c r="F60781" s="8"/>
      <c r="G60781" s="8"/>
      <c r="H60781" s="8"/>
      <c r="I60781" s="102"/>
      <c r="J60781" s="8"/>
      <c r="K60781" s="8"/>
      <c r="L60781" s="8"/>
      <c r="M60781" s="8"/>
      <c r="N60781" s="8"/>
      <c r="O60781" s="8"/>
      <c r="P60781" s="8"/>
      <c r="Q60781" s="8"/>
      <c r="R60781" s="103"/>
      <c r="S60781" s="8"/>
      <c r="T60781" s="8"/>
      <c r="U60781" s="8"/>
      <c r="V60781" s="8"/>
      <c r="W60781" s="8"/>
      <c r="X60781" s="8"/>
      <c r="Y60781" s="8"/>
      <c r="Z60781" s="8"/>
      <c r="AA60781" s="8"/>
    </row>
    <row r="60782" spans="1:27" x14ac:dyDescent="0.25">
      <c r="A60782" s="8"/>
      <c r="B60782" s="8"/>
      <c r="C60782" s="99"/>
      <c r="D60782" s="8"/>
      <c r="E60782" s="8"/>
      <c r="F60782" s="8"/>
      <c r="G60782" s="8"/>
      <c r="H60782" s="8"/>
      <c r="I60782" s="102"/>
      <c r="J60782" s="8"/>
      <c r="K60782" s="8"/>
      <c r="L60782" s="8"/>
      <c r="M60782" s="8"/>
      <c r="N60782" s="8"/>
      <c r="O60782" s="8"/>
      <c r="P60782" s="8"/>
      <c r="Q60782" s="8"/>
      <c r="R60782" s="103"/>
      <c r="S60782" s="8"/>
      <c r="T60782" s="8"/>
      <c r="U60782" s="8"/>
      <c r="V60782" s="8"/>
      <c r="W60782" s="8"/>
      <c r="X60782" s="8"/>
      <c r="Y60782" s="8"/>
      <c r="Z60782" s="8"/>
      <c r="AA60782" s="8"/>
    </row>
    <row r="60783" spans="1:27" x14ac:dyDescent="0.25">
      <c r="A60783" s="8"/>
      <c r="B60783" s="8"/>
      <c r="C60783" s="99"/>
      <c r="D60783" s="8"/>
      <c r="E60783" s="8"/>
      <c r="F60783" s="8"/>
      <c r="G60783" s="8"/>
      <c r="H60783" s="8"/>
      <c r="I60783" s="102"/>
      <c r="J60783" s="8"/>
      <c r="K60783" s="8"/>
      <c r="L60783" s="8"/>
      <c r="M60783" s="8"/>
      <c r="N60783" s="8"/>
      <c r="O60783" s="8"/>
      <c r="P60783" s="8"/>
      <c r="Q60783" s="8"/>
      <c r="R60783" s="103"/>
      <c r="S60783" s="8"/>
      <c r="T60783" s="8"/>
      <c r="U60783" s="8"/>
      <c r="V60783" s="8"/>
      <c r="W60783" s="8"/>
      <c r="X60783" s="8"/>
      <c r="Y60783" s="8"/>
      <c r="Z60783" s="8"/>
      <c r="AA60783" s="8"/>
    </row>
    <row r="60784" spans="1:27" x14ac:dyDescent="0.25">
      <c r="A60784" s="8"/>
      <c r="B60784" s="8"/>
      <c r="C60784" s="99"/>
      <c r="D60784" s="8"/>
      <c r="E60784" s="8"/>
      <c r="F60784" s="8"/>
      <c r="G60784" s="8"/>
      <c r="H60784" s="8"/>
      <c r="I60784" s="102"/>
      <c r="J60784" s="8"/>
      <c r="K60784" s="8"/>
      <c r="L60784" s="8"/>
      <c r="M60784" s="8"/>
      <c r="N60784" s="8"/>
      <c r="O60784" s="8"/>
      <c r="P60784" s="8"/>
      <c r="Q60784" s="8"/>
      <c r="R60784" s="103"/>
      <c r="S60784" s="8"/>
      <c r="T60784" s="8"/>
      <c r="U60784" s="8"/>
      <c r="V60784" s="8"/>
      <c r="W60784" s="8"/>
      <c r="X60784" s="8"/>
      <c r="Y60784" s="8"/>
      <c r="Z60784" s="8"/>
      <c r="AA60784" s="8"/>
    </row>
    <row r="60785" spans="1:27" x14ac:dyDescent="0.25">
      <c r="A60785" s="8"/>
      <c r="B60785" s="8"/>
      <c r="C60785" s="99"/>
      <c r="D60785" s="8"/>
      <c r="E60785" s="8"/>
      <c r="F60785" s="8"/>
      <c r="G60785" s="8"/>
      <c r="H60785" s="8"/>
      <c r="I60785" s="102"/>
      <c r="J60785" s="8"/>
      <c r="K60785" s="8"/>
      <c r="L60785" s="8"/>
      <c r="M60785" s="8"/>
      <c r="N60785" s="8"/>
      <c r="O60785" s="8"/>
      <c r="P60785" s="8"/>
      <c r="Q60785" s="8"/>
      <c r="R60785" s="103"/>
      <c r="S60785" s="8"/>
      <c r="T60785" s="8"/>
      <c r="U60785" s="8"/>
      <c r="V60785" s="8"/>
      <c r="W60785" s="8"/>
      <c r="X60785" s="8"/>
      <c r="Y60785" s="8"/>
      <c r="Z60785" s="8"/>
      <c r="AA60785" s="8"/>
    </row>
    <row r="60786" spans="1:27" x14ac:dyDescent="0.25">
      <c r="A60786" s="8"/>
      <c r="B60786" s="8"/>
      <c r="C60786" s="99"/>
      <c r="D60786" s="8"/>
      <c r="E60786" s="8"/>
      <c r="F60786" s="8"/>
      <c r="G60786" s="8"/>
      <c r="H60786" s="8"/>
      <c r="I60786" s="102"/>
      <c r="J60786" s="8"/>
      <c r="K60786" s="8"/>
      <c r="L60786" s="8"/>
      <c r="M60786" s="8"/>
      <c r="N60786" s="8"/>
      <c r="O60786" s="8"/>
      <c r="P60786" s="8"/>
      <c r="Q60786" s="8"/>
      <c r="R60786" s="103"/>
      <c r="S60786" s="8"/>
      <c r="T60786" s="8"/>
      <c r="U60786" s="8"/>
      <c r="V60786" s="8"/>
      <c r="W60786" s="8"/>
      <c r="X60786" s="8"/>
      <c r="Y60786" s="8"/>
      <c r="Z60786" s="8"/>
      <c r="AA60786" s="8"/>
    </row>
    <row r="60787" spans="1:27" x14ac:dyDescent="0.25">
      <c r="A60787" s="8"/>
      <c r="B60787" s="8"/>
      <c r="C60787" s="99"/>
      <c r="D60787" s="8"/>
      <c r="E60787" s="8"/>
      <c r="F60787" s="8"/>
      <c r="G60787" s="8"/>
      <c r="H60787" s="8"/>
      <c r="I60787" s="102"/>
      <c r="J60787" s="8"/>
      <c r="K60787" s="8"/>
      <c r="L60787" s="8"/>
      <c r="M60787" s="8"/>
      <c r="N60787" s="8"/>
      <c r="O60787" s="8"/>
      <c r="P60787" s="8"/>
      <c r="Q60787" s="8"/>
      <c r="R60787" s="103"/>
      <c r="S60787" s="8"/>
      <c r="T60787" s="8"/>
      <c r="U60787" s="8"/>
      <c r="V60787" s="8"/>
      <c r="W60787" s="8"/>
      <c r="X60787" s="8"/>
      <c r="Y60787" s="8"/>
      <c r="Z60787" s="8"/>
      <c r="AA60787" s="8"/>
    </row>
    <row r="60788" spans="1:27" x14ac:dyDescent="0.25">
      <c r="A60788" s="8"/>
      <c r="B60788" s="8"/>
      <c r="C60788" s="99"/>
      <c r="D60788" s="8"/>
      <c r="E60788" s="8"/>
      <c r="F60788" s="8"/>
      <c r="G60788" s="8"/>
      <c r="H60788" s="8"/>
      <c r="I60788" s="102"/>
      <c r="J60788" s="8"/>
      <c r="K60788" s="8"/>
      <c r="L60788" s="8"/>
      <c r="M60788" s="8"/>
      <c r="N60788" s="8"/>
      <c r="O60788" s="8"/>
      <c r="P60788" s="8"/>
      <c r="Q60788" s="8"/>
      <c r="R60788" s="103"/>
      <c r="S60788" s="8"/>
      <c r="T60788" s="8"/>
      <c r="U60788" s="8"/>
      <c r="V60788" s="8"/>
      <c r="W60788" s="8"/>
      <c r="X60788" s="8"/>
      <c r="Y60788" s="8"/>
      <c r="Z60788" s="8"/>
      <c r="AA60788" s="8"/>
    </row>
    <row r="60789" spans="1:27" x14ac:dyDescent="0.25">
      <c r="A60789" s="8"/>
      <c r="B60789" s="8"/>
      <c r="C60789" s="99"/>
      <c r="D60789" s="8"/>
      <c r="E60789" s="8"/>
      <c r="F60789" s="8"/>
      <c r="G60789" s="8"/>
      <c r="H60789" s="8"/>
      <c r="I60789" s="102"/>
      <c r="J60789" s="8"/>
      <c r="K60789" s="8"/>
      <c r="L60789" s="8"/>
      <c r="M60789" s="8"/>
      <c r="N60789" s="8"/>
      <c r="O60789" s="8"/>
      <c r="P60789" s="8"/>
      <c r="Q60789" s="8"/>
      <c r="R60789" s="103"/>
      <c r="S60789" s="8"/>
      <c r="T60789" s="8"/>
      <c r="U60789" s="8"/>
      <c r="V60789" s="8"/>
      <c r="W60789" s="8"/>
      <c r="X60789" s="8"/>
      <c r="Y60789" s="8"/>
      <c r="Z60789" s="8"/>
      <c r="AA60789" s="8"/>
    </row>
    <row r="60790" spans="1:27" x14ac:dyDescent="0.25">
      <c r="A60790" s="8"/>
      <c r="B60790" s="8"/>
      <c r="C60790" s="99"/>
      <c r="D60790" s="8"/>
      <c r="E60790" s="8"/>
      <c r="F60790" s="8"/>
      <c r="G60790" s="8"/>
      <c r="H60790" s="8"/>
      <c r="I60790" s="102"/>
      <c r="J60790" s="8"/>
      <c r="K60790" s="8"/>
      <c r="L60790" s="8"/>
      <c r="M60790" s="8"/>
      <c r="N60790" s="8"/>
      <c r="O60790" s="8"/>
      <c r="P60790" s="8"/>
      <c r="Q60790" s="8"/>
      <c r="R60790" s="103"/>
      <c r="S60790" s="8"/>
      <c r="T60790" s="8"/>
      <c r="U60790" s="8"/>
      <c r="V60790" s="8"/>
      <c r="W60790" s="8"/>
      <c r="X60790" s="8"/>
      <c r="Y60790" s="8"/>
      <c r="Z60790" s="8"/>
      <c r="AA60790" s="8"/>
    </row>
    <row r="60791" spans="1:27" x14ac:dyDescent="0.25">
      <c r="A60791" s="8"/>
      <c r="B60791" s="8"/>
      <c r="C60791" s="99"/>
      <c r="D60791" s="8"/>
      <c r="E60791" s="8"/>
      <c r="F60791" s="8"/>
      <c r="G60791" s="8"/>
      <c r="H60791" s="8"/>
      <c r="I60791" s="102"/>
      <c r="J60791" s="8"/>
      <c r="K60791" s="8"/>
      <c r="L60791" s="8"/>
      <c r="M60791" s="8"/>
      <c r="N60791" s="8"/>
      <c r="O60791" s="8"/>
      <c r="P60791" s="8"/>
      <c r="Q60791" s="8"/>
      <c r="R60791" s="103"/>
      <c r="S60791" s="8"/>
      <c r="T60791" s="8"/>
      <c r="U60791" s="8"/>
      <c r="V60791" s="8"/>
      <c r="W60791" s="8"/>
      <c r="X60791" s="8"/>
      <c r="Y60791" s="8"/>
      <c r="Z60791" s="8"/>
      <c r="AA60791" s="8"/>
    </row>
    <row r="60792" spans="1:27" x14ac:dyDescent="0.25">
      <c r="A60792" s="8"/>
      <c r="B60792" s="8"/>
      <c r="C60792" s="99"/>
      <c r="D60792" s="8"/>
      <c r="E60792" s="8"/>
      <c r="F60792" s="8"/>
      <c r="G60792" s="8"/>
      <c r="H60792" s="8"/>
      <c r="I60792" s="102"/>
      <c r="J60792" s="8"/>
      <c r="K60792" s="8"/>
      <c r="L60792" s="8"/>
      <c r="M60792" s="8"/>
      <c r="N60792" s="8"/>
      <c r="O60792" s="8"/>
      <c r="P60792" s="8"/>
      <c r="Q60792" s="8"/>
      <c r="R60792" s="103"/>
      <c r="S60792" s="8"/>
      <c r="T60792" s="8"/>
      <c r="U60792" s="8"/>
      <c r="V60792" s="8"/>
      <c r="W60792" s="8"/>
      <c r="X60792" s="8"/>
      <c r="Y60792" s="8"/>
      <c r="Z60792" s="8"/>
      <c r="AA60792" s="8"/>
    </row>
    <row r="60793" spans="1:27" x14ac:dyDescent="0.25">
      <c r="A60793" s="8"/>
      <c r="B60793" s="8"/>
      <c r="C60793" s="99"/>
      <c r="D60793" s="8"/>
      <c r="E60793" s="8"/>
      <c r="F60793" s="8"/>
      <c r="G60793" s="8"/>
      <c r="H60793" s="8"/>
      <c r="I60793" s="102"/>
      <c r="J60793" s="8"/>
      <c r="K60793" s="8"/>
      <c r="L60793" s="8"/>
      <c r="M60793" s="8"/>
      <c r="N60793" s="8"/>
      <c r="O60793" s="8"/>
      <c r="P60793" s="8"/>
      <c r="Q60793" s="8"/>
      <c r="R60793" s="103"/>
      <c r="S60793" s="8"/>
      <c r="T60793" s="8"/>
      <c r="U60793" s="8"/>
      <c r="V60793" s="8"/>
      <c r="W60793" s="8"/>
      <c r="X60793" s="8"/>
      <c r="Y60793" s="8"/>
      <c r="Z60793" s="8"/>
      <c r="AA60793" s="8"/>
    </row>
    <row r="60794" spans="1:27" x14ac:dyDescent="0.25">
      <c r="A60794" s="8"/>
      <c r="B60794" s="8"/>
      <c r="C60794" s="99"/>
      <c r="D60794" s="8"/>
      <c r="E60794" s="8"/>
      <c r="F60794" s="8"/>
      <c r="G60794" s="8"/>
      <c r="H60794" s="8"/>
      <c r="I60794" s="102"/>
      <c r="J60794" s="8"/>
      <c r="K60794" s="8"/>
      <c r="L60794" s="8"/>
      <c r="M60794" s="8"/>
      <c r="N60794" s="8"/>
      <c r="O60794" s="8"/>
      <c r="P60794" s="8"/>
      <c r="Q60794" s="8"/>
      <c r="R60794" s="103"/>
      <c r="S60794" s="8"/>
      <c r="T60794" s="8"/>
      <c r="U60794" s="8"/>
      <c r="V60794" s="8"/>
      <c r="W60794" s="8"/>
      <c r="X60794" s="8"/>
      <c r="Y60794" s="8"/>
      <c r="Z60794" s="8"/>
      <c r="AA60794" s="8"/>
    </row>
    <row r="60795" spans="1:27" x14ac:dyDescent="0.25">
      <c r="A60795" s="8"/>
      <c r="B60795" s="8"/>
      <c r="C60795" s="99"/>
      <c r="D60795" s="8"/>
      <c r="E60795" s="8"/>
      <c r="F60795" s="8"/>
      <c r="G60795" s="8"/>
      <c r="H60795" s="8"/>
      <c r="I60795" s="102"/>
      <c r="J60795" s="8"/>
      <c r="K60795" s="8"/>
      <c r="L60795" s="8"/>
      <c r="M60795" s="8"/>
      <c r="N60795" s="8"/>
      <c r="O60795" s="8"/>
      <c r="P60795" s="8"/>
      <c r="Q60795" s="8"/>
      <c r="R60795" s="103"/>
      <c r="S60795" s="8"/>
      <c r="T60795" s="8"/>
      <c r="U60795" s="8"/>
      <c r="V60795" s="8"/>
      <c r="W60795" s="8"/>
      <c r="X60795" s="8"/>
      <c r="Y60795" s="8"/>
      <c r="Z60795" s="8"/>
      <c r="AA60795" s="8"/>
    </row>
    <row r="60796" spans="1:27" x14ac:dyDescent="0.25">
      <c r="A60796" s="8"/>
      <c r="B60796" s="8"/>
      <c r="C60796" s="99"/>
      <c r="D60796" s="8"/>
      <c r="E60796" s="8"/>
      <c r="F60796" s="8"/>
      <c r="G60796" s="8"/>
      <c r="H60796" s="8"/>
      <c r="I60796" s="102"/>
      <c r="J60796" s="8"/>
      <c r="K60796" s="8"/>
      <c r="L60796" s="8"/>
      <c r="M60796" s="8"/>
      <c r="N60796" s="8"/>
      <c r="O60796" s="8"/>
      <c r="P60796" s="8"/>
      <c r="Q60796" s="8"/>
      <c r="R60796" s="103"/>
      <c r="S60796" s="8"/>
      <c r="T60796" s="8"/>
      <c r="U60796" s="8"/>
      <c r="V60796" s="8"/>
      <c r="W60796" s="8"/>
      <c r="X60796" s="8"/>
      <c r="Y60796" s="8"/>
      <c r="Z60796" s="8"/>
      <c r="AA60796" s="8"/>
    </row>
    <row r="60797" spans="1:27" x14ac:dyDescent="0.25">
      <c r="A60797" s="8"/>
      <c r="B60797" s="8"/>
      <c r="C60797" s="99"/>
      <c r="D60797" s="8"/>
      <c r="E60797" s="8"/>
      <c r="F60797" s="8"/>
      <c r="G60797" s="8"/>
      <c r="H60797" s="8"/>
      <c r="I60797" s="102"/>
      <c r="J60797" s="8"/>
      <c r="K60797" s="8"/>
      <c r="L60797" s="8"/>
      <c r="M60797" s="8"/>
      <c r="N60797" s="8"/>
      <c r="O60797" s="8"/>
      <c r="P60797" s="8"/>
      <c r="Q60797" s="8"/>
      <c r="R60797" s="103"/>
      <c r="S60797" s="8"/>
      <c r="T60797" s="8"/>
      <c r="U60797" s="8"/>
      <c r="V60797" s="8"/>
      <c r="W60797" s="8"/>
      <c r="X60797" s="8"/>
      <c r="Y60797" s="8"/>
      <c r="Z60797" s="8"/>
      <c r="AA60797" s="8"/>
    </row>
    <row r="60798" spans="1:27" x14ac:dyDescent="0.25">
      <c r="A60798" s="8"/>
      <c r="B60798" s="8"/>
      <c r="C60798" s="99"/>
      <c r="D60798" s="8"/>
      <c r="E60798" s="8"/>
      <c r="F60798" s="8"/>
      <c r="G60798" s="8"/>
      <c r="H60798" s="8"/>
      <c r="I60798" s="102"/>
      <c r="J60798" s="8"/>
      <c r="K60798" s="8"/>
      <c r="L60798" s="8"/>
      <c r="M60798" s="8"/>
      <c r="N60798" s="8"/>
      <c r="O60798" s="8"/>
      <c r="P60798" s="8"/>
      <c r="Q60798" s="8"/>
      <c r="R60798" s="103"/>
      <c r="S60798" s="8"/>
      <c r="T60798" s="8"/>
      <c r="U60798" s="8"/>
      <c r="V60798" s="8"/>
      <c r="W60798" s="8"/>
      <c r="X60798" s="8"/>
      <c r="Y60798" s="8"/>
      <c r="Z60798" s="8"/>
      <c r="AA60798" s="8"/>
    </row>
    <row r="60799" spans="1:27" x14ac:dyDescent="0.25">
      <c r="A60799" s="8"/>
      <c r="B60799" s="8"/>
      <c r="C60799" s="99"/>
      <c r="D60799" s="8"/>
      <c r="E60799" s="8"/>
      <c r="F60799" s="8"/>
      <c r="G60799" s="8"/>
      <c r="H60799" s="8"/>
      <c r="I60799" s="102"/>
      <c r="J60799" s="8"/>
      <c r="K60799" s="8"/>
      <c r="L60799" s="8"/>
      <c r="M60799" s="8"/>
      <c r="N60799" s="8"/>
      <c r="O60799" s="8"/>
      <c r="P60799" s="8"/>
      <c r="Q60799" s="8"/>
      <c r="R60799" s="103"/>
      <c r="S60799" s="8"/>
      <c r="T60799" s="8"/>
      <c r="U60799" s="8"/>
      <c r="V60799" s="8"/>
      <c r="W60799" s="8"/>
      <c r="X60799" s="8"/>
      <c r="Y60799" s="8"/>
      <c r="Z60799" s="8"/>
      <c r="AA60799" s="8"/>
    </row>
    <row r="60800" spans="1:27" x14ac:dyDescent="0.25">
      <c r="A60800" s="8"/>
      <c r="B60800" s="8"/>
      <c r="C60800" s="99"/>
      <c r="D60800" s="8"/>
      <c r="E60800" s="8"/>
      <c r="F60800" s="8"/>
      <c r="G60800" s="8"/>
      <c r="H60800" s="8"/>
      <c r="I60800" s="102"/>
      <c r="J60800" s="8"/>
      <c r="K60800" s="8"/>
      <c r="L60800" s="8"/>
      <c r="M60800" s="8"/>
      <c r="N60800" s="8"/>
      <c r="O60800" s="8"/>
      <c r="P60800" s="8"/>
      <c r="Q60800" s="8"/>
      <c r="R60800" s="103"/>
      <c r="S60800" s="8"/>
      <c r="T60800" s="8"/>
      <c r="U60800" s="8"/>
      <c r="V60800" s="8"/>
      <c r="W60800" s="8"/>
      <c r="X60800" s="8"/>
      <c r="Y60800" s="8"/>
      <c r="Z60800" s="8"/>
      <c r="AA60800" s="8"/>
    </row>
    <row r="60801" spans="1:27" x14ac:dyDescent="0.25">
      <c r="A60801" s="8"/>
      <c r="B60801" s="8"/>
      <c r="C60801" s="99"/>
      <c r="D60801" s="8"/>
      <c r="E60801" s="8"/>
      <c r="F60801" s="8"/>
      <c r="G60801" s="8"/>
      <c r="H60801" s="8"/>
      <c r="I60801" s="102"/>
      <c r="J60801" s="8"/>
      <c r="K60801" s="8"/>
      <c r="L60801" s="8"/>
      <c r="M60801" s="8"/>
      <c r="N60801" s="8"/>
      <c r="O60801" s="8"/>
      <c r="P60801" s="8"/>
      <c r="Q60801" s="8"/>
      <c r="R60801" s="103"/>
      <c r="S60801" s="8"/>
      <c r="T60801" s="8"/>
      <c r="U60801" s="8"/>
      <c r="V60801" s="8"/>
      <c r="W60801" s="8"/>
      <c r="X60801" s="8"/>
      <c r="Y60801" s="8"/>
      <c r="Z60801" s="8"/>
      <c r="AA60801" s="8"/>
    </row>
    <row r="60802" spans="1:27" x14ac:dyDescent="0.25">
      <c r="A60802" s="8"/>
      <c r="B60802" s="8"/>
      <c r="C60802" s="99"/>
      <c r="D60802" s="8"/>
      <c r="E60802" s="8"/>
      <c r="F60802" s="8"/>
      <c r="G60802" s="8"/>
      <c r="H60802" s="8"/>
      <c r="I60802" s="102"/>
      <c r="J60802" s="8"/>
      <c r="K60802" s="8"/>
      <c r="L60802" s="8"/>
      <c r="M60802" s="8"/>
      <c r="N60802" s="8"/>
      <c r="O60802" s="8"/>
      <c r="P60802" s="8"/>
      <c r="Q60802" s="8"/>
      <c r="R60802" s="103"/>
      <c r="S60802" s="8"/>
      <c r="T60802" s="8"/>
      <c r="U60802" s="8"/>
      <c r="V60802" s="8"/>
      <c r="W60802" s="8"/>
      <c r="X60802" s="8"/>
      <c r="Y60802" s="8"/>
      <c r="Z60802" s="8"/>
      <c r="AA60802" s="8"/>
    </row>
    <row r="60803" spans="1:27" x14ac:dyDescent="0.25">
      <c r="A60803" s="8"/>
      <c r="B60803" s="8"/>
      <c r="C60803" s="99"/>
      <c r="D60803" s="8"/>
      <c r="E60803" s="8"/>
      <c r="F60803" s="8"/>
      <c r="G60803" s="8"/>
      <c r="H60803" s="8"/>
      <c r="I60803" s="102"/>
      <c r="J60803" s="8"/>
      <c r="K60803" s="8"/>
      <c r="L60803" s="8"/>
      <c r="M60803" s="8"/>
      <c r="N60803" s="8"/>
      <c r="O60803" s="8"/>
      <c r="P60803" s="8"/>
      <c r="Q60803" s="8"/>
      <c r="R60803" s="103"/>
      <c r="S60803" s="8"/>
      <c r="T60803" s="8"/>
      <c r="U60803" s="8"/>
      <c r="V60803" s="8"/>
      <c r="W60803" s="8"/>
      <c r="X60803" s="8"/>
      <c r="Y60803" s="8"/>
      <c r="Z60803" s="8"/>
      <c r="AA60803" s="8"/>
    </row>
    <row r="60804" spans="1:27" x14ac:dyDescent="0.25">
      <c r="A60804" s="8"/>
      <c r="B60804" s="8"/>
      <c r="C60804" s="99"/>
      <c r="D60804" s="8"/>
      <c r="E60804" s="8"/>
      <c r="F60804" s="8"/>
      <c r="G60804" s="8"/>
      <c r="H60804" s="8"/>
      <c r="I60804" s="102"/>
      <c r="J60804" s="8"/>
      <c r="K60804" s="8"/>
      <c r="L60804" s="8"/>
      <c r="M60804" s="8"/>
      <c r="N60804" s="8"/>
      <c r="O60804" s="8"/>
      <c r="P60804" s="8"/>
      <c r="Q60804" s="8"/>
      <c r="R60804" s="103"/>
      <c r="S60804" s="8"/>
      <c r="T60804" s="8"/>
      <c r="U60804" s="8"/>
      <c r="V60804" s="8"/>
      <c r="W60804" s="8"/>
      <c r="X60804" s="8"/>
      <c r="Y60804" s="8"/>
      <c r="Z60804" s="8"/>
      <c r="AA60804" s="8"/>
    </row>
    <row r="60805" spans="1:27" x14ac:dyDescent="0.25">
      <c r="A60805" s="8"/>
      <c r="B60805" s="8"/>
      <c r="C60805" s="99"/>
      <c r="D60805" s="8"/>
      <c r="E60805" s="8"/>
      <c r="F60805" s="8"/>
      <c r="G60805" s="8"/>
      <c r="H60805" s="8"/>
      <c r="I60805" s="102"/>
      <c r="J60805" s="8"/>
      <c r="K60805" s="8"/>
      <c r="L60805" s="8"/>
      <c r="M60805" s="8"/>
      <c r="N60805" s="8"/>
      <c r="O60805" s="8"/>
      <c r="P60805" s="8"/>
      <c r="Q60805" s="8"/>
      <c r="R60805" s="103"/>
      <c r="S60805" s="8"/>
      <c r="T60805" s="8"/>
      <c r="U60805" s="8"/>
      <c r="V60805" s="8"/>
      <c r="W60805" s="8"/>
      <c r="X60805" s="8"/>
      <c r="Y60805" s="8"/>
      <c r="Z60805" s="8"/>
      <c r="AA60805" s="8"/>
    </row>
    <row r="60806" spans="1:27" x14ac:dyDescent="0.25">
      <c r="A60806" s="8"/>
      <c r="B60806" s="8"/>
      <c r="C60806" s="99"/>
      <c r="D60806" s="8"/>
      <c r="E60806" s="8"/>
      <c r="F60806" s="8"/>
      <c r="G60806" s="8"/>
      <c r="H60806" s="8"/>
      <c r="I60806" s="102"/>
      <c r="J60806" s="8"/>
      <c r="K60806" s="8"/>
      <c r="L60806" s="8"/>
      <c r="M60806" s="8"/>
      <c r="N60806" s="8"/>
      <c r="O60806" s="8"/>
      <c r="P60806" s="8"/>
      <c r="Q60806" s="8"/>
      <c r="R60806" s="103"/>
      <c r="S60806" s="8"/>
      <c r="T60806" s="8"/>
      <c r="U60806" s="8"/>
      <c r="V60806" s="8"/>
      <c r="W60806" s="8"/>
      <c r="X60806" s="8"/>
      <c r="Y60806" s="8"/>
      <c r="Z60806" s="8"/>
      <c r="AA60806" s="8"/>
    </row>
    <row r="60807" spans="1:27" x14ac:dyDescent="0.25">
      <c r="A60807" s="8"/>
      <c r="B60807" s="8"/>
      <c r="C60807" s="99"/>
      <c r="D60807" s="8"/>
      <c r="E60807" s="8"/>
      <c r="F60807" s="8"/>
      <c r="G60807" s="8"/>
      <c r="H60807" s="8"/>
      <c r="I60807" s="102"/>
      <c r="J60807" s="8"/>
      <c r="K60807" s="8"/>
      <c r="L60807" s="8"/>
      <c r="M60807" s="8"/>
      <c r="N60807" s="8"/>
      <c r="O60807" s="8"/>
      <c r="P60807" s="8"/>
      <c r="Q60807" s="8"/>
      <c r="R60807" s="103"/>
      <c r="S60807" s="8"/>
      <c r="T60807" s="8"/>
      <c r="U60807" s="8"/>
      <c r="V60807" s="8"/>
      <c r="W60807" s="8"/>
      <c r="X60807" s="8"/>
      <c r="Y60807" s="8"/>
      <c r="Z60807" s="8"/>
      <c r="AA60807" s="8"/>
    </row>
    <row r="60808" spans="1:27" x14ac:dyDescent="0.25">
      <c r="A60808" s="8"/>
      <c r="B60808" s="8"/>
      <c r="C60808" s="99"/>
      <c r="D60808" s="8"/>
      <c r="E60808" s="8"/>
      <c r="F60808" s="8"/>
      <c r="G60808" s="8"/>
      <c r="H60808" s="8"/>
      <c r="I60808" s="102"/>
      <c r="J60808" s="8"/>
      <c r="K60808" s="8"/>
      <c r="L60808" s="8"/>
      <c r="M60808" s="8"/>
      <c r="N60808" s="8"/>
      <c r="O60808" s="8"/>
      <c r="P60808" s="8"/>
      <c r="Q60808" s="8"/>
      <c r="R60808" s="103"/>
      <c r="S60808" s="8"/>
      <c r="T60808" s="8"/>
      <c r="U60808" s="8"/>
      <c r="V60808" s="8"/>
      <c r="W60808" s="8"/>
      <c r="X60808" s="8"/>
      <c r="Y60808" s="8"/>
      <c r="Z60808" s="8"/>
      <c r="AA60808" s="8"/>
    </row>
    <row r="60809" spans="1:27" x14ac:dyDescent="0.25">
      <c r="A60809" s="8"/>
      <c r="B60809" s="8"/>
      <c r="C60809" s="99"/>
      <c r="D60809" s="8"/>
      <c r="E60809" s="8"/>
      <c r="F60809" s="8"/>
      <c r="G60809" s="8"/>
      <c r="H60809" s="8"/>
      <c r="I60809" s="102"/>
      <c r="J60809" s="8"/>
      <c r="K60809" s="8"/>
      <c r="L60809" s="8"/>
      <c r="M60809" s="8"/>
      <c r="N60809" s="8"/>
      <c r="O60809" s="8"/>
      <c r="P60809" s="8"/>
      <c r="Q60809" s="8"/>
      <c r="R60809" s="103"/>
      <c r="S60809" s="8"/>
      <c r="T60809" s="8"/>
      <c r="U60809" s="8"/>
      <c r="V60809" s="8"/>
      <c r="W60809" s="8"/>
      <c r="X60809" s="8"/>
      <c r="Y60809" s="8"/>
      <c r="Z60809" s="8"/>
      <c r="AA60809" s="8"/>
    </row>
    <row r="60810" spans="1:27" x14ac:dyDescent="0.25">
      <c r="A60810" s="8"/>
      <c r="B60810" s="8"/>
      <c r="C60810" s="99"/>
      <c r="D60810" s="8"/>
      <c r="E60810" s="8"/>
      <c r="F60810" s="8"/>
      <c r="G60810" s="8"/>
      <c r="H60810" s="8"/>
      <c r="I60810" s="102"/>
      <c r="J60810" s="8"/>
      <c r="K60810" s="8"/>
      <c r="L60810" s="8"/>
      <c r="M60810" s="8"/>
      <c r="N60810" s="8"/>
      <c r="O60810" s="8"/>
      <c r="P60810" s="8"/>
      <c r="Q60810" s="8"/>
      <c r="R60810" s="103"/>
      <c r="S60810" s="8"/>
      <c r="T60810" s="8"/>
      <c r="U60810" s="8"/>
      <c r="V60810" s="8"/>
      <c r="W60810" s="8"/>
      <c r="X60810" s="8"/>
      <c r="Y60810" s="8"/>
      <c r="Z60810" s="8"/>
      <c r="AA60810" s="8"/>
    </row>
    <row r="60811" spans="1:27" x14ac:dyDescent="0.25">
      <c r="A60811" s="8"/>
      <c r="B60811" s="8"/>
      <c r="C60811" s="99"/>
      <c r="D60811" s="8"/>
      <c r="E60811" s="8"/>
      <c r="F60811" s="8"/>
      <c r="G60811" s="8"/>
      <c r="H60811" s="8"/>
      <c r="I60811" s="102"/>
      <c r="J60811" s="8"/>
      <c r="K60811" s="8"/>
      <c r="L60811" s="8"/>
      <c r="M60811" s="8"/>
      <c r="N60811" s="8"/>
      <c r="O60811" s="8"/>
      <c r="P60811" s="8"/>
      <c r="Q60811" s="8"/>
      <c r="R60811" s="103"/>
      <c r="S60811" s="8"/>
      <c r="T60811" s="8"/>
      <c r="U60811" s="8"/>
      <c r="V60811" s="8"/>
      <c r="W60811" s="8"/>
      <c r="X60811" s="8"/>
      <c r="Y60811" s="8"/>
      <c r="Z60811" s="8"/>
      <c r="AA60811" s="8"/>
    </row>
    <row r="60812" spans="1:27" x14ac:dyDescent="0.25">
      <c r="A60812" s="8"/>
      <c r="B60812" s="8"/>
      <c r="C60812" s="99"/>
      <c r="D60812" s="8"/>
      <c r="E60812" s="8"/>
      <c r="F60812" s="8"/>
      <c r="G60812" s="8"/>
      <c r="H60812" s="8"/>
      <c r="I60812" s="102"/>
      <c r="J60812" s="8"/>
      <c r="K60812" s="8"/>
      <c r="L60812" s="8"/>
      <c r="M60812" s="8"/>
      <c r="N60812" s="8"/>
      <c r="O60812" s="8"/>
      <c r="P60812" s="8"/>
      <c r="Q60812" s="8"/>
      <c r="R60812" s="103"/>
      <c r="S60812" s="8"/>
      <c r="T60812" s="8"/>
      <c r="U60812" s="8"/>
      <c r="V60812" s="8"/>
      <c r="W60812" s="8"/>
      <c r="X60812" s="8"/>
      <c r="Y60812" s="8"/>
      <c r="Z60812" s="8"/>
      <c r="AA60812" s="8"/>
    </row>
    <row r="60813" spans="1:27" x14ac:dyDescent="0.25">
      <c r="A60813" s="8"/>
      <c r="B60813" s="8"/>
      <c r="C60813" s="99"/>
      <c r="D60813" s="8"/>
      <c r="E60813" s="8"/>
      <c r="F60813" s="8"/>
      <c r="G60813" s="8"/>
      <c r="H60813" s="8"/>
      <c r="I60813" s="102"/>
      <c r="J60813" s="8"/>
      <c r="K60813" s="8"/>
      <c r="L60813" s="8"/>
      <c r="M60813" s="8"/>
      <c r="N60813" s="8"/>
      <c r="O60813" s="8"/>
      <c r="P60813" s="8"/>
      <c r="Q60813" s="8"/>
      <c r="R60813" s="103"/>
      <c r="S60813" s="8"/>
      <c r="T60813" s="8"/>
      <c r="U60813" s="8"/>
      <c r="V60813" s="8"/>
      <c r="W60813" s="8"/>
      <c r="X60813" s="8"/>
      <c r="Y60813" s="8"/>
      <c r="Z60813" s="8"/>
      <c r="AA60813" s="8"/>
    </row>
    <row r="60814" spans="1:27" x14ac:dyDescent="0.25">
      <c r="A60814" s="8"/>
      <c r="B60814" s="8"/>
      <c r="C60814" s="99"/>
      <c r="D60814" s="8"/>
      <c r="E60814" s="8"/>
      <c r="F60814" s="8"/>
      <c r="G60814" s="8"/>
      <c r="H60814" s="8"/>
      <c r="I60814" s="102"/>
      <c r="J60814" s="8"/>
      <c r="K60814" s="8"/>
      <c r="L60814" s="8"/>
      <c r="M60814" s="8"/>
      <c r="N60814" s="8"/>
      <c r="O60814" s="8"/>
      <c r="P60814" s="8"/>
      <c r="Q60814" s="8"/>
      <c r="R60814" s="103"/>
      <c r="S60814" s="8"/>
      <c r="T60814" s="8"/>
      <c r="U60814" s="8"/>
      <c r="V60814" s="8"/>
      <c r="W60814" s="8"/>
      <c r="X60814" s="8"/>
      <c r="Y60814" s="8"/>
      <c r="Z60814" s="8"/>
      <c r="AA60814" s="8"/>
    </row>
    <row r="60815" spans="1:27" x14ac:dyDescent="0.25">
      <c r="A60815" s="8"/>
      <c r="B60815" s="8"/>
      <c r="C60815" s="99"/>
      <c r="D60815" s="8"/>
      <c r="E60815" s="8"/>
      <c r="F60815" s="8"/>
      <c r="G60815" s="8"/>
      <c r="H60815" s="8"/>
      <c r="I60815" s="102"/>
      <c r="J60815" s="8"/>
      <c r="K60815" s="8"/>
      <c r="L60815" s="8"/>
      <c r="M60815" s="8"/>
      <c r="N60815" s="8"/>
      <c r="O60815" s="8"/>
      <c r="P60815" s="8"/>
      <c r="Q60815" s="8"/>
      <c r="R60815" s="103"/>
      <c r="S60815" s="8"/>
      <c r="T60815" s="8"/>
      <c r="U60815" s="8"/>
      <c r="V60815" s="8"/>
      <c r="W60815" s="8"/>
      <c r="X60815" s="8"/>
      <c r="Y60815" s="8"/>
      <c r="Z60815" s="8"/>
      <c r="AA60815" s="8"/>
    </row>
    <row r="60816" spans="1:27" x14ac:dyDescent="0.25">
      <c r="A60816" s="8"/>
      <c r="B60816" s="8"/>
      <c r="C60816" s="99"/>
      <c r="D60816" s="8"/>
      <c r="E60816" s="8"/>
      <c r="F60816" s="8"/>
      <c r="G60816" s="8"/>
      <c r="H60816" s="8"/>
      <c r="I60816" s="102"/>
      <c r="J60816" s="8"/>
      <c r="K60816" s="8"/>
      <c r="L60816" s="8"/>
      <c r="M60816" s="8"/>
      <c r="N60816" s="8"/>
      <c r="O60816" s="8"/>
      <c r="P60816" s="8"/>
      <c r="Q60816" s="8"/>
      <c r="R60816" s="103"/>
      <c r="S60816" s="8"/>
      <c r="T60816" s="8"/>
      <c r="U60816" s="8"/>
      <c r="V60816" s="8"/>
      <c r="W60816" s="8"/>
      <c r="X60816" s="8"/>
      <c r="Y60816" s="8"/>
      <c r="Z60816" s="8"/>
      <c r="AA60816" s="8"/>
    </row>
    <row r="60817" spans="1:27" x14ac:dyDescent="0.25">
      <c r="A60817" s="8"/>
      <c r="B60817" s="8"/>
      <c r="C60817" s="99"/>
      <c r="D60817" s="8"/>
      <c r="E60817" s="8"/>
      <c r="F60817" s="8"/>
      <c r="G60817" s="8"/>
      <c r="H60817" s="8"/>
      <c r="I60817" s="102"/>
      <c r="J60817" s="8"/>
      <c r="K60817" s="8"/>
      <c r="L60817" s="8"/>
      <c r="M60817" s="8"/>
      <c r="N60817" s="8"/>
      <c r="O60817" s="8"/>
      <c r="P60817" s="8"/>
      <c r="Q60817" s="8"/>
      <c r="R60817" s="103"/>
      <c r="S60817" s="8"/>
      <c r="T60817" s="8"/>
      <c r="U60817" s="8"/>
      <c r="V60817" s="8"/>
      <c r="W60817" s="8"/>
      <c r="X60817" s="8"/>
      <c r="Y60817" s="8"/>
      <c r="Z60817" s="8"/>
      <c r="AA60817" s="8"/>
    </row>
    <row r="60818" spans="1:27" x14ac:dyDescent="0.25">
      <c r="A60818" s="8"/>
      <c r="B60818" s="8"/>
      <c r="C60818" s="99"/>
      <c r="D60818" s="8"/>
      <c r="E60818" s="8"/>
      <c r="F60818" s="8"/>
      <c r="G60818" s="8"/>
      <c r="H60818" s="8"/>
      <c r="I60818" s="102"/>
      <c r="J60818" s="8"/>
      <c r="K60818" s="8"/>
      <c r="L60818" s="8"/>
      <c r="M60818" s="8"/>
      <c r="N60818" s="8"/>
      <c r="O60818" s="8"/>
      <c r="P60818" s="8"/>
      <c r="Q60818" s="8"/>
      <c r="R60818" s="103"/>
      <c r="S60818" s="8"/>
      <c r="T60818" s="8"/>
      <c r="U60818" s="8"/>
      <c r="V60818" s="8"/>
      <c r="W60818" s="8"/>
      <c r="X60818" s="8"/>
      <c r="Y60818" s="8"/>
      <c r="Z60818" s="8"/>
      <c r="AA60818" s="8"/>
    </row>
    <row r="60819" spans="1:27" x14ac:dyDescent="0.25">
      <c r="A60819" s="8"/>
      <c r="B60819" s="8"/>
      <c r="C60819" s="99"/>
      <c r="D60819" s="8"/>
      <c r="E60819" s="8"/>
      <c r="F60819" s="8"/>
      <c r="G60819" s="8"/>
      <c r="H60819" s="8"/>
      <c r="I60819" s="102"/>
      <c r="J60819" s="8"/>
      <c r="K60819" s="8"/>
      <c r="L60819" s="8"/>
      <c r="M60819" s="8"/>
      <c r="N60819" s="8"/>
      <c r="O60819" s="8"/>
      <c r="P60819" s="8"/>
      <c r="Q60819" s="8"/>
      <c r="R60819" s="103"/>
      <c r="S60819" s="8"/>
      <c r="T60819" s="8"/>
      <c r="U60819" s="8"/>
      <c r="V60819" s="8"/>
      <c r="W60819" s="8"/>
      <c r="X60819" s="8"/>
      <c r="Y60819" s="8"/>
      <c r="Z60819" s="8"/>
      <c r="AA60819" s="8"/>
    </row>
    <row r="60820" spans="1:27" x14ac:dyDescent="0.25">
      <c r="A60820" s="8"/>
      <c r="B60820" s="8"/>
      <c r="C60820" s="99"/>
      <c r="D60820" s="8"/>
      <c r="E60820" s="8"/>
      <c r="F60820" s="8"/>
      <c r="G60820" s="8"/>
      <c r="H60820" s="8"/>
      <c r="I60820" s="102"/>
      <c r="J60820" s="8"/>
      <c r="K60820" s="8"/>
      <c r="L60820" s="8"/>
      <c r="M60820" s="8"/>
      <c r="N60820" s="8"/>
      <c r="O60820" s="8"/>
      <c r="P60820" s="8"/>
      <c r="Q60820" s="8"/>
      <c r="R60820" s="103"/>
      <c r="S60820" s="8"/>
      <c r="T60820" s="8"/>
      <c r="U60820" s="8"/>
      <c r="V60820" s="8"/>
      <c r="W60820" s="8"/>
      <c r="X60820" s="8"/>
      <c r="Y60820" s="8"/>
      <c r="Z60820" s="8"/>
      <c r="AA60820" s="8"/>
    </row>
    <row r="60821" spans="1:27" x14ac:dyDescent="0.25">
      <c r="A60821" s="8"/>
      <c r="B60821" s="8"/>
      <c r="C60821" s="99"/>
      <c r="D60821" s="8"/>
      <c r="E60821" s="8"/>
      <c r="F60821" s="8"/>
      <c r="G60821" s="8"/>
      <c r="H60821" s="8"/>
      <c r="I60821" s="102"/>
      <c r="J60821" s="8"/>
      <c r="K60821" s="8"/>
      <c r="L60821" s="8"/>
      <c r="M60821" s="8"/>
      <c r="N60821" s="8"/>
      <c r="O60821" s="8"/>
      <c r="P60821" s="8"/>
      <c r="Q60821" s="8"/>
      <c r="R60821" s="103"/>
      <c r="S60821" s="8"/>
      <c r="T60821" s="8"/>
      <c r="U60821" s="8"/>
      <c r="V60821" s="8"/>
      <c r="W60821" s="8"/>
      <c r="X60821" s="8"/>
      <c r="Y60821" s="8"/>
      <c r="Z60821" s="8"/>
      <c r="AA60821" s="8"/>
    </row>
    <row r="60822" spans="1:27" x14ac:dyDescent="0.25">
      <c r="A60822" s="8"/>
      <c r="B60822" s="8"/>
      <c r="C60822" s="99"/>
      <c r="D60822" s="8"/>
      <c r="E60822" s="8"/>
      <c r="F60822" s="8"/>
      <c r="G60822" s="8"/>
      <c r="H60822" s="8"/>
      <c r="I60822" s="102"/>
      <c r="J60822" s="8"/>
      <c r="K60822" s="8"/>
      <c r="L60822" s="8"/>
      <c r="M60822" s="8"/>
      <c r="N60822" s="8"/>
      <c r="O60822" s="8"/>
      <c r="P60822" s="8"/>
      <c r="Q60822" s="8"/>
      <c r="R60822" s="103"/>
      <c r="S60822" s="8"/>
      <c r="T60822" s="8"/>
      <c r="U60822" s="8"/>
      <c r="V60822" s="8"/>
      <c r="W60822" s="8"/>
      <c r="X60822" s="8"/>
      <c r="Y60822" s="8"/>
      <c r="Z60822" s="8"/>
      <c r="AA60822" s="8"/>
    </row>
    <row r="60823" spans="1:27" x14ac:dyDescent="0.25">
      <c r="A60823" s="8"/>
      <c r="B60823" s="8"/>
      <c r="C60823" s="99"/>
      <c r="D60823" s="8"/>
      <c r="E60823" s="8"/>
      <c r="F60823" s="8"/>
      <c r="G60823" s="8"/>
      <c r="H60823" s="8"/>
      <c r="I60823" s="102"/>
      <c r="J60823" s="8"/>
      <c r="K60823" s="8"/>
      <c r="L60823" s="8"/>
      <c r="M60823" s="8"/>
      <c r="N60823" s="8"/>
      <c r="O60823" s="8"/>
      <c r="P60823" s="8"/>
      <c r="Q60823" s="8"/>
      <c r="R60823" s="103"/>
      <c r="S60823" s="8"/>
      <c r="T60823" s="8"/>
      <c r="U60823" s="8"/>
      <c r="V60823" s="8"/>
      <c r="W60823" s="8"/>
      <c r="X60823" s="8"/>
      <c r="Y60823" s="8"/>
      <c r="Z60823" s="8"/>
      <c r="AA60823" s="8"/>
    </row>
    <row r="60824" spans="1:27" x14ac:dyDescent="0.25">
      <c r="A60824" s="8"/>
      <c r="B60824" s="8"/>
      <c r="C60824" s="99"/>
      <c r="D60824" s="8"/>
      <c r="E60824" s="8"/>
      <c r="F60824" s="8"/>
      <c r="G60824" s="8"/>
      <c r="H60824" s="8"/>
      <c r="I60824" s="102"/>
      <c r="J60824" s="8"/>
      <c r="K60824" s="8"/>
      <c r="L60824" s="8"/>
      <c r="M60824" s="8"/>
      <c r="N60824" s="8"/>
      <c r="O60824" s="8"/>
      <c r="P60824" s="8"/>
      <c r="Q60824" s="8"/>
      <c r="R60824" s="103"/>
      <c r="S60824" s="8"/>
      <c r="T60824" s="8"/>
      <c r="U60824" s="8"/>
      <c r="V60824" s="8"/>
      <c r="W60824" s="8"/>
      <c r="X60824" s="8"/>
      <c r="Y60824" s="8"/>
      <c r="Z60824" s="8"/>
      <c r="AA60824" s="8"/>
    </row>
    <row r="60825" spans="1:27" x14ac:dyDescent="0.25">
      <c r="A60825" s="8"/>
      <c r="B60825" s="8"/>
      <c r="C60825" s="99"/>
      <c r="D60825" s="8"/>
      <c r="E60825" s="8"/>
      <c r="F60825" s="8"/>
      <c r="G60825" s="8"/>
      <c r="H60825" s="8"/>
      <c r="I60825" s="102"/>
      <c r="J60825" s="8"/>
      <c r="K60825" s="8"/>
      <c r="L60825" s="8"/>
      <c r="M60825" s="8"/>
      <c r="N60825" s="8"/>
      <c r="O60825" s="8"/>
      <c r="P60825" s="8"/>
      <c r="Q60825" s="8"/>
      <c r="R60825" s="103"/>
      <c r="S60825" s="8"/>
      <c r="T60825" s="8"/>
      <c r="U60825" s="8"/>
      <c r="V60825" s="8"/>
      <c r="W60825" s="8"/>
      <c r="X60825" s="8"/>
      <c r="Y60825" s="8"/>
      <c r="Z60825" s="8"/>
      <c r="AA60825" s="8"/>
    </row>
    <row r="60826" spans="1:27" x14ac:dyDescent="0.25">
      <c r="A60826" s="8"/>
      <c r="B60826" s="8"/>
      <c r="C60826" s="99"/>
      <c r="D60826" s="8"/>
      <c r="E60826" s="8"/>
      <c r="F60826" s="8"/>
      <c r="G60826" s="8"/>
      <c r="H60826" s="8"/>
      <c r="I60826" s="102"/>
      <c r="J60826" s="8"/>
      <c r="K60826" s="8"/>
      <c r="L60826" s="8"/>
      <c r="M60826" s="8"/>
      <c r="N60826" s="8"/>
      <c r="O60826" s="8"/>
      <c r="P60826" s="8"/>
      <c r="Q60826" s="8"/>
      <c r="R60826" s="103"/>
      <c r="S60826" s="8"/>
      <c r="T60826" s="8"/>
      <c r="U60826" s="8"/>
      <c r="V60826" s="8"/>
      <c r="W60826" s="8"/>
      <c r="X60826" s="8"/>
      <c r="Y60826" s="8"/>
      <c r="Z60826" s="8"/>
      <c r="AA60826" s="8"/>
    </row>
    <row r="60827" spans="1:27" x14ac:dyDescent="0.25">
      <c r="A60827" s="8"/>
      <c r="B60827" s="8"/>
      <c r="C60827" s="99"/>
      <c r="D60827" s="8"/>
      <c r="E60827" s="8"/>
      <c r="F60827" s="8"/>
      <c r="G60827" s="8"/>
      <c r="H60827" s="8"/>
      <c r="I60827" s="102"/>
      <c r="J60827" s="8"/>
      <c r="K60827" s="8"/>
      <c r="L60827" s="8"/>
      <c r="M60827" s="8"/>
      <c r="N60827" s="8"/>
      <c r="O60827" s="8"/>
      <c r="P60827" s="8"/>
      <c r="Q60827" s="8"/>
      <c r="R60827" s="103"/>
      <c r="S60827" s="8"/>
      <c r="T60827" s="8"/>
      <c r="U60827" s="8"/>
      <c r="V60827" s="8"/>
      <c r="W60827" s="8"/>
      <c r="X60827" s="8"/>
      <c r="Y60827" s="8"/>
      <c r="Z60827" s="8"/>
      <c r="AA60827" s="8"/>
    </row>
    <row r="60828" spans="1:27" x14ac:dyDescent="0.25">
      <c r="A60828" s="8"/>
      <c r="B60828" s="8"/>
      <c r="C60828" s="99"/>
      <c r="D60828" s="8"/>
      <c r="E60828" s="8"/>
      <c r="F60828" s="8"/>
      <c r="G60828" s="8"/>
      <c r="H60828" s="8"/>
      <c r="I60828" s="102"/>
      <c r="J60828" s="8"/>
      <c r="K60828" s="8"/>
      <c r="L60828" s="8"/>
      <c r="M60828" s="8"/>
      <c r="N60828" s="8"/>
      <c r="O60828" s="8"/>
      <c r="P60828" s="8"/>
      <c r="Q60828" s="8"/>
      <c r="R60828" s="103"/>
      <c r="S60828" s="8"/>
      <c r="T60828" s="8"/>
      <c r="U60828" s="8"/>
      <c r="V60828" s="8"/>
      <c r="W60828" s="8"/>
      <c r="X60828" s="8"/>
      <c r="Y60828" s="8"/>
      <c r="Z60828" s="8"/>
      <c r="AA60828" s="8"/>
    </row>
    <row r="60829" spans="1:27" x14ac:dyDescent="0.25">
      <c r="A60829" s="8"/>
      <c r="B60829" s="8"/>
      <c r="C60829" s="99"/>
      <c r="D60829" s="8"/>
      <c r="E60829" s="8"/>
      <c r="F60829" s="8"/>
      <c r="G60829" s="8"/>
      <c r="H60829" s="8"/>
      <c r="I60829" s="102"/>
      <c r="J60829" s="8"/>
      <c r="K60829" s="8"/>
      <c r="L60829" s="8"/>
      <c r="M60829" s="8"/>
      <c r="N60829" s="8"/>
      <c r="O60829" s="8"/>
      <c r="P60829" s="8"/>
      <c r="Q60829" s="8"/>
      <c r="R60829" s="103"/>
      <c r="S60829" s="8"/>
      <c r="T60829" s="8"/>
      <c r="U60829" s="8"/>
      <c r="V60829" s="8"/>
      <c r="W60829" s="8"/>
      <c r="X60829" s="8"/>
      <c r="Y60829" s="8"/>
      <c r="Z60829" s="8"/>
      <c r="AA60829" s="8"/>
    </row>
    <row r="60830" spans="1:27" x14ac:dyDescent="0.25">
      <c r="A60830" s="8"/>
      <c r="B60830" s="8"/>
      <c r="C60830" s="99"/>
      <c r="D60830" s="8"/>
      <c r="E60830" s="8"/>
      <c r="F60830" s="8"/>
      <c r="G60830" s="8"/>
      <c r="H60830" s="8"/>
      <c r="I60830" s="102"/>
      <c r="J60830" s="8"/>
      <c r="K60830" s="8"/>
      <c r="L60830" s="8"/>
      <c r="M60830" s="8"/>
      <c r="N60830" s="8"/>
      <c r="O60830" s="8"/>
      <c r="P60830" s="8"/>
      <c r="Q60830" s="8"/>
      <c r="R60830" s="103"/>
      <c r="S60830" s="8"/>
      <c r="T60830" s="8"/>
      <c r="U60830" s="8"/>
      <c r="V60830" s="8"/>
      <c r="W60830" s="8"/>
      <c r="X60830" s="8"/>
      <c r="Y60830" s="8"/>
      <c r="Z60830" s="8"/>
      <c r="AA60830" s="8"/>
    </row>
    <row r="60831" spans="1:27" x14ac:dyDescent="0.25">
      <c r="A60831" s="8"/>
      <c r="B60831" s="8"/>
      <c r="C60831" s="99"/>
      <c r="D60831" s="8"/>
      <c r="E60831" s="8"/>
      <c r="F60831" s="8"/>
      <c r="G60831" s="8"/>
      <c r="H60831" s="8"/>
      <c r="I60831" s="102"/>
      <c r="J60831" s="8"/>
      <c r="K60831" s="8"/>
      <c r="L60831" s="8"/>
      <c r="M60831" s="8"/>
      <c r="N60831" s="8"/>
      <c r="O60831" s="8"/>
      <c r="P60831" s="8"/>
      <c r="Q60831" s="8"/>
      <c r="R60831" s="103"/>
      <c r="S60831" s="8"/>
      <c r="T60831" s="8"/>
      <c r="U60831" s="8"/>
      <c r="V60831" s="8"/>
      <c r="W60831" s="8"/>
      <c r="X60831" s="8"/>
      <c r="Y60831" s="8"/>
      <c r="Z60831" s="8"/>
      <c r="AA60831" s="8"/>
    </row>
    <row r="60832" spans="1:27" x14ac:dyDescent="0.25">
      <c r="A60832" s="8"/>
      <c r="B60832" s="8"/>
      <c r="C60832" s="99"/>
      <c r="D60832" s="8"/>
      <c r="E60832" s="8"/>
      <c r="F60832" s="8"/>
      <c r="G60832" s="8"/>
      <c r="H60832" s="8"/>
      <c r="I60832" s="102"/>
      <c r="J60832" s="8"/>
      <c r="K60832" s="8"/>
      <c r="L60832" s="8"/>
      <c r="M60832" s="8"/>
      <c r="N60832" s="8"/>
      <c r="O60832" s="8"/>
      <c r="P60832" s="8"/>
      <c r="Q60832" s="8"/>
      <c r="R60832" s="103"/>
      <c r="S60832" s="8"/>
      <c r="T60832" s="8"/>
      <c r="U60832" s="8"/>
      <c r="V60832" s="8"/>
      <c r="W60832" s="8"/>
      <c r="X60832" s="8"/>
      <c r="Y60832" s="8"/>
      <c r="Z60832" s="8"/>
      <c r="AA60832" s="8"/>
    </row>
    <row r="60833" spans="1:27" x14ac:dyDescent="0.25">
      <c r="A60833" s="8"/>
      <c r="B60833" s="8"/>
      <c r="C60833" s="99"/>
      <c r="D60833" s="8"/>
      <c r="E60833" s="8"/>
      <c r="F60833" s="8"/>
      <c r="G60833" s="8"/>
      <c r="H60833" s="8"/>
      <c r="I60833" s="102"/>
      <c r="J60833" s="8"/>
      <c r="K60833" s="8"/>
      <c r="L60833" s="8"/>
      <c r="M60833" s="8"/>
      <c r="N60833" s="8"/>
      <c r="O60833" s="8"/>
      <c r="P60833" s="8"/>
      <c r="Q60833" s="8"/>
      <c r="R60833" s="103"/>
      <c r="S60833" s="8"/>
      <c r="T60833" s="8"/>
      <c r="U60833" s="8"/>
      <c r="V60833" s="8"/>
      <c r="W60833" s="8"/>
      <c r="X60833" s="8"/>
      <c r="Y60833" s="8"/>
      <c r="Z60833" s="8"/>
      <c r="AA60833" s="8"/>
    </row>
    <row r="60834" spans="1:27" x14ac:dyDescent="0.25">
      <c r="A60834" s="8"/>
      <c r="B60834" s="8"/>
      <c r="C60834" s="99"/>
      <c r="D60834" s="8"/>
      <c r="E60834" s="8"/>
      <c r="F60834" s="8"/>
      <c r="G60834" s="8"/>
      <c r="H60834" s="8"/>
      <c r="I60834" s="102"/>
      <c r="J60834" s="8"/>
      <c r="K60834" s="8"/>
      <c r="L60834" s="8"/>
      <c r="M60834" s="8"/>
      <c r="N60834" s="8"/>
      <c r="O60834" s="8"/>
      <c r="P60834" s="8"/>
      <c r="Q60834" s="8"/>
      <c r="R60834" s="103"/>
      <c r="S60834" s="8"/>
      <c r="T60834" s="8"/>
      <c r="U60834" s="8"/>
      <c r="V60834" s="8"/>
      <c r="W60834" s="8"/>
      <c r="X60834" s="8"/>
      <c r="Y60834" s="8"/>
      <c r="Z60834" s="8"/>
      <c r="AA60834" s="8"/>
    </row>
    <row r="60835" spans="1:27" x14ac:dyDescent="0.25">
      <c r="A60835" s="8"/>
      <c r="B60835" s="8"/>
      <c r="C60835" s="99"/>
      <c r="D60835" s="8"/>
      <c r="E60835" s="8"/>
      <c r="F60835" s="8"/>
      <c r="G60835" s="8"/>
      <c r="H60835" s="8"/>
      <c r="I60835" s="102"/>
      <c r="J60835" s="8"/>
      <c r="K60835" s="8"/>
      <c r="L60835" s="8"/>
      <c r="M60835" s="8"/>
      <c r="N60835" s="8"/>
      <c r="O60835" s="8"/>
      <c r="P60835" s="8"/>
      <c r="Q60835" s="8"/>
      <c r="R60835" s="103"/>
      <c r="S60835" s="8"/>
      <c r="T60835" s="8"/>
      <c r="U60835" s="8"/>
      <c r="V60835" s="8"/>
      <c r="W60835" s="8"/>
      <c r="X60835" s="8"/>
      <c r="Y60835" s="8"/>
      <c r="Z60835" s="8"/>
      <c r="AA60835" s="8"/>
    </row>
    <row r="60836" spans="1:27" x14ac:dyDescent="0.25">
      <c r="A60836" s="8"/>
      <c r="B60836" s="8"/>
      <c r="C60836" s="99"/>
      <c r="D60836" s="8"/>
      <c r="E60836" s="8"/>
      <c r="F60836" s="8"/>
      <c r="G60836" s="8"/>
      <c r="H60836" s="8"/>
      <c r="I60836" s="102"/>
      <c r="J60836" s="8"/>
      <c r="K60836" s="8"/>
      <c r="L60836" s="8"/>
      <c r="M60836" s="8"/>
      <c r="N60836" s="8"/>
      <c r="O60836" s="8"/>
      <c r="P60836" s="8"/>
      <c r="Q60836" s="8"/>
      <c r="R60836" s="103"/>
      <c r="S60836" s="8"/>
      <c r="T60836" s="8"/>
      <c r="U60836" s="8"/>
      <c r="V60836" s="8"/>
      <c r="W60836" s="8"/>
      <c r="X60836" s="8"/>
      <c r="Y60836" s="8"/>
      <c r="Z60836" s="8"/>
      <c r="AA60836" s="8"/>
    </row>
    <row r="60837" spans="1:27" x14ac:dyDescent="0.25">
      <c r="A60837" s="8"/>
      <c r="B60837" s="8"/>
      <c r="C60837" s="99"/>
      <c r="D60837" s="8"/>
      <c r="E60837" s="8"/>
      <c r="F60837" s="8"/>
      <c r="G60837" s="8"/>
      <c r="H60837" s="8"/>
      <c r="I60837" s="102"/>
      <c r="J60837" s="8"/>
      <c r="K60837" s="8"/>
      <c r="L60837" s="8"/>
      <c r="M60837" s="8"/>
      <c r="N60837" s="8"/>
      <c r="O60837" s="8"/>
      <c r="P60837" s="8"/>
      <c r="Q60837" s="8"/>
      <c r="R60837" s="103"/>
      <c r="S60837" s="8"/>
      <c r="T60837" s="8"/>
      <c r="U60837" s="8"/>
      <c r="V60837" s="8"/>
      <c r="W60837" s="8"/>
      <c r="X60837" s="8"/>
      <c r="Y60837" s="8"/>
      <c r="Z60837" s="8"/>
      <c r="AA60837" s="8"/>
    </row>
    <row r="60838" spans="1:27" x14ac:dyDescent="0.25">
      <c r="A60838" s="8"/>
      <c r="B60838" s="8"/>
      <c r="C60838" s="99"/>
      <c r="D60838" s="8"/>
      <c r="E60838" s="8"/>
      <c r="F60838" s="8"/>
      <c r="G60838" s="8"/>
      <c r="H60838" s="8"/>
      <c r="I60838" s="102"/>
      <c r="J60838" s="8"/>
      <c r="K60838" s="8"/>
      <c r="L60838" s="8"/>
      <c r="M60838" s="8"/>
      <c r="N60838" s="8"/>
      <c r="O60838" s="8"/>
      <c r="P60838" s="8"/>
      <c r="Q60838" s="8"/>
      <c r="R60838" s="103"/>
      <c r="S60838" s="8"/>
      <c r="T60838" s="8"/>
      <c r="U60838" s="8"/>
      <c r="V60838" s="8"/>
      <c r="W60838" s="8"/>
      <c r="X60838" s="8"/>
      <c r="Y60838" s="8"/>
      <c r="Z60838" s="8"/>
      <c r="AA60838" s="8"/>
    </row>
    <row r="60839" spans="1:27" x14ac:dyDescent="0.25">
      <c r="A60839" s="8"/>
      <c r="B60839" s="8"/>
      <c r="C60839" s="99"/>
      <c r="D60839" s="8"/>
      <c r="E60839" s="8"/>
      <c r="F60839" s="8"/>
      <c r="G60839" s="8"/>
      <c r="H60839" s="8"/>
      <c r="I60839" s="102"/>
      <c r="J60839" s="8"/>
      <c r="K60839" s="8"/>
      <c r="L60839" s="8"/>
      <c r="M60839" s="8"/>
      <c r="N60839" s="8"/>
      <c r="O60839" s="8"/>
      <c r="P60839" s="8"/>
      <c r="Q60839" s="8"/>
      <c r="R60839" s="103"/>
      <c r="S60839" s="8"/>
      <c r="T60839" s="8"/>
      <c r="U60839" s="8"/>
      <c r="V60839" s="8"/>
      <c r="W60839" s="8"/>
      <c r="X60839" s="8"/>
      <c r="Y60839" s="8"/>
      <c r="Z60839" s="8"/>
      <c r="AA60839" s="8"/>
    </row>
    <row r="60840" spans="1:27" x14ac:dyDescent="0.25">
      <c r="A60840" s="8"/>
      <c r="B60840" s="8"/>
      <c r="C60840" s="99"/>
      <c r="D60840" s="8"/>
      <c r="E60840" s="8"/>
      <c r="F60840" s="8"/>
      <c r="G60840" s="8"/>
      <c r="H60840" s="8"/>
      <c r="I60840" s="102"/>
      <c r="J60840" s="8"/>
      <c r="K60840" s="8"/>
      <c r="L60840" s="8"/>
      <c r="M60840" s="8"/>
      <c r="N60840" s="8"/>
      <c r="O60840" s="8"/>
      <c r="P60840" s="8"/>
      <c r="Q60840" s="8"/>
      <c r="R60840" s="103"/>
      <c r="S60840" s="8"/>
      <c r="T60840" s="8"/>
      <c r="U60840" s="8"/>
      <c r="V60840" s="8"/>
      <c r="W60840" s="8"/>
      <c r="X60840" s="8"/>
      <c r="Y60840" s="8"/>
      <c r="Z60840" s="8"/>
      <c r="AA60840" s="8"/>
    </row>
    <row r="60841" spans="1:27" x14ac:dyDescent="0.25">
      <c r="A60841" s="8"/>
      <c r="B60841" s="8"/>
      <c r="C60841" s="99"/>
      <c r="D60841" s="8"/>
      <c r="E60841" s="8"/>
      <c r="F60841" s="8"/>
      <c r="G60841" s="8"/>
      <c r="H60841" s="8"/>
      <c r="I60841" s="102"/>
      <c r="J60841" s="8"/>
      <c r="K60841" s="8"/>
      <c r="L60841" s="8"/>
      <c r="M60841" s="8"/>
      <c r="N60841" s="8"/>
      <c r="O60841" s="8"/>
      <c r="P60841" s="8"/>
      <c r="Q60841" s="8"/>
      <c r="R60841" s="103"/>
      <c r="S60841" s="8"/>
      <c r="T60841" s="8"/>
      <c r="U60841" s="8"/>
      <c r="V60841" s="8"/>
      <c r="W60841" s="8"/>
      <c r="X60841" s="8"/>
      <c r="Y60841" s="8"/>
      <c r="Z60841" s="8"/>
      <c r="AA60841" s="8"/>
    </row>
    <row r="60842" spans="1:27" x14ac:dyDescent="0.25">
      <c r="A60842" s="8"/>
      <c r="B60842" s="8"/>
      <c r="C60842" s="99"/>
      <c r="D60842" s="8"/>
      <c r="E60842" s="8"/>
      <c r="F60842" s="8"/>
      <c r="G60842" s="8"/>
      <c r="H60842" s="8"/>
      <c r="I60842" s="102"/>
      <c r="J60842" s="8"/>
      <c r="K60842" s="8"/>
      <c r="L60842" s="8"/>
      <c r="M60842" s="8"/>
      <c r="N60842" s="8"/>
      <c r="O60842" s="8"/>
      <c r="P60842" s="8"/>
      <c r="Q60842" s="8"/>
      <c r="R60842" s="103"/>
      <c r="S60842" s="8"/>
      <c r="T60842" s="8"/>
      <c r="U60842" s="8"/>
      <c r="V60842" s="8"/>
      <c r="W60842" s="8"/>
      <c r="X60842" s="8"/>
      <c r="Y60842" s="8"/>
      <c r="Z60842" s="8"/>
      <c r="AA60842" s="8"/>
    </row>
    <row r="60843" spans="1:27" x14ac:dyDescent="0.25">
      <c r="A60843" s="8"/>
      <c r="B60843" s="8"/>
      <c r="C60843" s="99"/>
      <c r="D60843" s="8"/>
      <c r="E60843" s="8"/>
      <c r="F60843" s="8"/>
      <c r="G60843" s="8"/>
      <c r="H60843" s="8"/>
      <c r="I60843" s="102"/>
      <c r="J60843" s="8"/>
      <c r="K60843" s="8"/>
      <c r="L60843" s="8"/>
      <c r="M60843" s="8"/>
      <c r="N60843" s="8"/>
      <c r="O60843" s="8"/>
      <c r="P60843" s="8"/>
      <c r="Q60843" s="8"/>
      <c r="R60843" s="103"/>
      <c r="S60843" s="8"/>
      <c r="T60843" s="8"/>
      <c r="U60843" s="8"/>
      <c r="V60843" s="8"/>
      <c r="W60843" s="8"/>
      <c r="X60843" s="8"/>
      <c r="Y60843" s="8"/>
      <c r="Z60843" s="8"/>
      <c r="AA60843" s="8"/>
    </row>
    <row r="60844" spans="1:27" x14ac:dyDescent="0.25">
      <c r="A60844" s="8"/>
      <c r="B60844" s="8"/>
      <c r="C60844" s="99"/>
      <c r="D60844" s="8"/>
      <c r="E60844" s="8"/>
      <c r="F60844" s="8"/>
      <c r="G60844" s="8"/>
      <c r="H60844" s="8"/>
      <c r="I60844" s="102"/>
      <c r="J60844" s="8"/>
      <c r="K60844" s="8"/>
      <c r="L60844" s="8"/>
      <c r="M60844" s="8"/>
      <c r="N60844" s="8"/>
      <c r="O60844" s="8"/>
      <c r="P60844" s="8"/>
      <c r="Q60844" s="8"/>
      <c r="R60844" s="103"/>
      <c r="S60844" s="8"/>
      <c r="T60844" s="8"/>
      <c r="U60844" s="8"/>
      <c r="V60844" s="8"/>
      <c r="W60844" s="8"/>
      <c r="X60844" s="8"/>
      <c r="Y60844" s="8"/>
      <c r="Z60844" s="8"/>
      <c r="AA60844" s="8"/>
    </row>
    <row r="60845" spans="1:27" x14ac:dyDescent="0.25">
      <c r="A60845" s="8"/>
      <c r="B60845" s="8"/>
      <c r="C60845" s="99"/>
      <c r="D60845" s="8"/>
      <c r="E60845" s="8"/>
      <c r="F60845" s="8"/>
      <c r="G60845" s="8"/>
      <c r="H60845" s="8"/>
      <c r="I60845" s="102"/>
      <c r="J60845" s="8"/>
      <c r="K60845" s="8"/>
      <c r="L60845" s="8"/>
      <c r="M60845" s="8"/>
      <c r="N60845" s="8"/>
      <c r="O60845" s="8"/>
      <c r="P60845" s="8"/>
      <c r="Q60845" s="8"/>
      <c r="R60845" s="103"/>
      <c r="S60845" s="8"/>
      <c r="T60845" s="8"/>
      <c r="U60845" s="8"/>
      <c r="V60845" s="8"/>
      <c r="W60845" s="8"/>
      <c r="X60845" s="8"/>
      <c r="Y60845" s="8"/>
      <c r="Z60845" s="8"/>
      <c r="AA60845" s="8"/>
    </row>
    <row r="60846" spans="1:27" x14ac:dyDescent="0.25">
      <c r="A60846" s="8"/>
      <c r="B60846" s="8"/>
      <c r="C60846" s="99"/>
      <c r="D60846" s="8"/>
      <c r="E60846" s="8"/>
      <c r="F60846" s="8"/>
      <c r="G60846" s="8"/>
      <c r="H60846" s="8"/>
      <c r="I60846" s="102"/>
      <c r="J60846" s="8"/>
      <c r="K60846" s="8"/>
      <c r="L60846" s="8"/>
      <c r="M60846" s="8"/>
      <c r="N60846" s="8"/>
      <c r="O60846" s="8"/>
      <c r="P60846" s="8"/>
      <c r="Q60846" s="8"/>
      <c r="R60846" s="103"/>
      <c r="S60846" s="8"/>
      <c r="T60846" s="8"/>
      <c r="U60846" s="8"/>
      <c r="V60846" s="8"/>
      <c r="W60846" s="8"/>
      <c r="X60846" s="8"/>
      <c r="Y60846" s="8"/>
      <c r="Z60846" s="8"/>
      <c r="AA60846" s="8"/>
    </row>
    <row r="60847" spans="1:27" x14ac:dyDescent="0.25">
      <c r="A60847" s="8"/>
      <c r="B60847" s="8"/>
      <c r="C60847" s="99"/>
      <c r="D60847" s="8"/>
      <c r="E60847" s="8"/>
      <c r="F60847" s="8"/>
      <c r="G60847" s="8"/>
      <c r="H60847" s="8"/>
      <c r="I60847" s="102"/>
      <c r="J60847" s="8"/>
      <c r="K60847" s="8"/>
      <c r="L60847" s="8"/>
      <c r="M60847" s="8"/>
      <c r="N60847" s="8"/>
      <c r="O60847" s="8"/>
      <c r="P60847" s="8"/>
      <c r="Q60847" s="8"/>
      <c r="R60847" s="103"/>
      <c r="S60847" s="8"/>
      <c r="T60847" s="8"/>
      <c r="U60847" s="8"/>
      <c r="V60847" s="8"/>
      <c r="W60847" s="8"/>
      <c r="X60847" s="8"/>
      <c r="Y60847" s="8"/>
      <c r="Z60847" s="8"/>
      <c r="AA60847" s="8"/>
    </row>
    <row r="60848" spans="1:27" x14ac:dyDescent="0.25">
      <c r="A60848" s="8"/>
      <c r="B60848" s="8"/>
      <c r="C60848" s="99"/>
      <c r="D60848" s="8"/>
      <c r="E60848" s="8"/>
      <c r="F60848" s="8"/>
      <c r="G60848" s="8"/>
      <c r="H60848" s="8"/>
      <c r="I60848" s="102"/>
      <c r="J60848" s="8"/>
      <c r="K60848" s="8"/>
      <c r="L60848" s="8"/>
      <c r="M60848" s="8"/>
      <c r="N60848" s="8"/>
      <c r="O60848" s="8"/>
      <c r="P60848" s="8"/>
      <c r="Q60848" s="8"/>
      <c r="R60848" s="103"/>
      <c r="S60848" s="8"/>
      <c r="T60848" s="8"/>
      <c r="U60848" s="8"/>
      <c r="V60848" s="8"/>
      <c r="W60848" s="8"/>
      <c r="X60848" s="8"/>
      <c r="Y60848" s="8"/>
      <c r="Z60848" s="8"/>
      <c r="AA60848" s="8"/>
    </row>
    <row r="60849" spans="1:27" x14ac:dyDescent="0.25">
      <c r="A60849" s="8"/>
      <c r="B60849" s="8"/>
      <c r="C60849" s="99"/>
      <c r="D60849" s="8"/>
      <c r="E60849" s="8"/>
      <c r="F60849" s="8"/>
      <c r="G60849" s="8"/>
      <c r="H60849" s="8"/>
      <c r="I60849" s="102"/>
      <c r="J60849" s="8"/>
      <c r="K60849" s="8"/>
      <c r="L60849" s="8"/>
      <c r="M60849" s="8"/>
      <c r="N60849" s="8"/>
      <c r="O60849" s="8"/>
      <c r="P60849" s="8"/>
      <c r="Q60849" s="8"/>
      <c r="R60849" s="103"/>
      <c r="S60849" s="8"/>
      <c r="T60849" s="8"/>
      <c r="U60849" s="8"/>
      <c r="V60849" s="8"/>
      <c r="W60849" s="8"/>
      <c r="X60849" s="8"/>
      <c r="Y60849" s="8"/>
      <c r="Z60849" s="8"/>
      <c r="AA60849" s="8"/>
    </row>
    <row r="60850" spans="1:27" x14ac:dyDescent="0.25">
      <c r="A60850" s="8"/>
      <c r="B60850" s="8"/>
      <c r="C60850" s="99"/>
      <c r="D60850" s="8"/>
      <c r="E60850" s="8"/>
      <c r="F60850" s="8"/>
      <c r="G60850" s="8"/>
      <c r="H60850" s="8"/>
      <c r="I60850" s="102"/>
      <c r="J60850" s="8"/>
      <c r="K60850" s="8"/>
      <c r="L60850" s="8"/>
      <c r="M60850" s="8"/>
      <c r="N60850" s="8"/>
      <c r="O60850" s="8"/>
      <c r="P60850" s="8"/>
      <c r="Q60850" s="8"/>
      <c r="R60850" s="103"/>
      <c r="S60850" s="8"/>
      <c r="T60850" s="8"/>
      <c r="U60850" s="8"/>
      <c r="V60850" s="8"/>
      <c r="W60850" s="8"/>
      <c r="X60850" s="8"/>
      <c r="Y60850" s="8"/>
      <c r="Z60850" s="8"/>
      <c r="AA60850" s="8"/>
    </row>
    <row r="60851" spans="1:27" x14ac:dyDescent="0.25">
      <c r="A60851" s="8"/>
      <c r="B60851" s="8"/>
      <c r="C60851" s="99"/>
      <c r="D60851" s="8"/>
      <c r="E60851" s="8"/>
      <c r="F60851" s="8"/>
      <c r="G60851" s="8"/>
      <c r="H60851" s="8"/>
      <c r="I60851" s="102"/>
      <c r="J60851" s="8"/>
      <c r="K60851" s="8"/>
      <c r="L60851" s="8"/>
      <c r="M60851" s="8"/>
      <c r="N60851" s="8"/>
      <c r="O60851" s="8"/>
      <c r="P60851" s="8"/>
      <c r="Q60851" s="8"/>
      <c r="R60851" s="103"/>
      <c r="S60851" s="8"/>
      <c r="T60851" s="8"/>
      <c r="U60851" s="8"/>
      <c r="V60851" s="8"/>
      <c r="W60851" s="8"/>
      <c r="X60851" s="8"/>
      <c r="Y60851" s="8"/>
      <c r="Z60851" s="8"/>
      <c r="AA60851" s="8"/>
    </row>
    <row r="60852" spans="1:27" x14ac:dyDescent="0.25">
      <c r="A60852" s="8"/>
      <c r="B60852" s="8"/>
      <c r="C60852" s="99"/>
      <c r="D60852" s="8"/>
      <c r="E60852" s="8"/>
      <c r="F60852" s="8"/>
      <c r="G60852" s="8"/>
      <c r="H60852" s="8"/>
      <c r="I60852" s="102"/>
      <c r="J60852" s="8"/>
      <c r="K60852" s="8"/>
      <c r="L60852" s="8"/>
      <c r="M60852" s="8"/>
      <c r="N60852" s="8"/>
      <c r="O60852" s="8"/>
      <c r="P60852" s="8"/>
      <c r="Q60852" s="8"/>
      <c r="R60852" s="103"/>
      <c r="S60852" s="8"/>
      <c r="T60852" s="8"/>
      <c r="U60852" s="8"/>
      <c r="V60852" s="8"/>
      <c r="W60852" s="8"/>
      <c r="X60852" s="8"/>
      <c r="Y60852" s="8"/>
      <c r="Z60852" s="8"/>
      <c r="AA60852" s="8"/>
    </row>
    <row r="60853" spans="1:27" x14ac:dyDescent="0.25">
      <c r="A60853" s="8"/>
      <c r="B60853" s="8"/>
      <c r="C60853" s="99"/>
      <c r="D60853" s="8"/>
      <c r="E60853" s="8"/>
      <c r="F60853" s="8"/>
      <c r="G60853" s="8"/>
      <c r="H60853" s="8"/>
      <c r="I60853" s="102"/>
      <c r="J60853" s="8"/>
      <c r="K60853" s="8"/>
      <c r="L60853" s="8"/>
      <c r="M60853" s="8"/>
      <c r="N60853" s="8"/>
      <c r="O60853" s="8"/>
      <c r="P60853" s="8"/>
      <c r="Q60853" s="8"/>
      <c r="R60853" s="103"/>
      <c r="S60853" s="8"/>
      <c r="T60853" s="8"/>
      <c r="U60853" s="8"/>
      <c r="V60853" s="8"/>
      <c r="W60853" s="8"/>
      <c r="X60853" s="8"/>
      <c r="Y60853" s="8"/>
      <c r="Z60853" s="8"/>
      <c r="AA60853" s="8"/>
    </row>
    <row r="60854" spans="1:27" x14ac:dyDescent="0.25">
      <c r="A60854" s="8"/>
      <c r="B60854" s="8"/>
      <c r="C60854" s="99"/>
      <c r="D60854" s="8"/>
      <c r="E60854" s="8"/>
      <c r="F60854" s="8"/>
      <c r="G60854" s="8"/>
      <c r="H60854" s="8"/>
      <c r="I60854" s="102"/>
      <c r="J60854" s="8"/>
      <c r="K60854" s="8"/>
      <c r="L60854" s="8"/>
      <c r="M60854" s="8"/>
      <c r="N60854" s="8"/>
      <c r="O60854" s="8"/>
      <c r="P60854" s="8"/>
      <c r="Q60854" s="8"/>
      <c r="R60854" s="103"/>
      <c r="S60854" s="8"/>
      <c r="T60854" s="8"/>
      <c r="U60854" s="8"/>
      <c r="V60854" s="8"/>
      <c r="W60854" s="8"/>
      <c r="X60854" s="8"/>
      <c r="Y60854" s="8"/>
      <c r="Z60854" s="8"/>
      <c r="AA60854" s="8"/>
    </row>
    <row r="60855" spans="1:27" x14ac:dyDescent="0.25">
      <c r="A60855" s="8"/>
      <c r="B60855" s="8"/>
      <c r="C60855" s="99"/>
      <c r="D60855" s="8"/>
      <c r="E60855" s="8"/>
      <c r="F60855" s="8"/>
      <c r="G60855" s="8"/>
      <c r="H60855" s="8"/>
      <c r="I60855" s="102"/>
      <c r="J60855" s="8"/>
      <c r="K60855" s="8"/>
      <c r="L60855" s="8"/>
      <c r="M60855" s="8"/>
      <c r="N60855" s="8"/>
      <c r="O60855" s="8"/>
      <c r="P60855" s="8"/>
      <c r="Q60855" s="8"/>
      <c r="R60855" s="103"/>
      <c r="S60855" s="8"/>
      <c r="T60855" s="8"/>
      <c r="U60855" s="8"/>
      <c r="V60855" s="8"/>
      <c r="W60855" s="8"/>
      <c r="X60855" s="8"/>
      <c r="Y60855" s="8"/>
      <c r="Z60855" s="8"/>
      <c r="AA60855" s="8"/>
    </row>
    <row r="60856" spans="1:27" x14ac:dyDescent="0.25">
      <c r="A60856" s="8"/>
      <c r="B60856" s="8"/>
      <c r="C60856" s="99"/>
      <c r="D60856" s="8"/>
      <c r="E60856" s="8"/>
      <c r="F60856" s="8"/>
      <c r="G60856" s="8"/>
      <c r="H60856" s="8"/>
      <c r="I60856" s="102"/>
      <c r="J60856" s="8"/>
      <c r="K60856" s="8"/>
      <c r="L60856" s="8"/>
      <c r="M60856" s="8"/>
      <c r="N60856" s="8"/>
      <c r="O60856" s="8"/>
      <c r="P60856" s="8"/>
      <c r="Q60856" s="8"/>
      <c r="R60856" s="103"/>
      <c r="S60856" s="8"/>
      <c r="T60856" s="8"/>
      <c r="U60856" s="8"/>
      <c r="V60856" s="8"/>
      <c r="W60856" s="8"/>
      <c r="X60856" s="8"/>
      <c r="Y60856" s="8"/>
      <c r="Z60856" s="8"/>
      <c r="AA60856" s="8"/>
    </row>
    <row r="60857" spans="1:27" x14ac:dyDescent="0.25">
      <c r="A60857" s="8"/>
      <c r="B60857" s="8"/>
      <c r="C60857" s="99"/>
      <c r="D60857" s="8"/>
      <c r="E60857" s="8"/>
      <c r="F60857" s="8"/>
      <c r="G60857" s="8"/>
      <c r="H60857" s="8"/>
      <c r="I60857" s="102"/>
      <c r="J60857" s="8"/>
      <c r="K60857" s="8"/>
      <c r="L60857" s="8"/>
      <c r="M60857" s="8"/>
      <c r="N60857" s="8"/>
      <c r="O60857" s="8"/>
      <c r="P60857" s="8"/>
      <c r="Q60857" s="8"/>
      <c r="R60857" s="103"/>
      <c r="S60857" s="8"/>
      <c r="T60857" s="8"/>
      <c r="U60857" s="8"/>
      <c r="V60857" s="8"/>
      <c r="W60857" s="8"/>
      <c r="X60857" s="8"/>
      <c r="Y60857" s="8"/>
      <c r="Z60857" s="8"/>
      <c r="AA60857" s="8"/>
    </row>
    <row r="60858" spans="1:27" x14ac:dyDescent="0.25">
      <c r="A60858" s="8"/>
      <c r="B60858" s="8"/>
      <c r="C60858" s="99"/>
      <c r="D60858" s="8"/>
      <c r="E60858" s="8"/>
      <c r="F60858" s="8"/>
      <c r="G60858" s="8"/>
      <c r="H60858" s="8"/>
      <c r="I60858" s="102"/>
      <c r="J60858" s="8"/>
      <c r="K60858" s="8"/>
      <c r="L60858" s="8"/>
      <c r="M60858" s="8"/>
      <c r="N60858" s="8"/>
      <c r="O60858" s="8"/>
      <c r="P60858" s="8"/>
      <c r="Q60858" s="8"/>
      <c r="R60858" s="103"/>
      <c r="S60858" s="8"/>
      <c r="T60858" s="8"/>
      <c r="U60858" s="8"/>
      <c r="V60858" s="8"/>
      <c r="W60858" s="8"/>
      <c r="X60858" s="8"/>
      <c r="Y60858" s="8"/>
      <c r="Z60858" s="8"/>
      <c r="AA60858" s="8"/>
    </row>
    <row r="60859" spans="1:27" x14ac:dyDescent="0.25">
      <c r="A60859" s="8"/>
      <c r="B60859" s="8"/>
      <c r="C60859" s="99"/>
      <c r="D60859" s="8"/>
      <c r="E60859" s="8"/>
      <c r="F60859" s="8"/>
      <c r="G60859" s="8"/>
      <c r="H60859" s="8"/>
      <c r="I60859" s="102"/>
      <c r="J60859" s="8"/>
      <c r="K60859" s="8"/>
      <c r="L60859" s="8"/>
      <c r="M60859" s="8"/>
      <c r="N60859" s="8"/>
      <c r="O60859" s="8"/>
      <c r="P60859" s="8"/>
      <c r="Q60859" s="8"/>
      <c r="R60859" s="103"/>
      <c r="S60859" s="8"/>
      <c r="T60859" s="8"/>
      <c r="U60859" s="8"/>
      <c r="V60859" s="8"/>
      <c r="W60859" s="8"/>
      <c r="X60859" s="8"/>
      <c r="Y60859" s="8"/>
      <c r="Z60859" s="8"/>
      <c r="AA60859" s="8"/>
    </row>
    <row r="60860" spans="1:27" x14ac:dyDescent="0.25">
      <c r="A60860" s="8"/>
      <c r="B60860" s="8"/>
      <c r="C60860" s="99"/>
      <c r="D60860" s="8"/>
      <c r="E60860" s="8"/>
      <c r="F60860" s="8"/>
      <c r="G60860" s="8"/>
      <c r="H60860" s="8"/>
      <c r="I60860" s="102"/>
      <c r="J60860" s="8"/>
      <c r="K60860" s="8"/>
      <c r="L60860" s="8"/>
      <c r="M60860" s="8"/>
      <c r="N60860" s="8"/>
      <c r="O60860" s="8"/>
      <c r="P60860" s="8"/>
      <c r="Q60860" s="8"/>
      <c r="R60860" s="103"/>
      <c r="S60860" s="8"/>
      <c r="T60860" s="8"/>
      <c r="U60860" s="8"/>
      <c r="V60860" s="8"/>
      <c r="W60860" s="8"/>
      <c r="X60860" s="8"/>
      <c r="Y60860" s="8"/>
      <c r="Z60860" s="8"/>
      <c r="AA60860" s="8"/>
    </row>
    <row r="60861" spans="1:27" x14ac:dyDescent="0.25">
      <c r="A60861" s="8"/>
      <c r="B60861" s="8"/>
      <c r="C60861" s="99"/>
      <c r="D60861" s="8"/>
      <c r="E60861" s="8"/>
      <c r="F60861" s="8"/>
      <c r="G60861" s="8"/>
      <c r="H60861" s="8"/>
      <c r="I60861" s="102"/>
      <c r="J60861" s="8"/>
      <c r="K60861" s="8"/>
      <c r="L60861" s="8"/>
      <c r="M60861" s="8"/>
      <c r="N60861" s="8"/>
      <c r="O60861" s="8"/>
      <c r="P60861" s="8"/>
      <c r="Q60861" s="8"/>
      <c r="R60861" s="103"/>
      <c r="S60861" s="8"/>
      <c r="T60861" s="8"/>
      <c r="U60861" s="8"/>
      <c r="V60861" s="8"/>
      <c r="W60861" s="8"/>
      <c r="X60861" s="8"/>
      <c r="Y60861" s="8"/>
      <c r="Z60861" s="8"/>
      <c r="AA60861" s="8"/>
    </row>
    <row r="60862" spans="1:27" x14ac:dyDescent="0.25">
      <c r="A60862" s="8"/>
      <c r="B60862" s="8"/>
      <c r="C60862" s="99"/>
      <c r="D60862" s="8"/>
      <c r="E60862" s="8"/>
      <c r="F60862" s="8"/>
      <c r="G60862" s="8"/>
      <c r="H60862" s="8"/>
      <c r="I60862" s="102"/>
      <c r="J60862" s="8"/>
      <c r="K60862" s="8"/>
      <c r="L60862" s="8"/>
      <c r="M60862" s="8"/>
      <c r="N60862" s="8"/>
      <c r="O60862" s="8"/>
      <c r="P60862" s="8"/>
      <c r="Q60862" s="8"/>
      <c r="R60862" s="103"/>
      <c r="S60862" s="8"/>
      <c r="T60862" s="8"/>
      <c r="U60862" s="8"/>
      <c r="V60862" s="8"/>
      <c r="W60862" s="8"/>
      <c r="X60862" s="8"/>
      <c r="Y60862" s="8"/>
      <c r="Z60862" s="8"/>
      <c r="AA60862" s="8"/>
    </row>
    <row r="60863" spans="1:27" x14ac:dyDescent="0.25">
      <c r="A60863" s="8"/>
      <c r="B60863" s="8"/>
      <c r="C60863" s="99"/>
      <c r="D60863" s="8"/>
      <c r="E60863" s="8"/>
      <c r="F60863" s="8"/>
      <c r="G60863" s="8"/>
      <c r="H60863" s="8"/>
      <c r="I60863" s="102"/>
      <c r="J60863" s="8"/>
      <c r="K60863" s="8"/>
      <c r="L60863" s="8"/>
      <c r="M60863" s="8"/>
      <c r="N60863" s="8"/>
      <c r="O60863" s="8"/>
      <c r="P60863" s="8"/>
      <c r="Q60863" s="8"/>
      <c r="R60863" s="103"/>
      <c r="S60863" s="8"/>
      <c r="T60863" s="8"/>
      <c r="U60863" s="8"/>
      <c r="V60863" s="8"/>
      <c r="W60863" s="8"/>
      <c r="X60863" s="8"/>
      <c r="Y60863" s="8"/>
      <c r="Z60863" s="8"/>
      <c r="AA60863" s="8"/>
    </row>
    <row r="60864" spans="1:27" x14ac:dyDescent="0.25">
      <c r="A60864" s="8"/>
      <c r="B60864" s="8"/>
      <c r="C60864" s="99"/>
      <c r="D60864" s="8"/>
      <c r="E60864" s="8"/>
      <c r="F60864" s="8"/>
      <c r="G60864" s="8"/>
      <c r="H60864" s="8"/>
      <c r="I60864" s="102"/>
      <c r="J60864" s="8"/>
      <c r="K60864" s="8"/>
      <c r="L60864" s="8"/>
      <c r="M60864" s="8"/>
      <c r="N60864" s="8"/>
      <c r="O60864" s="8"/>
      <c r="P60864" s="8"/>
      <c r="Q60864" s="8"/>
      <c r="R60864" s="103"/>
      <c r="S60864" s="8"/>
      <c r="T60864" s="8"/>
      <c r="U60864" s="8"/>
      <c r="V60864" s="8"/>
      <c r="W60864" s="8"/>
      <c r="X60864" s="8"/>
      <c r="Y60864" s="8"/>
      <c r="Z60864" s="8"/>
      <c r="AA60864" s="8"/>
    </row>
    <row r="60865" spans="1:27" x14ac:dyDescent="0.25">
      <c r="A60865" s="8"/>
      <c r="B60865" s="8"/>
      <c r="C60865" s="99"/>
      <c r="D60865" s="8"/>
      <c r="E60865" s="8"/>
      <c r="F60865" s="8"/>
      <c r="G60865" s="8"/>
      <c r="H60865" s="8"/>
      <c r="I60865" s="102"/>
      <c r="J60865" s="8"/>
      <c r="K60865" s="8"/>
      <c r="L60865" s="8"/>
      <c r="M60865" s="8"/>
      <c r="N60865" s="8"/>
      <c r="O60865" s="8"/>
      <c r="P60865" s="8"/>
      <c r="Q60865" s="8"/>
      <c r="R60865" s="103"/>
      <c r="S60865" s="8"/>
      <c r="T60865" s="8"/>
      <c r="U60865" s="8"/>
      <c r="V60865" s="8"/>
      <c r="W60865" s="8"/>
      <c r="X60865" s="8"/>
      <c r="Y60865" s="8"/>
      <c r="Z60865" s="8"/>
      <c r="AA60865" s="8"/>
    </row>
    <row r="60866" spans="1:27" x14ac:dyDescent="0.25">
      <c r="A60866" s="8"/>
      <c r="B60866" s="8"/>
      <c r="C60866" s="99"/>
      <c r="D60866" s="8"/>
      <c r="E60866" s="8"/>
      <c r="F60866" s="8"/>
      <c r="G60866" s="8"/>
      <c r="H60866" s="8"/>
      <c r="I60866" s="102"/>
      <c r="J60866" s="8"/>
      <c r="K60866" s="8"/>
      <c r="L60866" s="8"/>
      <c r="M60866" s="8"/>
      <c r="N60866" s="8"/>
      <c r="O60866" s="8"/>
      <c r="P60866" s="8"/>
      <c r="Q60866" s="8"/>
      <c r="R60866" s="103"/>
      <c r="S60866" s="8"/>
      <c r="T60866" s="8"/>
      <c r="U60866" s="8"/>
      <c r="V60866" s="8"/>
      <c r="W60866" s="8"/>
      <c r="X60866" s="8"/>
      <c r="Y60866" s="8"/>
      <c r="Z60866" s="8"/>
      <c r="AA60866" s="8"/>
    </row>
    <row r="60867" spans="1:27" x14ac:dyDescent="0.25">
      <c r="A60867" s="8"/>
      <c r="B60867" s="8"/>
      <c r="C60867" s="99"/>
      <c r="D60867" s="8"/>
      <c r="E60867" s="8"/>
      <c r="F60867" s="8"/>
      <c r="G60867" s="8"/>
      <c r="H60867" s="8"/>
      <c r="I60867" s="102"/>
      <c r="J60867" s="8"/>
      <c r="K60867" s="8"/>
      <c r="L60867" s="8"/>
      <c r="M60867" s="8"/>
      <c r="N60867" s="8"/>
      <c r="O60867" s="8"/>
      <c r="P60867" s="8"/>
      <c r="Q60867" s="8"/>
      <c r="R60867" s="103"/>
      <c r="S60867" s="8"/>
      <c r="T60867" s="8"/>
      <c r="U60867" s="8"/>
      <c r="V60867" s="8"/>
      <c r="W60867" s="8"/>
      <c r="X60867" s="8"/>
      <c r="Y60867" s="8"/>
      <c r="Z60867" s="8"/>
      <c r="AA60867" s="8"/>
    </row>
    <row r="60868" spans="1:27" x14ac:dyDescent="0.25">
      <c r="A60868" s="8"/>
      <c r="B60868" s="8"/>
      <c r="C60868" s="99"/>
      <c r="D60868" s="8"/>
      <c r="E60868" s="8"/>
      <c r="F60868" s="8"/>
      <c r="G60868" s="8"/>
      <c r="H60868" s="8"/>
      <c r="I60868" s="102"/>
      <c r="J60868" s="8"/>
      <c r="K60868" s="8"/>
      <c r="L60868" s="8"/>
      <c r="M60868" s="8"/>
      <c r="N60868" s="8"/>
      <c r="O60868" s="8"/>
      <c r="P60868" s="8"/>
      <c r="Q60868" s="8"/>
      <c r="R60868" s="103"/>
      <c r="S60868" s="8"/>
      <c r="T60868" s="8"/>
      <c r="U60868" s="8"/>
      <c r="V60868" s="8"/>
      <c r="W60868" s="8"/>
      <c r="X60868" s="8"/>
      <c r="Y60868" s="8"/>
      <c r="Z60868" s="8"/>
      <c r="AA60868" s="8"/>
    </row>
    <row r="60869" spans="1:27" x14ac:dyDescent="0.25">
      <c r="A60869" s="8"/>
      <c r="B60869" s="8"/>
      <c r="C60869" s="99"/>
      <c r="D60869" s="8"/>
      <c r="E60869" s="8"/>
      <c r="F60869" s="8"/>
      <c r="G60869" s="8"/>
      <c r="H60869" s="8"/>
      <c r="I60869" s="102"/>
      <c r="J60869" s="8"/>
      <c r="K60869" s="8"/>
      <c r="L60869" s="8"/>
      <c r="M60869" s="8"/>
      <c r="N60869" s="8"/>
      <c r="O60869" s="8"/>
      <c r="P60869" s="8"/>
      <c r="Q60869" s="8"/>
      <c r="R60869" s="103"/>
      <c r="S60869" s="8"/>
      <c r="T60869" s="8"/>
      <c r="U60869" s="8"/>
      <c r="V60869" s="8"/>
      <c r="W60869" s="8"/>
      <c r="X60869" s="8"/>
      <c r="Y60869" s="8"/>
      <c r="Z60869" s="8"/>
      <c r="AA60869" s="8"/>
    </row>
    <row r="60870" spans="1:27" x14ac:dyDescent="0.25">
      <c r="A60870" s="8"/>
      <c r="B60870" s="8"/>
      <c r="C60870" s="99"/>
      <c r="D60870" s="8"/>
      <c r="E60870" s="8"/>
      <c r="F60870" s="8"/>
      <c r="G60870" s="8"/>
      <c r="H60870" s="8"/>
      <c r="I60870" s="102"/>
      <c r="J60870" s="8"/>
      <c r="K60870" s="8"/>
      <c r="L60870" s="8"/>
      <c r="M60870" s="8"/>
      <c r="N60870" s="8"/>
      <c r="O60870" s="8"/>
      <c r="P60870" s="8"/>
      <c r="Q60870" s="8"/>
      <c r="R60870" s="103"/>
      <c r="S60870" s="8"/>
      <c r="T60870" s="8"/>
      <c r="U60870" s="8"/>
      <c r="V60870" s="8"/>
      <c r="W60870" s="8"/>
      <c r="X60870" s="8"/>
      <c r="Y60870" s="8"/>
      <c r="Z60870" s="8"/>
      <c r="AA60870" s="8"/>
    </row>
    <row r="60871" spans="1:27" x14ac:dyDescent="0.25">
      <c r="A60871" s="8"/>
      <c r="B60871" s="8"/>
      <c r="C60871" s="99"/>
      <c r="D60871" s="8"/>
      <c r="E60871" s="8"/>
      <c r="F60871" s="8"/>
      <c r="G60871" s="8"/>
      <c r="H60871" s="8"/>
      <c r="I60871" s="102"/>
      <c r="J60871" s="8"/>
      <c r="K60871" s="8"/>
      <c r="L60871" s="8"/>
      <c r="M60871" s="8"/>
      <c r="N60871" s="8"/>
      <c r="O60871" s="8"/>
      <c r="P60871" s="8"/>
      <c r="Q60871" s="8"/>
      <c r="R60871" s="103"/>
      <c r="S60871" s="8"/>
      <c r="T60871" s="8"/>
      <c r="U60871" s="8"/>
      <c r="V60871" s="8"/>
      <c r="W60871" s="8"/>
      <c r="X60871" s="8"/>
      <c r="Y60871" s="8"/>
      <c r="Z60871" s="8"/>
      <c r="AA60871" s="8"/>
    </row>
    <row r="60872" spans="1:27" x14ac:dyDescent="0.25">
      <c r="A60872" s="8"/>
      <c r="B60872" s="8"/>
      <c r="C60872" s="99"/>
      <c r="D60872" s="8"/>
      <c r="E60872" s="8"/>
      <c r="F60872" s="8"/>
      <c r="G60872" s="8"/>
      <c r="H60872" s="8"/>
      <c r="I60872" s="102"/>
      <c r="J60872" s="8"/>
      <c r="K60872" s="8"/>
      <c r="L60872" s="8"/>
      <c r="M60872" s="8"/>
      <c r="N60872" s="8"/>
      <c r="O60872" s="8"/>
      <c r="P60872" s="8"/>
      <c r="Q60872" s="8"/>
      <c r="R60872" s="103"/>
      <c r="S60872" s="8"/>
      <c r="T60872" s="8"/>
      <c r="U60872" s="8"/>
      <c r="V60872" s="8"/>
      <c r="W60872" s="8"/>
      <c r="X60872" s="8"/>
      <c r="Y60872" s="8"/>
      <c r="Z60872" s="8"/>
      <c r="AA60872" s="8"/>
    </row>
    <row r="60873" spans="1:27" x14ac:dyDescent="0.25">
      <c r="A60873" s="8"/>
      <c r="B60873" s="8"/>
      <c r="C60873" s="99"/>
      <c r="D60873" s="8"/>
      <c r="E60873" s="8"/>
      <c r="F60873" s="8"/>
      <c r="G60873" s="8"/>
      <c r="H60873" s="8"/>
      <c r="I60873" s="102"/>
      <c r="J60873" s="8"/>
      <c r="K60873" s="8"/>
      <c r="L60873" s="8"/>
      <c r="M60873" s="8"/>
      <c r="N60873" s="8"/>
      <c r="O60873" s="8"/>
      <c r="P60873" s="8"/>
      <c r="Q60873" s="8"/>
      <c r="R60873" s="103"/>
      <c r="S60873" s="8"/>
      <c r="T60873" s="8"/>
      <c r="U60873" s="8"/>
      <c r="V60873" s="8"/>
      <c r="W60873" s="8"/>
      <c r="X60873" s="8"/>
      <c r="Y60873" s="8"/>
      <c r="Z60873" s="8"/>
      <c r="AA60873" s="8"/>
    </row>
    <row r="60874" spans="1:27" x14ac:dyDescent="0.25">
      <c r="A60874" s="8"/>
      <c r="B60874" s="8"/>
      <c r="C60874" s="99"/>
      <c r="D60874" s="8"/>
      <c r="E60874" s="8"/>
      <c r="F60874" s="8"/>
      <c r="G60874" s="8"/>
      <c r="H60874" s="8"/>
      <c r="I60874" s="102"/>
      <c r="J60874" s="8"/>
      <c r="K60874" s="8"/>
      <c r="L60874" s="8"/>
      <c r="M60874" s="8"/>
      <c r="N60874" s="8"/>
      <c r="O60874" s="8"/>
      <c r="P60874" s="8"/>
      <c r="Q60874" s="8"/>
      <c r="R60874" s="103"/>
      <c r="S60874" s="8"/>
      <c r="T60874" s="8"/>
      <c r="U60874" s="8"/>
      <c r="V60874" s="8"/>
      <c r="W60874" s="8"/>
      <c r="X60874" s="8"/>
      <c r="Y60874" s="8"/>
      <c r="Z60874" s="8"/>
      <c r="AA60874" s="8"/>
    </row>
    <row r="60875" spans="1:27" x14ac:dyDescent="0.25">
      <c r="A60875" s="8"/>
      <c r="B60875" s="8"/>
      <c r="C60875" s="99"/>
      <c r="D60875" s="8"/>
      <c r="E60875" s="8"/>
      <c r="F60875" s="8"/>
      <c r="G60875" s="8"/>
      <c r="H60875" s="8"/>
      <c r="I60875" s="102"/>
      <c r="J60875" s="8"/>
      <c r="K60875" s="8"/>
      <c r="L60875" s="8"/>
      <c r="M60875" s="8"/>
      <c r="N60875" s="8"/>
      <c r="O60875" s="8"/>
      <c r="P60875" s="8"/>
      <c r="Q60875" s="8"/>
      <c r="R60875" s="103"/>
      <c r="S60875" s="8"/>
      <c r="T60875" s="8"/>
      <c r="U60875" s="8"/>
      <c r="V60875" s="8"/>
      <c r="W60875" s="8"/>
      <c r="X60875" s="8"/>
      <c r="Y60875" s="8"/>
      <c r="Z60875" s="8"/>
      <c r="AA60875" s="8"/>
    </row>
    <row r="60876" spans="1:27" x14ac:dyDescent="0.25">
      <c r="A60876" s="8"/>
      <c r="B60876" s="8"/>
      <c r="C60876" s="99"/>
      <c r="D60876" s="8"/>
      <c r="E60876" s="8"/>
      <c r="F60876" s="8"/>
      <c r="G60876" s="8"/>
      <c r="H60876" s="8"/>
      <c r="I60876" s="102"/>
      <c r="J60876" s="8"/>
      <c r="K60876" s="8"/>
      <c r="L60876" s="8"/>
      <c r="M60876" s="8"/>
      <c r="N60876" s="8"/>
      <c r="O60876" s="8"/>
      <c r="P60876" s="8"/>
      <c r="Q60876" s="8"/>
      <c r="R60876" s="103"/>
      <c r="S60876" s="8"/>
      <c r="T60876" s="8"/>
      <c r="U60876" s="8"/>
      <c r="V60876" s="8"/>
      <c r="W60876" s="8"/>
      <c r="X60876" s="8"/>
      <c r="Y60876" s="8"/>
      <c r="Z60876" s="8"/>
      <c r="AA60876" s="8"/>
    </row>
    <row r="60877" spans="1:27" x14ac:dyDescent="0.25">
      <c r="A60877" s="8"/>
      <c r="B60877" s="8"/>
      <c r="C60877" s="99"/>
      <c r="D60877" s="8"/>
      <c r="E60877" s="8"/>
      <c r="F60877" s="8"/>
      <c r="G60877" s="8"/>
      <c r="H60877" s="8"/>
      <c r="I60877" s="102"/>
      <c r="J60877" s="8"/>
      <c r="K60877" s="8"/>
      <c r="L60877" s="8"/>
      <c r="M60877" s="8"/>
      <c r="N60877" s="8"/>
      <c r="O60877" s="8"/>
      <c r="P60877" s="8"/>
      <c r="Q60877" s="8"/>
      <c r="R60877" s="103"/>
      <c r="S60877" s="8"/>
      <c r="T60877" s="8"/>
      <c r="U60877" s="8"/>
      <c r="V60877" s="8"/>
      <c r="W60877" s="8"/>
      <c r="X60877" s="8"/>
      <c r="Y60877" s="8"/>
      <c r="Z60877" s="8"/>
      <c r="AA60877" s="8"/>
    </row>
    <row r="60878" spans="1:27" x14ac:dyDescent="0.25">
      <c r="A60878" s="8"/>
      <c r="B60878" s="8"/>
      <c r="C60878" s="99"/>
      <c r="D60878" s="8"/>
      <c r="E60878" s="8"/>
      <c r="F60878" s="8"/>
      <c r="G60878" s="8"/>
      <c r="H60878" s="8"/>
      <c r="I60878" s="102"/>
      <c r="J60878" s="8"/>
      <c r="K60878" s="8"/>
      <c r="L60878" s="8"/>
      <c r="M60878" s="8"/>
      <c r="N60878" s="8"/>
      <c r="O60878" s="8"/>
      <c r="P60878" s="8"/>
      <c r="Q60878" s="8"/>
      <c r="R60878" s="103"/>
      <c r="S60878" s="8"/>
      <c r="T60878" s="8"/>
      <c r="U60878" s="8"/>
      <c r="V60878" s="8"/>
      <c r="W60878" s="8"/>
      <c r="X60878" s="8"/>
      <c r="Y60878" s="8"/>
      <c r="Z60878" s="8"/>
      <c r="AA60878" s="8"/>
    </row>
    <row r="60879" spans="1:27" x14ac:dyDescent="0.25">
      <c r="A60879" s="8"/>
      <c r="B60879" s="8"/>
      <c r="C60879" s="99"/>
      <c r="D60879" s="8"/>
      <c r="E60879" s="8"/>
      <c r="F60879" s="8"/>
      <c r="G60879" s="8"/>
      <c r="H60879" s="8"/>
      <c r="I60879" s="102"/>
      <c r="J60879" s="8"/>
      <c r="K60879" s="8"/>
      <c r="L60879" s="8"/>
      <c r="M60879" s="8"/>
      <c r="N60879" s="8"/>
      <c r="O60879" s="8"/>
      <c r="P60879" s="8"/>
      <c r="Q60879" s="8"/>
      <c r="R60879" s="103"/>
      <c r="S60879" s="8"/>
      <c r="T60879" s="8"/>
      <c r="U60879" s="8"/>
      <c r="V60879" s="8"/>
      <c r="W60879" s="8"/>
      <c r="X60879" s="8"/>
      <c r="Y60879" s="8"/>
      <c r="Z60879" s="8"/>
      <c r="AA60879" s="8"/>
    </row>
    <row r="60880" spans="1:27" x14ac:dyDescent="0.25">
      <c r="A60880" s="8"/>
      <c r="B60880" s="8"/>
      <c r="C60880" s="99"/>
      <c r="D60880" s="8"/>
      <c r="E60880" s="8"/>
      <c r="F60880" s="8"/>
      <c r="G60880" s="8"/>
      <c r="H60880" s="8"/>
      <c r="I60880" s="102"/>
      <c r="J60880" s="8"/>
      <c r="K60880" s="8"/>
      <c r="L60880" s="8"/>
      <c r="M60880" s="8"/>
      <c r="N60880" s="8"/>
      <c r="O60880" s="8"/>
      <c r="P60880" s="8"/>
      <c r="Q60880" s="8"/>
      <c r="R60880" s="103"/>
      <c r="S60880" s="8"/>
      <c r="T60880" s="8"/>
      <c r="U60880" s="8"/>
      <c r="V60880" s="8"/>
      <c r="W60880" s="8"/>
      <c r="X60880" s="8"/>
      <c r="Y60880" s="8"/>
      <c r="Z60880" s="8"/>
      <c r="AA60880" s="8"/>
    </row>
    <row r="60881" spans="1:27" x14ac:dyDescent="0.25">
      <c r="A60881" s="8"/>
      <c r="B60881" s="8"/>
      <c r="C60881" s="99"/>
      <c r="D60881" s="8"/>
      <c r="E60881" s="8"/>
      <c r="F60881" s="8"/>
      <c r="G60881" s="8"/>
      <c r="H60881" s="8"/>
      <c r="I60881" s="102"/>
      <c r="J60881" s="8"/>
      <c r="K60881" s="8"/>
      <c r="L60881" s="8"/>
      <c r="M60881" s="8"/>
      <c r="N60881" s="8"/>
      <c r="O60881" s="8"/>
      <c r="P60881" s="8"/>
      <c r="Q60881" s="8"/>
      <c r="R60881" s="103"/>
      <c r="S60881" s="8"/>
      <c r="T60881" s="8"/>
      <c r="U60881" s="8"/>
      <c r="V60881" s="8"/>
      <c r="W60881" s="8"/>
      <c r="X60881" s="8"/>
      <c r="Y60881" s="8"/>
      <c r="Z60881" s="8"/>
      <c r="AA60881" s="8"/>
    </row>
    <row r="60882" spans="1:27" x14ac:dyDescent="0.25">
      <c r="A60882" s="8"/>
      <c r="B60882" s="8"/>
      <c r="C60882" s="99"/>
      <c r="D60882" s="8"/>
      <c r="E60882" s="8"/>
      <c r="F60882" s="8"/>
      <c r="G60882" s="8"/>
      <c r="H60882" s="8"/>
      <c r="I60882" s="102"/>
      <c r="J60882" s="8"/>
      <c r="K60882" s="8"/>
      <c r="L60882" s="8"/>
      <c r="M60882" s="8"/>
      <c r="N60882" s="8"/>
      <c r="O60882" s="8"/>
      <c r="P60882" s="8"/>
      <c r="Q60882" s="8"/>
      <c r="R60882" s="103"/>
      <c r="S60882" s="8"/>
      <c r="T60882" s="8"/>
      <c r="U60882" s="8"/>
      <c r="V60882" s="8"/>
      <c r="W60882" s="8"/>
      <c r="X60882" s="8"/>
      <c r="Y60882" s="8"/>
      <c r="Z60882" s="8"/>
      <c r="AA60882" s="8"/>
    </row>
    <row r="60883" spans="1:27" x14ac:dyDescent="0.25">
      <c r="A60883" s="8"/>
      <c r="B60883" s="8"/>
      <c r="C60883" s="99"/>
      <c r="D60883" s="8"/>
      <c r="E60883" s="8"/>
      <c r="F60883" s="8"/>
      <c r="G60883" s="8"/>
      <c r="H60883" s="8"/>
      <c r="I60883" s="102"/>
      <c r="J60883" s="8"/>
      <c r="K60883" s="8"/>
      <c r="L60883" s="8"/>
      <c r="M60883" s="8"/>
      <c r="N60883" s="8"/>
      <c r="O60883" s="8"/>
      <c r="P60883" s="8"/>
      <c r="Q60883" s="8"/>
      <c r="R60883" s="103"/>
      <c r="S60883" s="8"/>
      <c r="T60883" s="8"/>
      <c r="U60883" s="8"/>
      <c r="V60883" s="8"/>
      <c r="W60883" s="8"/>
      <c r="X60883" s="8"/>
      <c r="Y60883" s="8"/>
      <c r="Z60883" s="8"/>
      <c r="AA60883" s="8"/>
    </row>
    <row r="60884" spans="1:27" x14ac:dyDescent="0.25">
      <c r="A60884" s="8"/>
      <c r="B60884" s="8"/>
      <c r="C60884" s="99"/>
      <c r="D60884" s="8"/>
      <c r="E60884" s="8"/>
      <c r="F60884" s="8"/>
      <c r="G60884" s="8"/>
      <c r="H60884" s="8"/>
      <c r="I60884" s="102"/>
      <c r="J60884" s="8"/>
      <c r="K60884" s="8"/>
      <c r="L60884" s="8"/>
      <c r="M60884" s="8"/>
      <c r="N60884" s="8"/>
      <c r="O60884" s="8"/>
      <c r="P60884" s="8"/>
      <c r="Q60884" s="8"/>
      <c r="R60884" s="103"/>
      <c r="S60884" s="8"/>
      <c r="T60884" s="8"/>
      <c r="U60884" s="8"/>
      <c r="V60884" s="8"/>
      <c r="W60884" s="8"/>
      <c r="X60884" s="8"/>
      <c r="Y60884" s="8"/>
      <c r="Z60884" s="8"/>
      <c r="AA60884" s="8"/>
    </row>
    <row r="60885" spans="1:27" x14ac:dyDescent="0.25">
      <c r="A60885" s="8"/>
      <c r="B60885" s="8"/>
      <c r="C60885" s="99"/>
      <c r="D60885" s="8"/>
      <c r="E60885" s="8"/>
      <c r="F60885" s="8"/>
      <c r="G60885" s="8"/>
      <c r="H60885" s="8"/>
      <c r="I60885" s="102"/>
      <c r="J60885" s="8"/>
      <c r="K60885" s="8"/>
      <c r="L60885" s="8"/>
      <c r="M60885" s="8"/>
      <c r="N60885" s="8"/>
      <c r="O60885" s="8"/>
      <c r="P60885" s="8"/>
      <c r="Q60885" s="8"/>
      <c r="R60885" s="103"/>
      <c r="S60885" s="8"/>
      <c r="T60885" s="8"/>
      <c r="U60885" s="8"/>
      <c r="V60885" s="8"/>
      <c r="W60885" s="8"/>
      <c r="X60885" s="8"/>
      <c r="Y60885" s="8"/>
      <c r="Z60885" s="8"/>
      <c r="AA60885" s="8"/>
    </row>
    <row r="60886" spans="1:27" x14ac:dyDescent="0.25">
      <c r="A60886" s="8"/>
      <c r="B60886" s="8"/>
      <c r="C60886" s="99"/>
      <c r="D60886" s="8"/>
      <c r="E60886" s="8"/>
      <c r="F60886" s="8"/>
      <c r="G60886" s="8"/>
      <c r="H60886" s="8"/>
      <c r="I60886" s="102"/>
      <c r="J60886" s="8"/>
      <c r="K60886" s="8"/>
      <c r="L60886" s="8"/>
      <c r="M60886" s="8"/>
      <c r="N60886" s="8"/>
      <c r="O60886" s="8"/>
      <c r="P60886" s="8"/>
      <c r="Q60886" s="8"/>
      <c r="R60886" s="103"/>
      <c r="S60886" s="8"/>
      <c r="T60886" s="8"/>
      <c r="U60886" s="8"/>
      <c r="V60886" s="8"/>
      <c r="W60886" s="8"/>
      <c r="X60886" s="8"/>
      <c r="Y60886" s="8"/>
      <c r="Z60886" s="8"/>
      <c r="AA60886" s="8"/>
    </row>
    <row r="60887" spans="1:27" x14ac:dyDescent="0.25">
      <c r="A60887" s="8"/>
      <c r="B60887" s="8"/>
      <c r="C60887" s="99"/>
      <c r="D60887" s="8"/>
      <c r="E60887" s="8"/>
      <c r="F60887" s="8"/>
      <c r="G60887" s="8"/>
      <c r="H60887" s="8"/>
      <c r="I60887" s="102"/>
      <c r="J60887" s="8"/>
      <c r="K60887" s="8"/>
      <c r="L60887" s="8"/>
      <c r="M60887" s="8"/>
      <c r="N60887" s="8"/>
      <c r="O60887" s="8"/>
      <c r="P60887" s="8"/>
      <c r="Q60887" s="8"/>
      <c r="R60887" s="103"/>
      <c r="S60887" s="8"/>
      <c r="T60887" s="8"/>
      <c r="U60887" s="8"/>
      <c r="V60887" s="8"/>
      <c r="W60887" s="8"/>
      <c r="X60887" s="8"/>
      <c r="Y60887" s="8"/>
      <c r="Z60887" s="8"/>
      <c r="AA60887" s="8"/>
    </row>
    <row r="60888" spans="1:27" x14ac:dyDescent="0.25">
      <c r="A60888" s="8"/>
      <c r="B60888" s="8"/>
      <c r="C60888" s="99"/>
      <c r="D60888" s="8"/>
      <c r="E60888" s="8"/>
      <c r="F60888" s="8"/>
      <c r="G60888" s="8"/>
      <c r="H60888" s="8"/>
      <c r="I60888" s="102"/>
      <c r="J60888" s="8"/>
      <c r="K60888" s="8"/>
      <c r="L60888" s="8"/>
      <c r="M60888" s="8"/>
      <c r="N60888" s="8"/>
      <c r="O60888" s="8"/>
      <c r="P60888" s="8"/>
      <c r="Q60888" s="8"/>
      <c r="R60888" s="103"/>
      <c r="S60888" s="8"/>
      <c r="T60888" s="8"/>
      <c r="U60888" s="8"/>
      <c r="V60888" s="8"/>
      <c r="W60888" s="8"/>
      <c r="X60888" s="8"/>
      <c r="Y60888" s="8"/>
      <c r="Z60888" s="8"/>
      <c r="AA60888" s="8"/>
    </row>
    <row r="60889" spans="1:27" x14ac:dyDescent="0.25">
      <c r="A60889" s="8"/>
      <c r="B60889" s="8"/>
      <c r="C60889" s="99"/>
      <c r="D60889" s="8"/>
      <c r="E60889" s="8"/>
      <c r="F60889" s="8"/>
      <c r="G60889" s="8"/>
      <c r="H60889" s="8"/>
      <c r="I60889" s="102"/>
      <c r="J60889" s="8"/>
      <c r="K60889" s="8"/>
      <c r="L60889" s="8"/>
      <c r="M60889" s="8"/>
      <c r="N60889" s="8"/>
      <c r="O60889" s="8"/>
      <c r="P60889" s="8"/>
      <c r="Q60889" s="8"/>
      <c r="R60889" s="103"/>
      <c r="S60889" s="8"/>
      <c r="T60889" s="8"/>
      <c r="U60889" s="8"/>
      <c r="V60889" s="8"/>
      <c r="W60889" s="8"/>
      <c r="X60889" s="8"/>
      <c r="Y60889" s="8"/>
      <c r="Z60889" s="8"/>
      <c r="AA60889" s="8"/>
    </row>
    <row r="60890" spans="1:27" x14ac:dyDescent="0.25">
      <c r="A60890" s="8"/>
      <c r="B60890" s="8"/>
      <c r="C60890" s="99"/>
      <c r="D60890" s="8"/>
      <c r="E60890" s="8"/>
      <c r="F60890" s="8"/>
      <c r="G60890" s="8"/>
      <c r="H60890" s="8"/>
      <c r="I60890" s="102"/>
      <c r="J60890" s="8"/>
      <c r="K60890" s="8"/>
      <c r="L60890" s="8"/>
      <c r="M60890" s="8"/>
      <c r="N60890" s="8"/>
      <c r="O60890" s="8"/>
      <c r="P60890" s="8"/>
      <c r="Q60890" s="8"/>
      <c r="R60890" s="103"/>
      <c r="S60890" s="8"/>
      <c r="T60890" s="8"/>
      <c r="U60890" s="8"/>
      <c r="V60890" s="8"/>
      <c r="W60890" s="8"/>
      <c r="X60890" s="8"/>
      <c r="Y60890" s="8"/>
      <c r="Z60890" s="8"/>
      <c r="AA60890" s="8"/>
    </row>
    <row r="60891" spans="1:27" x14ac:dyDescent="0.25">
      <c r="A60891" s="8"/>
      <c r="B60891" s="8"/>
      <c r="C60891" s="99"/>
      <c r="D60891" s="8"/>
      <c r="E60891" s="8"/>
      <c r="F60891" s="8"/>
      <c r="G60891" s="8"/>
      <c r="H60891" s="8"/>
      <c r="I60891" s="102"/>
      <c r="J60891" s="8"/>
      <c r="K60891" s="8"/>
      <c r="L60891" s="8"/>
      <c r="M60891" s="8"/>
      <c r="N60891" s="8"/>
      <c r="O60891" s="8"/>
      <c r="P60891" s="8"/>
      <c r="Q60891" s="8"/>
      <c r="R60891" s="103"/>
      <c r="S60891" s="8"/>
      <c r="T60891" s="8"/>
      <c r="U60891" s="8"/>
      <c r="V60891" s="8"/>
      <c r="W60891" s="8"/>
      <c r="X60891" s="8"/>
      <c r="Y60891" s="8"/>
      <c r="Z60891" s="8"/>
      <c r="AA60891" s="8"/>
    </row>
    <row r="60892" spans="1:27" x14ac:dyDescent="0.25">
      <c r="A60892" s="8"/>
      <c r="B60892" s="8"/>
      <c r="C60892" s="99"/>
      <c r="D60892" s="8"/>
      <c r="E60892" s="8"/>
      <c r="F60892" s="8"/>
      <c r="G60892" s="8"/>
      <c r="H60892" s="8"/>
      <c r="I60892" s="102"/>
      <c r="J60892" s="8"/>
      <c r="K60892" s="8"/>
      <c r="L60892" s="8"/>
      <c r="M60892" s="8"/>
      <c r="N60892" s="8"/>
      <c r="O60892" s="8"/>
      <c r="P60892" s="8"/>
      <c r="Q60892" s="8"/>
      <c r="R60892" s="103"/>
      <c r="S60892" s="8"/>
      <c r="T60892" s="8"/>
      <c r="U60892" s="8"/>
      <c r="V60892" s="8"/>
      <c r="W60892" s="8"/>
      <c r="X60892" s="8"/>
      <c r="Y60892" s="8"/>
      <c r="Z60892" s="8"/>
      <c r="AA60892" s="8"/>
    </row>
    <row r="60893" spans="1:27" x14ac:dyDescent="0.25">
      <c r="A60893" s="8"/>
      <c r="B60893" s="8"/>
      <c r="C60893" s="99"/>
      <c r="D60893" s="8"/>
      <c r="E60893" s="8"/>
      <c r="F60893" s="8"/>
      <c r="G60893" s="8"/>
      <c r="H60893" s="8"/>
      <c r="I60893" s="102"/>
      <c r="J60893" s="8"/>
      <c r="K60893" s="8"/>
      <c r="L60893" s="8"/>
      <c r="M60893" s="8"/>
      <c r="N60893" s="8"/>
      <c r="O60893" s="8"/>
      <c r="P60893" s="8"/>
      <c r="Q60893" s="8"/>
      <c r="R60893" s="103"/>
      <c r="S60893" s="8"/>
      <c r="T60893" s="8"/>
      <c r="U60893" s="8"/>
      <c r="V60893" s="8"/>
      <c r="W60893" s="8"/>
      <c r="X60893" s="8"/>
      <c r="Y60893" s="8"/>
      <c r="Z60893" s="8"/>
      <c r="AA60893" s="8"/>
    </row>
    <row r="60894" spans="1:27" x14ac:dyDescent="0.25">
      <c r="A60894" s="8"/>
      <c r="B60894" s="8"/>
      <c r="C60894" s="99"/>
      <c r="D60894" s="8"/>
      <c r="E60894" s="8"/>
      <c r="F60894" s="8"/>
      <c r="G60894" s="8"/>
      <c r="H60894" s="8"/>
      <c r="I60894" s="102"/>
      <c r="J60894" s="8"/>
      <c r="K60894" s="8"/>
      <c r="L60894" s="8"/>
      <c r="M60894" s="8"/>
      <c r="N60894" s="8"/>
      <c r="O60894" s="8"/>
      <c r="P60894" s="8"/>
      <c r="Q60894" s="8"/>
      <c r="R60894" s="103"/>
      <c r="S60894" s="8"/>
      <c r="T60894" s="8"/>
      <c r="U60894" s="8"/>
      <c r="V60894" s="8"/>
      <c r="W60894" s="8"/>
      <c r="X60894" s="8"/>
      <c r="Y60894" s="8"/>
      <c r="Z60894" s="8"/>
      <c r="AA60894" s="8"/>
    </row>
    <row r="60895" spans="1:27" x14ac:dyDescent="0.25">
      <c r="A60895" s="8"/>
      <c r="B60895" s="8"/>
      <c r="C60895" s="99"/>
      <c r="D60895" s="8"/>
      <c r="E60895" s="8"/>
      <c r="F60895" s="8"/>
      <c r="G60895" s="8"/>
      <c r="H60895" s="8"/>
      <c r="I60895" s="102"/>
      <c r="J60895" s="8"/>
      <c r="K60895" s="8"/>
      <c r="L60895" s="8"/>
      <c r="M60895" s="8"/>
      <c r="N60895" s="8"/>
      <c r="O60895" s="8"/>
      <c r="P60895" s="8"/>
      <c r="Q60895" s="8"/>
      <c r="R60895" s="103"/>
      <c r="S60895" s="8"/>
      <c r="T60895" s="8"/>
      <c r="U60895" s="8"/>
      <c r="V60895" s="8"/>
      <c r="W60895" s="8"/>
      <c r="X60895" s="8"/>
      <c r="Y60895" s="8"/>
      <c r="Z60895" s="8"/>
      <c r="AA60895" s="8"/>
    </row>
    <row r="60896" spans="1:27" x14ac:dyDescent="0.25">
      <c r="A60896" s="8"/>
      <c r="B60896" s="8"/>
      <c r="C60896" s="99"/>
      <c r="D60896" s="8"/>
      <c r="E60896" s="8"/>
      <c r="F60896" s="8"/>
      <c r="G60896" s="8"/>
      <c r="H60896" s="8"/>
      <c r="I60896" s="102"/>
      <c r="J60896" s="8"/>
      <c r="K60896" s="8"/>
      <c r="L60896" s="8"/>
      <c r="M60896" s="8"/>
      <c r="N60896" s="8"/>
      <c r="O60896" s="8"/>
      <c r="P60896" s="8"/>
      <c r="Q60896" s="8"/>
      <c r="R60896" s="103"/>
      <c r="S60896" s="8"/>
      <c r="T60896" s="8"/>
      <c r="U60896" s="8"/>
      <c r="V60896" s="8"/>
      <c r="W60896" s="8"/>
      <c r="X60896" s="8"/>
      <c r="Y60896" s="8"/>
      <c r="Z60896" s="8"/>
      <c r="AA60896" s="8"/>
    </row>
    <row r="60897" spans="1:27" x14ac:dyDescent="0.25">
      <c r="A60897" s="8"/>
      <c r="B60897" s="8"/>
      <c r="C60897" s="99"/>
      <c r="D60897" s="8"/>
      <c r="E60897" s="8"/>
      <c r="F60897" s="8"/>
      <c r="G60897" s="8"/>
      <c r="H60897" s="8"/>
      <c r="I60897" s="102"/>
      <c r="J60897" s="8"/>
      <c r="K60897" s="8"/>
      <c r="L60897" s="8"/>
      <c r="M60897" s="8"/>
      <c r="N60897" s="8"/>
      <c r="O60897" s="8"/>
      <c r="P60897" s="8"/>
      <c r="Q60897" s="8"/>
      <c r="R60897" s="103"/>
      <c r="S60897" s="8"/>
      <c r="T60897" s="8"/>
      <c r="U60897" s="8"/>
      <c r="V60897" s="8"/>
      <c r="W60897" s="8"/>
      <c r="X60897" s="8"/>
      <c r="Y60897" s="8"/>
      <c r="Z60897" s="8"/>
      <c r="AA60897" s="8"/>
    </row>
    <row r="60898" spans="1:27" x14ac:dyDescent="0.25">
      <c r="A60898" s="8"/>
      <c r="B60898" s="8"/>
      <c r="C60898" s="99"/>
      <c r="D60898" s="8"/>
      <c r="E60898" s="8"/>
      <c r="F60898" s="8"/>
      <c r="G60898" s="8"/>
      <c r="H60898" s="8"/>
      <c r="I60898" s="102"/>
      <c r="J60898" s="8"/>
      <c r="K60898" s="8"/>
      <c r="L60898" s="8"/>
      <c r="M60898" s="8"/>
      <c r="N60898" s="8"/>
      <c r="O60898" s="8"/>
      <c r="P60898" s="8"/>
      <c r="Q60898" s="8"/>
      <c r="R60898" s="103"/>
      <c r="S60898" s="8"/>
      <c r="T60898" s="8"/>
      <c r="U60898" s="8"/>
      <c r="V60898" s="8"/>
      <c r="W60898" s="8"/>
      <c r="X60898" s="8"/>
      <c r="Y60898" s="8"/>
      <c r="Z60898" s="8"/>
      <c r="AA60898" s="8"/>
    </row>
    <row r="60899" spans="1:27" x14ac:dyDescent="0.25">
      <c r="A60899" s="8"/>
      <c r="B60899" s="8"/>
      <c r="C60899" s="99"/>
      <c r="D60899" s="8"/>
      <c r="E60899" s="8"/>
      <c r="F60899" s="8"/>
      <c r="G60899" s="8"/>
      <c r="H60899" s="8"/>
      <c r="I60899" s="102"/>
      <c r="J60899" s="8"/>
      <c r="K60899" s="8"/>
      <c r="L60899" s="8"/>
      <c r="M60899" s="8"/>
      <c r="N60899" s="8"/>
      <c r="O60899" s="8"/>
      <c r="P60899" s="8"/>
      <c r="Q60899" s="8"/>
      <c r="R60899" s="103"/>
      <c r="S60899" s="8"/>
      <c r="T60899" s="8"/>
      <c r="U60899" s="8"/>
      <c r="V60899" s="8"/>
      <c r="W60899" s="8"/>
      <c r="X60899" s="8"/>
      <c r="Y60899" s="8"/>
      <c r="Z60899" s="8"/>
      <c r="AA60899" s="8"/>
    </row>
    <row r="60900" spans="1:27" x14ac:dyDescent="0.25">
      <c r="A60900" s="8"/>
      <c r="B60900" s="8"/>
      <c r="C60900" s="99"/>
      <c r="D60900" s="8"/>
      <c r="E60900" s="8"/>
      <c r="F60900" s="8"/>
      <c r="G60900" s="8"/>
      <c r="H60900" s="8"/>
      <c r="I60900" s="102"/>
      <c r="J60900" s="8"/>
      <c r="K60900" s="8"/>
      <c r="L60900" s="8"/>
      <c r="M60900" s="8"/>
      <c r="N60900" s="8"/>
      <c r="O60900" s="8"/>
      <c r="P60900" s="8"/>
      <c r="Q60900" s="8"/>
      <c r="R60900" s="103"/>
      <c r="S60900" s="8"/>
      <c r="T60900" s="8"/>
      <c r="U60900" s="8"/>
      <c r="V60900" s="8"/>
      <c r="W60900" s="8"/>
      <c r="X60900" s="8"/>
      <c r="Y60900" s="8"/>
      <c r="Z60900" s="8"/>
      <c r="AA60900" s="8"/>
    </row>
    <row r="60901" spans="1:27" x14ac:dyDescent="0.25">
      <c r="A60901" s="8"/>
      <c r="B60901" s="8"/>
      <c r="C60901" s="99"/>
      <c r="D60901" s="8"/>
      <c r="E60901" s="8"/>
      <c r="F60901" s="8"/>
      <c r="G60901" s="8"/>
      <c r="H60901" s="8"/>
      <c r="I60901" s="102"/>
      <c r="J60901" s="8"/>
      <c r="K60901" s="8"/>
      <c r="L60901" s="8"/>
      <c r="M60901" s="8"/>
      <c r="N60901" s="8"/>
      <c r="O60901" s="8"/>
      <c r="P60901" s="8"/>
      <c r="Q60901" s="8"/>
      <c r="R60901" s="103"/>
      <c r="S60901" s="8"/>
      <c r="T60901" s="8"/>
      <c r="U60901" s="8"/>
      <c r="V60901" s="8"/>
      <c r="W60901" s="8"/>
      <c r="X60901" s="8"/>
      <c r="Y60901" s="8"/>
      <c r="Z60901" s="8"/>
      <c r="AA60901" s="8"/>
    </row>
    <row r="60902" spans="1:27" x14ac:dyDescent="0.25">
      <c r="A60902" s="8"/>
      <c r="B60902" s="8"/>
      <c r="C60902" s="99"/>
      <c r="D60902" s="8"/>
      <c r="E60902" s="8"/>
      <c r="F60902" s="8"/>
      <c r="G60902" s="8"/>
      <c r="H60902" s="8"/>
      <c r="I60902" s="102"/>
      <c r="J60902" s="8"/>
      <c r="K60902" s="8"/>
      <c r="L60902" s="8"/>
      <c r="M60902" s="8"/>
      <c r="N60902" s="8"/>
      <c r="O60902" s="8"/>
      <c r="P60902" s="8"/>
      <c r="Q60902" s="8"/>
      <c r="R60902" s="103"/>
      <c r="S60902" s="8"/>
      <c r="T60902" s="8"/>
      <c r="U60902" s="8"/>
      <c r="V60902" s="8"/>
      <c r="W60902" s="8"/>
      <c r="X60902" s="8"/>
      <c r="Y60902" s="8"/>
      <c r="Z60902" s="8"/>
      <c r="AA60902" s="8"/>
    </row>
    <row r="60903" spans="1:27" x14ac:dyDescent="0.25">
      <c r="A60903" s="8"/>
      <c r="B60903" s="8"/>
      <c r="C60903" s="99"/>
      <c r="D60903" s="8"/>
      <c r="E60903" s="8"/>
      <c r="F60903" s="8"/>
      <c r="G60903" s="8"/>
      <c r="H60903" s="8"/>
      <c r="I60903" s="102"/>
      <c r="J60903" s="8"/>
      <c r="K60903" s="8"/>
      <c r="L60903" s="8"/>
      <c r="M60903" s="8"/>
      <c r="N60903" s="8"/>
      <c r="O60903" s="8"/>
      <c r="P60903" s="8"/>
      <c r="Q60903" s="8"/>
      <c r="R60903" s="103"/>
      <c r="S60903" s="8"/>
      <c r="T60903" s="8"/>
      <c r="U60903" s="8"/>
      <c r="V60903" s="8"/>
      <c r="W60903" s="8"/>
      <c r="X60903" s="8"/>
      <c r="Y60903" s="8"/>
      <c r="Z60903" s="8"/>
      <c r="AA60903" s="8"/>
    </row>
    <row r="60904" spans="1:27" x14ac:dyDescent="0.25">
      <c r="A60904" s="8"/>
      <c r="B60904" s="8"/>
      <c r="C60904" s="99"/>
      <c r="D60904" s="8"/>
      <c r="E60904" s="8"/>
      <c r="F60904" s="8"/>
      <c r="G60904" s="8"/>
      <c r="H60904" s="8"/>
      <c r="I60904" s="102"/>
      <c r="J60904" s="8"/>
      <c r="K60904" s="8"/>
      <c r="L60904" s="8"/>
      <c r="M60904" s="8"/>
      <c r="N60904" s="8"/>
      <c r="O60904" s="8"/>
      <c r="P60904" s="8"/>
      <c r="Q60904" s="8"/>
      <c r="R60904" s="103"/>
      <c r="S60904" s="8"/>
      <c r="T60904" s="8"/>
      <c r="U60904" s="8"/>
      <c r="V60904" s="8"/>
      <c r="W60904" s="8"/>
      <c r="X60904" s="8"/>
      <c r="Y60904" s="8"/>
      <c r="Z60904" s="8"/>
      <c r="AA60904" s="8"/>
    </row>
    <row r="60905" spans="1:27" x14ac:dyDescent="0.25">
      <c r="A60905" s="8"/>
      <c r="B60905" s="8"/>
      <c r="C60905" s="99"/>
      <c r="D60905" s="8"/>
      <c r="E60905" s="8"/>
      <c r="F60905" s="8"/>
      <c r="G60905" s="8"/>
      <c r="H60905" s="8"/>
      <c r="I60905" s="102"/>
      <c r="J60905" s="8"/>
      <c r="K60905" s="8"/>
      <c r="L60905" s="8"/>
      <c r="M60905" s="8"/>
      <c r="N60905" s="8"/>
      <c r="O60905" s="8"/>
      <c r="P60905" s="8"/>
      <c r="Q60905" s="8"/>
      <c r="R60905" s="103"/>
      <c r="S60905" s="8"/>
      <c r="T60905" s="8"/>
      <c r="U60905" s="8"/>
      <c r="V60905" s="8"/>
      <c r="W60905" s="8"/>
      <c r="X60905" s="8"/>
      <c r="Y60905" s="8"/>
      <c r="Z60905" s="8"/>
      <c r="AA60905" s="8"/>
    </row>
    <row r="60906" spans="1:27" x14ac:dyDescent="0.25">
      <c r="A60906" s="8"/>
      <c r="B60906" s="8"/>
      <c r="C60906" s="99"/>
      <c r="D60906" s="8"/>
      <c r="E60906" s="8"/>
      <c r="F60906" s="8"/>
      <c r="G60906" s="8"/>
      <c r="H60906" s="8"/>
      <c r="I60906" s="102"/>
      <c r="J60906" s="8"/>
      <c r="K60906" s="8"/>
      <c r="L60906" s="8"/>
      <c r="M60906" s="8"/>
      <c r="N60906" s="8"/>
      <c r="O60906" s="8"/>
      <c r="P60906" s="8"/>
      <c r="Q60906" s="8"/>
      <c r="R60906" s="103"/>
      <c r="S60906" s="8"/>
      <c r="T60906" s="8"/>
      <c r="U60906" s="8"/>
      <c r="V60906" s="8"/>
      <c r="W60906" s="8"/>
      <c r="X60906" s="8"/>
      <c r="Y60906" s="8"/>
      <c r="Z60906" s="8"/>
      <c r="AA60906" s="8"/>
    </row>
    <row r="60907" spans="1:27" x14ac:dyDescent="0.25">
      <c r="A60907" s="8"/>
      <c r="B60907" s="8"/>
      <c r="C60907" s="99"/>
      <c r="D60907" s="8"/>
      <c r="E60907" s="8"/>
      <c r="F60907" s="8"/>
      <c r="G60907" s="8"/>
      <c r="H60907" s="8"/>
      <c r="I60907" s="102"/>
      <c r="J60907" s="8"/>
      <c r="K60907" s="8"/>
      <c r="L60907" s="8"/>
      <c r="M60907" s="8"/>
      <c r="N60907" s="8"/>
      <c r="O60907" s="8"/>
      <c r="P60907" s="8"/>
      <c r="Q60907" s="8"/>
      <c r="R60907" s="103"/>
      <c r="S60907" s="8"/>
      <c r="T60907" s="8"/>
      <c r="U60907" s="8"/>
      <c r="V60907" s="8"/>
      <c r="W60907" s="8"/>
      <c r="X60907" s="8"/>
      <c r="Y60907" s="8"/>
      <c r="Z60907" s="8"/>
      <c r="AA60907" s="8"/>
    </row>
    <row r="60908" spans="1:27" x14ac:dyDescent="0.25">
      <c r="A60908" s="8"/>
      <c r="B60908" s="8"/>
      <c r="C60908" s="99"/>
      <c r="D60908" s="8"/>
      <c r="E60908" s="8"/>
      <c r="F60908" s="8"/>
      <c r="G60908" s="8"/>
      <c r="H60908" s="8"/>
      <c r="I60908" s="102"/>
      <c r="J60908" s="8"/>
      <c r="K60908" s="8"/>
      <c r="L60908" s="8"/>
      <c r="M60908" s="8"/>
      <c r="N60908" s="8"/>
      <c r="O60908" s="8"/>
      <c r="P60908" s="8"/>
      <c r="Q60908" s="8"/>
      <c r="R60908" s="103"/>
      <c r="S60908" s="8"/>
      <c r="T60908" s="8"/>
      <c r="U60908" s="8"/>
      <c r="V60908" s="8"/>
      <c r="W60908" s="8"/>
      <c r="X60908" s="8"/>
      <c r="Y60908" s="8"/>
      <c r="Z60908" s="8"/>
      <c r="AA60908" s="8"/>
    </row>
    <row r="60909" spans="1:27" x14ac:dyDescent="0.25">
      <c r="A60909" s="8"/>
      <c r="B60909" s="8"/>
      <c r="C60909" s="99"/>
      <c r="D60909" s="8"/>
      <c r="E60909" s="8"/>
      <c r="F60909" s="8"/>
      <c r="G60909" s="8"/>
      <c r="H60909" s="8"/>
      <c r="I60909" s="102"/>
      <c r="J60909" s="8"/>
      <c r="K60909" s="8"/>
      <c r="L60909" s="8"/>
      <c r="M60909" s="8"/>
      <c r="N60909" s="8"/>
      <c r="O60909" s="8"/>
      <c r="P60909" s="8"/>
      <c r="Q60909" s="8"/>
      <c r="R60909" s="103"/>
      <c r="S60909" s="8"/>
      <c r="T60909" s="8"/>
      <c r="U60909" s="8"/>
      <c r="V60909" s="8"/>
      <c r="W60909" s="8"/>
      <c r="X60909" s="8"/>
      <c r="Y60909" s="8"/>
      <c r="Z60909" s="8"/>
      <c r="AA60909" s="8"/>
    </row>
    <row r="60910" spans="1:27" x14ac:dyDescent="0.25">
      <c r="A60910" s="8"/>
      <c r="B60910" s="8"/>
      <c r="C60910" s="99"/>
      <c r="D60910" s="8"/>
      <c r="E60910" s="8"/>
      <c r="F60910" s="8"/>
      <c r="G60910" s="8"/>
      <c r="H60910" s="8"/>
      <c r="I60910" s="102"/>
      <c r="J60910" s="8"/>
      <c r="K60910" s="8"/>
      <c r="L60910" s="8"/>
      <c r="M60910" s="8"/>
      <c r="N60910" s="8"/>
      <c r="O60910" s="8"/>
      <c r="P60910" s="8"/>
      <c r="Q60910" s="8"/>
      <c r="R60910" s="103"/>
      <c r="S60910" s="8"/>
      <c r="T60910" s="8"/>
      <c r="U60910" s="8"/>
      <c r="V60910" s="8"/>
      <c r="W60910" s="8"/>
      <c r="X60910" s="8"/>
      <c r="Y60910" s="8"/>
      <c r="Z60910" s="8"/>
      <c r="AA60910" s="8"/>
    </row>
    <row r="60911" spans="1:27" x14ac:dyDescent="0.25">
      <c r="A60911" s="8"/>
      <c r="B60911" s="8"/>
      <c r="C60911" s="99"/>
      <c r="D60911" s="8"/>
      <c r="E60911" s="8"/>
      <c r="F60911" s="8"/>
      <c r="G60911" s="8"/>
      <c r="H60911" s="8"/>
      <c r="I60911" s="102"/>
      <c r="J60911" s="8"/>
      <c r="K60911" s="8"/>
      <c r="L60911" s="8"/>
      <c r="M60911" s="8"/>
      <c r="N60911" s="8"/>
      <c r="O60911" s="8"/>
      <c r="P60911" s="8"/>
      <c r="Q60911" s="8"/>
      <c r="R60911" s="103"/>
      <c r="S60911" s="8"/>
      <c r="T60911" s="8"/>
      <c r="U60911" s="8"/>
      <c r="V60911" s="8"/>
      <c r="W60911" s="8"/>
      <c r="X60911" s="8"/>
      <c r="Y60911" s="8"/>
      <c r="Z60911" s="8"/>
      <c r="AA60911" s="8"/>
    </row>
    <row r="60912" spans="1:27" x14ac:dyDescent="0.25">
      <c r="A60912" s="8"/>
      <c r="B60912" s="8"/>
      <c r="C60912" s="99"/>
      <c r="D60912" s="8"/>
      <c r="E60912" s="8"/>
      <c r="F60912" s="8"/>
      <c r="G60912" s="8"/>
      <c r="H60912" s="8"/>
      <c r="I60912" s="102"/>
      <c r="J60912" s="8"/>
      <c r="K60912" s="8"/>
      <c r="L60912" s="8"/>
      <c r="M60912" s="8"/>
      <c r="N60912" s="8"/>
      <c r="O60912" s="8"/>
      <c r="P60912" s="8"/>
      <c r="Q60912" s="8"/>
      <c r="R60912" s="103"/>
      <c r="S60912" s="8"/>
      <c r="T60912" s="8"/>
      <c r="U60912" s="8"/>
      <c r="V60912" s="8"/>
      <c r="W60912" s="8"/>
      <c r="X60912" s="8"/>
      <c r="Y60912" s="8"/>
      <c r="Z60912" s="8"/>
      <c r="AA60912" s="8"/>
    </row>
    <row r="60913" spans="1:27" x14ac:dyDescent="0.25">
      <c r="A60913" s="8"/>
      <c r="B60913" s="8"/>
      <c r="C60913" s="99"/>
      <c r="D60913" s="8"/>
      <c r="E60913" s="8"/>
      <c r="F60913" s="8"/>
      <c r="G60913" s="8"/>
      <c r="H60913" s="8"/>
      <c r="I60913" s="102"/>
      <c r="J60913" s="8"/>
      <c r="K60913" s="8"/>
      <c r="L60913" s="8"/>
      <c r="M60913" s="8"/>
      <c r="N60913" s="8"/>
      <c r="O60913" s="8"/>
      <c r="P60913" s="8"/>
      <c r="Q60913" s="8"/>
      <c r="R60913" s="103"/>
      <c r="S60913" s="8"/>
      <c r="T60913" s="8"/>
      <c r="U60913" s="8"/>
      <c r="V60913" s="8"/>
      <c r="W60913" s="8"/>
      <c r="X60913" s="8"/>
      <c r="Y60913" s="8"/>
      <c r="Z60913" s="8"/>
      <c r="AA60913" s="8"/>
    </row>
    <row r="60914" spans="1:27" x14ac:dyDescent="0.25">
      <c r="A60914" s="8"/>
      <c r="B60914" s="8"/>
      <c r="C60914" s="99"/>
      <c r="D60914" s="8"/>
      <c r="E60914" s="8"/>
      <c r="F60914" s="8"/>
      <c r="G60914" s="8"/>
      <c r="H60914" s="8"/>
      <c r="I60914" s="102"/>
      <c r="J60914" s="8"/>
      <c r="K60914" s="8"/>
      <c r="L60914" s="8"/>
      <c r="M60914" s="8"/>
      <c r="N60914" s="8"/>
      <c r="O60914" s="8"/>
      <c r="P60914" s="8"/>
      <c r="Q60914" s="8"/>
      <c r="R60914" s="103"/>
      <c r="S60914" s="8"/>
      <c r="T60914" s="8"/>
      <c r="U60914" s="8"/>
      <c r="V60914" s="8"/>
      <c r="W60914" s="8"/>
      <c r="X60914" s="8"/>
      <c r="Y60914" s="8"/>
      <c r="Z60914" s="8"/>
      <c r="AA60914" s="8"/>
    </row>
    <row r="60915" spans="1:27" x14ac:dyDescent="0.25">
      <c r="A60915" s="8"/>
      <c r="B60915" s="8"/>
      <c r="C60915" s="99"/>
      <c r="D60915" s="8"/>
      <c r="E60915" s="8"/>
      <c r="F60915" s="8"/>
      <c r="G60915" s="8"/>
      <c r="H60915" s="8"/>
      <c r="I60915" s="102"/>
      <c r="J60915" s="8"/>
      <c r="K60915" s="8"/>
      <c r="L60915" s="8"/>
      <c r="M60915" s="8"/>
      <c r="N60915" s="8"/>
      <c r="O60915" s="8"/>
      <c r="P60915" s="8"/>
      <c r="Q60915" s="8"/>
      <c r="R60915" s="103"/>
      <c r="S60915" s="8"/>
      <c r="T60915" s="8"/>
      <c r="U60915" s="8"/>
      <c r="V60915" s="8"/>
      <c r="W60915" s="8"/>
      <c r="X60915" s="8"/>
      <c r="Y60915" s="8"/>
      <c r="Z60915" s="8"/>
      <c r="AA60915" s="8"/>
    </row>
    <row r="60916" spans="1:27" x14ac:dyDescent="0.25">
      <c r="A60916" s="8"/>
      <c r="B60916" s="8"/>
      <c r="C60916" s="99"/>
      <c r="D60916" s="8"/>
      <c r="E60916" s="8"/>
      <c r="F60916" s="8"/>
      <c r="G60916" s="8"/>
      <c r="H60916" s="8"/>
      <c r="I60916" s="102"/>
      <c r="J60916" s="8"/>
      <c r="K60916" s="8"/>
      <c r="L60916" s="8"/>
      <c r="M60916" s="8"/>
      <c r="N60916" s="8"/>
      <c r="O60916" s="8"/>
      <c r="P60916" s="8"/>
      <c r="Q60916" s="8"/>
      <c r="R60916" s="103"/>
      <c r="S60916" s="8"/>
      <c r="T60916" s="8"/>
      <c r="U60916" s="8"/>
      <c r="V60916" s="8"/>
      <c r="W60916" s="8"/>
      <c r="X60916" s="8"/>
      <c r="Y60916" s="8"/>
      <c r="Z60916" s="8"/>
      <c r="AA60916" s="8"/>
    </row>
    <row r="60917" spans="1:27" x14ac:dyDescent="0.25">
      <c r="A60917" s="8"/>
      <c r="B60917" s="8"/>
      <c r="C60917" s="99"/>
      <c r="D60917" s="8"/>
      <c r="E60917" s="8"/>
      <c r="F60917" s="8"/>
      <c r="G60917" s="8"/>
      <c r="H60917" s="8"/>
      <c r="I60917" s="102"/>
      <c r="J60917" s="8"/>
      <c r="K60917" s="8"/>
      <c r="L60917" s="8"/>
      <c r="M60917" s="8"/>
      <c r="N60917" s="8"/>
      <c r="O60917" s="8"/>
      <c r="P60917" s="8"/>
      <c r="Q60917" s="8"/>
      <c r="R60917" s="103"/>
      <c r="S60917" s="8"/>
      <c r="T60917" s="8"/>
      <c r="U60917" s="8"/>
      <c r="V60917" s="8"/>
      <c r="W60917" s="8"/>
      <c r="X60917" s="8"/>
      <c r="Y60917" s="8"/>
      <c r="Z60917" s="8"/>
      <c r="AA60917" s="8"/>
    </row>
    <row r="60918" spans="1:27" x14ac:dyDescent="0.25">
      <c r="A60918" s="8"/>
      <c r="B60918" s="8"/>
      <c r="C60918" s="99"/>
      <c r="D60918" s="8"/>
      <c r="E60918" s="8"/>
      <c r="F60918" s="8"/>
      <c r="G60918" s="8"/>
      <c r="H60918" s="8"/>
      <c r="I60918" s="102"/>
      <c r="J60918" s="8"/>
      <c r="K60918" s="8"/>
      <c r="L60918" s="8"/>
      <c r="M60918" s="8"/>
      <c r="N60918" s="8"/>
      <c r="O60918" s="8"/>
      <c r="P60918" s="8"/>
      <c r="Q60918" s="8"/>
      <c r="R60918" s="103"/>
      <c r="S60918" s="8"/>
      <c r="T60918" s="8"/>
      <c r="U60918" s="8"/>
      <c r="V60918" s="8"/>
      <c r="W60918" s="8"/>
      <c r="X60918" s="8"/>
      <c r="Y60918" s="8"/>
      <c r="Z60918" s="8"/>
      <c r="AA60918" s="8"/>
    </row>
    <row r="60919" spans="1:27" x14ac:dyDescent="0.25">
      <c r="A60919" s="8"/>
      <c r="B60919" s="8"/>
      <c r="C60919" s="99"/>
      <c r="D60919" s="8"/>
      <c r="E60919" s="8"/>
      <c r="F60919" s="8"/>
      <c r="G60919" s="8"/>
      <c r="H60919" s="8"/>
      <c r="I60919" s="102"/>
      <c r="J60919" s="8"/>
      <c r="K60919" s="8"/>
      <c r="L60919" s="8"/>
      <c r="M60919" s="8"/>
      <c r="N60919" s="8"/>
      <c r="O60919" s="8"/>
      <c r="P60919" s="8"/>
      <c r="Q60919" s="8"/>
      <c r="R60919" s="103"/>
      <c r="S60919" s="8"/>
      <c r="T60919" s="8"/>
      <c r="U60919" s="8"/>
      <c r="V60919" s="8"/>
      <c r="W60919" s="8"/>
      <c r="X60919" s="8"/>
      <c r="Y60919" s="8"/>
      <c r="Z60919" s="8"/>
      <c r="AA60919" s="8"/>
    </row>
    <row r="60920" spans="1:27" x14ac:dyDescent="0.25">
      <c r="A60920" s="8"/>
      <c r="B60920" s="8"/>
      <c r="C60920" s="99"/>
      <c r="D60920" s="8"/>
      <c r="E60920" s="8"/>
      <c r="F60920" s="8"/>
      <c r="G60920" s="8"/>
      <c r="H60920" s="8"/>
      <c r="I60920" s="102"/>
      <c r="J60920" s="8"/>
      <c r="K60920" s="8"/>
      <c r="L60920" s="8"/>
      <c r="M60920" s="8"/>
      <c r="N60920" s="8"/>
      <c r="O60920" s="8"/>
      <c r="P60920" s="8"/>
      <c r="Q60920" s="8"/>
      <c r="R60920" s="103"/>
      <c r="S60920" s="8"/>
      <c r="T60920" s="8"/>
      <c r="U60920" s="8"/>
      <c r="V60920" s="8"/>
      <c r="W60920" s="8"/>
      <c r="X60920" s="8"/>
      <c r="Y60920" s="8"/>
      <c r="Z60920" s="8"/>
      <c r="AA60920" s="8"/>
    </row>
    <row r="60921" spans="1:27" x14ac:dyDescent="0.25">
      <c r="A60921" s="8"/>
      <c r="B60921" s="8"/>
      <c r="C60921" s="99"/>
      <c r="D60921" s="8"/>
      <c r="E60921" s="8"/>
      <c r="F60921" s="8"/>
      <c r="G60921" s="8"/>
      <c r="H60921" s="8"/>
      <c r="I60921" s="102"/>
      <c r="J60921" s="8"/>
      <c r="K60921" s="8"/>
      <c r="L60921" s="8"/>
      <c r="M60921" s="8"/>
      <c r="N60921" s="8"/>
      <c r="O60921" s="8"/>
      <c r="P60921" s="8"/>
      <c r="Q60921" s="8"/>
      <c r="R60921" s="103"/>
      <c r="S60921" s="8"/>
      <c r="T60921" s="8"/>
      <c r="U60921" s="8"/>
      <c r="V60921" s="8"/>
      <c r="W60921" s="8"/>
      <c r="X60921" s="8"/>
      <c r="Y60921" s="8"/>
      <c r="Z60921" s="8"/>
      <c r="AA60921" s="8"/>
    </row>
    <row r="60922" spans="1:27" x14ac:dyDescent="0.25">
      <c r="A60922" s="8"/>
      <c r="B60922" s="8"/>
      <c r="C60922" s="99"/>
      <c r="D60922" s="8"/>
      <c r="E60922" s="8"/>
      <c r="F60922" s="8"/>
      <c r="G60922" s="8"/>
      <c r="H60922" s="8"/>
      <c r="I60922" s="102"/>
      <c r="J60922" s="8"/>
      <c r="K60922" s="8"/>
      <c r="L60922" s="8"/>
      <c r="M60922" s="8"/>
      <c r="N60922" s="8"/>
      <c r="O60922" s="8"/>
      <c r="P60922" s="8"/>
      <c r="Q60922" s="8"/>
      <c r="R60922" s="103"/>
      <c r="S60922" s="8"/>
      <c r="T60922" s="8"/>
      <c r="U60922" s="8"/>
      <c r="V60922" s="8"/>
      <c r="W60922" s="8"/>
      <c r="X60922" s="8"/>
      <c r="Y60922" s="8"/>
      <c r="Z60922" s="8"/>
      <c r="AA60922" s="8"/>
    </row>
    <row r="60923" spans="1:27" x14ac:dyDescent="0.25">
      <c r="A60923" s="8"/>
      <c r="B60923" s="8"/>
      <c r="C60923" s="99"/>
      <c r="D60923" s="8"/>
      <c r="E60923" s="8"/>
      <c r="F60923" s="8"/>
      <c r="G60923" s="8"/>
      <c r="H60923" s="8"/>
      <c r="I60923" s="102"/>
      <c r="J60923" s="8"/>
      <c r="K60923" s="8"/>
      <c r="L60923" s="8"/>
      <c r="M60923" s="8"/>
      <c r="N60923" s="8"/>
      <c r="O60923" s="8"/>
      <c r="P60923" s="8"/>
      <c r="Q60923" s="8"/>
      <c r="R60923" s="103"/>
      <c r="S60923" s="8"/>
      <c r="T60923" s="8"/>
      <c r="U60923" s="8"/>
      <c r="V60923" s="8"/>
      <c r="W60923" s="8"/>
      <c r="X60923" s="8"/>
      <c r="Y60923" s="8"/>
      <c r="Z60923" s="8"/>
      <c r="AA60923" s="8"/>
    </row>
    <row r="60924" spans="1:27" x14ac:dyDescent="0.25">
      <c r="A60924" s="8"/>
      <c r="B60924" s="8"/>
      <c r="C60924" s="99"/>
      <c r="D60924" s="8"/>
      <c r="E60924" s="8"/>
      <c r="F60924" s="8"/>
      <c r="G60924" s="8"/>
      <c r="H60924" s="8"/>
      <c r="I60924" s="102"/>
      <c r="J60924" s="8"/>
      <c r="K60924" s="8"/>
      <c r="L60924" s="8"/>
      <c r="M60924" s="8"/>
      <c r="N60924" s="8"/>
      <c r="O60924" s="8"/>
      <c r="P60924" s="8"/>
      <c r="Q60924" s="8"/>
      <c r="R60924" s="103"/>
      <c r="S60924" s="8"/>
      <c r="T60924" s="8"/>
      <c r="U60924" s="8"/>
      <c r="V60924" s="8"/>
      <c r="W60924" s="8"/>
      <c r="X60924" s="8"/>
      <c r="Y60924" s="8"/>
      <c r="Z60924" s="8"/>
      <c r="AA60924" s="8"/>
    </row>
    <row r="60925" spans="1:27" x14ac:dyDescent="0.25">
      <c r="A60925" s="8"/>
      <c r="B60925" s="8"/>
      <c r="C60925" s="99"/>
      <c r="D60925" s="8"/>
      <c r="E60925" s="8"/>
      <c r="F60925" s="8"/>
      <c r="G60925" s="8"/>
      <c r="H60925" s="8"/>
      <c r="I60925" s="102"/>
      <c r="J60925" s="8"/>
      <c r="K60925" s="8"/>
      <c r="L60925" s="8"/>
      <c r="M60925" s="8"/>
      <c r="N60925" s="8"/>
      <c r="O60925" s="8"/>
      <c r="P60925" s="8"/>
      <c r="Q60925" s="8"/>
      <c r="R60925" s="103"/>
      <c r="S60925" s="8"/>
      <c r="T60925" s="8"/>
      <c r="U60925" s="8"/>
      <c r="V60925" s="8"/>
      <c r="W60925" s="8"/>
      <c r="X60925" s="8"/>
      <c r="Y60925" s="8"/>
      <c r="Z60925" s="8"/>
      <c r="AA60925" s="8"/>
    </row>
    <row r="60926" spans="1:27" x14ac:dyDescent="0.25">
      <c r="A60926" s="8"/>
      <c r="B60926" s="8"/>
      <c r="C60926" s="99"/>
      <c r="D60926" s="8"/>
      <c r="E60926" s="8"/>
      <c r="F60926" s="8"/>
      <c r="G60926" s="8"/>
      <c r="H60926" s="8"/>
      <c r="I60926" s="102"/>
      <c r="J60926" s="8"/>
      <c r="K60926" s="8"/>
      <c r="L60926" s="8"/>
      <c r="M60926" s="8"/>
      <c r="N60926" s="8"/>
      <c r="O60926" s="8"/>
      <c r="P60926" s="8"/>
      <c r="Q60926" s="8"/>
      <c r="R60926" s="103"/>
      <c r="S60926" s="8"/>
      <c r="T60926" s="8"/>
      <c r="U60926" s="8"/>
      <c r="V60926" s="8"/>
      <c r="W60926" s="8"/>
      <c r="X60926" s="8"/>
      <c r="Y60926" s="8"/>
      <c r="Z60926" s="8"/>
      <c r="AA60926" s="8"/>
    </row>
    <row r="60927" spans="1:27" x14ac:dyDescent="0.25">
      <c r="A60927" s="8"/>
      <c r="B60927" s="8"/>
      <c r="C60927" s="99"/>
      <c r="D60927" s="8"/>
      <c r="E60927" s="8"/>
      <c r="F60927" s="8"/>
      <c r="G60927" s="8"/>
      <c r="H60927" s="8"/>
      <c r="I60927" s="102"/>
      <c r="J60927" s="8"/>
      <c r="K60927" s="8"/>
      <c r="L60927" s="8"/>
      <c r="M60927" s="8"/>
      <c r="N60927" s="8"/>
      <c r="O60927" s="8"/>
      <c r="P60927" s="8"/>
      <c r="Q60927" s="8"/>
      <c r="R60927" s="103"/>
      <c r="S60927" s="8"/>
      <c r="T60927" s="8"/>
      <c r="U60927" s="8"/>
      <c r="V60927" s="8"/>
      <c r="W60927" s="8"/>
      <c r="X60927" s="8"/>
      <c r="Y60927" s="8"/>
      <c r="Z60927" s="8"/>
      <c r="AA60927" s="8"/>
    </row>
    <row r="60928" spans="1:27" x14ac:dyDescent="0.25">
      <c r="A60928" s="8"/>
      <c r="B60928" s="8"/>
      <c r="C60928" s="99"/>
      <c r="D60928" s="8"/>
      <c r="E60928" s="8"/>
      <c r="F60928" s="8"/>
      <c r="G60928" s="8"/>
      <c r="H60928" s="8"/>
      <c r="I60928" s="102"/>
      <c r="J60928" s="8"/>
      <c r="K60928" s="8"/>
      <c r="L60928" s="8"/>
      <c r="M60928" s="8"/>
      <c r="N60928" s="8"/>
      <c r="O60928" s="8"/>
      <c r="P60928" s="8"/>
      <c r="Q60928" s="8"/>
      <c r="R60928" s="103"/>
      <c r="S60928" s="8"/>
      <c r="T60928" s="8"/>
      <c r="U60928" s="8"/>
      <c r="V60928" s="8"/>
      <c r="W60928" s="8"/>
      <c r="X60928" s="8"/>
      <c r="Y60928" s="8"/>
      <c r="Z60928" s="8"/>
      <c r="AA60928" s="8"/>
    </row>
    <row r="60929" spans="1:27" x14ac:dyDescent="0.25">
      <c r="A60929" s="8"/>
      <c r="B60929" s="8"/>
      <c r="C60929" s="99"/>
      <c r="D60929" s="8"/>
      <c r="E60929" s="8"/>
      <c r="F60929" s="8"/>
      <c r="G60929" s="8"/>
      <c r="H60929" s="8"/>
      <c r="I60929" s="102"/>
      <c r="J60929" s="8"/>
      <c r="K60929" s="8"/>
      <c r="L60929" s="8"/>
      <c r="M60929" s="8"/>
      <c r="N60929" s="8"/>
      <c r="O60929" s="8"/>
      <c r="P60929" s="8"/>
      <c r="Q60929" s="8"/>
      <c r="R60929" s="103"/>
      <c r="S60929" s="8"/>
      <c r="T60929" s="8"/>
      <c r="U60929" s="8"/>
      <c r="V60929" s="8"/>
      <c r="W60929" s="8"/>
      <c r="X60929" s="8"/>
      <c r="Y60929" s="8"/>
      <c r="Z60929" s="8"/>
      <c r="AA60929" s="8"/>
    </row>
    <row r="60930" spans="1:27" x14ac:dyDescent="0.25">
      <c r="A60930" s="8"/>
      <c r="B60930" s="8"/>
      <c r="C60930" s="99"/>
      <c r="D60930" s="8"/>
      <c r="E60930" s="8"/>
      <c r="F60930" s="8"/>
      <c r="G60930" s="8"/>
      <c r="H60930" s="8"/>
      <c r="I60930" s="102"/>
      <c r="J60930" s="8"/>
      <c r="K60930" s="8"/>
      <c r="L60930" s="8"/>
      <c r="M60930" s="8"/>
      <c r="N60930" s="8"/>
      <c r="O60930" s="8"/>
      <c r="P60930" s="8"/>
      <c r="Q60930" s="8"/>
      <c r="R60930" s="103"/>
      <c r="S60930" s="8"/>
      <c r="T60930" s="8"/>
      <c r="U60930" s="8"/>
      <c r="V60930" s="8"/>
      <c r="W60930" s="8"/>
      <c r="X60930" s="8"/>
      <c r="Y60930" s="8"/>
      <c r="Z60930" s="8"/>
      <c r="AA60930" s="8"/>
    </row>
    <row r="60931" spans="1:27" x14ac:dyDescent="0.25">
      <c r="A60931" s="8"/>
      <c r="B60931" s="8"/>
      <c r="C60931" s="99"/>
      <c r="D60931" s="8"/>
      <c r="E60931" s="8"/>
      <c r="F60931" s="8"/>
      <c r="G60931" s="8"/>
      <c r="H60931" s="8"/>
      <c r="I60931" s="102"/>
      <c r="J60931" s="8"/>
      <c r="K60931" s="8"/>
      <c r="L60931" s="8"/>
      <c r="M60931" s="8"/>
      <c r="N60931" s="8"/>
      <c r="O60931" s="8"/>
      <c r="P60931" s="8"/>
      <c r="Q60931" s="8"/>
      <c r="R60931" s="103"/>
      <c r="S60931" s="8"/>
      <c r="T60931" s="8"/>
      <c r="U60931" s="8"/>
      <c r="V60931" s="8"/>
      <c r="W60931" s="8"/>
      <c r="X60931" s="8"/>
      <c r="Y60931" s="8"/>
      <c r="Z60931" s="8"/>
      <c r="AA60931" s="8"/>
    </row>
    <row r="60932" spans="1:27" x14ac:dyDescent="0.25">
      <c r="A60932" s="8"/>
      <c r="B60932" s="8"/>
      <c r="C60932" s="99"/>
      <c r="D60932" s="8"/>
      <c r="E60932" s="8"/>
      <c r="F60932" s="8"/>
      <c r="G60932" s="8"/>
      <c r="H60932" s="8"/>
      <c r="I60932" s="102"/>
      <c r="J60932" s="8"/>
      <c r="K60932" s="8"/>
      <c r="L60932" s="8"/>
      <c r="M60932" s="8"/>
      <c r="N60932" s="8"/>
      <c r="O60932" s="8"/>
      <c r="P60932" s="8"/>
      <c r="Q60932" s="8"/>
      <c r="R60932" s="103"/>
      <c r="S60932" s="8"/>
      <c r="T60932" s="8"/>
      <c r="U60932" s="8"/>
      <c r="V60932" s="8"/>
      <c r="W60932" s="8"/>
      <c r="X60932" s="8"/>
      <c r="Y60932" s="8"/>
      <c r="Z60932" s="8"/>
      <c r="AA60932" s="8"/>
    </row>
    <row r="60933" spans="1:27" x14ac:dyDescent="0.25">
      <c r="A60933" s="8"/>
      <c r="B60933" s="8"/>
      <c r="C60933" s="99"/>
      <c r="D60933" s="8"/>
      <c r="E60933" s="8"/>
      <c r="F60933" s="8"/>
      <c r="G60933" s="8"/>
      <c r="H60933" s="8"/>
      <c r="I60933" s="102"/>
      <c r="J60933" s="8"/>
      <c r="K60933" s="8"/>
      <c r="L60933" s="8"/>
      <c r="M60933" s="8"/>
      <c r="N60933" s="8"/>
      <c r="O60933" s="8"/>
      <c r="P60933" s="8"/>
      <c r="Q60933" s="8"/>
      <c r="R60933" s="103"/>
      <c r="S60933" s="8"/>
      <c r="T60933" s="8"/>
      <c r="U60933" s="8"/>
      <c r="V60933" s="8"/>
      <c r="W60933" s="8"/>
      <c r="X60933" s="8"/>
      <c r="Y60933" s="8"/>
      <c r="Z60933" s="8"/>
      <c r="AA60933" s="8"/>
    </row>
    <row r="60934" spans="1:27" x14ac:dyDescent="0.25">
      <c r="A60934" s="8"/>
      <c r="B60934" s="8"/>
      <c r="C60934" s="99"/>
      <c r="D60934" s="8"/>
      <c r="E60934" s="8"/>
      <c r="F60934" s="8"/>
      <c r="G60934" s="8"/>
      <c r="H60934" s="8"/>
      <c r="I60934" s="102"/>
      <c r="J60934" s="8"/>
      <c r="K60934" s="8"/>
      <c r="L60934" s="8"/>
      <c r="M60934" s="8"/>
      <c r="N60934" s="8"/>
      <c r="O60934" s="8"/>
      <c r="P60934" s="8"/>
      <c r="Q60934" s="8"/>
      <c r="R60934" s="103"/>
      <c r="S60934" s="8"/>
      <c r="T60934" s="8"/>
      <c r="U60934" s="8"/>
      <c r="V60934" s="8"/>
      <c r="W60934" s="8"/>
      <c r="X60934" s="8"/>
      <c r="Y60934" s="8"/>
      <c r="Z60934" s="8"/>
      <c r="AA60934" s="8"/>
    </row>
    <row r="60935" spans="1:27" x14ac:dyDescent="0.25">
      <c r="A60935" s="8"/>
      <c r="B60935" s="8"/>
      <c r="C60935" s="99"/>
      <c r="D60935" s="8"/>
      <c r="E60935" s="8"/>
      <c r="F60935" s="8"/>
      <c r="G60935" s="8"/>
      <c r="H60935" s="8"/>
      <c r="I60935" s="102"/>
      <c r="J60935" s="8"/>
      <c r="K60935" s="8"/>
      <c r="L60935" s="8"/>
      <c r="M60935" s="8"/>
      <c r="N60935" s="8"/>
      <c r="O60935" s="8"/>
      <c r="P60935" s="8"/>
      <c r="Q60935" s="8"/>
      <c r="R60935" s="103"/>
      <c r="S60935" s="8"/>
      <c r="T60935" s="8"/>
      <c r="U60935" s="8"/>
      <c r="V60935" s="8"/>
      <c r="W60935" s="8"/>
      <c r="X60935" s="8"/>
      <c r="Y60935" s="8"/>
      <c r="Z60935" s="8"/>
      <c r="AA60935" s="8"/>
    </row>
    <row r="60936" spans="1:27" x14ac:dyDescent="0.25">
      <c r="A60936" s="8"/>
      <c r="B60936" s="8"/>
      <c r="C60936" s="99"/>
      <c r="D60936" s="8"/>
      <c r="E60936" s="8"/>
      <c r="F60936" s="8"/>
      <c r="G60936" s="8"/>
      <c r="H60936" s="8"/>
      <c r="I60936" s="102"/>
      <c r="J60936" s="8"/>
      <c r="K60936" s="8"/>
      <c r="L60936" s="8"/>
      <c r="M60936" s="8"/>
      <c r="N60936" s="8"/>
      <c r="O60936" s="8"/>
      <c r="P60936" s="8"/>
      <c r="Q60936" s="8"/>
      <c r="R60936" s="103"/>
      <c r="S60936" s="8"/>
      <c r="T60936" s="8"/>
      <c r="U60936" s="8"/>
      <c r="V60936" s="8"/>
      <c r="W60936" s="8"/>
      <c r="X60936" s="8"/>
      <c r="Y60936" s="8"/>
      <c r="Z60936" s="8"/>
      <c r="AA60936" s="8"/>
    </row>
    <row r="60937" spans="1:27" x14ac:dyDescent="0.25">
      <c r="A60937" s="8"/>
      <c r="B60937" s="8"/>
      <c r="C60937" s="99"/>
      <c r="D60937" s="8"/>
      <c r="E60937" s="8"/>
      <c r="F60937" s="8"/>
      <c r="G60937" s="8"/>
      <c r="H60937" s="8"/>
      <c r="I60937" s="102"/>
      <c r="J60937" s="8"/>
      <c r="K60937" s="8"/>
      <c r="L60937" s="8"/>
      <c r="M60937" s="8"/>
      <c r="N60937" s="8"/>
      <c r="O60937" s="8"/>
      <c r="P60937" s="8"/>
      <c r="Q60937" s="8"/>
      <c r="R60937" s="103"/>
      <c r="S60937" s="8"/>
      <c r="T60937" s="8"/>
      <c r="U60937" s="8"/>
      <c r="V60937" s="8"/>
      <c r="W60937" s="8"/>
      <c r="X60937" s="8"/>
      <c r="Y60937" s="8"/>
      <c r="Z60937" s="8"/>
      <c r="AA60937" s="8"/>
    </row>
    <row r="60938" spans="1:27" x14ac:dyDescent="0.25">
      <c r="A60938" s="8"/>
      <c r="B60938" s="8"/>
      <c r="C60938" s="99"/>
      <c r="D60938" s="8"/>
      <c r="E60938" s="8"/>
      <c r="F60938" s="8"/>
      <c r="G60938" s="8"/>
      <c r="H60938" s="8"/>
      <c r="I60938" s="102"/>
      <c r="J60938" s="8"/>
      <c r="K60938" s="8"/>
      <c r="L60938" s="8"/>
      <c r="M60938" s="8"/>
      <c r="N60938" s="8"/>
      <c r="O60938" s="8"/>
      <c r="P60938" s="8"/>
      <c r="Q60938" s="8"/>
      <c r="R60938" s="103"/>
      <c r="S60938" s="8"/>
      <c r="T60938" s="8"/>
      <c r="U60938" s="8"/>
      <c r="V60938" s="8"/>
      <c r="W60938" s="8"/>
      <c r="X60938" s="8"/>
      <c r="Y60938" s="8"/>
      <c r="Z60938" s="8"/>
      <c r="AA60938" s="8"/>
    </row>
    <row r="60939" spans="1:27" x14ac:dyDescent="0.25">
      <c r="A60939" s="8"/>
      <c r="B60939" s="8"/>
      <c r="C60939" s="99"/>
      <c r="D60939" s="8"/>
      <c r="E60939" s="8"/>
      <c r="F60939" s="8"/>
      <c r="G60939" s="8"/>
      <c r="H60939" s="8"/>
      <c r="I60939" s="102"/>
      <c r="J60939" s="8"/>
      <c r="K60939" s="8"/>
      <c r="L60939" s="8"/>
      <c r="M60939" s="8"/>
      <c r="N60939" s="8"/>
      <c r="O60939" s="8"/>
      <c r="P60939" s="8"/>
      <c r="Q60939" s="8"/>
      <c r="R60939" s="103"/>
      <c r="S60939" s="8"/>
      <c r="T60939" s="8"/>
      <c r="U60939" s="8"/>
      <c r="V60939" s="8"/>
      <c r="W60939" s="8"/>
      <c r="X60939" s="8"/>
      <c r="Y60939" s="8"/>
      <c r="Z60939" s="8"/>
      <c r="AA60939" s="8"/>
    </row>
    <row r="60940" spans="1:27" x14ac:dyDescent="0.25">
      <c r="A60940" s="8"/>
      <c r="B60940" s="8"/>
      <c r="C60940" s="99"/>
      <c r="D60940" s="8"/>
      <c r="E60940" s="8"/>
      <c r="F60940" s="8"/>
      <c r="G60940" s="8"/>
      <c r="H60940" s="8"/>
      <c r="I60940" s="102"/>
      <c r="J60940" s="8"/>
      <c r="K60940" s="8"/>
      <c r="L60940" s="8"/>
      <c r="M60940" s="8"/>
      <c r="N60940" s="8"/>
      <c r="O60940" s="8"/>
      <c r="P60940" s="8"/>
      <c r="Q60940" s="8"/>
      <c r="R60940" s="103"/>
      <c r="S60940" s="8"/>
      <c r="T60940" s="8"/>
      <c r="U60940" s="8"/>
      <c r="V60940" s="8"/>
      <c r="W60940" s="8"/>
      <c r="X60940" s="8"/>
      <c r="Y60940" s="8"/>
      <c r="Z60940" s="8"/>
      <c r="AA60940" s="8"/>
    </row>
    <row r="60941" spans="1:27" x14ac:dyDescent="0.25">
      <c r="A60941" s="8"/>
      <c r="B60941" s="8"/>
      <c r="C60941" s="99"/>
      <c r="D60941" s="8"/>
      <c r="E60941" s="8"/>
      <c r="F60941" s="8"/>
      <c r="G60941" s="8"/>
      <c r="H60941" s="8"/>
      <c r="I60941" s="102"/>
      <c r="J60941" s="8"/>
      <c r="K60941" s="8"/>
      <c r="L60941" s="8"/>
      <c r="M60941" s="8"/>
      <c r="N60941" s="8"/>
      <c r="O60941" s="8"/>
      <c r="P60941" s="8"/>
      <c r="Q60941" s="8"/>
      <c r="R60941" s="103"/>
      <c r="S60941" s="8"/>
      <c r="T60941" s="8"/>
      <c r="U60941" s="8"/>
      <c r="V60941" s="8"/>
      <c r="W60941" s="8"/>
      <c r="X60941" s="8"/>
      <c r="Y60941" s="8"/>
      <c r="Z60941" s="8"/>
      <c r="AA60941" s="8"/>
    </row>
    <row r="60942" spans="1:27" x14ac:dyDescent="0.25">
      <c r="A60942" s="8"/>
      <c r="B60942" s="8"/>
      <c r="C60942" s="99"/>
      <c r="D60942" s="8"/>
      <c r="E60942" s="8"/>
      <c r="F60942" s="8"/>
      <c r="G60942" s="8"/>
      <c r="H60942" s="8"/>
      <c r="I60942" s="102"/>
      <c r="J60942" s="8"/>
      <c r="K60942" s="8"/>
      <c r="L60942" s="8"/>
      <c r="M60942" s="8"/>
      <c r="N60942" s="8"/>
      <c r="O60942" s="8"/>
      <c r="P60942" s="8"/>
      <c r="Q60942" s="8"/>
      <c r="R60942" s="103"/>
      <c r="S60942" s="8"/>
      <c r="T60942" s="8"/>
      <c r="U60942" s="8"/>
      <c r="V60942" s="8"/>
      <c r="W60942" s="8"/>
      <c r="X60942" s="8"/>
      <c r="Y60942" s="8"/>
      <c r="Z60942" s="8"/>
      <c r="AA60942" s="8"/>
    </row>
    <row r="60943" spans="1:27" x14ac:dyDescent="0.25">
      <c r="A60943" s="8"/>
      <c r="B60943" s="8"/>
      <c r="C60943" s="99"/>
      <c r="D60943" s="8"/>
      <c r="E60943" s="8"/>
      <c r="F60943" s="8"/>
      <c r="G60943" s="8"/>
      <c r="H60943" s="8"/>
      <c r="I60943" s="102"/>
      <c r="J60943" s="8"/>
      <c r="K60943" s="8"/>
      <c r="L60943" s="8"/>
      <c r="M60943" s="8"/>
      <c r="N60943" s="8"/>
      <c r="O60943" s="8"/>
      <c r="P60943" s="8"/>
      <c r="Q60943" s="8"/>
      <c r="R60943" s="103"/>
      <c r="S60943" s="8"/>
      <c r="T60943" s="8"/>
      <c r="U60943" s="8"/>
      <c r="V60943" s="8"/>
      <c r="W60943" s="8"/>
      <c r="X60943" s="8"/>
      <c r="Y60943" s="8"/>
      <c r="Z60943" s="8"/>
      <c r="AA60943" s="8"/>
    </row>
    <row r="60944" spans="1:27" x14ac:dyDescent="0.25">
      <c r="A60944" s="8"/>
      <c r="B60944" s="8"/>
      <c r="C60944" s="99"/>
      <c r="D60944" s="8"/>
      <c r="E60944" s="8"/>
      <c r="F60944" s="8"/>
      <c r="G60944" s="8"/>
      <c r="H60944" s="8"/>
      <c r="I60944" s="102"/>
      <c r="J60944" s="8"/>
      <c r="K60944" s="8"/>
      <c r="L60944" s="8"/>
      <c r="M60944" s="8"/>
      <c r="N60944" s="8"/>
      <c r="O60944" s="8"/>
      <c r="P60944" s="8"/>
      <c r="Q60944" s="8"/>
      <c r="R60944" s="103"/>
      <c r="S60944" s="8"/>
      <c r="T60944" s="8"/>
      <c r="U60944" s="8"/>
      <c r="V60944" s="8"/>
      <c r="W60944" s="8"/>
      <c r="X60944" s="8"/>
      <c r="Y60944" s="8"/>
      <c r="Z60944" s="8"/>
      <c r="AA60944" s="8"/>
    </row>
    <row r="60945" spans="1:27" x14ac:dyDescent="0.25">
      <c r="A60945" s="8"/>
      <c r="B60945" s="8"/>
      <c r="C60945" s="99"/>
      <c r="D60945" s="8"/>
      <c r="E60945" s="8"/>
      <c r="F60945" s="8"/>
      <c r="G60945" s="8"/>
      <c r="H60945" s="8"/>
      <c r="I60945" s="102"/>
      <c r="J60945" s="8"/>
      <c r="K60945" s="8"/>
      <c r="L60945" s="8"/>
      <c r="M60945" s="8"/>
      <c r="N60945" s="8"/>
      <c r="O60945" s="8"/>
      <c r="P60945" s="8"/>
      <c r="Q60945" s="8"/>
      <c r="R60945" s="103"/>
      <c r="S60945" s="8"/>
      <c r="T60945" s="8"/>
      <c r="U60945" s="8"/>
      <c r="V60945" s="8"/>
      <c r="W60945" s="8"/>
      <c r="X60945" s="8"/>
      <c r="Y60945" s="8"/>
      <c r="Z60945" s="8"/>
      <c r="AA60945" s="8"/>
    </row>
    <row r="60946" spans="1:27" x14ac:dyDescent="0.25">
      <c r="A60946" s="8"/>
      <c r="B60946" s="8"/>
      <c r="C60946" s="99"/>
      <c r="D60946" s="8"/>
      <c r="E60946" s="8"/>
      <c r="F60946" s="8"/>
      <c r="G60946" s="8"/>
      <c r="H60946" s="8"/>
      <c r="I60946" s="102"/>
      <c r="J60946" s="8"/>
      <c r="K60946" s="8"/>
      <c r="L60946" s="8"/>
      <c r="M60946" s="8"/>
      <c r="N60946" s="8"/>
      <c r="O60946" s="8"/>
      <c r="P60946" s="8"/>
      <c r="Q60946" s="8"/>
      <c r="R60946" s="103"/>
      <c r="S60946" s="8"/>
      <c r="T60946" s="8"/>
      <c r="U60946" s="8"/>
      <c r="V60946" s="8"/>
      <c r="W60946" s="8"/>
      <c r="X60946" s="8"/>
      <c r="Y60946" s="8"/>
      <c r="Z60946" s="8"/>
      <c r="AA60946" s="8"/>
    </row>
    <row r="60947" spans="1:27" x14ac:dyDescent="0.25">
      <c r="A60947" s="8"/>
      <c r="B60947" s="8"/>
      <c r="C60947" s="99"/>
      <c r="D60947" s="8"/>
      <c r="E60947" s="8"/>
      <c r="F60947" s="8"/>
      <c r="G60947" s="8"/>
      <c r="H60947" s="8"/>
      <c r="I60947" s="102"/>
      <c r="J60947" s="8"/>
      <c r="K60947" s="8"/>
      <c r="L60947" s="8"/>
      <c r="M60947" s="8"/>
      <c r="N60947" s="8"/>
      <c r="O60947" s="8"/>
      <c r="P60947" s="8"/>
      <c r="Q60947" s="8"/>
      <c r="R60947" s="103"/>
      <c r="S60947" s="8"/>
      <c r="T60947" s="8"/>
      <c r="U60947" s="8"/>
      <c r="V60947" s="8"/>
      <c r="W60947" s="8"/>
      <c r="X60947" s="8"/>
      <c r="Y60947" s="8"/>
      <c r="Z60947" s="8"/>
      <c r="AA60947" s="8"/>
    </row>
    <row r="60948" spans="1:27" x14ac:dyDescent="0.25">
      <c r="A60948" s="8"/>
      <c r="B60948" s="8"/>
      <c r="C60948" s="99"/>
      <c r="D60948" s="8"/>
      <c r="E60948" s="8"/>
      <c r="F60948" s="8"/>
      <c r="G60948" s="8"/>
      <c r="H60948" s="8"/>
      <c r="I60948" s="102"/>
      <c r="J60948" s="8"/>
      <c r="K60948" s="8"/>
      <c r="L60948" s="8"/>
      <c r="M60948" s="8"/>
      <c r="N60948" s="8"/>
      <c r="O60948" s="8"/>
      <c r="P60948" s="8"/>
      <c r="Q60948" s="8"/>
      <c r="R60948" s="103"/>
      <c r="S60948" s="8"/>
      <c r="T60948" s="8"/>
      <c r="U60948" s="8"/>
      <c r="V60948" s="8"/>
      <c r="W60948" s="8"/>
      <c r="X60948" s="8"/>
      <c r="Y60948" s="8"/>
      <c r="Z60948" s="8"/>
      <c r="AA60948" s="8"/>
    </row>
    <row r="60949" spans="1:27" x14ac:dyDescent="0.25">
      <c r="A60949" s="8"/>
      <c r="B60949" s="8"/>
      <c r="C60949" s="99"/>
      <c r="D60949" s="8"/>
      <c r="E60949" s="8"/>
      <c r="F60949" s="8"/>
      <c r="G60949" s="8"/>
      <c r="H60949" s="8"/>
      <c r="I60949" s="102"/>
      <c r="J60949" s="8"/>
      <c r="K60949" s="8"/>
      <c r="L60949" s="8"/>
      <c r="M60949" s="8"/>
      <c r="N60949" s="8"/>
      <c r="O60949" s="8"/>
      <c r="P60949" s="8"/>
      <c r="Q60949" s="8"/>
      <c r="R60949" s="103"/>
      <c r="S60949" s="8"/>
      <c r="T60949" s="8"/>
      <c r="U60949" s="8"/>
      <c r="V60949" s="8"/>
      <c r="W60949" s="8"/>
      <c r="X60949" s="8"/>
      <c r="Y60949" s="8"/>
      <c r="Z60949" s="8"/>
      <c r="AA60949" s="8"/>
    </row>
    <row r="60950" spans="1:27" x14ac:dyDescent="0.25">
      <c r="A60950" s="8"/>
      <c r="B60950" s="8"/>
      <c r="C60950" s="99"/>
      <c r="D60950" s="8"/>
      <c r="E60950" s="8"/>
      <c r="F60950" s="8"/>
      <c r="G60950" s="8"/>
      <c r="H60950" s="8"/>
      <c r="I60950" s="102"/>
      <c r="J60950" s="8"/>
      <c r="K60950" s="8"/>
      <c r="L60950" s="8"/>
      <c r="M60950" s="8"/>
      <c r="N60950" s="8"/>
      <c r="O60950" s="8"/>
      <c r="P60950" s="8"/>
      <c r="Q60950" s="8"/>
      <c r="R60950" s="103"/>
      <c r="S60950" s="8"/>
      <c r="T60950" s="8"/>
      <c r="U60950" s="8"/>
      <c r="V60950" s="8"/>
      <c r="W60950" s="8"/>
      <c r="X60950" s="8"/>
      <c r="Y60950" s="8"/>
      <c r="Z60950" s="8"/>
      <c r="AA60950" s="8"/>
    </row>
    <row r="60951" spans="1:27" x14ac:dyDescent="0.25">
      <c r="A60951" s="8"/>
      <c r="B60951" s="8"/>
      <c r="C60951" s="99"/>
      <c r="D60951" s="8"/>
      <c r="E60951" s="8"/>
      <c r="F60951" s="8"/>
      <c r="G60951" s="8"/>
      <c r="H60951" s="8"/>
      <c r="I60951" s="102"/>
      <c r="J60951" s="8"/>
      <c r="K60951" s="8"/>
      <c r="L60951" s="8"/>
      <c r="M60951" s="8"/>
      <c r="N60951" s="8"/>
      <c r="O60951" s="8"/>
      <c r="P60951" s="8"/>
      <c r="Q60951" s="8"/>
      <c r="R60951" s="103"/>
      <c r="S60951" s="8"/>
      <c r="T60951" s="8"/>
      <c r="U60951" s="8"/>
      <c r="V60951" s="8"/>
      <c r="W60951" s="8"/>
      <c r="X60951" s="8"/>
      <c r="Y60951" s="8"/>
      <c r="Z60951" s="8"/>
      <c r="AA60951" s="8"/>
    </row>
    <row r="60952" spans="1:27" x14ac:dyDescent="0.25">
      <c r="A60952" s="8"/>
      <c r="B60952" s="8"/>
      <c r="C60952" s="99"/>
      <c r="D60952" s="8"/>
      <c r="E60952" s="8"/>
      <c r="F60952" s="8"/>
      <c r="G60952" s="8"/>
      <c r="H60952" s="8"/>
      <c r="I60952" s="102"/>
      <c r="J60952" s="8"/>
      <c r="K60952" s="8"/>
      <c r="L60952" s="8"/>
      <c r="M60952" s="8"/>
      <c r="N60952" s="8"/>
      <c r="O60952" s="8"/>
      <c r="P60952" s="8"/>
      <c r="Q60952" s="8"/>
      <c r="R60952" s="103"/>
      <c r="S60952" s="8"/>
      <c r="T60952" s="8"/>
      <c r="U60952" s="8"/>
      <c r="V60952" s="8"/>
      <c r="W60952" s="8"/>
      <c r="X60952" s="8"/>
      <c r="Y60952" s="8"/>
      <c r="Z60952" s="8"/>
      <c r="AA60952" s="8"/>
    </row>
    <row r="60953" spans="1:27" x14ac:dyDescent="0.25">
      <c r="A60953" s="8"/>
      <c r="B60953" s="8"/>
      <c r="C60953" s="99"/>
      <c r="D60953" s="8"/>
      <c r="E60953" s="8"/>
      <c r="F60953" s="8"/>
      <c r="G60953" s="8"/>
      <c r="H60953" s="8"/>
      <c r="I60953" s="102"/>
      <c r="J60953" s="8"/>
      <c r="K60953" s="8"/>
      <c r="L60953" s="8"/>
      <c r="M60953" s="8"/>
      <c r="N60953" s="8"/>
      <c r="O60953" s="8"/>
      <c r="P60953" s="8"/>
      <c r="Q60953" s="8"/>
      <c r="R60953" s="103"/>
      <c r="S60953" s="8"/>
      <c r="T60953" s="8"/>
      <c r="U60953" s="8"/>
      <c r="V60953" s="8"/>
      <c r="W60953" s="8"/>
      <c r="X60953" s="8"/>
      <c r="Y60953" s="8"/>
      <c r="Z60953" s="8"/>
      <c r="AA60953" s="8"/>
    </row>
    <row r="60954" spans="1:27" x14ac:dyDescent="0.25">
      <c r="A60954" s="8"/>
      <c r="B60954" s="8"/>
      <c r="C60954" s="99"/>
      <c r="D60954" s="8"/>
      <c r="E60954" s="8"/>
      <c r="F60954" s="8"/>
      <c r="G60954" s="8"/>
      <c r="H60954" s="8"/>
      <c r="I60954" s="102"/>
      <c r="J60954" s="8"/>
      <c r="K60954" s="8"/>
      <c r="L60954" s="8"/>
      <c r="M60954" s="8"/>
      <c r="N60954" s="8"/>
      <c r="O60954" s="8"/>
      <c r="P60954" s="8"/>
      <c r="Q60954" s="8"/>
      <c r="R60954" s="103"/>
      <c r="S60954" s="8"/>
      <c r="T60954" s="8"/>
      <c r="U60954" s="8"/>
      <c r="V60954" s="8"/>
      <c r="W60954" s="8"/>
      <c r="X60954" s="8"/>
      <c r="Y60954" s="8"/>
      <c r="Z60954" s="8"/>
      <c r="AA60954" s="8"/>
    </row>
    <row r="60955" spans="1:27" x14ac:dyDescent="0.25">
      <c r="A60955" s="8"/>
      <c r="B60955" s="8"/>
      <c r="C60955" s="99"/>
      <c r="D60955" s="8"/>
      <c r="E60955" s="8"/>
      <c r="F60955" s="8"/>
      <c r="G60955" s="8"/>
      <c r="H60955" s="8"/>
      <c r="I60955" s="102"/>
      <c r="J60955" s="8"/>
      <c r="K60955" s="8"/>
      <c r="L60955" s="8"/>
      <c r="M60955" s="8"/>
      <c r="N60955" s="8"/>
      <c r="O60955" s="8"/>
      <c r="P60955" s="8"/>
      <c r="Q60955" s="8"/>
      <c r="R60955" s="103"/>
      <c r="S60955" s="8"/>
      <c r="T60955" s="8"/>
      <c r="U60955" s="8"/>
      <c r="V60955" s="8"/>
      <c r="W60955" s="8"/>
      <c r="X60955" s="8"/>
      <c r="Y60955" s="8"/>
      <c r="Z60955" s="8"/>
      <c r="AA60955" s="8"/>
    </row>
    <row r="60956" spans="1:27" x14ac:dyDescent="0.25">
      <c r="A60956" s="8"/>
      <c r="B60956" s="8"/>
      <c r="C60956" s="99"/>
      <c r="D60956" s="8"/>
      <c r="E60956" s="8"/>
      <c r="F60956" s="8"/>
      <c r="G60956" s="8"/>
      <c r="H60956" s="8"/>
      <c r="I60956" s="102"/>
      <c r="J60956" s="8"/>
      <c r="K60956" s="8"/>
      <c r="L60956" s="8"/>
      <c r="M60956" s="8"/>
      <c r="N60956" s="8"/>
      <c r="O60956" s="8"/>
      <c r="P60956" s="8"/>
      <c r="Q60956" s="8"/>
      <c r="R60956" s="103"/>
      <c r="S60956" s="8"/>
      <c r="T60956" s="8"/>
      <c r="U60956" s="8"/>
      <c r="V60956" s="8"/>
      <c r="W60956" s="8"/>
      <c r="X60956" s="8"/>
      <c r="Y60956" s="8"/>
      <c r="Z60956" s="8"/>
      <c r="AA60956" s="8"/>
    </row>
    <row r="60957" spans="1:27" x14ac:dyDescent="0.25">
      <c r="A60957" s="8"/>
      <c r="B60957" s="8"/>
      <c r="C60957" s="99"/>
      <c r="D60957" s="8"/>
      <c r="E60957" s="8"/>
      <c r="F60957" s="8"/>
      <c r="G60957" s="8"/>
      <c r="H60957" s="8"/>
      <c r="I60957" s="102"/>
      <c r="J60957" s="8"/>
      <c r="K60957" s="8"/>
      <c r="L60957" s="8"/>
      <c r="M60957" s="8"/>
      <c r="N60957" s="8"/>
      <c r="O60957" s="8"/>
      <c r="P60957" s="8"/>
      <c r="Q60957" s="8"/>
      <c r="R60957" s="103"/>
      <c r="S60957" s="8"/>
      <c r="T60957" s="8"/>
      <c r="U60957" s="8"/>
      <c r="V60957" s="8"/>
      <c r="W60957" s="8"/>
      <c r="X60957" s="8"/>
      <c r="Y60957" s="8"/>
      <c r="Z60957" s="8"/>
      <c r="AA60957" s="8"/>
    </row>
    <row r="60958" spans="1:27" x14ac:dyDescent="0.25">
      <c r="A60958" s="8"/>
      <c r="B60958" s="8"/>
      <c r="C60958" s="99"/>
      <c r="D60958" s="8"/>
      <c r="E60958" s="8"/>
      <c r="F60958" s="8"/>
      <c r="G60958" s="8"/>
      <c r="H60958" s="8"/>
      <c r="I60958" s="102"/>
      <c r="J60958" s="8"/>
      <c r="K60958" s="8"/>
      <c r="L60958" s="8"/>
      <c r="M60958" s="8"/>
      <c r="N60958" s="8"/>
      <c r="O60958" s="8"/>
      <c r="P60958" s="8"/>
      <c r="Q60958" s="8"/>
      <c r="R60958" s="103"/>
      <c r="S60958" s="8"/>
      <c r="T60958" s="8"/>
      <c r="U60958" s="8"/>
      <c r="V60958" s="8"/>
      <c r="W60958" s="8"/>
      <c r="X60958" s="8"/>
      <c r="Y60958" s="8"/>
      <c r="Z60958" s="8"/>
      <c r="AA60958" s="8"/>
    </row>
    <row r="60959" spans="1:27" x14ac:dyDescent="0.25">
      <c r="A60959" s="8"/>
      <c r="B60959" s="8"/>
      <c r="C60959" s="99"/>
      <c r="D60959" s="8"/>
      <c r="E60959" s="8"/>
      <c r="F60959" s="8"/>
      <c r="G60959" s="8"/>
      <c r="H60959" s="8"/>
      <c r="I60959" s="102"/>
      <c r="J60959" s="8"/>
      <c r="K60959" s="8"/>
      <c r="L60959" s="8"/>
      <c r="M60959" s="8"/>
      <c r="N60959" s="8"/>
      <c r="O60959" s="8"/>
      <c r="P60959" s="8"/>
      <c r="Q60959" s="8"/>
      <c r="R60959" s="103"/>
      <c r="S60959" s="8"/>
      <c r="T60959" s="8"/>
      <c r="U60959" s="8"/>
      <c r="V60959" s="8"/>
      <c r="W60959" s="8"/>
      <c r="X60959" s="8"/>
      <c r="Y60959" s="8"/>
      <c r="Z60959" s="8"/>
      <c r="AA60959" s="8"/>
    </row>
    <row r="60960" spans="1:27" x14ac:dyDescent="0.25">
      <c r="A60960" s="8"/>
      <c r="B60960" s="8"/>
      <c r="C60960" s="99"/>
      <c r="D60960" s="8"/>
      <c r="E60960" s="8"/>
      <c r="F60960" s="8"/>
      <c r="G60960" s="8"/>
      <c r="H60960" s="8"/>
      <c r="I60960" s="102"/>
      <c r="J60960" s="8"/>
      <c r="K60960" s="8"/>
      <c r="L60960" s="8"/>
      <c r="M60960" s="8"/>
      <c r="N60960" s="8"/>
      <c r="O60960" s="8"/>
      <c r="P60960" s="8"/>
      <c r="Q60960" s="8"/>
      <c r="R60960" s="103"/>
      <c r="S60960" s="8"/>
      <c r="T60960" s="8"/>
      <c r="U60960" s="8"/>
      <c r="V60960" s="8"/>
      <c r="W60960" s="8"/>
      <c r="X60960" s="8"/>
      <c r="Y60960" s="8"/>
      <c r="Z60960" s="8"/>
      <c r="AA60960" s="8"/>
    </row>
    <row r="60961" spans="1:27" x14ac:dyDescent="0.25">
      <c r="A60961" s="8"/>
      <c r="B60961" s="8"/>
      <c r="C60961" s="99"/>
      <c r="D60961" s="8"/>
      <c r="E60961" s="8"/>
      <c r="F60961" s="8"/>
      <c r="G60961" s="8"/>
      <c r="H60961" s="8"/>
      <c r="I60961" s="102"/>
      <c r="J60961" s="8"/>
      <c r="K60961" s="8"/>
      <c r="L60961" s="8"/>
      <c r="M60961" s="8"/>
      <c r="N60961" s="8"/>
      <c r="O60961" s="8"/>
      <c r="P60961" s="8"/>
      <c r="Q60961" s="8"/>
      <c r="R60961" s="103"/>
      <c r="S60961" s="8"/>
      <c r="T60961" s="8"/>
      <c r="U60961" s="8"/>
      <c r="V60961" s="8"/>
      <c r="W60961" s="8"/>
      <c r="X60961" s="8"/>
      <c r="Y60961" s="8"/>
      <c r="Z60961" s="8"/>
      <c r="AA60961" s="8"/>
    </row>
    <row r="60962" spans="1:27" x14ac:dyDescent="0.25">
      <c r="A60962" s="8"/>
      <c r="B60962" s="8"/>
      <c r="C60962" s="99"/>
      <c r="D60962" s="8"/>
      <c r="E60962" s="8"/>
      <c r="F60962" s="8"/>
      <c r="G60962" s="8"/>
      <c r="H60962" s="8"/>
      <c r="I60962" s="102"/>
      <c r="J60962" s="8"/>
      <c r="K60962" s="8"/>
      <c r="L60962" s="8"/>
      <c r="M60962" s="8"/>
      <c r="N60962" s="8"/>
      <c r="O60962" s="8"/>
      <c r="P60962" s="8"/>
      <c r="Q60962" s="8"/>
      <c r="R60962" s="103"/>
      <c r="S60962" s="8"/>
      <c r="T60962" s="8"/>
      <c r="U60962" s="8"/>
      <c r="V60962" s="8"/>
      <c r="W60962" s="8"/>
      <c r="X60962" s="8"/>
      <c r="Y60962" s="8"/>
      <c r="Z60962" s="8"/>
      <c r="AA60962" s="8"/>
    </row>
    <row r="60963" spans="1:27" x14ac:dyDescent="0.25">
      <c r="A60963" s="8"/>
      <c r="B60963" s="8"/>
      <c r="C60963" s="99"/>
      <c r="D60963" s="8"/>
      <c r="E60963" s="8"/>
      <c r="F60963" s="8"/>
      <c r="G60963" s="8"/>
      <c r="H60963" s="8"/>
      <c r="I60963" s="102"/>
      <c r="J60963" s="8"/>
      <c r="K60963" s="8"/>
      <c r="L60963" s="8"/>
      <c r="M60963" s="8"/>
      <c r="N60963" s="8"/>
      <c r="O60963" s="8"/>
      <c r="P60963" s="8"/>
      <c r="Q60963" s="8"/>
      <c r="R60963" s="103"/>
      <c r="S60963" s="8"/>
      <c r="T60963" s="8"/>
      <c r="U60963" s="8"/>
      <c r="V60963" s="8"/>
      <c r="W60963" s="8"/>
      <c r="X60963" s="8"/>
      <c r="Y60963" s="8"/>
      <c r="Z60963" s="8"/>
      <c r="AA60963" s="8"/>
    </row>
    <row r="60964" spans="1:27" x14ac:dyDescent="0.25">
      <c r="A60964" s="8"/>
      <c r="B60964" s="8"/>
      <c r="C60964" s="99"/>
      <c r="D60964" s="8"/>
      <c r="E60964" s="8"/>
      <c r="F60964" s="8"/>
      <c r="G60964" s="8"/>
      <c r="H60964" s="8"/>
      <c r="I60964" s="102"/>
      <c r="J60964" s="8"/>
      <c r="K60964" s="8"/>
      <c r="L60964" s="8"/>
      <c r="M60964" s="8"/>
      <c r="N60964" s="8"/>
      <c r="O60964" s="8"/>
      <c r="P60964" s="8"/>
      <c r="Q60964" s="8"/>
      <c r="R60964" s="103"/>
      <c r="S60964" s="8"/>
      <c r="T60964" s="8"/>
      <c r="U60964" s="8"/>
      <c r="V60964" s="8"/>
      <c r="W60964" s="8"/>
      <c r="X60964" s="8"/>
      <c r="Y60964" s="8"/>
      <c r="Z60964" s="8"/>
      <c r="AA60964" s="8"/>
    </row>
    <row r="60965" spans="1:27" x14ac:dyDescent="0.25">
      <c r="A60965" s="8"/>
      <c r="B60965" s="8"/>
      <c r="C60965" s="99"/>
      <c r="D60965" s="8"/>
      <c r="E60965" s="8"/>
      <c r="F60965" s="8"/>
      <c r="G60965" s="8"/>
      <c r="H60965" s="8"/>
      <c r="I60965" s="102"/>
      <c r="J60965" s="8"/>
      <c r="K60965" s="8"/>
      <c r="L60965" s="8"/>
      <c r="M60965" s="8"/>
      <c r="N60965" s="8"/>
      <c r="O60965" s="8"/>
      <c r="P60965" s="8"/>
      <c r="Q60965" s="8"/>
      <c r="R60965" s="103"/>
      <c r="S60965" s="8"/>
      <c r="T60965" s="8"/>
      <c r="U60965" s="8"/>
      <c r="V60965" s="8"/>
      <c r="W60965" s="8"/>
      <c r="X60965" s="8"/>
      <c r="Y60965" s="8"/>
      <c r="Z60965" s="8"/>
      <c r="AA60965" s="8"/>
    </row>
    <row r="60966" spans="1:27" x14ac:dyDescent="0.25">
      <c r="A60966" s="8"/>
      <c r="B60966" s="8"/>
      <c r="C60966" s="99"/>
      <c r="D60966" s="8"/>
      <c r="E60966" s="8"/>
      <c r="F60966" s="8"/>
      <c r="G60966" s="8"/>
      <c r="H60966" s="8"/>
      <c r="I60966" s="102"/>
      <c r="J60966" s="8"/>
      <c r="K60966" s="8"/>
      <c r="L60966" s="8"/>
      <c r="M60966" s="8"/>
      <c r="N60966" s="8"/>
      <c r="O60966" s="8"/>
      <c r="P60966" s="8"/>
      <c r="Q60966" s="8"/>
      <c r="R60966" s="103"/>
      <c r="S60966" s="8"/>
      <c r="T60966" s="8"/>
      <c r="U60966" s="8"/>
      <c r="V60966" s="8"/>
      <c r="W60966" s="8"/>
      <c r="X60966" s="8"/>
      <c r="Y60966" s="8"/>
      <c r="Z60966" s="8"/>
      <c r="AA60966" s="8"/>
    </row>
    <row r="60967" spans="1:27" x14ac:dyDescent="0.25">
      <c r="A60967" s="8"/>
      <c r="B60967" s="8"/>
      <c r="C60967" s="99"/>
      <c r="D60967" s="8"/>
      <c r="E60967" s="8"/>
      <c r="F60967" s="8"/>
      <c r="G60967" s="8"/>
      <c r="H60967" s="8"/>
      <c r="I60967" s="102"/>
      <c r="J60967" s="8"/>
      <c r="K60967" s="8"/>
      <c r="L60967" s="8"/>
      <c r="M60967" s="8"/>
      <c r="N60967" s="8"/>
      <c r="O60967" s="8"/>
      <c r="P60967" s="8"/>
      <c r="Q60967" s="8"/>
      <c r="R60967" s="103"/>
      <c r="S60967" s="8"/>
      <c r="T60967" s="8"/>
      <c r="U60967" s="8"/>
      <c r="V60967" s="8"/>
      <c r="W60967" s="8"/>
      <c r="X60967" s="8"/>
      <c r="Y60967" s="8"/>
      <c r="Z60967" s="8"/>
      <c r="AA60967" s="8"/>
    </row>
    <row r="60968" spans="1:27" x14ac:dyDescent="0.25">
      <c r="A60968" s="8"/>
      <c r="B60968" s="8"/>
      <c r="C60968" s="99"/>
      <c r="D60968" s="8"/>
      <c r="E60968" s="8"/>
      <c r="F60968" s="8"/>
      <c r="G60968" s="8"/>
      <c r="H60968" s="8"/>
      <c r="I60968" s="102"/>
      <c r="J60968" s="8"/>
      <c r="K60968" s="8"/>
      <c r="L60968" s="8"/>
      <c r="M60968" s="8"/>
      <c r="N60968" s="8"/>
      <c r="O60968" s="8"/>
      <c r="P60968" s="8"/>
      <c r="Q60968" s="8"/>
      <c r="R60968" s="103"/>
      <c r="S60968" s="8"/>
      <c r="T60968" s="8"/>
      <c r="U60968" s="8"/>
      <c r="V60968" s="8"/>
      <c r="W60968" s="8"/>
      <c r="X60968" s="8"/>
      <c r="Y60968" s="8"/>
      <c r="Z60968" s="8"/>
      <c r="AA60968" s="8"/>
    </row>
    <row r="60969" spans="1:27" x14ac:dyDescent="0.25">
      <c r="A60969" s="8"/>
      <c r="B60969" s="8"/>
      <c r="C60969" s="99"/>
      <c r="D60969" s="8"/>
      <c r="E60969" s="8"/>
      <c r="F60969" s="8"/>
      <c r="G60969" s="8"/>
      <c r="H60969" s="8"/>
      <c r="I60969" s="102"/>
      <c r="J60969" s="8"/>
      <c r="K60969" s="8"/>
      <c r="L60969" s="8"/>
      <c r="M60969" s="8"/>
      <c r="N60969" s="8"/>
      <c r="O60969" s="8"/>
      <c r="P60969" s="8"/>
      <c r="Q60969" s="8"/>
      <c r="R60969" s="103"/>
      <c r="S60969" s="8"/>
      <c r="T60969" s="8"/>
      <c r="U60969" s="8"/>
      <c r="V60969" s="8"/>
      <c r="W60969" s="8"/>
      <c r="X60969" s="8"/>
      <c r="Y60969" s="8"/>
      <c r="Z60969" s="8"/>
      <c r="AA60969" s="8"/>
    </row>
    <row r="60970" spans="1:27" x14ac:dyDescent="0.25">
      <c r="A60970" s="8"/>
      <c r="B60970" s="8"/>
      <c r="C60970" s="99"/>
      <c r="D60970" s="8"/>
      <c r="E60970" s="8"/>
      <c r="F60970" s="8"/>
      <c r="G60970" s="8"/>
      <c r="H60970" s="8"/>
      <c r="I60970" s="102"/>
      <c r="J60970" s="8"/>
      <c r="K60970" s="8"/>
      <c r="L60970" s="8"/>
      <c r="M60970" s="8"/>
      <c r="N60970" s="8"/>
      <c r="O60970" s="8"/>
      <c r="P60970" s="8"/>
      <c r="Q60970" s="8"/>
      <c r="R60970" s="103"/>
      <c r="S60970" s="8"/>
      <c r="T60970" s="8"/>
      <c r="U60970" s="8"/>
      <c r="V60970" s="8"/>
      <c r="W60970" s="8"/>
      <c r="X60970" s="8"/>
      <c r="Y60970" s="8"/>
      <c r="Z60970" s="8"/>
      <c r="AA60970" s="8"/>
    </row>
    <row r="60971" spans="1:27" x14ac:dyDescent="0.25">
      <c r="A60971" s="8"/>
      <c r="B60971" s="8"/>
      <c r="C60971" s="99"/>
      <c r="D60971" s="8"/>
      <c r="E60971" s="8"/>
      <c r="F60971" s="8"/>
      <c r="G60971" s="8"/>
      <c r="H60971" s="8"/>
      <c r="I60971" s="102"/>
      <c r="J60971" s="8"/>
      <c r="K60971" s="8"/>
      <c r="L60971" s="8"/>
      <c r="M60971" s="8"/>
      <c r="N60971" s="8"/>
      <c r="O60971" s="8"/>
      <c r="P60971" s="8"/>
      <c r="Q60971" s="8"/>
      <c r="R60971" s="103"/>
      <c r="S60971" s="8"/>
      <c r="T60971" s="8"/>
      <c r="U60971" s="8"/>
      <c r="V60971" s="8"/>
      <c r="W60971" s="8"/>
      <c r="X60971" s="8"/>
      <c r="Y60971" s="8"/>
      <c r="Z60971" s="8"/>
      <c r="AA60971" s="8"/>
    </row>
    <row r="60972" spans="1:27" x14ac:dyDescent="0.25">
      <c r="A60972" s="8"/>
      <c r="B60972" s="8"/>
      <c r="C60972" s="99"/>
      <c r="D60972" s="8"/>
      <c r="E60972" s="8"/>
      <c r="F60972" s="8"/>
      <c r="G60972" s="8"/>
      <c r="H60972" s="8"/>
      <c r="I60972" s="102"/>
      <c r="J60972" s="8"/>
      <c r="K60972" s="8"/>
      <c r="L60972" s="8"/>
      <c r="M60972" s="8"/>
      <c r="N60972" s="8"/>
      <c r="O60972" s="8"/>
      <c r="P60972" s="8"/>
      <c r="Q60972" s="8"/>
      <c r="R60972" s="103"/>
      <c r="S60972" s="8"/>
      <c r="T60972" s="8"/>
      <c r="U60972" s="8"/>
      <c r="V60972" s="8"/>
      <c r="W60972" s="8"/>
      <c r="X60972" s="8"/>
      <c r="Y60972" s="8"/>
      <c r="Z60972" s="8"/>
      <c r="AA60972" s="8"/>
    </row>
    <row r="60973" spans="1:27" x14ac:dyDescent="0.25">
      <c r="A60973" s="8"/>
      <c r="B60973" s="8"/>
      <c r="C60973" s="99"/>
      <c r="D60973" s="8"/>
      <c r="E60973" s="8"/>
      <c r="F60973" s="8"/>
      <c r="G60973" s="8"/>
      <c r="H60973" s="8"/>
      <c r="I60973" s="102"/>
      <c r="J60973" s="8"/>
      <c r="K60973" s="8"/>
      <c r="L60973" s="8"/>
      <c r="M60973" s="8"/>
      <c r="N60973" s="8"/>
      <c r="O60973" s="8"/>
      <c r="P60973" s="8"/>
      <c r="Q60973" s="8"/>
      <c r="R60973" s="103"/>
      <c r="S60973" s="8"/>
      <c r="T60973" s="8"/>
      <c r="U60973" s="8"/>
      <c r="V60973" s="8"/>
      <c r="W60973" s="8"/>
      <c r="X60973" s="8"/>
      <c r="Y60973" s="8"/>
      <c r="Z60973" s="8"/>
      <c r="AA60973" s="8"/>
    </row>
    <row r="60974" spans="1:27" x14ac:dyDescent="0.25">
      <c r="A60974" s="8"/>
      <c r="B60974" s="8"/>
      <c r="C60974" s="99"/>
      <c r="D60974" s="8"/>
      <c r="E60974" s="8"/>
      <c r="F60974" s="8"/>
      <c r="G60974" s="8"/>
      <c r="H60974" s="8"/>
      <c r="I60974" s="102"/>
      <c r="J60974" s="8"/>
      <c r="K60974" s="8"/>
      <c r="L60974" s="8"/>
      <c r="M60974" s="8"/>
      <c r="N60974" s="8"/>
      <c r="O60974" s="8"/>
      <c r="P60974" s="8"/>
      <c r="Q60974" s="8"/>
      <c r="R60974" s="103"/>
      <c r="S60974" s="8"/>
      <c r="T60974" s="8"/>
      <c r="U60974" s="8"/>
      <c r="V60974" s="8"/>
      <c r="W60974" s="8"/>
      <c r="X60974" s="8"/>
      <c r="Y60974" s="8"/>
      <c r="Z60974" s="8"/>
      <c r="AA60974" s="8"/>
    </row>
    <row r="60975" spans="1:27" x14ac:dyDescent="0.25">
      <c r="A60975" s="8"/>
      <c r="B60975" s="8"/>
      <c r="C60975" s="99"/>
      <c r="D60975" s="8"/>
      <c r="E60975" s="8"/>
      <c r="F60975" s="8"/>
      <c r="G60975" s="8"/>
      <c r="H60975" s="8"/>
      <c r="I60975" s="102"/>
      <c r="J60975" s="8"/>
      <c r="K60975" s="8"/>
      <c r="L60975" s="8"/>
      <c r="M60975" s="8"/>
      <c r="N60975" s="8"/>
      <c r="O60975" s="8"/>
      <c r="P60975" s="8"/>
      <c r="Q60975" s="8"/>
      <c r="R60975" s="103"/>
      <c r="S60975" s="8"/>
      <c r="T60975" s="8"/>
      <c r="U60975" s="8"/>
      <c r="V60975" s="8"/>
      <c r="W60975" s="8"/>
      <c r="X60975" s="8"/>
      <c r="Y60975" s="8"/>
      <c r="Z60975" s="8"/>
      <c r="AA60975" s="8"/>
    </row>
    <row r="60976" spans="1:27" x14ac:dyDescent="0.25">
      <c r="A60976" s="8"/>
      <c r="B60976" s="8"/>
      <c r="C60976" s="99"/>
      <c r="D60976" s="8"/>
      <c r="E60976" s="8"/>
      <c r="F60976" s="8"/>
      <c r="G60976" s="8"/>
      <c r="H60976" s="8"/>
      <c r="I60976" s="102"/>
      <c r="J60976" s="8"/>
      <c r="K60976" s="8"/>
      <c r="L60976" s="8"/>
      <c r="M60976" s="8"/>
      <c r="N60976" s="8"/>
      <c r="O60976" s="8"/>
      <c r="P60976" s="8"/>
      <c r="Q60976" s="8"/>
      <c r="R60976" s="103"/>
      <c r="S60976" s="8"/>
      <c r="T60976" s="8"/>
      <c r="U60976" s="8"/>
      <c r="V60976" s="8"/>
      <c r="W60976" s="8"/>
      <c r="X60976" s="8"/>
      <c r="Y60976" s="8"/>
      <c r="Z60976" s="8"/>
      <c r="AA60976" s="8"/>
    </row>
    <row r="60977" spans="1:27" x14ac:dyDescent="0.25">
      <c r="A60977" s="8"/>
      <c r="B60977" s="8"/>
      <c r="C60977" s="99"/>
      <c r="D60977" s="8"/>
      <c r="E60977" s="8"/>
      <c r="F60977" s="8"/>
      <c r="G60977" s="8"/>
      <c r="H60977" s="8"/>
      <c r="I60977" s="102"/>
      <c r="J60977" s="8"/>
      <c r="K60977" s="8"/>
      <c r="L60977" s="8"/>
      <c r="M60977" s="8"/>
      <c r="N60977" s="8"/>
      <c r="O60977" s="8"/>
      <c r="P60977" s="8"/>
      <c r="Q60977" s="8"/>
      <c r="R60977" s="103"/>
      <c r="S60977" s="8"/>
      <c r="T60977" s="8"/>
      <c r="U60977" s="8"/>
      <c r="V60977" s="8"/>
      <c r="W60977" s="8"/>
      <c r="X60977" s="8"/>
      <c r="Y60977" s="8"/>
      <c r="Z60977" s="8"/>
      <c r="AA60977" s="8"/>
    </row>
    <row r="60978" spans="1:27" x14ac:dyDescent="0.25">
      <c r="A60978" s="8"/>
      <c r="B60978" s="8"/>
      <c r="C60978" s="99"/>
      <c r="D60978" s="8"/>
      <c r="E60978" s="8"/>
      <c r="F60978" s="8"/>
      <c r="G60978" s="8"/>
      <c r="H60978" s="8"/>
      <c r="I60978" s="102"/>
      <c r="J60978" s="8"/>
      <c r="K60978" s="8"/>
      <c r="L60978" s="8"/>
      <c r="M60978" s="8"/>
      <c r="N60978" s="8"/>
      <c r="O60978" s="8"/>
      <c r="P60978" s="8"/>
      <c r="Q60978" s="8"/>
      <c r="R60978" s="103"/>
      <c r="S60978" s="8"/>
      <c r="T60978" s="8"/>
      <c r="U60978" s="8"/>
      <c r="V60978" s="8"/>
      <c r="W60978" s="8"/>
      <c r="X60978" s="8"/>
      <c r="Y60978" s="8"/>
      <c r="Z60978" s="8"/>
      <c r="AA60978" s="8"/>
    </row>
    <row r="60979" spans="1:27" x14ac:dyDescent="0.25">
      <c r="A60979" s="8"/>
      <c r="B60979" s="8"/>
      <c r="C60979" s="99"/>
      <c r="D60979" s="8"/>
      <c r="E60979" s="8"/>
      <c r="F60979" s="8"/>
      <c r="G60979" s="8"/>
      <c r="H60979" s="8"/>
      <c r="I60979" s="102"/>
      <c r="J60979" s="8"/>
      <c r="K60979" s="8"/>
      <c r="L60979" s="8"/>
      <c r="M60979" s="8"/>
      <c r="N60979" s="8"/>
      <c r="O60979" s="8"/>
      <c r="P60979" s="8"/>
      <c r="Q60979" s="8"/>
      <c r="R60979" s="103"/>
      <c r="S60979" s="8"/>
      <c r="T60979" s="8"/>
      <c r="U60979" s="8"/>
      <c r="V60979" s="8"/>
      <c r="W60979" s="8"/>
      <c r="X60979" s="8"/>
      <c r="Y60979" s="8"/>
      <c r="Z60979" s="8"/>
      <c r="AA60979" s="8"/>
    </row>
    <row r="60980" spans="1:27" x14ac:dyDescent="0.25">
      <c r="A60980" s="8"/>
      <c r="B60980" s="8"/>
      <c r="C60980" s="99"/>
      <c r="D60980" s="8"/>
      <c r="E60980" s="8"/>
      <c r="F60980" s="8"/>
      <c r="G60980" s="8"/>
      <c r="H60980" s="8"/>
      <c r="I60980" s="102"/>
      <c r="J60980" s="8"/>
      <c r="K60980" s="8"/>
      <c r="L60980" s="8"/>
      <c r="M60980" s="8"/>
      <c r="N60980" s="8"/>
      <c r="O60980" s="8"/>
      <c r="P60980" s="8"/>
      <c r="Q60980" s="8"/>
      <c r="R60980" s="103"/>
      <c r="S60980" s="8"/>
      <c r="T60980" s="8"/>
      <c r="U60980" s="8"/>
      <c r="V60980" s="8"/>
      <c r="W60980" s="8"/>
      <c r="X60980" s="8"/>
      <c r="Y60980" s="8"/>
      <c r="Z60980" s="8"/>
      <c r="AA60980" s="8"/>
    </row>
    <row r="60981" spans="1:27" x14ac:dyDescent="0.25">
      <c r="A60981" s="8"/>
      <c r="B60981" s="8"/>
      <c r="C60981" s="99"/>
      <c r="D60981" s="8"/>
      <c r="E60981" s="8"/>
      <c r="F60981" s="8"/>
      <c r="G60981" s="8"/>
      <c r="H60981" s="8"/>
      <c r="I60981" s="102"/>
      <c r="J60981" s="8"/>
      <c r="K60981" s="8"/>
      <c r="L60981" s="8"/>
      <c r="M60981" s="8"/>
      <c r="N60981" s="8"/>
      <c r="O60981" s="8"/>
      <c r="P60981" s="8"/>
      <c r="Q60981" s="8"/>
      <c r="R60981" s="103"/>
      <c r="S60981" s="8"/>
      <c r="T60981" s="8"/>
      <c r="U60981" s="8"/>
      <c r="V60981" s="8"/>
      <c r="W60981" s="8"/>
      <c r="X60981" s="8"/>
      <c r="Y60981" s="8"/>
      <c r="Z60981" s="8"/>
      <c r="AA60981" s="8"/>
    </row>
    <row r="60982" spans="1:27" x14ac:dyDescent="0.25">
      <c r="A60982" s="8"/>
      <c r="B60982" s="8"/>
      <c r="C60982" s="99"/>
      <c r="D60982" s="8"/>
      <c r="E60982" s="8"/>
      <c r="F60982" s="8"/>
      <c r="G60982" s="8"/>
      <c r="H60982" s="8"/>
      <c r="I60982" s="102"/>
      <c r="J60982" s="8"/>
      <c r="K60982" s="8"/>
      <c r="L60982" s="8"/>
      <c r="M60982" s="8"/>
      <c r="N60982" s="8"/>
      <c r="O60982" s="8"/>
      <c r="P60982" s="8"/>
      <c r="Q60982" s="8"/>
      <c r="R60982" s="103"/>
      <c r="S60982" s="8"/>
      <c r="T60982" s="8"/>
      <c r="U60982" s="8"/>
      <c r="V60982" s="8"/>
      <c r="W60982" s="8"/>
      <c r="X60982" s="8"/>
      <c r="Y60982" s="8"/>
      <c r="Z60982" s="8"/>
      <c r="AA60982" s="8"/>
    </row>
    <row r="60983" spans="1:27" x14ac:dyDescent="0.25">
      <c r="A60983" s="8"/>
      <c r="B60983" s="8"/>
      <c r="C60983" s="99"/>
      <c r="D60983" s="8"/>
      <c r="E60983" s="8"/>
      <c r="F60983" s="8"/>
      <c r="G60983" s="8"/>
      <c r="H60983" s="8"/>
      <c r="I60983" s="102"/>
      <c r="J60983" s="8"/>
      <c r="K60983" s="8"/>
      <c r="L60983" s="8"/>
      <c r="M60983" s="8"/>
      <c r="N60983" s="8"/>
      <c r="O60983" s="8"/>
      <c r="P60983" s="8"/>
      <c r="Q60983" s="8"/>
      <c r="R60983" s="103"/>
      <c r="S60983" s="8"/>
      <c r="T60983" s="8"/>
      <c r="U60983" s="8"/>
      <c r="V60983" s="8"/>
      <c r="W60983" s="8"/>
      <c r="X60983" s="8"/>
      <c r="Y60983" s="8"/>
      <c r="Z60983" s="8"/>
      <c r="AA60983" s="8"/>
    </row>
    <row r="60984" spans="1:27" x14ac:dyDescent="0.25">
      <c r="A60984" s="8"/>
      <c r="B60984" s="8"/>
      <c r="C60984" s="99"/>
      <c r="D60984" s="8"/>
      <c r="E60984" s="8"/>
      <c r="F60984" s="8"/>
      <c r="G60984" s="8"/>
      <c r="H60984" s="8"/>
      <c r="I60984" s="102"/>
      <c r="J60984" s="8"/>
      <c r="K60984" s="8"/>
      <c r="L60984" s="8"/>
      <c r="M60984" s="8"/>
      <c r="N60984" s="8"/>
      <c r="O60984" s="8"/>
      <c r="P60984" s="8"/>
      <c r="Q60984" s="8"/>
      <c r="R60984" s="103"/>
      <c r="S60984" s="8"/>
      <c r="T60984" s="8"/>
      <c r="U60984" s="8"/>
      <c r="V60984" s="8"/>
      <c r="W60984" s="8"/>
      <c r="X60984" s="8"/>
      <c r="Y60984" s="8"/>
      <c r="Z60984" s="8"/>
      <c r="AA60984" s="8"/>
    </row>
    <row r="60985" spans="1:27" x14ac:dyDescent="0.25">
      <c r="A60985" s="8"/>
      <c r="B60985" s="8"/>
      <c r="C60985" s="99"/>
      <c r="D60985" s="8"/>
      <c r="E60985" s="8"/>
      <c r="F60985" s="8"/>
      <c r="G60985" s="8"/>
      <c r="H60985" s="8"/>
      <c r="I60985" s="102"/>
      <c r="J60985" s="8"/>
      <c r="K60985" s="8"/>
      <c r="L60985" s="8"/>
      <c r="M60985" s="8"/>
      <c r="N60985" s="8"/>
      <c r="O60985" s="8"/>
      <c r="P60985" s="8"/>
      <c r="Q60985" s="8"/>
      <c r="R60985" s="103"/>
      <c r="S60985" s="8"/>
      <c r="T60985" s="8"/>
      <c r="U60985" s="8"/>
      <c r="V60985" s="8"/>
      <c r="W60985" s="8"/>
      <c r="X60985" s="8"/>
      <c r="Y60985" s="8"/>
      <c r="Z60985" s="8"/>
      <c r="AA60985" s="8"/>
    </row>
    <row r="60986" spans="1:27" x14ac:dyDescent="0.25">
      <c r="A60986" s="8"/>
      <c r="B60986" s="8"/>
      <c r="C60986" s="99"/>
      <c r="D60986" s="8"/>
      <c r="E60986" s="8"/>
      <c r="F60986" s="8"/>
      <c r="G60986" s="8"/>
      <c r="H60986" s="8"/>
      <c r="I60986" s="102"/>
      <c r="J60986" s="8"/>
      <c r="K60986" s="8"/>
      <c r="L60986" s="8"/>
      <c r="M60986" s="8"/>
      <c r="N60986" s="8"/>
      <c r="O60986" s="8"/>
      <c r="P60986" s="8"/>
      <c r="Q60986" s="8"/>
      <c r="R60986" s="103"/>
      <c r="S60986" s="8"/>
      <c r="T60986" s="8"/>
      <c r="U60986" s="8"/>
      <c r="V60986" s="8"/>
      <c r="W60986" s="8"/>
      <c r="X60986" s="8"/>
      <c r="Y60986" s="8"/>
      <c r="Z60986" s="8"/>
      <c r="AA60986" s="8"/>
    </row>
    <row r="60987" spans="1:27" x14ac:dyDescent="0.25">
      <c r="A60987" s="8"/>
      <c r="B60987" s="8"/>
      <c r="C60987" s="99"/>
      <c r="D60987" s="8"/>
      <c r="E60987" s="8"/>
      <c r="F60987" s="8"/>
      <c r="G60987" s="8"/>
      <c r="H60987" s="8"/>
      <c r="I60987" s="102"/>
      <c r="J60987" s="8"/>
      <c r="K60987" s="8"/>
      <c r="L60987" s="8"/>
      <c r="M60987" s="8"/>
      <c r="N60987" s="8"/>
      <c r="O60987" s="8"/>
      <c r="P60987" s="8"/>
      <c r="Q60987" s="8"/>
      <c r="R60987" s="103"/>
      <c r="S60987" s="8"/>
      <c r="T60987" s="8"/>
      <c r="U60987" s="8"/>
      <c r="V60987" s="8"/>
      <c r="W60987" s="8"/>
      <c r="X60987" s="8"/>
      <c r="Y60987" s="8"/>
      <c r="Z60987" s="8"/>
      <c r="AA60987" s="8"/>
    </row>
    <row r="60988" spans="1:27" x14ac:dyDescent="0.25">
      <c r="A60988" s="8"/>
      <c r="B60988" s="8"/>
      <c r="C60988" s="99"/>
      <c r="D60988" s="8"/>
      <c r="E60988" s="8"/>
      <c r="F60988" s="8"/>
      <c r="G60988" s="8"/>
      <c r="H60988" s="8"/>
      <c r="I60988" s="102"/>
      <c r="J60988" s="8"/>
      <c r="K60988" s="8"/>
      <c r="L60988" s="8"/>
      <c r="M60988" s="8"/>
      <c r="N60988" s="8"/>
      <c r="O60988" s="8"/>
      <c r="P60988" s="8"/>
      <c r="Q60988" s="8"/>
      <c r="R60988" s="103"/>
      <c r="S60988" s="8"/>
      <c r="T60988" s="8"/>
      <c r="U60988" s="8"/>
      <c r="V60988" s="8"/>
      <c r="W60988" s="8"/>
      <c r="X60988" s="8"/>
      <c r="Y60988" s="8"/>
      <c r="Z60988" s="8"/>
      <c r="AA60988" s="8"/>
    </row>
    <row r="60989" spans="1:27" x14ac:dyDescent="0.25">
      <c r="A60989" s="8"/>
      <c r="B60989" s="8"/>
      <c r="C60989" s="99"/>
      <c r="D60989" s="8"/>
      <c r="E60989" s="8"/>
      <c r="F60989" s="8"/>
      <c r="G60989" s="8"/>
      <c r="H60989" s="8"/>
      <c r="I60989" s="102"/>
      <c r="J60989" s="8"/>
      <c r="K60989" s="8"/>
      <c r="L60989" s="8"/>
      <c r="M60989" s="8"/>
      <c r="N60989" s="8"/>
      <c r="O60989" s="8"/>
      <c r="P60989" s="8"/>
      <c r="Q60989" s="8"/>
      <c r="R60989" s="103"/>
      <c r="S60989" s="8"/>
      <c r="T60989" s="8"/>
      <c r="U60989" s="8"/>
      <c r="V60989" s="8"/>
      <c r="W60989" s="8"/>
      <c r="X60989" s="8"/>
      <c r="Y60989" s="8"/>
      <c r="Z60989" s="8"/>
      <c r="AA60989" s="8"/>
    </row>
    <row r="60990" spans="1:27" x14ac:dyDescent="0.25">
      <c r="A60990" s="8"/>
      <c r="B60990" s="8"/>
      <c r="C60990" s="99"/>
      <c r="D60990" s="8"/>
      <c r="E60990" s="8"/>
      <c r="F60990" s="8"/>
      <c r="G60990" s="8"/>
      <c r="H60990" s="8"/>
      <c r="I60990" s="102"/>
      <c r="J60990" s="8"/>
      <c r="K60990" s="8"/>
      <c r="L60990" s="8"/>
      <c r="M60990" s="8"/>
      <c r="N60990" s="8"/>
      <c r="O60990" s="8"/>
      <c r="P60990" s="8"/>
      <c r="Q60990" s="8"/>
      <c r="R60990" s="103"/>
      <c r="S60990" s="8"/>
      <c r="T60990" s="8"/>
      <c r="U60990" s="8"/>
      <c r="V60990" s="8"/>
      <c r="W60990" s="8"/>
      <c r="X60990" s="8"/>
      <c r="Y60990" s="8"/>
      <c r="Z60990" s="8"/>
      <c r="AA60990" s="8"/>
    </row>
    <row r="60991" spans="1:27" x14ac:dyDescent="0.25">
      <c r="A60991" s="8"/>
      <c r="B60991" s="8"/>
      <c r="C60991" s="99"/>
      <c r="D60991" s="8"/>
      <c r="E60991" s="8"/>
      <c r="F60991" s="8"/>
      <c r="G60991" s="8"/>
      <c r="H60991" s="8"/>
      <c r="I60991" s="102"/>
      <c r="J60991" s="8"/>
      <c r="K60991" s="8"/>
      <c r="L60991" s="8"/>
      <c r="M60991" s="8"/>
      <c r="N60991" s="8"/>
      <c r="O60991" s="8"/>
      <c r="P60991" s="8"/>
      <c r="Q60991" s="8"/>
      <c r="R60991" s="103"/>
      <c r="S60991" s="8"/>
      <c r="T60991" s="8"/>
      <c r="U60991" s="8"/>
      <c r="V60991" s="8"/>
      <c r="W60991" s="8"/>
      <c r="X60991" s="8"/>
      <c r="Y60991" s="8"/>
      <c r="Z60991" s="8"/>
      <c r="AA60991" s="8"/>
    </row>
    <row r="60992" spans="1:27" x14ac:dyDescent="0.25">
      <c r="A60992" s="8"/>
      <c r="B60992" s="8"/>
      <c r="C60992" s="99"/>
      <c r="D60992" s="8"/>
      <c r="E60992" s="8"/>
      <c r="F60992" s="8"/>
      <c r="G60992" s="8"/>
      <c r="H60992" s="8"/>
      <c r="I60992" s="102"/>
      <c r="J60992" s="8"/>
      <c r="K60992" s="8"/>
      <c r="L60992" s="8"/>
      <c r="M60992" s="8"/>
      <c r="N60992" s="8"/>
      <c r="O60992" s="8"/>
      <c r="P60992" s="8"/>
      <c r="Q60992" s="8"/>
      <c r="R60992" s="103"/>
      <c r="S60992" s="8"/>
      <c r="T60992" s="8"/>
      <c r="U60992" s="8"/>
      <c r="V60992" s="8"/>
      <c r="W60992" s="8"/>
      <c r="X60992" s="8"/>
      <c r="Y60992" s="8"/>
      <c r="Z60992" s="8"/>
      <c r="AA60992" s="8"/>
    </row>
    <row r="60993" spans="1:27" x14ac:dyDescent="0.25">
      <c r="A60993" s="8"/>
      <c r="B60993" s="8"/>
      <c r="C60993" s="99"/>
      <c r="D60993" s="8"/>
      <c r="E60993" s="8"/>
      <c r="F60993" s="8"/>
      <c r="G60993" s="8"/>
      <c r="H60993" s="8"/>
      <c r="I60993" s="102"/>
      <c r="J60993" s="8"/>
      <c r="K60993" s="8"/>
      <c r="L60993" s="8"/>
      <c r="M60993" s="8"/>
      <c r="N60993" s="8"/>
      <c r="O60993" s="8"/>
      <c r="P60993" s="8"/>
      <c r="Q60993" s="8"/>
      <c r="R60993" s="103"/>
      <c r="S60993" s="8"/>
      <c r="T60993" s="8"/>
      <c r="U60993" s="8"/>
      <c r="V60993" s="8"/>
      <c r="W60993" s="8"/>
      <c r="X60993" s="8"/>
      <c r="Y60993" s="8"/>
      <c r="Z60993" s="8"/>
      <c r="AA60993" s="8"/>
    </row>
    <row r="60994" spans="1:27" x14ac:dyDescent="0.25">
      <c r="A60994" s="8"/>
      <c r="B60994" s="8"/>
      <c r="C60994" s="99"/>
      <c r="D60994" s="8"/>
      <c r="E60994" s="8"/>
      <c r="F60994" s="8"/>
      <c r="G60994" s="8"/>
      <c r="H60994" s="8"/>
      <c r="I60994" s="102"/>
      <c r="J60994" s="8"/>
      <c r="K60994" s="8"/>
      <c r="L60994" s="8"/>
      <c r="M60994" s="8"/>
      <c r="N60994" s="8"/>
      <c r="O60994" s="8"/>
      <c r="P60994" s="8"/>
      <c r="Q60994" s="8"/>
      <c r="R60994" s="103"/>
      <c r="S60994" s="8"/>
      <c r="T60994" s="8"/>
      <c r="U60994" s="8"/>
      <c r="V60994" s="8"/>
      <c r="W60994" s="8"/>
      <c r="X60994" s="8"/>
      <c r="Y60994" s="8"/>
      <c r="Z60994" s="8"/>
      <c r="AA60994" s="8"/>
    </row>
    <row r="60995" spans="1:27" x14ac:dyDescent="0.25">
      <c r="A60995" s="8"/>
      <c r="B60995" s="8"/>
      <c r="C60995" s="99"/>
      <c r="D60995" s="8"/>
      <c r="E60995" s="8"/>
      <c r="F60995" s="8"/>
      <c r="G60995" s="8"/>
      <c r="H60995" s="8"/>
      <c r="I60995" s="102"/>
      <c r="J60995" s="8"/>
      <c r="K60995" s="8"/>
      <c r="L60995" s="8"/>
      <c r="M60995" s="8"/>
      <c r="N60995" s="8"/>
      <c r="O60995" s="8"/>
      <c r="P60995" s="8"/>
      <c r="Q60995" s="8"/>
      <c r="R60995" s="103"/>
      <c r="S60995" s="8"/>
      <c r="T60995" s="8"/>
      <c r="U60995" s="8"/>
      <c r="V60995" s="8"/>
      <c r="W60995" s="8"/>
      <c r="X60995" s="8"/>
      <c r="Y60995" s="8"/>
      <c r="Z60995" s="8"/>
      <c r="AA60995" s="8"/>
    </row>
    <row r="60996" spans="1:27" x14ac:dyDescent="0.25">
      <c r="A60996" s="8"/>
      <c r="B60996" s="8"/>
      <c r="C60996" s="99"/>
      <c r="D60996" s="8"/>
      <c r="E60996" s="8"/>
      <c r="F60996" s="8"/>
      <c r="G60996" s="8"/>
      <c r="H60996" s="8"/>
      <c r="I60996" s="102"/>
      <c r="J60996" s="8"/>
      <c r="K60996" s="8"/>
      <c r="L60996" s="8"/>
      <c r="M60996" s="8"/>
      <c r="N60996" s="8"/>
      <c r="O60996" s="8"/>
      <c r="P60996" s="8"/>
      <c r="Q60996" s="8"/>
      <c r="R60996" s="103"/>
      <c r="S60996" s="8"/>
      <c r="T60996" s="8"/>
      <c r="U60996" s="8"/>
      <c r="V60996" s="8"/>
      <c r="W60996" s="8"/>
      <c r="X60996" s="8"/>
      <c r="Y60996" s="8"/>
      <c r="Z60996" s="8"/>
      <c r="AA60996" s="8"/>
    </row>
    <row r="60997" spans="1:27" x14ac:dyDescent="0.25">
      <c r="A60997" s="8"/>
      <c r="B60997" s="8"/>
      <c r="C60997" s="99"/>
      <c r="D60997" s="8"/>
      <c r="E60997" s="8"/>
      <c r="F60997" s="8"/>
      <c r="G60997" s="8"/>
      <c r="H60997" s="8"/>
      <c r="I60997" s="102"/>
      <c r="J60997" s="8"/>
      <c r="K60997" s="8"/>
      <c r="L60997" s="8"/>
      <c r="M60997" s="8"/>
      <c r="N60997" s="8"/>
      <c r="O60997" s="8"/>
      <c r="P60997" s="8"/>
      <c r="Q60997" s="8"/>
      <c r="R60997" s="103"/>
      <c r="S60997" s="8"/>
      <c r="T60997" s="8"/>
      <c r="U60997" s="8"/>
      <c r="V60997" s="8"/>
      <c r="W60997" s="8"/>
      <c r="X60997" s="8"/>
      <c r="Y60997" s="8"/>
      <c r="Z60997" s="8"/>
      <c r="AA60997" s="8"/>
    </row>
    <row r="60998" spans="1:27" x14ac:dyDescent="0.25">
      <c r="A60998" s="8"/>
      <c r="B60998" s="8"/>
      <c r="C60998" s="99"/>
      <c r="D60998" s="8"/>
      <c r="E60998" s="8"/>
      <c r="F60998" s="8"/>
      <c r="G60998" s="8"/>
      <c r="H60998" s="8"/>
      <c r="I60998" s="102"/>
      <c r="J60998" s="8"/>
      <c r="K60998" s="8"/>
      <c r="L60998" s="8"/>
      <c r="M60998" s="8"/>
      <c r="N60998" s="8"/>
      <c r="O60998" s="8"/>
      <c r="P60998" s="8"/>
      <c r="Q60998" s="8"/>
      <c r="R60998" s="103"/>
      <c r="S60998" s="8"/>
      <c r="T60998" s="8"/>
      <c r="U60998" s="8"/>
      <c r="V60998" s="8"/>
      <c r="W60998" s="8"/>
      <c r="X60998" s="8"/>
      <c r="Y60998" s="8"/>
      <c r="Z60998" s="8"/>
      <c r="AA60998" s="8"/>
    </row>
    <row r="60999" spans="1:27" x14ac:dyDescent="0.25">
      <c r="A60999" s="8"/>
      <c r="B60999" s="8"/>
      <c r="C60999" s="99"/>
      <c r="D60999" s="8"/>
      <c r="E60999" s="8"/>
      <c r="F60999" s="8"/>
      <c r="G60999" s="8"/>
      <c r="H60999" s="8"/>
      <c r="I60999" s="102"/>
      <c r="J60999" s="8"/>
      <c r="K60999" s="8"/>
      <c r="L60999" s="8"/>
      <c r="M60999" s="8"/>
      <c r="N60999" s="8"/>
      <c r="O60999" s="8"/>
      <c r="P60999" s="8"/>
      <c r="Q60999" s="8"/>
      <c r="R60999" s="103"/>
      <c r="S60999" s="8"/>
      <c r="T60999" s="8"/>
      <c r="U60999" s="8"/>
      <c r="V60999" s="8"/>
      <c r="W60999" s="8"/>
      <c r="X60999" s="8"/>
      <c r="Y60999" s="8"/>
      <c r="Z60999" s="8"/>
      <c r="AA60999" s="8"/>
    </row>
    <row r="61000" spans="1:27" x14ac:dyDescent="0.25">
      <c r="A61000" s="8"/>
      <c r="B61000" s="8"/>
      <c r="C61000" s="99"/>
      <c r="D61000" s="8"/>
      <c r="E61000" s="8"/>
      <c r="F61000" s="8"/>
      <c r="G61000" s="8"/>
      <c r="H61000" s="8"/>
      <c r="I61000" s="102"/>
      <c r="J61000" s="8"/>
      <c r="K61000" s="8"/>
      <c r="L61000" s="8"/>
      <c r="M61000" s="8"/>
      <c r="N61000" s="8"/>
      <c r="O61000" s="8"/>
      <c r="P61000" s="8"/>
      <c r="Q61000" s="8"/>
      <c r="R61000" s="103"/>
      <c r="S61000" s="8"/>
      <c r="T61000" s="8"/>
      <c r="U61000" s="8"/>
      <c r="V61000" s="8"/>
      <c r="W61000" s="8"/>
      <c r="X61000" s="8"/>
      <c r="Y61000" s="8"/>
      <c r="Z61000" s="8"/>
      <c r="AA61000" s="8"/>
    </row>
    <row r="61001" spans="1:27" x14ac:dyDescent="0.25">
      <c r="A61001" s="8"/>
      <c r="B61001" s="8"/>
      <c r="C61001" s="99"/>
      <c r="D61001" s="8"/>
      <c r="E61001" s="8"/>
      <c r="F61001" s="8"/>
      <c r="G61001" s="8"/>
      <c r="H61001" s="8"/>
      <c r="I61001" s="102"/>
      <c r="J61001" s="8"/>
      <c r="K61001" s="8"/>
      <c r="L61001" s="8"/>
      <c r="M61001" s="8"/>
      <c r="N61001" s="8"/>
      <c r="O61001" s="8"/>
      <c r="P61001" s="8"/>
      <c r="Q61001" s="8"/>
      <c r="R61001" s="103"/>
      <c r="S61001" s="8"/>
      <c r="T61001" s="8"/>
      <c r="U61001" s="8"/>
      <c r="V61001" s="8"/>
      <c r="W61001" s="8"/>
      <c r="X61001" s="8"/>
      <c r="Y61001" s="8"/>
      <c r="Z61001" s="8"/>
      <c r="AA61001" s="8"/>
    </row>
    <row r="61002" spans="1:27" x14ac:dyDescent="0.25">
      <c r="A61002" s="8"/>
      <c r="B61002" s="8"/>
      <c r="C61002" s="99"/>
      <c r="D61002" s="8"/>
      <c r="E61002" s="8"/>
      <c r="F61002" s="8"/>
      <c r="G61002" s="8"/>
      <c r="H61002" s="8"/>
      <c r="I61002" s="102"/>
      <c r="J61002" s="8"/>
      <c r="K61002" s="8"/>
      <c r="L61002" s="8"/>
      <c r="M61002" s="8"/>
      <c r="N61002" s="8"/>
      <c r="O61002" s="8"/>
      <c r="P61002" s="8"/>
      <c r="Q61002" s="8"/>
      <c r="R61002" s="103"/>
      <c r="S61002" s="8"/>
      <c r="T61002" s="8"/>
      <c r="U61002" s="8"/>
      <c r="V61002" s="8"/>
      <c r="W61002" s="8"/>
      <c r="X61002" s="8"/>
      <c r="Y61002" s="8"/>
      <c r="Z61002" s="8"/>
      <c r="AA61002" s="8"/>
    </row>
    <row r="61003" spans="1:27" x14ac:dyDescent="0.25">
      <c r="A61003" s="8"/>
      <c r="B61003" s="8"/>
      <c r="C61003" s="99"/>
      <c r="D61003" s="8"/>
      <c r="E61003" s="8"/>
      <c r="F61003" s="8"/>
      <c r="G61003" s="8"/>
      <c r="H61003" s="8"/>
      <c r="I61003" s="102"/>
      <c r="J61003" s="8"/>
      <c r="K61003" s="8"/>
      <c r="L61003" s="8"/>
      <c r="M61003" s="8"/>
      <c r="N61003" s="8"/>
      <c r="O61003" s="8"/>
      <c r="P61003" s="8"/>
      <c r="Q61003" s="8"/>
      <c r="R61003" s="103"/>
      <c r="S61003" s="8"/>
      <c r="T61003" s="8"/>
      <c r="U61003" s="8"/>
      <c r="V61003" s="8"/>
      <c r="W61003" s="8"/>
      <c r="X61003" s="8"/>
      <c r="Y61003" s="8"/>
      <c r="Z61003" s="8"/>
      <c r="AA61003" s="8"/>
    </row>
    <row r="61004" spans="1:27" x14ac:dyDescent="0.25">
      <c r="A61004" s="8"/>
      <c r="B61004" s="8"/>
      <c r="C61004" s="99"/>
      <c r="D61004" s="8"/>
      <c r="E61004" s="8"/>
      <c r="F61004" s="8"/>
      <c r="G61004" s="8"/>
      <c r="H61004" s="8"/>
      <c r="I61004" s="102"/>
      <c r="J61004" s="8"/>
      <c r="K61004" s="8"/>
      <c r="L61004" s="8"/>
      <c r="M61004" s="8"/>
      <c r="N61004" s="8"/>
      <c r="O61004" s="8"/>
      <c r="P61004" s="8"/>
      <c r="Q61004" s="8"/>
      <c r="R61004" s="103"/>
      <c r="S61004" s="8"/>
      <c r="T61004" s="8"/>
      <c r="U61004" s="8"/>
      <c r="V61004" s="8"/>
      <c r="W61004" s="8"/>
      <c r="X61004" s="8"/>
      <c r="Y61004" s="8"/>
      <c r="Z61004" s="8"/>
      <c r="AA61004" s="8"/>
    </row>
    <row r="61005" spans="1:27" x14ac:dyDescent="0.25">
      <c r="A61005" s="8"/>
      <c r="B61005" s="8"/>
      <c r="C61005" s="99"/>
      <c r="D61005" s="8"/>
      <c r="E61005" s="8"/>
      <c r="F61005" s="8"/>
      <c r="G61005" s="8"/>
      <c r="H61005" s="8"/>
      <c r="I61005" s="102"/>
      <c r="J61005" s="8"/>
      <c r="K61005" s="8"/>
      <c r="L61005" s="8"/>
      <c r="M61005" s="8"/>
      <c r="N61005" s="8"/>
      <c r="O61005" s="8"/>
      <c r="P61005" s="8"/>
      <c r="Q61005" s="8"/>
      <c r="R61005" s="103"/>
      <c r="S61005" s="8"/>
      <c r="T61005" s="8"/>
      <c r="U61005" s="8"/>
      <c r="V61005" s="8"/>
      <c r="W61005" s="8"/>
      <c r="X61005" s="8"/>
      <c r="Y61005" s="8"/>
      <c r="Z61005" s="8"/>
      <c r="AA61005" s="8"/>
    </row>
    <row r="61006" spans="1:27" x14ac:dyDescent="0.25">
      <c r="A61006" s="8"/>
      <c r="B61006" s="8"/>
      <c r="C61006" s="99"/>
      <c r="D61006" s="8"/>
      <c r="E61006" s="8"/>
      <c r="F61006" s="8"/>
      <c r="G61006" s="8"/>
      <c r="H61006" s="8"/>
      <c r="I61006" s="102"/>
      <c r="J61006" s="8"/>
      <c r="K61006" s="8"/>
      <c r="L61006" s="8"/>
      <c r="M61006" s="8"/>
      <c r="N61006" s="8"/>
      <c r="O61006" s="8"/>
      <c r="P61006" s="8"/>
      <c r="Q61006" s="8"/>
      <c r="R61006" s="103"/>
      <c r="S61006" s="8"/>
      <c r="T61006" s="8"/>
      <c r="U61006" s="8"/>
      <c r="V61006" s="8"/>
      <c r="W61006" s="8"/>
      <c r="X61006" s="8"/>
      <c r="Y61006" s="8"/>
      <c r="Z61006" s="8"/>
      <c r="AA61006" s="8"/>
    </row>
    <row r="61007" spans="1:27" x14ac:dyDescent="0.25">
      <c r="A61007" s="8"/>
      <c r="B61007" s="8"/>
      <c r="C61007" s="99"/>
      <c r="D61007" s="8"/>
      <c r="E61007" s="8"/>
      <c r="F61007" s="8"/>
      <c r="G61007" s="8"/>
      <c r="H61007" s="8"/>
      <c r="I61007" s="102"/>
      <c r="J61007" s="8"/>
      <c r="K61007" s="8"/>
      <c r="L61007" s="8"/>
      <c r="M61007" s="8"/>
      <c r="N61007" s="8"/>
      <c r="O61007" s="8"/>
      <c r="P61007" s="8"/>
      <c r="Q61007" s="8"/>
      <c r="R61007" s="103"/>
      <c r="S61007" s="8"/>
      <c r="T61007" s="8"/>
      <c r="U61007" s="8"/>
      <c r="V61007" s="8"/>
      <c r="W61007" s="8"/>
      <c r="X61007" s="8"/>
      <c r="Y61007" s="8"/>
      <c r="Z61007" s="8"/>
      <c r="AA61007" s="8"/>
    </row>
    <row r="61008" spans="1:27" x14ac:dyDescent="0.25">
      <c r="A61008" s="8"/>
      <c r="B61008" s="8"/>
      <c r="C61008" s="99"/>
      <c r="D61008" s="8"/>
      <c r="E61008" s="8"/>
      <c r="F61008" s="8"/>
      <c r="G61008" s="8"/>
      <c r="H61008" s="8"/>
      <c r="I61008" s="102"/>
      <c r="J61008" s="8"/>
      <c r="K61008" s="8"/>
      <c r="L61008" s="8"/>
      <c r="M61008" s="8"/>
      <c r="N61008" s="8"/>
      <c r="O61008" s="8"/>
      <c r="P61008" s="8"/>
      <c r="Q61008" s="8"/>
      <c r="R61008" s="103"/>
      <c r="S61008" s="8"/>
      <c r="T61008" s="8"/>
      <c r="U61008" s="8"/>
      <c r="V61008" s="8"/>
      <c r="W61008" s="8"/>
      <c r="X61008" s="8"/>
      <c r="Y61008" s="8"/>
      <c r="Z61008" s="8"/>
      <c r="AA61008" s="8"/>
    </row>
    <row r="61009" spans="1:27" x14ac:dyDescent="0.25">
      <c r="A61009" s="8"/>
      <c r="B61009" s="8"/>
      <c r="C61009" s="99"/>
      <c r="D61009" s="8"/>
      <c r="E61009" s="8"/>
      <c r="F61009" s="8"/>
      <c r="G61009" s="8"/>
      <c r="H61009" s="8"/>
      <c r="I61009" s="102"/>
      <c r="J61009" s="8"/>
      <c r="K61009" s="8"/>
      <c r="L61009" s="8"/>
      <c r="M61009" s="8"/>
      <c r="N61009" s="8"/>
      <c r="O61009" s="8"/>
      <c r="P61009" s="8"/>
      <c r="Q61009" s="8"/>
      <c r="R61009" s="103"/>
      <c r="S61009" s="8"/>
      <c r="T61009" s="8"/>
      <c r="U61009" s="8"/>
      <c r="V61009" s="8"/>
      <c r="W61009" s="8"/>
      <c r="X61009" s="8"/>
      <c r="Y61009" s="8"/>
      <c r="Z61009" s="8"/>
      <c r="AA61009" s="8"/>
    </row>
    <row r="61010" spans="1:27" x14ac:dyDescent="0.25">
      <c r="A61010" s="8"/>
      <c r="B61010" s="8"/>
      <c r="C61010" s="99"/>
      <c r="D61010" s="8"/>
      <c r="E61010" s="8"/>
      <c r="F61010" s="8"/>
      <c r="G61010" s="8"/>
      <c r="H61010" s="8"/>
      <c r="I61010" s="102"/>
      <c r="J61010" s="8"/>
      <c r="K61010" s="8"/>
      <c r="L61010" s="8"/>
      <c r="M61010" s="8"/>
      <c r="N61010" s="8"/>
      <c r="O61010" s="8"/>
      <c r="P61010" s="8"/>
      <c r="Q61010" s="8"/>
      <c r="R61010" s="103"/>
      <c r="S61010" s="8"/>
      <c r="T61010" s="8"/>
      <c r="U61010" s="8"/>
      <c r="V61010" s="8"/>
      <c r="W61010" s="8"/>
      <c r="X61010" s="8"/>
      <c r="Y61010" s="8"/>
      <c r="Z61010" s="8"/>
      <c r="AA61010" s="8"/>
    </row>
    <row r="61011" spans="1:27" x14ac:dyDescent="0.25">
      <c r="A61011" s="8"/>
      <c r="B61011" s="8"/>
      <c r="C61011" s="99"/>
      <c r="D61011" s="8"/>
      <c r="E61011" s="8"/>
      <c r="F61011" s="8"/>
      <c r="G61011" s="8"/>
      <c r="H61011" s="8"/>
      <c r="I61011" s="102"/>
      <c r="J61011" s="8"/>
      <c r="K61011" s="8"/>
      <c r="L61011" s="8"/>
      <c r="M61011" s="8"/>
      <c r="N61011" s="8"/>
      <c r="O61011" s="8"/>
      <c r="P61011" s="8"/>
      <c r="Q61011" s="8"/>
      <c r="R61011" s="103"/>
      <c r="S61011" s="8"/>
      <c r="T61011" s="8"/>
      <c r="U61011" s="8"/>
      <c r="V61011" s="8"/>
      <c r="W61011" s="8"/>
      <c r="X61011" s="8"/>
      <c r="Y61011" s="8"/>
      <c r="Z61011" s="8"/>
      <c r="AA61011" s="8"/>
    </row>
    <row r="61012" spans="1:27" x14ac:dyDescent="0.25">
      <c r="A61012" s="8"/>
      <c r="B61012" s="8"/>
      <c r="C61012" s="99"/>
      <c r="D61012" s="8"/>
      <c r="E61012" s="8"/>
      <c r="F61012" s="8"/>
      <c r="G61012" s="8"/>
      <c r="H61012" s="8"/>
      <c r="I61012" s="102"/>
      <c r="J61012" s="8"/>
      <c r="K61012" s="8"/>
      <c r="L61012" s="8"/>
      <c r="M61012" s="8"/>
      <c r="N61012" s="8"/>
      <c r="O61012" s="8"/>
      <c r="P61012" s="8"/>
      <c r="Q61012" s="8"/>
      <c r="R61012" s="103"/>
      <c r="S61012" s="8"/>
      <c r="T61012" s="8"/>
      <c r="U61012" s="8"/>
      <c r="V61012" s="8"/>
      <c r="W61012" s="8"/>
      <c r="X61012" s="8"/>
      <c r="Y61012" s="8"/>
      <c r="Z61012" s="8"/>
      <c r="AA61012" s="8"/>
    </row>
    <row r="61013" spans="1:27" x14ac:dyDescent="0.25">
      <c r="A61013" s="8"/>
      <c r="B61013" s="8"/>
      <c r="C61013" s="99"/>
      <c r="D61013" s="8"/>
      <c r="E61013" s="8"/>
      <c r="F61013" s="8"/>
      <c r="G61013" s="8"/>
      <c r="H61013" s="8"/>
      <c r="I61013" s="102"/>
      <c r="J61013" s="8"/>
      <c r="K61013" s="8"/>
      <c r="L61013" s="8"/>
      <c r="M61013" s="8"/>
      <c r="N61013" s="8"/>
      <c r="O61013" s="8"/>
      <c r="P61013" s="8"/>
      <c r="Q61013" s="8"/>
      <c r="R61013" s="103"/>
      <c r="S61013" s="8"/>
      <c r="T61013" s="8"/>
      <c r="U61013" s="8"/>
      <c r="V61013" s="8"/>
      <c r="W61013" s="8"/>
      <c r="X61013" s="8"/>
      <c r="Y61013" s="8"/>
      <c r="Z61013" s="8"/>
      <c r="AA61013" s="8"/>
    </row>
    <row r="61014" spans="1:27" x14ac:dyDescent="0.25">
      <c r="A61014" s="8"/>
      <c r="B61014" s="8"/>
      <c r="C61014" s="99"/>
      <c r="D61014" s="8"/>
      <c r="E61014" s="8"/>
      <c r="F61014" s="8"/>
      <c r="G61014" s="8"/>
      <c r="H61014" s="8"/>
      <c r="I61014" s="102"/>
      <c r="J61014" s="8"/>
      <c r="K61014" s="8"/>
      <c r="L61014" s="8"/>
      <c r="M61014" s="8"/>
      <c r="N61014" s="8"/>
      <c r="O61014" s="8"/>
      <c r="P61014" s="8"/>
      <c r="Q61014" s="8"/>
      <c r="R61014" s="103"/>
      <c r="S61014" s="8"/>
      <c r="T61014" s="8"/>
      <c r="U61014" s="8"/>
      <c r="V61014" s="8"/>
      <c r="W61014" s="8"/>
      <c r="X61014" s="8"/>
      <c r="Y61014" s="8"/>
      <c r="Z61014" s="8"/>
      <c r="AA61014" s="8"/>
    </row>
    <row r="61015" spans="1:27" x14ac:dyDescent="0.25">
      <c r="A61015" s="8"/>
      <c r="B61015" s="8"/>
      <c r="C61015" s="99"/>
      <c r="D61015" s="8"/>
      <c r="E61015" s="8"/>
      <c r="F61015" s="8"/>
      <c r="G61015" s="8"/>
      <c r="H61015" s="8"/>
      <c r="I61015" s="102"/>
      <c r="J61015" s="8"/>
      <c r="K61015" s="8"/>
      <c r="L61015" s="8"/>
      <c r="M61015" s="8"/>
      <c r="N61015" s="8"/>
      <c r="O61015" s="8"/>
      <c r="P61015" s="8"/>
      <c r="Q61015" s="8"/>
      <c r="R61015" s="103"/>
      <c r="S61015" s="8"/>
      <c r="T61015" s="8"/>
      <c r="U61015" s="8"/>
      <c r="V61015" s="8"/>
      <c r="W61015" s="8"/>
      <c r="X61015" s="8"/>
      <c r="Y61015" s="8"/>
      <c r="Z61015" s="8"/>
      <c r="AA61015" s="8"/>
    </row>
    <row r="61016" spans="1:27" x14ac:dyDescent="0.25">
      <c r="A61016" s="8"/>
      <c r="B61016" s="8"/>
      <c r="C61016" s="99"/>
      <c r="D61016" s="8"/>
      <c r="E61016" s="8"/>
      <c r="F61016" s="8"/>
      <c r="G61016" s="8"/>
      <c r="H61016" s="8"/>
      <c r="I61016" s="102"/>
      <c r="J61016" s="8"/>
      <c r="K61016" s="8"/>
      <c r="L61016" s="8"/>
      <c r="M61016" s="8"/>
      <c r="N61016" s="8"/>
      <c r="O61016" s="8"/>
      <c r="P61016" s="8"/>
      <c r="Q61016" s="8"/>
      <c r="R61016" s="103"/>
      <c r="S61016" s="8"/>
      <c r="T61016" s="8"/>
      <c r="U61016" s="8"/>
      <c r="V61016" s="8"/>
      <c r="W61016" s="8"/>
      <c r="X61016" s="8"/>
      <c r="Y61016" s="8"/>
      <c r="Z61016" s="8"/>
      <c r="AA61016" s="8"/>
    </row>
    <row r="61017" spans="1:27" x14ac:dyDescent="0.25">
      <c r="A61017" s="8"/>
      <c r="B61017" s="8"/>
      <c r="C61017" s="99"/>
      <c r="D61017" s="8"/>
      <c r="E61017" s="8"/>
      <c r="F61017" s="8"/>
      <c r="G61017" s="8"/>
      <c r="H61017" s="8"/>
      <c r="I61017" s="102"/>
      <c r="J61017" s="8"/>
      <c r="K61017" s="8"/>
      <c r="L61017" s="8"/>
      <c r="M61017" s="8"/>
      <c r="N61017" s="8"/>
      <c r="O61017" s="8"/>
      <c r="P61017" s="8"/>
      <c r="Q61017" s="8"/>
      <c r="R61017" s="103"/>
      <c r="S61017" s="8"/>
      <c r="T61017" s="8"/>
      <c r="U61017" s="8"/>
      <c r="V61017" s="8"/>
      <c r="W61017" s="8"/>
      <c r="X61017" s="8"/>
      <c r="Y61017" s="8"/>
      <c r="Z61017" s="8"/>
      <c r="AA61017" s="8"/>
    </row>
    <row r="61018" spans="1:27" x14ac:dyDescent="0.25">
      <c r="A61018" s="8"/>
      <c r="B61018" s="8"/>
      <c r="C61018" s="99"/>
      <c r="D61018" s="8"/>
      <c r="E61018" s="8"/>
      <c r="F61018" s="8"/>
      <c r="G61018" s="8"/>
      <c r="H61018" s="8"/>
      <c r="I61018" s="102"/>
      <c r="J61018" s="8"/>
      <c r="K61018" s="8"/>
      <c r="L61018" s="8"/>
      <c r="M61018" s="8"/>
      <c r="N61018" s="8"/>
      <c r="O61018" s="8"/>
      <c r="P61018" s="8"/>
      <c r="Q61018" s="8"/>
      <c r="R61018" s="103"/>
      <c r="S61018" s="8"/>
      <c r="T61018" s="8"/>
      <c r="U61018" s="8"/>
      <c r="V61018" s="8"/>
      <c r="W61018" s="8"/>
      <c r="X61018" s="8"/>
      <c r="Y61018" s="8"/>
      <c r="Z61018" s="8"/>
      <c r="AA61018" s="8"/>
    </row>
    <row r="61019" spans="1:27" x14ac:dyDescent="0.25">
      <c r="A61019" s="8"/>
      <c r="B61019" s="8"/>
      <c r="C61019" s="99"/>
      <c r="D61019" s="8"/>
      <c r="E61019" s="8"/>
      <c r="F61019" s="8"/>
      <c r="G61019" s="8"/>
      <c r="H61019" s="8"/>
      <c r="I61019" s="102"/>
      <c r="J61019" s="8"/>
      <c r="K61019" s="8"/>
      <c r="L61019" s="8"/>
      <c r="M61019" s="8"/>
      <c r="N61019" s="8"/>
      <c r="O61019" s="8"/>
      <c r="P61019" s="8"/>
      <c r="Q61019" s="8"/>
      <c r="R61019" s="103"/>
      <c r="S61019" s="8"/>
      <c r="T61019" s="8"/>
      <c r="U61019" s="8"/>
      <c r="V61019" s="8"/>
      <c r="W61019" s="8"/>
      <c r="X61019" s="8"/>
      <c r="Y61019" s="8"/>
      <c r="Z61019" s="8"/>
      <c r="AA61019" s="8"/>
    </row>
    <row r="61020" spans="1:27" x14ac:dyDescent="0.25">
      <c r="A61020" s="8"/>
      <c r="B61020" s="8"/>
      <c r="C61020" s="99"/>
      <c r="D61020" s="8"/>
      <c r="E61020" s="8"/>
      <c r="F61020" s="8"/>
      <c r="G61020" s="8"/>
      <c r="H61020" s="8"/>
      <c r="I61020" s="102"/>
      <c r="J61020" s="8"/>
      <c r="K61020" s="8"/>
      <c r="L61020" s="8"/>
      <c r="M61020" s="8"/>
      <c r="N61020" s="8"/>
      <c r="O61020" s="8"/>
      <c r="P61020" s="8"/>
      <c r="Q61020" s="8"/>
      <c r="R61020" s="103"/>
      <c r="S61020" s="8"/>
      <c r="T61020" s="8"/>
      <c r="U61020" s="8"/>
      <c r="V61020" s="8"/>
      <c r="W61020" s="8"/>
      <c r="X61020" s="8"/>
      <c r="Y61020" s="8"/>
      <c r="Z61020" s="8"/>
      <c r="AA61020" s="8"/>
    </row>
    <row r="61021" spans="1:27" x14ac:dyDescent="0.25">
      <c r="A61021" s="8"/>
      <c r="B61021" s="8"/>
      <c r="C61021" s="99"/>
      <c r="D61021" s="8"/>
      <c r="E61021" s="8"/>
      <c r="F61021" s="8"/>
      <c r="G61021" s="8"/>
      <c r="H61021" s="8"/>
      <c r="I61021" s="102"/>
      <c r="J61021" s="8"/>
      <c r="K61021" s="8"/>
      <c r="L61021" s="8"/>
      <c r="M61021" s="8"/>
      <c r="N61021" s="8"/>
      <c r="O61021" s="8"/>
      <c r="P61021" s="8"/>
      <c r="Q61021" s="8"/>
      <c r="R61021" s="103"/>
      <c r="S61021" s="8"/>
      <c r="T61021" s="8"/>
      <c r="U61021" s="8"/>
      <c r="V61021" s="8"/>
      <c r="W61021" s="8"/>
      <c r="X61021" s="8"/>
      <c r="Y61021" s="8"/>
      <c r="Z61021" s="8"/>
      <c r="AA61021" s="8"/>
    </row>
    <row r="61022" spans="1:27" x14ac:dyDescent="0.25">
      <c r="A61022" s="8"/>
      <c r="B61022" s="8"/>
      <c r="C61022" s="99"/>
      <c r="D61022" s="8"/>
      <c r="E61022" s="8"/>
      <c r="F61022" s="8"/>
      <c r="G61022" s="8"/>
      <c r="H61022" s="8"/>
      <c r="I61022" s="102"/>
      <c r="J61022" s="8"/>
      <c r="K61022" s="8"/>
      <c r="L61022" s="8"/>
      <c r="M61022" s="8"/>
      <c r="N61022" s="8"/>
      <c r="O61022" s="8"/>
      <c r="P61022" s="8"/>
      <c r="Q61022" s="8"/>
      <c r="R61022" s="103"/>
      <c r="S61022" s="8"/>
      <c r="T61022" s="8"/>
      <c r="U61022" s="8"/>
      <c r="V61022" s="8"/>
      <c r="W61022" s="8"/>
      <c r="X61022" s="8"/>
      <c r="Y61022" s="8"/>
      <c r="Z61022" s="8"/>
      <c r="AA61022" s="8"/>
    </row>
    <row r="61023" spans="1:27" x14ac:dyDescent="0.25">
      <c r="A61023" s="8"/>
      <c r="B61023" s="8"/>
      <c r="C61023" s="99"/>
      <c r="D61023" s="8"/>
      <c r="E61023" s="8"/>
      <c r="F61023" s="8"/>
      <c r="G61023" s="8"/>
      <c r="H61023" s="8"/>
      <c r="I61023" s="102"/>
      <c r="J61023" s="8"/>
      <c r="K61023" s="8"/>
      <c r="L61023" s="8"/>
      <c r="M61023" s="8"/>
      <c r="N61023" s="8"/>
      <c r="O61023" s="8"/>
      <c r="P61023" s="8"/>
      <c r="Q61023" s="8"/>
      <c r="R61023" s="103"/>
      <c r="S61023" s="8"/>
      <c r="T61023" s="8"/>
      <c r="U61023" s="8"/>
      <c r="V61023" s="8"/>
      <c r="W61023" s="8"/>
      <c r="X61023" s="8"/>
      <c r="Y61023" s="8"/>
      <c r="Z61023" s="8"/>
      <c r="AA61023" s="8"/>
    </row>
    <row r="61024" spans="1:27" x14ac:dyDescent="0.25">
      <c r="A61024" s="8"/>
      <c r="B61024" s="8"/>
      <c r="C61024" s="99"/>
      <c r="D61024" s="8"/>
      <c r="E61024" s="8"/>
      <c r="F61024" s="8"/>
      <c r="G61024" s="8"/>
      <c r="H61024" s="8"/>
      <c r="I61024" s="102"/>
      <c r="J61024" s="8"/>
      <c r="K61024" s="8"/>
      <c r="L61024" s="8"/>
      <c r="M61024" s="8"/>
      <c r="N61024" s="8"/>
      <c r="O61024" s="8"/>
      <c r="P61024" s="8"/>
      <c r="Q61024" s="8"/>
      <c r="R61024" s="103"/>
      <c r="S61024" s="8"/>
      <c r="T61024" s="8"/>
      <c r="U61024" s="8"/>
      <c r="V61024" s="8"/>
      <c r="W61024" s="8"/>
      <c r="X61024" s="8"/>
      <c r="Y61024" s="8"/>
      <c r="Z61024" s="8"/>
      <c r="AA61024" s="8"/>
    </row>
    <row r="61025" spans="1:27" x14ac:dyDescent="0.25">
      <c r="A61025" s="8"/>
      <c r="B61025" s="8"/>
      <c r="C61025" s="99"/>
      <c r="D61025" s="8"/>
      <c r="E61025" s="8"/>
      <c r="F61025" s="8"/>
      <c r="G61025" s="8"/>
      <c r="H61025" s="8"/>
      <c r="I61025" s="102"/>
      <c r="J61025" s="8"/>
      <c r="K61025" s="8"/>
      <c r="L61025" s="8"/>
      <c r="M61025" s="8"/>
      <c r="N61025" s="8"/>
      <c r="O61025" s="8"/>
      <c r="P61025" s="8"/>
      <c r="Q61025" s="8"/>
      <c r="R61025" s="103"/>
      <c r="S61025" s="8"/>
      <c r="T61025" s="8"/>
      <c r="U61025" s="8"/>
      <c r="V61025" s="8"/>
      <c r="W61025" s="8"/>
      <c r="X61025" s="8"/>
      <c r="Y61025" s="8"/>
      <c r="Z61025" s="8"/>
      <c r="AA61025" s="8"/>
    </row>
    <row r="61026" spans="1:27" x14ac:dyDescent="0.25">
      <c r="A61026" s="8"/>
      <c r="B61026" s="8"/>
      <c r="C61026" s="99"/>
      <c r="D61026" s="8"/>
      <c r="E61026" s="8"/>
      <c r="F61026" s="8"/>
      <c r="G61026" s="8"/>
      <c r="H61026" s="8"/>
      <c r="I61026" s="102"/>
      <c r="J61026" s="8"/>
      <c r="K61026" s="8"/>
      <c r="L61026" s="8"/>
      <c r="M61026" s="8"/>
      <c r="N61026" s="8"/>
      <c r="O61026" s="8"/>
      <c r="P61026" s="8"/>
      <c r="Q61026" s="8"/>
      <c r="R61026" s="103"/>
      <c r="S61026" s="8"/>
      <c r="T61026" s="8"/>
      <c r="U61026" s="8"/>
      <c r="V61026" s="8"/>
      <c r="W61026" s="8"/>
      <c r="X61026" s="8"/>
      <c r="Y61026" s="8"/>
      <c r="Z61026" s="8"/>
      <c r="AA61026" s="8"/>
    </row>
    <row r="61027" spans="1:27" x14ac:dyDescent="0.25">
      <c r="A61027" s="8"/>
      <c r="B61027" s="8"/>
      <c r="C61027" s="99"/>
      <c r="D61027" s="8"/>
      <c r="E61027" s="8"/>
      <c r="F61027" s="8"/>
      <c r="G61027" s="8"/>
      <c r="H61027" s="8"/>
      <c r="I61027" s="102"/>
      <c r="J61027" s="8"/>
      <c r="K61027" s="8"/>
      <c r="L61027" s="8"/>
      <c r="M61027" s="8"/>
      <c r="N61027" s="8"/>
      <c r="O61027" s="8"/>
      <c r="P61027" s="8"/>
      <c r="Q61027" s="8"/>
      <c r="R61027" s="103"/>
      <c r="S61027" s="8"/>
      <c r="T61027" s="8"/>
      <c r="U61027" s="8"/>
      <c r="V61027" s="8"/>
      <c r="W61027" s="8"/>
      <c r="X61027" s="8"/>
      <c r="Y61027" s="8"/>
      <c r="Z61027" s="8"/>
      <c r="AA61027" s="8"/>
    </row>
    <row r="61028" spans="1:27" x14ac:dyDescent="0.25">
      <c r="A61028" s="8"/>
      <c r="B61028" s="8"/>
      <c r="C61028" s="99"/>
      <c r="D61028" s="8"/>
      <c r="E61028" s="8"/>
      <c r="F61028" s="8"/>
      <c r="G61028" s="8"/>
      <c r="H61028" s="8"/>
      <c r="I61028" s="102"/>
      <c r="J61028" s="8"/>
      <c r="K61028" s="8"/>
      <c r="L61028" s="8"/>
      <c r="M61028" s="8"/>
      <c r="N61028" s="8"/>
      <c r="O61028" s="8"/>
      <c r="P61028" s="8"/>
      <c r="Q61028" s="8"/>
      <c r="R61028" s="103"/>
      <c r="S61028" s="8"/>
      <c r="T61028" s="8"/>
      <c r="U61028" s="8"/>
      <c r="V61028" s="8"/>
      <c r="W61028" s="8"/>
      <c r="X61028" s="8"/>
      <c r="Y61028" s="8"/>
      <c r="Z61028" s="8"/>
      <c r="AA61028" s="8"/>
    </row>
    <row r="61029" spans="1:27" x14ac:dyDescent="0.25">
      <c r="A61029" s="8"/>
      <c r="B61029" s="8"/>
      <c r="C61029" s="99"/>
      <c r="D61029" s="8"/>
      <c r="E61029" s="8"/>
      <c r="F61029" s="8"/>
      <c r="G61029" s="8"/>
      <c r="H61029" s="8"/>
      <c r="I61029" s="102"/>
      <c r="J61029" s="8"/>
      <c r="K61029" s="8"/>
      <c r="L61029" s="8"/>
      <c r="M61029" s="8"/>
      <c r="N61029" s="8"/>
      <c r="O61029" s="8"/>
      <c r="P61029" s="8"/>
      <c r="Q61029" s="8"/>
      <c r="R61029" s="103"/>
      <c r="S61029" s="8"/>
      <c r="T61029" s="8"/>
      <c r="U61029" s="8"/>
      <c r="V61029" s="8"/>
      <c r="W61029" s="8"/>
      <c r="X61029" s="8"/>
      <c r="Y61029" s="8"/>
      <c r="Z61029" s="8"/>
      <c r="AA61029" s="8"/>
    </row>
    <row r="61030" spans="1:27" x14ac:dyDescent="0.25">
      <c r="A61030" s="8"/>
      <c r="B61030" s="8"/>
      <c r="C61030" s="99"/>
      <c r="D61030" s="8"/>
      <c r="E61030" s="8"/>
      <c r="F61030" s="8"/>
      <c r="G61030" s="8"/>
      <c r="H61030" s="8"/>
      <c r="I61030" s="102"/>
      <c r="J61030" s="8"/>
      <c r="K61030" s="8"/>
      <c r="L61030" s="8"/>
      <c r="M61030" s="8"/>
      <c r="N61030" s="8"/>
      <c r="O61030" s="8"/>
      <c r="P61030" s="8"/>
      <c r="Q61030" s="8"/>
      <c r="R61030" s="103"/>
      <c r="S61030" s="8"/>
      <c r="T61030" s="8"/>
      <c r="U61030" s="8"/>
      <c r="V61030" s="8"/>
      <c r="W61030" s="8"/>
      <c r="X61030" s="8"/>
      <c r="Y61030" s="8"/>
      <c r="Z61030" s="8"/>
      <c r="AA61030" s="8"/>
    </row>
    <row r="61031" spans="1:27" x14ac:dyDescent="0.25">
      <c r="A61031" s="8"/>
      <c r="B61031" s="8"/>
      <c r="C61031" s="99"/>
      <c r="D61031" s="8"/>
      <c r="E61031" s="8"/>
      <c r="F61031" s="8"/>
      <c r="G61031" s="8"/>
      <c r="H61031" s="8"/>
      <c r="I61031" s="102"/>
      <c r="J61031" s="8"/>
      <c r="K61031" s="8"/>
      <c r="L61031" s="8"/>
      <c r="M61031" s="8"/>
      <c r="N61031" s="8"/>
      <c r="O61031" s="8"/>
      <c r="P61031" s="8"/>
      <c r="Q61031" s="8"/>
      <c r="R61031" s="103"/>
      <c r="S61031" s="8"/>
      <c r="T61031" s="8"/>
      <c r="U61031" s="8"/>
      <c r="V61031" s="8"/>
      <c r="W61031" s="8"/>
      <c r="X61031" s="8"/>
      <c r="Y61031" s="8"/>
      <c r="Z61031" s="8"/>
      <c r="AA61031" s="8"/>
    </row>
    <row r="61032" spans="1:27" x14ac:dyDescent="0.25">
      <c r="A61032" s="8"/>
      <c r="B61032" s="8"/>
      <c r="C61032" s="99"/>
      <c r="D61032" s="8"/>
      <c r="E61032" s="8"/>
      <c r="F61032" s="8"/>
      <c r="G61032" s="8"/>
      <c r="H61032" s="8"/>
      <c r="I61032" s="102"/>
      <c r="J61032" s="8"/>
      <c r="K61032" s="8"/>
      <c r="L61032" s="8"/>
      <c r="M61032" s="8"/>
      <c r="N61032" s="8"/>
      <c r="O61032" s="8"/>
      <c r="P61032" s="8"/>
      <c r="Q61032" s="8"/>
      <c r="R61032" s="103"/>
      <c r="S61032" s="8"/>
      <c r="T61032" s="8"/>
      <c r="U61032" s="8"/>
      <c r="V61032" s="8"/>
      <c r="W61032" s="8"/>
      <c r="X61032" s="8"/>
      <c r="Y61032" s="8"/>
      <c r="Z61032" s="8"/>
      <c r="AA61032" s="8"/>
    </row>
    <row r="61033" spans="1:27" x14ac:dyDescent="0.25">
      <c r="A61033" s="8"/>
      <c r="B61033" s="8"/>
      <c r="C61033" s="99"/>
      <c r="D61033" s="8"/>
      <c r="E61033" s="8"/>
      <c r="F61033" s="8"/>
      <c r="G61033" s="8"/>
      <c r="H61033" s="8"/>
      <c r="I61033" s="102"/>
      <c r="J61033" s="8"/>
      <c r="K61033" s="8"/>
      <c r="L61033" s="8"/>
      <c r="M61033" s="8"/>
      <c r="N61033" s="8"/>
      <c r="O61033" s="8"/>
      <c r="P61033" s="8"/>
      <c r="Q61033" s="8"/>
      <c r="R61033" s="103"/>
      <c r="S61033" s="8"/>
      <c r="T61033" s="8"/>
      <c r="U61033" s="8"/>
      <c r="V61033" s="8"/>
      <c r="W61033" s="8"/>
      <c r="X61033" s="8"/>
      <c r="Y61033" s="8"/>
      <c r="Z61033" s="8"/>
      <c r="AA61033" s="8"/>
    </row>
    <row r="61034" spans="1:27" x14ac:dyDescent="0.25">
      <c r="A61034" s="8"/>
      <c r="B61034" s="8"/>
      <c r="C61034" s="99"/>
      <c r="D61034" s="8"/>
      <c r="E61034" s="8"/>
      <c r="F61034" s="8"/>
      <c r="G61034" s="8"/>
      <c r="H61034" s="8"/>
      <c r="I61034" s="102"/>
      <c r="J61034" s="8"/>
      <c r="K61034" s="8"/>
      <c r="L61034" s="8"/>
      <c r="M61034" s="8"/>
      <c r="N61034" s="8"/>
      <c r="O61034" s="8"/>
      <c r="P61034" s="8"/>
      <c r="Q61034" s="8"/>
      <c r="R61034" s="103"/>
      <c r="S61034" s="8"/>
      <c r="T61034" s="8"/>
      <c r="U61034" s="8"/>
      <c r="V61034" s="8"/>
      <c r="W61034" s="8"/>
      <c r="X61034" s="8"/>
      <c r="Y61034" s="8"/>
      <c r="Z61034" s="8"/>
      <c r="AA61034" s="8"/>
    </row>
    <row r="61035" spans="1:27" x14ac:dyDescent="0.25">
      <c r="A61035" s="8"/>
      <c r="B61035" s="8"/>
      <c r="C61035" s="99"/>
      <c r="D61035" s="8"/>
      <c r="E61035" s="8"/>
      <c r="F61035" s="8"/>
      <c r="G61035" s="8"/>
      <c r="H61035" s="8"/>
      <c r="I61035" s="102"/>
      <c r="J61035" s="8"/>
      <c r="K61035" s="8"/>
      <c r="L61035" s="8"/>
      <c r="M61035" s="8"/>
      <c r="N61035" s="8"/>
      <c r="O61035" s="8"/>
      <c r="P61035" s="8"/>
      <c r="Q61035" s="8"/>
      <c r="R61035" s="103"/>
      <c r="S61035" s="8"/>
      <c r="T61035" s="8"/>
      <c r="U61035" s="8"/>
      <c r="V61035" s="8"/>
      <c r="W61035" s="8"/>
      <c r="X61035" s="8"/>
      <c r="Y61035" s="8"/>
      <c r="Z61035" s="8"/>
      <c r="AA61035" s="8"/>
    </row>
    <row r="61036" spans="1:27" x14ac:dyDescent="0.25">
      <c r="A61036" s="8"/>
      <c r="B61036" s="8"/>
      <c r="C61036" s="99"/>
      <c r="D61036" s="8"/>
      <c r="E61036" s="8"/>
      <c r="F61036" s="8"/>
      <c r="G61036" s="8"/>
      <c r="H61036" s="8"/>
      <c r="I61036" s="102"/>
      <c r="J61036" s="8"/>
      <c r="K61036" s="8"/>
      <c r="L61036" s="8"/>
      <c r="M61036" s="8"/>
      <c r="N61036" s="8"/>
      <c r="O61036" s="8"/>
      <c r="P61036" s="8"/>
      <c r="Q61036" s="8"/>
      <c r="R61036" s="103"/>
      <c r="S61036" s="8"/>
      <c r="T61036" s="8"/>
      <c r="U61036" s="8"/>
      <c r="V61036" s="8"/>
      <c r="W61036" s="8"/>
      <c r="X61036" s="8"/>
      <c r="Y61036" s="8"/>
      <c r="Z61036" s="8"/>
      <c r="AA61036" s="8"/>
    </row>
    <row r="61037" spans="1:27" x14ac:dyDescent="0.25">
      <c r="A61037" s="8"/>
      <c r="B61037" s="8"/>
      <c r="C61037" s="99"/>
      <c r="D61037" s="8"/>
      <c r="E61037" s="8"/>
      <c r="F61037" s="8"/>
      <c r="G61037" s="8"/>
      <c r="H61037" s="8"/>
      <c r="I61037" s="102"/>
      <c r="J61037" s="8"/>
      <c r="K61037" s="8"/>
      <c r="L61037" s="8"/>
      <c r="M61037" s="8"/>
      <c r="N61037" s="8"/>
      <c r="O61037" s="8"/>
      <c r="P61037" s="8"/>
      <c r="Q61037" s="8"/>
      <c r="R61037" s="103"/>
      <c r="S61037" s="8"/>
      <c r="T61037" s="8"/>
      <c r="U61037" s="8"/>
      <c r="V61037" s="8"/>
      <c r="W61037" s="8"/>
      <c r="X61037" s="8"/>
      <c r="Y61037" s="8"/>
      <c r="Z61037" s="8"/>
      <c r="AA61037" s="8"/>
    </row>
    <row r="61038" spans="1:27" x14ac:dyDescent="0.25">
      <c r="A61038" s="8"/>
      <c r="B61038" s="8"/>
      <c r="C61038" s="99"/>
      <c r="D61038" s="8"/>
      <c r="E61038" s="8"/>
      <c r="F61038" s="8"/>
      <c r="G61038" s="8"/>
      <c r="H61038" s="8"/>
      <c r="I61038" s="102"/>
      <c r="J61038" s="8"/>
      <c r="K61038" s="8"/>
      <c r="L61038" s="8"/>
      <c r="M61038" s="8"/>
      <c r="N61038" s="8"/>
      <c r="O61038" s="8"/>
      <c r="P61038" s="8"/>
      <c r="Q61038" s="8"/>
      <c r="R61038" s="103"/>
      <c r="S61038" s="8"/>
      <c r="T61038" s="8"/>
      <c r="U61038" s="8"/>
      <c r="V61038" s="8"/>
      <c r="W61038" s="8"/>
      <c r="X61038" s="8"/>
      <c r="Y61038" s="8"/>
      <c r="Z61038" s="8"/>
      <c r="AA61038" s="8"/>
    </row>
    <row r="61039" spans="1:27" x14ac:dyDescent="0.25">
      <c r="A61039" s="8"/>
      <c r="B61039" s="8"/>
      <c r="C61039" s="99"/>
      <c r="D61039" s="8"/>
      <c r="E61039" s="8"/>
      <c r="F61039" s="8"/>
      <c r="G61039" s="8"/>
      <c r="H61039" s="8"/>
      <c r="I61039" s="102"/>
      <c r="J61039" s="8"/>
      <c r="K61039" s="8"/>
      <c r="L61039" s="8"/>
      <c r="M61039" s="8"/>
      <c r="N61039" s="8"/>
      <c r="O61039" s="8"/>
      <c r="P61039" s="8"/>
      <c r="Q61039" s="8"/>
      <c r="R61039" s="103"/>
      <c r="S61039" s="8"/>
      <c r="T61039" s="8"/>
      <c r="U61039" s="8"/>
      <c r="V61039" s="8"/>
      <c r="W61039" s="8"/>
      <c r="X61039" s="8"/>
      <c r="Y61039" s="8"/>
      <c r="Z61039" s="8"/>
      <c r="AA61039" s="8"/>
    </row>
    <row r="61040" spans="1:27" x14ac:dyDescent="0.25">
      <c r="A61040" s="8"/>
      <c r="B61040" s="8"/>
      <c r="C61040" s="99"/>
      <c r="D61040" s="8"/>
      <c r="E61040" s="8"/>
      <c r="F61040" s="8"/>
      <c r="G61040" s="8"/>
      <c r="H61040" s="8"/>
      <c r="I61040" s="102"/>
      <c r="J61040" s="8"/>
      <c r="K61040" s="8"/>
      <c r="L61040" s="8"/>
      <c r="M61040" s="8"/>
      <c r="N61040" s="8"/>
      <c r="O61040" s="8"/>
      <c r="P61040" s="8"/>
      <c r="Q61040" s="8"/>
      <c r="R61040" s="103"/>
      <c r="S61040" s="8"/>
      <c r="T61040" s="8"/>
      <c r="U61040" s="8"/>
      <c r="V61040" s="8"/>
      <c r="W61040" s="8"/>
      <c r="X61040" s="8"/>
      <c r="Y61040" s="8"/>
      <c r="Z61040" s="8"/>
      <c r="AA61040" s="8"/>
    </row>
    <row r="61041" spans="1:27" x14ac:dyDescent="0.25">
      <c r="A61041" s="8"/>
      <c r="B61041" s="8"/>
      <c r="C61041" s="99"/>
      <c r="D61041" s="8"/>
      <c r="E61041" s="8"/>
      <c r="F61041" s="8"/>
      <c r="G61041" s="8"/>
      <c r="H61041" s="8"/>
      <c r="I61041" s="102"/>
      <c r="J61041" s="8"/>
      <c r="K61041" s="8"/>
      <c r="L61041" s="8"/>
      <c r="M61041" s="8"/>
      <c r="N61041" s="8"/>
      <c r="O61041" s="8"/>
      <c r="P61041" s="8"/>
      <c r="Q61041" s="8"/>
      <c r="R61041" s="103"/>
      <c r="S61041" s="8"/>
      <c r="T61041" s="8"/>
      <c r="U61041" s="8"/>
      <c r="V61041" s="8"/>
      <c r="W61041" s="8"/>
      <c r="X61041" s="8"/>
      <c r="Y61041" s="8"/>
      <c r="Z61041" s="8"/>
      <c r="AA61041" s="8"/>
    </row>
    <row r="61042" spans="1:27" x14ac:dyDescent="0.25">
      <c r="A61042" s="8"/>
      <c r="B61042" s="8"/>
      <c r="C61042" s="99"/>
      <c r="D61042" s="8"/>
      <c r="E61042" s="8"/>
      <c r="F61042" s="8"/>
      <c r="G61042" s="8"/>
      <c r="H61042" s="8"/>
      <c r="I61042" s="102"/>
      <c r="J61042" s="8"/>
      <c r="K61042" s="8"/>
      <c r="L61042" s="8"/>
      <c r="M61042" s="8"/>
      <c r="N61042" s="8"/>
      <c r="O61042" s="8"/>
      <c r="P61042" s="8"/>
      <c r="Q61042" s="8"/>
      <c r="R61042" s="103"/>
      <c r="S61042" s="8"/>
      <c r="T61042" s="8"/>
      <c r="U61042" s="8"/>
      <c r="V61042" s="8"/>
      <c r="W61042" s="8"/>
      <c r="X61042" s="8"/>
      <c r="Y61042" s="8"/>
      <c r="Z61042" s="8"/>
      <c r="AA61042" s="8"/>
    </row>
    <row r="61043" spans="1:27" x14ac:dyDescent="0.25">
      <c r="A61043" s="8"/>
      <c r="B61043" s="8"/>
      <c r="C61043" s="99"/>
      <c r="D61043" s="8"/>
      <c r="E61043" s="8"/>
      <c r="F61043" s="8"/>
      <c r="G61043" s="8"/>
      <c r="H61043" s="8"/>
      <c r="I61043" s="102"/>
      <c r="J61043" s="8"/>
      <c r="K61043" s="8"/>
      <c r="L61043" s="8"/>
      <c r="M61043" s="8"/>
      <c r="N61043" s="8"/>
      <c r="O61043" s="8"/>
      <c r="P61043" s="8"/>
      <c r="Q61043" s="8"/>
      <c r="R61043" s="103"/>
      <c r="S61043" s="8"/>
      <c r="T61043" s="8"/>
      <c r="U61043" s="8"/>
      <c r="V61043" s="8"/>
      <c r="W61043" s="8"/>
      <c r="X61043" s="8"/>
      <c r="Y61043" s="8"/>
      <c r="Z61043" s="8"/>
      <c r="AA61043" s="8"/>
    </row>
    <row r="61044" spans="1:27" x14ac:dyDescent="0.25">
      <c r="A61044" s="8"/>
      <c r="B61044" s="8"/>
      <c r="C61044" s="99"/>
      <c r="D61044" s="8"/>
      <c r="E61044" s="8"/>
      <c r="F61044" s="8"/>
      <c r="G61044" s="8"/>
      <c r="H61044" s="8"/>
      <c r="I61044" s="102"/>
      <c r="J61044" s="8"/>
      <c r="K61044" s="8"/>
      <c r="L61044" s="8"/>
      <c r="M61044" s="8"/>
      <c r="N61044" s="8"/>
      <c r="O61044" s="8"/>
      <c r="P61044" s="8"/>
      <c r="Q61044" s="8"/>
      <c r="R61044" s="103"/>
      <c r="S61044" s="8"/>
      <c r="T61044" s="8"/>
      <c r="U61044" s="8"/>
      <c r="V61044" s="8"/>
      <c r="W61044" s="8"/>
      <c r="X61044" s="8"/>
      <c r="Y61044" s="8"/>
      <c r="Z61044" s="8"/>
      <c r="AA61044" s="8"/>
    </row>
    <row r="61045" spans="1:27" x14ac:dyDescent="0.25">
      <c r="A61045" s="8"/>
      <c r="B61045" s="8"/>
      <c r="C61045" s="99"/>
      <c r="D61045" s="8"/>
      <c r="E61045" s="8"/>
      <c r="F61045" s="8"/>
      <c r="G61045" s="8"/>
      <c r="H61045" s="8"/>
      <c r="I61045" s="102"/>
      <c r="J61045" s="8"/>
      <c r="K61045" s="8"/>
      <c r="L61045" s="8"/>
      <c r="M61045" s="8"/>
      <c r="N61045" s="8"/>
      <c r="O61045" s="8"/>
      <c r="P61045" s="8"/>
      <c r="Q61045" s="8"/>
      <c r="R61045" s="103"/>
      <c r="S61045" s="8"/>
      <c r="T61045" s="8"/>
      <c r="U61045" s="8"/>
      <c r="V61045" s="8"/>
      <c r="W61045" s="8"/>
      <c r="X61045" s="8"/>
      <c r="Y61045" s="8"/>
      <c r="Z61045" s="8"/>
      <c r="AA61045" s="8"/>
    </row>
    <row r="61046" spans="1:27" x14ac:dyDescent="0.25">
      <c r="A61046" s="8"/>
      <c r="B61046" s="8"/>
      <c r="C61046" s="99"/>
      <c r="D61046" s="8"/>
      <c r="E61046" s="8"/>
      <c r="F61046" s="8"/>
      <c r="G61046" s="8"/>
      <c r="H61046" s="8"/>
      <c r="I61046" s="102"/>
      <c r="J61046" s="8"/>
      <c r="K61046" s="8"/>
      <c r="L61046" s="8"/>
      <c r="M61046" s="8"/>
      <c r="N61046" s="8"/>
      <c r="O61046" s="8"/>
      <c r="P61046" s="8"/>
      <c r="Q61046" s="8"/>
      <c r="R61046" s="103"/>
      <c r="S61046" s="8"/>
      <c r="T61046" s="8"/>
      <c r="U61046" s="8"/>
      <c r="V61046" s="8"/>
      <c r="W61046" s="8"/>
      <c r="X61046" s="8"/>
      <c r="Y61046" s="8"/>
      <c r="Z61046" s="8"/>
      <c r="AA61046" s="8"/>
    </row>
    <row r="61047" spans="1:27" x14ac:dyDescent="0.25">
      <c r="A61047" s="8"/>
      <c r="B61047" s="8"/>
      <c r="C61047" s="99"/>
      <c r="D61047" s="8"/>
      <c r="E61047" s="8"/>
      <c r="F61047" s="8"/>
      <c r="G61047" s="8"/>
      <c r="H61047" s="8"/>
      <c r="I61047" s="102"/>
      <c r="J61047" s="8"/>
      <c r="K61047" s="8"/>
      <c r="L61047" s="8"/>
      <c r="M61047" s="8"/>
      <c r="N61047" s="8"/>
      <c r="O61047" s="8"/>
      <c r="P61047" s="8"/>
      <c r="Q61047" s="8"/>
      <c r="R61047" s="103"/>
      <c r="S61047" s="8"/>
      <c r="T61047" s="8"/>
      <c r="U61047" s="8"/>
      <c r="V61047" s="8"/>
      <c r="W61047" s="8"/>
      <c r="X61047" s="8"/>
      <c r="Y61047" s="8"/>
      <c r="Z61047" s="8"/>
      <c r="AA61047" s="8"/>
    </row>
    <row r="61048" spans="1:27" x14ac:dyDescent="0.25">
      <c r="A61048" s="8"/>
      <c r="B61048" s="8"/>
      <c r="C61048" s="99"/>
      <c r="D61048" s="8"/>
      <c r="E61048" s="8"/>
      <c r="F61048" s="8"/>
      <c r="G61048" s="8"/>
      <c r="H61048" s="8"/>
      <c r="I61048" s="102"/>
      <c r="J61048" s="8"/>
      <c r="K61048" s="8"/>
      <c r="L61048" s="8"/>
      <c r="M61048" s="8"/>
      <c r="N61048" s="8"/>
      <c r="O61048" s="8"/>
      <c r="P61048" s="8"/>
      <c r="Q61048" s="8"/>
      <c r="R61048" s="103"/>
      <c r="S61048" s="8"/>
      <c r="T61048" s="8"/>
      <c r="U61048" s="8"/>
      <c r="V61048" s="8"/>
      <c r="W61048" s="8"/>
      <c r="X61048" s="8"/>
      <c r="Y61048" s="8"/>
      <c r="Z61048" s="8"/>
      <c r="AA61048" s="8"/>
    </row>
    <row r="61049" spans="1:27" x14ac:dyDescent="0.25">
      <c r="A61049" s="8"/>
      <c r="B61049" s="8"/>
      <c r="C61049" s="99"/>
      <c r="D61049" s="8"/>
      <c r="E61049" s="8"/>
      <c r="F61049" s="8"/>
      <c r="G61049" s="8"/>
      <c r="H61049" s="8"/>
      <c r="I61049" s="102"/>
      <c r="J61049" s="8"/>
      <c r="K61049" s="8"/>
      <c r="L61049" s="8"/>
      <c r="M61049" s="8"/>
      <c r="N61049" s="8"/>
      <c r="O61049" s="8"/>
      <c r="P61049" s="8"/>
      <c r="Q61049" s="8"/>
      <c r="R61049" s="103"/>
      <c r="S61049" s="8"/>
      <c r="T61049" s="8"/>
      <c r="U61049" s="8"/>
      <c r="V61049" s="8"/>
      <c r="W61049" s="8"/>
      <c r="X61049" s="8"/>
      <c r="Y61049" s="8"/>
      <c r="Z61049" s="8"/>
      <c r="AA61049" s="8"/>
    </row>
    <row r="61050" spans="1:27" x14ac:dyDescent="0.25">
      <c r="A61050" s="8"/>
      <c r="B61050" s="8"/>
      <c r="C61050" s="99"/>
      <c r="D61050" s="8"/>
      <c r="E61050" s="8"/>
      <c r="F61050" s="8"/>
      <c r="G61050" s="8"/>
      <c r="H61050" s="8"/>
      <c r="I61050" s="102"/>
      <c r="J61050" s="8"/>
      <c r="K61050" s="8"/>
      <c r="L61050" s="8"/>
      <c r="M61050" s="8"/>
      <c r="N61050" s="8"/>
      <c r="O61050" s="8"/>
      <c r="P61050" s="8"/>
      <c r="Q61050" s="8"/>
      <c r="R61050" s="103"/>
      <c r="S61050" s="8"/>
      <c r="T61050" s="8"/>
      <c r="U61050" s="8"/>
      <c r="V61050" s="8"/>
      <c r="W61050" s="8"/>
      <c r="X61050" s="8"/>
      <c r="Y61050" s="8"/>
      <c r="Z61050" s="8"/>
      <c r="AA61050" s="8"/>
    </row>
    <row r="61051" spans="1:27" x14ac:dyDescent="0.25">
      <c r="A61051" s="8"/>
      <c r="B61051" s="8"/>
      <c r="C61051" s="99"/>
      <c r="D61051" s="8"/>
      <c r="E61051" s="8"/>
      <c r="F61051" s="8"/>
      <c r="G61051" s="8"/>
      <c r="H61051" s="8"/>
      <c r="I61051" s="102"/>
      <c r="J61051" s="8"/>
      <c r="K61051" s="8"/>
      <c r="L61051" s="8"/>
      <c r="M61051" s="8"/>
      <c r="N61051" s="8"/>
      <c r="O61051" s="8"/>
      <c r="P61051" s="8"/>
      <c r="Q61051" s="8"/>
      <c r="R61051" s="103"/>
      <c r="S61051" s="8"/>
      <c r="T61051" s="8"/>
      <c r="U61051" s="8"/>
      <c r="V61051" s="8"/>
      <c r="W61051" s="8"/>
      <c r="X61051" s="8"/>
      <c r="Y61051" s="8"/>
      <c r="Z61051" s="8"/>
      <c r="AA61051" s="8"/>
    </row>
    <row r="61052" spans="1:27" x14ac:dyDescent="0.25">
      <c r="A61052" s="8"/>
      <c r="B61052" s="8"/>
      <c r="C61052" s="99"/>
      <c r="D61052" s="8"/>
      <c r="E61052" s="8"/>
      <c r="F61052" s="8"/>
      <c r="G61052" s="8"/>
      <c r="H61052" s="8"/>
      <c r="I61052" s="102"/>
      <c r="J61052" s="8"/>
      <c r="K61052" s="8"/>
      <c r="L61052" s="8"/>
      <c r="M61052" s="8"/>
      <c r="N61052" s="8"/>
      <c r="O61052" s="8"/>
      <c r="P61052" s="8"/>
      <c r="Q61052" s="8"/>
      <c r="R61052" s="103"/>
      <c r="S61052" s="8"/>
      <c r="T61052" s="8"/>
      <c r="U61052" s="8"/>
      <c r="V61052" s="8"/>
      <c r="W61052" s="8"/>
      <c r="X61052" s="8"/>
      <c r="Y61052" s="8"/>
      <c r="Z61052" s="8"/>
      <c r="AA61052" s="8"/>
    </row>
    <row r="61053" spans="1:27" x14ac:dyDescent="0.25">
      <c r="A61053" s="8"/>
      <c r="B61053" s="8"/>
      <c r="C61053" s="99"/>
      <c r="D61053" s="8"/>
      <c r="E61053" s="8"/>
      <c r="F61053" s="8"/>
      <c r="G61053" s="8"/>
      <c r="H61053" s="8"/>
      <c r="I61053" s="102"/>
      <c r="J61053" s="8"/>
      <c r="K61053" s="8"/>
      <c r="L61053" s="8"/>
      <c r="M61053" s="8"/>
      <c r="N61053" s="8"/>
      <c r="O61053" s="8"/>
      <c r="P61053" s="8"/>
      <c r="Q61053" s="8"/>
      <c r="R61053" s="103"/>
      <c r="S61053" s="8"/>
      <c r="T61053" s="8"/>
      <c r="U61053" s="8"/>
      <c r="V61053" s="8"/>
      <c r="W61053" s="8"/>
      <c r="X61053" s="8"/>
      <c r="Y61053" s="8"/>
      <c r="Z61053" s="8"/>
      <c r="AA61053" s="8"/>
    </row>
    <row r="61054" spans="1:27" x14ac:dyDescent="0.25">
      <c r="A61054" s="8"/>
      <c r="B61054" s="8"/>
      <c r="C61054" s="99"/>
      <c r="D61054" s="8"/>
      <c r="E61054" s="8"/>
      <c r="F61054" s="8"/>
      <c r="G61054" s="8"/>
      <c r="H61054" s="8"/>
      <c r="I61054" s="102"/>
      <c r="J61054" s="8"/>
      <c r="K61054" s="8"/>
      <c r="L61054" s="8"/>
      <c r="M61054" s="8"/>
      <c r="N61054" s="8"/>
      <c r="O61054" s="8"/>
      <c r="P61054" s="8"/>
      <c r="Q61054" s="8"/>
      <c r="R61054" s="103"/>
      <c r="S61054" s="8"/>
      <c r="T61054" s="8"/>
      <c r="U61054" s="8"/>
      <c r="V61054" s="8"/>
      <c r="W61054" s="8"/>
      <c r="X61054" s="8"/>
      <c r="Y61054" s="8"/>
      <c r="Z61054" s="8"/>
      <c r="AA61054" s="8"/>
    </row>
    <row r="61055" spans="1:27" x14ac:dyDescent="0.25">
      <c r="A61055" s="8"/>
      <c r="B61055" s="8"/>
      <c r="C61055" s="99"/>
      <c r="D61055" s="8"/>
      <c r="E61055" s="8"/>
      <c r="F61055" s="8"/>
      <c r="G61055" s="8"/>
      <c r="H61055" s="8"/>
      <c r="I61055" s="102"/>
      <c r="J61055" s="8"/>
      <c r="K61055" s="8"/>
      <c r="L61055" s="8"/>
      <c r="M61055" s="8"/>
      <c r="N61055" s="8"/>
      <c r="O61055" s="8"/>
      <c r="P61055" s="8"/>
      <c r="Q61055" s="8"/>
      <c r="R61055" s="103"/>
      <c r="S61055" s="8"/>
      <c r="T61055" s="8"/>
      <c r="U61055" s="8"/>
      <c r="V61055" s="8"/>
      <c r="W61055" s="8"/>
      <c r="X61055" s="8"/>
      <c r="Y61055" s="8"/>
      <c r="Z61055" s="8"/>
      <c r="AA61055" s="8"/>
    </row>
    <row r="61056" spans="1:27" x14ac:dyDescent="0.25">
      <c r="A61056" s="8"/>
      <c r="B61056" s="8"/>
      <c r="C61056" s="99"/>
      <c r="D61056" s="8"/>
      <c r="E61056" s="8"/>
      <c r="F61056" s="8"/>
      <c r="G61056" s="8"/>
      <c r="H61056" s="8"/>
      <c r="I61056" s="102"/>
      <c r="J61056" s="8"/>
      <c r="K61056" s="8"/>
      <c r="L61056" s="8"/>
      <c r="M61056" s="8"/>
      <c r="N61056" s="8"/>
      <c r="O61056" s="8"/>
      <c r="P61056" s="8"/>
      <c r="Q61056" s="8"/>
      <c r="R61056" s="103"/>
      <c r="S61056" s="8"/>
      <c r="T61056" s="8"/>
      <c r="U61056" s="8"/>
      <c r="V61056" s="8"/>
      <c r="W61056" s="8"/>
      <c r="X61056" s="8"/>
      <c r="Y61056" s="8"/>
      <c r="Z61056" s="8"/>
      <c r="AA61056" s="8"/>
    </row>
    <row r="61057" spans="1:27" x14ac:dyDescent="0.25">
      <c r="A61057" s="8"/>
      <c r="B61057" s="8"/>
      <c r="C61057" s="99"/>
      <c r="D61057" s="8"/>
      <c r="E61057" s="8"/>
      <c r="F61057" s="8"/>
      <c r="G61057" s="8"/>
      <c r="H61057" s="8"/>
      <c r="I61057" s="102"/>
      <c r="J61057" s="8"/>
      <c r="K61057" s="8"/>
      <c r="L61057" s="8"/>
      <c r="M61057" s="8"/>
      <c r="N61057" s="8"/>
      <c r="O61057" s="8"/>
      <c r="P61057" s="8"/>
      <c r="Q61057" s="8"/>
      <c r="R61057" s="103"/>
      <c r="S61057" s="8"/>
      <c r="T61057" s="8"/>
      <c r="U61057" s="8"/>
      <c r="V61057" s="8"/>
      <c r="W61057" s="8"/>
      <c r="X61057" s="8"/>
      <c r="Y61057" s="8"/>
      <c r="Z61057" s="8"/>
      <c r="AA61057" s="8"/>
    </row>
    <row r="61058" spans="1:27" x14ac:dyDescent="0.25">
      <c r="A61058" s="8"/>
      <c r="B61058" s="8"/>
      <c r="C61058" s="99"/>
      <c r="D61058" s="8"/>
      <c r="E61058" s="8"/>
      <c r="F61058" s="8"/>
      <c r="G61058" s="8"/>
      <c r="H61058" s="8"/>
      <c r="I61058" s="102"/>
      <c r="J61058" s="8"/>
      <c r="K61058" s="8"/>
      <c r="L61058" s="8"/>
      <c r="M61058" s="8"/>
      <c r="N61058" s="8"/>
      <c r="O61058" s="8"/>
      <c r="P61058" s="8"/>
      <c r="Q61058" s="8"/>
      <c r="R61058" s="103"/>
      <c r="S61058" s="8"/>
      <c r="T61058" s="8"/>
      <c r="U61058" s="8"/>
      <c r="V61058" s="8"/>
      <c r="W61058" s="8"/>
      <c r="X61058" s="8"/>
      <c r="Y61058" s="8"/>
      <c r="Z61058" s="8"/>
      <c r="AA61058" s="8"/>
    </row>
    <row r="61059" spans="1:27" x14ac:dyDescent="0.25">
      <c r="A61059" s="8"/>
      <c r="B61059" s="8"/>
      <c r="C61059" s="99"/>
      <c r="D61059" s="8"/>
      <c r="E61059" s="8"/>
      <c r="F61059" s="8"/>
      <c r="G61059" s="8"/>
      <c r="H61059" s="8"/>
      <c r="I61059" s="102"/>
      <c r="J61059" s="8"/>
      <c r="K61059" s="8"/>
      <c r="L61059" s="8"/>
      <c r="M61059" s="8"/>
      <c r="N61059" s="8"/>
      <c r="O61059" s="8"/>
      <c r="P61059" s="8"/>
      <c r="Q61059" s="8"/>
      <c r="R61059" s="103"/>
      <c r="S61059" s="8"/>
      <c r="T61059" s="8"/>
      <c r="U61059" s="8"/>
      <c r="V61059" s="8"/>
      <c r="W61059" s="8"/>
      <c r="X61059" s="8"/>
      <c r="Y61059" s="8"/>
      <c r="Z61059" s="8"/>
      <c r="AA61059" s="8"/>
    </row>
    <row r="61060" spans="1:27" x14ac:dyDescent="0.25">
      <c r="A61060" s="8"/>
      <c r="B61060" s="8"/>
      <c r="C61060" s="99"/>
      <c r="D61060" s="8"/>
      <c r="E61060" s="8"/>
      <c r="F61060" s="8"/>
      <c r="G61060" s="8"/>
      <c r="H61060" s="8"/>
      <c r="I61060" s="102"/>
      <c r="J61060" s="8"/>
      <c r="K61060" s="8"/>
      <c r="L61060" s="8"/>
      <c r="M61060" s="8"/>
      <c r="N61060" s="8"/>
      <c r="O61060" s="8"/>
      <c r="P61060" s="8"/>
      <c r="Q61060" s="8"/>
      <c r="R61060" s="103"/>
      <c r="S61060" s="8"/>
      <c r="T61060" s="8"/>
      <c r="U61060" s="8"/>
      <c r="V61060" s="8"/>
      <c r="W61060" s="8"/>
      <c r="X61060" s="8"/>
      <c r="Y61060" s="8"/>
      <c r="Z61060" s="8"/>
      <c r="AA61060" s="8"/>
    </row>
    <row r="61061" spans="1:27" x14ac:dyDescent="0.25">
      <c r="A61061" s="8"/>
      <c r="B61061" s="8"/>
      <c r="C61061" s="99"/>
      <c r="D61061" s="8"/>
      <c r="E61061" s="8"/>
      <c r="F61061" s="8"/>
      <c r="G61061" s="8"/>
      <c r="H61061" s="8"/>
      <c r="I61061" s="102"/>
      <c r="J61061" s="8"/>
      <c r="K61061" s="8"/>
      <c r="L61061" s="8"/>
      <c r="M61061" s="8"/>
      <c r="N61061" s="8"/>
      <c r="O61061" s="8"/>
      <c r="P61061" s="8"/>
      <c r="Q61061" s="8"/>
      <c r="R61061" s="103"/>
      <c r="S61061" s="8"/>
      <c r="T61061" s="8"/>
      <c r="U61061" s="8"/>
      <c r="V61061" s="8"/>
      <c r="W61061" s="8"/>
      <c r="X61061" s="8"/>
      <c r="Y61061" s="8"/>
      <c r="Z61061" s="8"/>
      <c r="AA61061" s="8"/>
    </row>
    <row r="61062" spans="1:27" x14ac:dyDescent="0.25">
      <c r="A61062" s="8"/>
      <c r="B61062" s="8"/>
      <c r="C61062" s="99"/>
      <c r="D61062" s="8"/>
      <c r="E61062" s="8"/>
      <c r="F61062" s="8"/>
      <c r="G61062" s="8"/>
      <c r="H61062" s="8"/>
      <c r="I61062" s="102"/>
      <c r="J61062" s="8"/>
      <c r="K61062" s="8"/>
      <c r="L61062" s="8"/>
      <c r="M61062" s="8"/>
      <c r="N61062" s="8"/>
      <c r="O61062" s="8"/>
      <c r="P61062" s="8"/>
      <c r="Q61062" s="8"/>
      <c r="R61062" s="103"/>
      <c r="S61062" s="8"/>
      <c r="T61062" s="8"/>
      <c r="U61062" s="8"/>
      <c r="V61062" s="8"/>
      <c r="W61062" s="8"/>
      <c r="X61062" s="8"/>
      <c r="Y61062" s="8"/>
      <c r="Z61062" s="8"/>
      <c r="AA61062" s="8"/>
    </row>
    <row r="61063" spans="1:27" x14ac:dyDescent="0.25">
      <c r="A61063" s="8"/>
      <c r="B61063" s="8"/>
      <c r="C61063" s="99"/>
      <c r="D61063" s="8"/>
      <c r="E61063" s="8"/>
      <c r="F61063" s="8"/>
      <c r="G61063" s="8"/>
      <c r="H61063" s="8"/>
      <c r="I61063" s="102"/>
      <c r="J61063" s="8"/>
      <c r="K61063" s="8"/>
      <c r="L61063" s="8"/>
      <c r="M61063" s="8"/>
      <c r="N61063" s="8"/>
      <c r="O61063" s="8"/>
      <c r="P61063" s="8"/>
      <c r="Q61063" s="8"/>
      <c r="R61063" s="103"/>
      <c r="S61063" s="8"/>
      <c r="T61063" s="8"/>
      <c r="U61063" s="8"/>
      <c r="V61063" s="8"/>
      <c r="W61063" s="8"/>
      <c r="X61063" s="8"/>
      <c r="Y61063" s="8"/>
      <c r="Z61063" s="8"/>
      <c r="AA61063" s="8"/>
    </row>
    <row r="61064" spans="1:27" x14ac:dyDescent="0.25">
      <c r="A61064" s="8"/>
      <c r="B61064" s="8"/>
      <c r="C61064" s="99"/>
      <c r="D61064" s="8"/>
      <c r="E61064" s="8"/>
      <c r="F61064" s="8"/>
      <c r="G61064" s="8"/>
      <c r="H61064" s="8"/>
      <c r="I61064" s="102"/>
      <c r="J61064" s="8"/>
      <c r="K61064" s="8"/>
      <c r="L61064" s="8"/>
      <c r="M61064" s="8"/>
      <c r="N61064" s="8"/>
      <c r="O61064" s="8"/>
      <c r="P61064" s="8"/>
      <c r="Q61064" s="8"/>
      <c r="R61064" s="103"/>
      <c r="S61064" s="8"/>
      <c r="T61064" s="8"/>
      <c r="U61064" s="8"/>
      <c r="V61064" s="8"/>
      <c r="W61064" s="8"/>
      <c r="X61064" s="8"/>
      <c r="Y61064" s="8"/>
      <c r="Z61064" s="8"/>
      <c r="AA61064" s="8"/>
    </row>
    <row r="61065" spans="1:27" x14ac:dyDescent="0.25">
      <c r="A61065" s="8"/>
      <c r="B61065" s="8"/>
      <c r="C61065" s="99"/>
      <c r="D61065" s="8"/>
      <c r="E61065" s="8"/>
      <c r="F61065" s="8"/>
      <c r="G61065" s="8"/>
      <c r="H61065" s="8"/>
      <c r="I61065" s="102"/>
      <c r="J61065" s="8"/>
      <c r="K61065" s="8"/>
      <c r="L61065" s="8"/>
      <c r="M61065" s="8"/>
      <c r="N61065" s="8"/>
      <c r="O61065" s="8"/>
      <c r="P61065" s="8"/>
      <c r="Q61065" s="8"/>
      <c r="R61065" s="103"/>
      <c r="S61065" s="8"/>
      <c r="T61065" s="8"/>
      <c r="U61065" s="8"/>
      <c r="V61065" s="8"/>
      <c r="W61065" s="8"/>
      <c r="X61065" s="8"/>
      <c r="Y61065" s="8"/>
      <c r="Z61065" s="8"/>
      <c r="AA61065" s="8"/>
    </row>
    <row r="61066" spans="1:27" x14ac:dyDescent="0.25">
      <c r="A61066" s="8"/>
      <c r="B61066" s="8"/>
      <c r="C61066" s="99"/>
      <c r="D61066" s="8"/>
      <c r="E61066" s="8"/>
      <c r="F61066" s="8"/>
      <c r="G61066" s="8"/>
      <c r="H61066" s="8"/>
      <c r="I61066" s="102"/>
      <c r="J61066" s="8"/>
      <c r="K61066" s="8"/>
      <c r="L61066" s="8"/>
      <c r="M61066" s="8"/>
      <c r="N61066" s="8"/>
      <c r="O61066" s="8"/>
      <c r="P61066" s="8"/>
      <c r="Q61066" s="8"/>
      <c r="R61066" s="103"/>
      <c r="S61066" s="8"/>
      <c r="T61066" s="8"/>
      <c r="U61066" s="8"/>
      <c r="V61066" s="8"/>
      <c r="W61066" s="8"/>
      <c r="X61066" s="8"/>
      <c r="Y61066" s="8"/>
      <c r="Z61066" s="8"/>
      <c r="AA61066" s="8"/>
    </row>
    <row r="61067" spans="1:27" x14ac:dyDescent="0.25">
      <c r="A61067" s="8"/>
      <c r="B61067" s="8"/>
      <c r="C61067" s="99"/>
      <c r="D61067" s="8"/>
      <c r="E61067" s="8"/>
      <c r="F61067" s="8"/>
      <c r="G61067" s="8"/>
      <c r="H61067" s="8"/>
      <c r="I61067" s="102"/>
      <c r="J61067" s="8"/>
      <c r="K61067" s="8"/>
      <c r="L61067" s="8"/>
      <c r="M61067" s="8"/>
      <c r="N61067" s="8"/>
      <c r="O61067" s="8"/>
      <c r="P61067" s="8"/>
      <c r="Q61067" s="8"/>
      <c r="R61067" s="103"/>
      <c r="S61067" s="8"/>
      <c r="T61067" s="8"/>
      <c r="U61067" s="8"/>
      <c r="V61067" s="8"/>
      <c r="W61067" s="8"/>
      <c r="X61067" s="8"/>
      <c r="Y61067" s="8"/>
      <c r="Z61067" s="8"/>
      <c r="AA61067" s="8"/>
    </row>
    <row r="61068" spans="1:27" x14ac:dyDescent="0.25">
      <c r="A61068" s="8"/>
      <c r="B61068" s="8"/>
      <c r="C61068" s="99"/>
      <c r="D61068" s="8"/>
      <c r="E61068" s="8"/>
      <c r="F61068" s="8"/>
      <c r="G61068" s="8"/>
      <c r="H61068" s="8"/>
      <c r="I61068" s="102"/>
      <c r="J61068" s="8"/>
      <c r="K61068" s="8"/>
      <c r="L61068" s="8"/>
      <c r="M61068" s="8"/>
      <c r="N61068" s="8"/>
      <c r="O61068" s="8"/>
      <c r="P61068" s="8"/>
      <c r="Q61068" s="8"/>
      <c r="R61068" s="103"/>
      <c r="S61068" s="8"/>
      <c r="T61068" s="8"/>
      <c r="U61068" s="8"/>
      <c r="V61068" s="8"/>
      <c r="W61068" s="8"/>
      <c r="X61068" s="8"/>
      <c r="Y61068" s="8"/>
      <c r="Z61068" s="8"/>
      <c r="AA61068" s="8"/>
    </row>
    <row r="61069" spans="1:27" x14ac:dyDescent="0.25">
      <c r="A61069" s="8"/>
      <c r="B61069" s="8"/>
      <c r="C61069" s="99"/>
      <c r="D61069" s="8"/>
      <c r="E61069" s="8"/>
      <c r="F61069" s="8"/>
      <c r="G61069" s="8"/>
      <c r="H61069" s="8"/>
      <c r="I61069" s="102"/>
      <c r="J61069" s="8"/>
      <c r="K61069" s="8"/>
      <c r="L61069" s="8"/>
      <c r="M61069" s="8"/>
      <c r="N61069" s="8"/>
      <c r="O61069" s="8"/>
      <c r="P61069" s="8"/>
      <c r="Q61069" s="8"/>
      <c r="R61069" s="103"/>
      <c r="S61069" s="8"/>
      <c r="T61069" s="8"/>
      <c r="U61069" s="8"/>
      <c r="V61069" s="8"/>
      <c r="W61069" s="8"/>
      <c r="X61069" s="8"/>
      <c r="Y61069" s="8"/>
      <c r="Z61069" s="8"/>
      <c r="AA61069" s="8"/>
    </row>
    <row r="61070" spans="1:27" x14ac:dyDescent="0.25">
      <c r="A61070" s="8"/>
      <c r="B61070" s="8"/>
      <c r="C61070" s="99"/>
      <c r="D61070" s="8"/>
      <c r="E61070" s="8"/>
      <c r="F61070" s="8"/>
      <c r="G61070" s="8"/>
      <c r="H61070" s="8"/>
      <c r="I61070" s="102"/>
      <c r="J61070" s="8"/>
      <c r="K61070" s="8"/>
      <c r="L61070" s="8"/>
      <c r="M61070" s="8"/>
      <c r="N61070" s="8"/>
      <c r="O61070" s="8"/>
      <c r="P61070" s="8"/>
      <c r="Q61070" s="8"/>
      <c r="R61070" s="103"/>
      <c r="S61070" s="8"/>
      <c r="T61070" s="8"/>
      <c r="U61070" s="8"/>
      <c r="V61070" s="8"/>
      <c r="W61070" s="8"/>
      <c r="X61070" s="8"/>
      <c r="Y61070" s="8"/>
      <c r="Z61070" s="8"/>
      <c r="AA61070" s="8"/>
    </row>
    <row r="61071" spans="1:27" x14ac:dyDescent="0.25">
      <c r="A61071" s="8"/>
      <c r="B61071" s="8"/>
      <c r="C61071" s="99"/>
      <c r="D61071" s="8"/>
      <c r="E61071" s="8"/>
      <c r="F61071" s="8"/>
      <c r="G61071" s="8"/>
      <c r="H61071" s="8"/>
      <c r="I61071" s="102"/>
      <c r="J61071" s="8"/>
      <c r="K61071" s="8"/>
      <c r="L61071" s="8"/>
      <c r="M61071" s="8"/>
      <c r="N61071" s="8"/>
      <c r="O61071" s="8"/>
      <c r="P61071" s="8"/>
      <c r="Q61071" s="8"/>
      <c r="R61071" s="103"/>
      <c r="S61071" s="8"/>
      <c r="T61071" s="8"/>
      <c r="U61071" s="8"/>
      <c r="V61071" s="8"/>
      <c r="W61071" s="8"/>
      <c r="X61071" s="8"/>
      <c r="Y61071" s="8"/>
      <c r="Z61071" s="8"/>
      <c r="AA61071" s="8"/>
    </row>
    <row r="61072" spans="1:27" x14ac:dyDescent="0.25">
      <c r="A61072" s="8"/>
      <c r="B61072" s="8"/>
      <c r="C61072" s="99"/>
      <c r="D61072" s="8"/>
      <c r="E61072" s="8"/>
      <c r="F61072" s="8"/>
      <c r="G61072" s="8"/>
      <c r="H61072" s="8"/>
      <c r="I61072" s="102"/>
      <c r="J61072" s="8"/>
      <c r="K61072" s="8"/>
      <c r="L61072" s="8"/>
      <c r="M61072" s="8"/>
      <c r="N61072" s="8"/>
      <c r="O61072" s="8"/>
      <c r="P61072" s="8"/>
      <c r="Q61072" s="8"/>
      <c r="R61072" s="103"/>
      <c r="S61072" s="8"/>
      <c r="T61072" s="8"/>
      <c r="U61072" s="8"/>
      <c r="V61072" s="8"/>
      <c r="W61072" s="8"/>
      <c r="X61072" s="8"/>
      <c r="Y61072" s="8"/>
      <c r="Z61072" s="8"/>
      <c r="AA61072" s="8"/>
    </row>
    <row r="61073" spans="1:27" x14ac:dyDescent="0.25">
      <c r="A61073" s="8"/>
      <c r="B61073" s="8"/>
      <c r="C61073" s="99"/>
      <c r="D61073" s="8"/>
      <c r="E61073" s="8"/>
      <c r="F61073" s="8"/>
      <c r="G61073" s="8"/>
      <c r="H61073" s="8"/>
      <c r="I61073" s="102"/>
      <c r="J61073" s="8"/>
      <c r="K61073" s="8"/>
      <c r="L61073" s="8"/>
      <c r="M61073" s="8"/>
      <c r="N61073" s="8"/>
      <c r="O61073" s="8"/>
      <c r="P61073" s="8"/>
      <c r="Q61073" s="8"/>
      <c r="R61073" s="103"/>
      <c r="S61073" s="8"/>
      <c r="T61073" s="8"/>
      <c r="U61073" s="8"/>
      <c r="V61073" s="8"/>
      <c r="W61073" s="8"/>
      <c r="X61073" s="8"/>
      <c r="Y61073" s="8"/>
      <c r="Z61073" s="8"/>
      <c r="AA61073" s="8"/>
    </row>
    <row r="61074" spans="1:27" x14ac:dyDescent="0.25">
      <c r="A61074" s="8"/>
      <c r="B61074" s="8"/>
      <c r="C61074" s="99"/>
      <c r="D61074" s="8"/>
      <c r="E61074" s="8"/>
      <c r="F61074" s="8"/>
      <c r="G61074" s="8"/>
      <c r="H61074" s="8"/>
      <c r="I61074" s="102"/>
      <c r="J61074" s="8"/>
      <c r="K61074" s="8"/>
      <c r="L61074" s="8"/>
      <c r="M61074" s="8"/>
      <c r="N61074" s="8"/>
      <c r="O61074" s="8"/>
      <c r="P61074" s="8"/>
      <c r="Q61074" s="8"/>
      <c r="R61074" s="103"/>
      <c r="S61074" s="8"/>
      <c r="T61074" s="8"/>
      <c r="U61074" s="8"/>
      <c r="V61074" s="8"/>
      <c r="W61074" s="8"/>
      <c r="X61074" s="8"/>
      <c r="Y61074" s="8"/>
      <c r="Z61074" s="8"/>
      <c r="AA61074" s="8"/>
    </row>
    <row r="61075" spans="1:27" x14ac:dyDescent="0.25">
      <c r="A61075" s="8"/>
      <c r="B61075" s="8"/>
      <c r="C61075" s="99"/>
      <c r="D61075" s="8"/>
      <c r="E61075" s="8"/>
      <c r="F61075" s="8"/>
      <c r="G61075" s="8"/>
      <c r="H61075" s="8"/>
      <c r="I61075" s="102"/>
      <c r="J61075" s="8"/>
      <c r="K61075" s="8"/>
      <c r="L61075" s="8"/>
      <c r="M61075" s="8"/>
      <c r="N61075" s="8"/>
      <c r="O61075" s="8"/>
      <c r="P61075" s="8"/>
      <c r="Q61075" s="8"/>
      <c r="R61075" s="103"/>
      <c r="S61075" s="8"/>
      <c r="T61075" s="8"/>
      <c r="U61075" s="8"/>
      <c r="V61075" s="8"/>
      <c r="W61075" s="8"/>
      <c r="X61075" s="8"/>
      <c r="Y61075" s="8"/>
      <c r="Z61075" s="8"/>
      <c r="AA61075" s="8"/>
    </row>
    <row r="61076" spans="1:27" x14ac:dyDescent="0.25">
      <c r="A61076" s="8"/>
      <c r="B61076" s="8"/>
      <c r="C61076" s="99"/>
      <c r="D61076" s="8"/>
      <c r="E61076" s="8"/>
      <c r="F61076" s="8"/>
      <c r="G61076" s="8"/>
      <c r="H61076" s="8"/>
      <c r="I61076" s="102"/>
      <c r="J61076" s="8"/>
      <c r="K61076" s="8"/>
      <c r="L61076" s="8"/>
      <c r="M61076" s="8"/>
      <c r="N61076" s="8"/>
      <c r="O61076" s="8"/>
      <c r="P61076" s="8"/>
      <c r="Q61076" s="8"/>
      <c r="R61076" s="103"/>
      <c r="S61076" s="8"/>
      <c r="T61076" s="8"/>
      <c r="U61076" s="8"/>
      <c r="V61076" s="8"/>
      <c r="W61076" s="8"/>
      <c r="X61076" s="8"/>
      <c r="Y61076" s="8"/>
      <c r="Z61076" s="8"/>
      <c r="AA61076" s="8"/>
    </row>
    <row r="61077" spans="1:27" x14ac:dyDescent="0.25">
      <c r="A61077" s="8"/>
      <c r="B61077" s="8"/>
      <c r="C61077" s="99"/>
      <c r="D61077" s="8"/>
      <c r="E61077" s="8"/>
      <c r="F61077" s="8"/>
      <c r="G61077" s="8"/>
      <c r="H61077" s="8"/>
      <c r="I61077" s="102"/>
      <c r="J61077" s="8"/>
      <c r="K61077" s="8"/>
      <c r="L61077" s="8"/>
      <c r="M61077" s="8"/>
      <c r="N61077" s="8"/>
      <c r="O61077" s="8"/>
      <c r="P61077" s="8"/>
      <c r="Q61077" s="8"/>
      <c r="R61077" s="103"/>
      <c r="S61077" s="8"/>
      <c r="T61077" s="8"/>
      <c r="U61077" s="8"/>
      <c r="V61077" s="8"/>
      <c r="W61077" s="8"/>
      <c r="X61077" s="8"/>
      <c r="Y61077" s="8"/>
      <c r="Z61077" s="8"/>
      <c r="AA61077" s="8"/>
    </row>
    <row r="61078" spans="1:27" x14ac:dyDescent="0.25">
      <c r="A61078" s="8"/>
      <c r="B61078" s="8"/>
      <c r="C61078" s="99"/>
      <c r="D61078" s="8"/>
      <c r="E61078" s="8"/>
      <c r="F61078" s="8"/>
      <c r="G61078" s="8"/>
      <c r="H61078" s="8"/>
      <c r="I61078" s="102"/>
      <c r="J61078" s="8"/>
      <c r="K61078" s="8"/>
      <c r="L61078" s="8"/>
      <c r="M61078" s="8"/>
      <c r="N61078" s="8"/>
      <c r="O61078" s="8"/>
      <c r="P61078" s="8"/>
      <c r="Q61078" s="8"/>
      <c r="R61078" s="103"/>
      <c r="S61078" s="8"/>
      <c r="T61078" s="8"/>
      <c r="U61078" s="8"/>
      <c r="V61078" s="8"/>
      <c r="W61078" s="8"/>
      <c r="X61078" s="8"/>
      <c r="Y61078" s="8"/>
      <c r="Z61078" s="8"/>
      <c r="AA61078" s="8"/>
    </row>
    <row r="61079" spans="1:27" x14ac:dyDescent="0.25">
      <c r="A61079" s="8"/>
      <c r="B61079" s="8"/>
      <c r="C61079" s="99"/>
      <c r="D61079" s="8"/>
      <c r="E61079" s="8"/>
      <c r="F61079" s="8"/>
      <c r="G61079" s="8"/>
      <c r="H61079" s="8"/>
      <c r="I61079" s="102"/>
      <c r="J61079" s="8"/>
      <c r="K61079" s="8"/>
      <c r="L61079" s="8"/>
      <c r="M61079" s="8"/>
      <c r="N61079" s="8"/>
      <c r="O61079" s="8"/>
      <c r="P61079" s="8"/>
      <c r="Q61079" s="8"/>
      <c r="R61079" s="103"/>
      <c r="S61079" s="8"/>
      <c r="T61079" s="8"/>
      <c r="U61079" s="8"/>
      <c r="V61079" s="8"/>
      <c r="W61079" s="8"/>
      <c r="X61079" s="8"/>
      <c r="Y61079" s="8"/>
      <c r="Z61079" s="8"/>
      <c r="AA61079" s="8"/>
    </row>
    <row r="61080" spans="1:27" x14ac:dyDescent="0.25">
      <c r="A61080" s="8"/>
      <c r="B61080" s="8"/>
      <c r="C61080" s="99"/>
      <c r="D61080" s="8"/>
      <c r="E61080" s="8"/>
      <c r="F61080" s="8"/>
      <c r="G61080" s="8"/>
      <c r="H61080" s="8"/>
      <c r="I61080" s="102"/>
      <c r="J61080" s="8"/>
      <c r="K61080" s="8"/>
      <c r="L61080" s="8"/>
      <c r="M61080" s="8"/>
      <c r="N61080" s="8"/>
      <c r="O61080" s="8"/>
      <c r="P61080" s="8"/>
      <c r="Q61080" s="8"/>
      <c r="R61080" s="103"/>
      <c r="S61080" s="8"/>
      <c r="T61080" s="8"/>
      <c r="U61080" s="8"/>
      <c r="V61080" s="8"/>
      <c r="W61080" s="8"/>
      <c r="X61080" s="8"/>
      <c r="Y61080" s="8"/>
      <c r="Z61080" s="8"/>
      <c r="AA61080" s="8"/>
    </row>
    <row r="61081" spans="1:27" x14ac:dyDescent="0.25">
      <c r="A61081" s="8"/>
      <c r="B61081" s="8"/>
      <c r="C61081" s="99"/>
      <c r="D61081" s="8"/>
      <c r="E61081" s="8"/>
      <c r="F61081" s="8"/>
      <c r="G61081" s="8"/>
      <c r="H61081" s="8"/>
      <c r="I61081" s="102"/>
      <c r="J61081" s="8"/>
      <c r="K61081" s="8"/>
      <c r="L61081" s="8"/>
      <c r="M61081" s="8"/>
      <c r="N61081" s="8"/>
      <c r="O61081" s="8"/>
      <c r="P61081" s="8"/>
      <c r="Q61081" s="8"/>
      <c r="R61081" s="103"/>
      <c r="S61081" s="8"/>
      <c r="T61081" s="8"/>
      <c r="U61081" s="8"/>
      <c r="V61081" s="8"/>
      <c r="W61081" s="8"/>
      <c r="X61081" s="8"/>
      <c r="Y61081" s="8"/>
      <c r="Z61081" s="8"/>
      <c r="AA61081" s="8"/>
    </row>
    <row r="61082" spans="1:27" x14ac:dyDescent="0.25">
      <c r="A61082" s="8"/>
      <c r="B61082" s="8"/>
      <c r="C61082" s="99"/>
      <c r="D61082" s="8"/>
      <c r="E61082" s="8"/>
      <c r="F61082" s="8"/>
      <c r="G61082" s="8"/>
      <c r="H61082" s="8"/>
      <c r="I61082" s="102"/>
      <c r="J61082" s="8"/>
      <c r="K61082" s="8"/>
      <c r="L61082" s="8"/>
      <c r="M61082" s="8"/>
      <c r="N61082" s="8"/>
      <c r="O61082" s="8"/>
      <c r="P61082" s="8"/>
      <c r="Q61082" s="8"/>
      <c r="R61082" s="103"/>
      <c r="S61082" s="8"/>
      <c r="T61082" s="8"/>
      <c r="U61082" s="8"/>
      <c r="V61082" s="8"/>
      <c r="W61082" s="8"/>
      <c r="X61082" s="8"/>
      <c r="Y61082" s="8"/>
      <c r="Z61082" s="8"/>
      <c r="AA61082" s="8"/>
    </row>
    <row r="61083" spans="1:27" x14ac:dyDescent="0.25">
      <c r="A61083" s="8"/>
      <c r="B61083" s="8"/>
      <c r="C61083" s="99"/>
      <c r="D61083" s="8"/>
      <c r="E61083" s="8"/>
      <c r="F61083" s="8"/>
      <c r="G61083" s="8"/>
      <c r="H61083" s="8"/>
      <c r="I61083" s="102"/>
      <c r="J61083" s="8"/>
      <c r="K61083" s="8"/>
      <c r="L61083" s="8"/>
      <c r="M61083" s="8"/>
      <c r="N61083" s="8"/>
      <c r="O61083" s="8"/>
      <c r="P61083" s="8"/>
      <c r="Q61083" s="8"/>
      <c r="R61083" s="103"/>
      <c r="S61083" s="8"/>
      <c r="T61083" s="8"/>
      <c r="U61083" s="8"/>
      <c r="V61083" s="8"/>
      <c r="W61083" s="8"/>
      <c r="X61083" s="8"/>
      <c r="Y61083" s="8"/>
      <c r="Z61083" s="8"/>
      <c r="AA61083" s="8"/>
    </row>
    <row r="61084" spans="1:27" x14ac:dyDescent="0.25">
      <c r="A61084" s="8"/>
      <c r="B61084" s="8"/>
      <c r="C61084" s="99"/>
      <c r="D61084" s="8"/>
      <c r="E61084" s="8"/>
      <c r="F61084" s="8"/>
      <c r="G61084" s="8"/>
      <c r="H61084" s="8"/>
      <c r="I61084" s="102"/>
      <c r="J61084" s="8"/>
      <c r="K61084" s="8"/>
      <c r="L61084" s="8"/>
      <c r="M61084" s="8"/>
      <c r="N61084" s="8"/>
      <c r="O61084" s="8"/>
      <c r="P61084" s="8"/>
      <c r="Q61084" s="8"/>
      <c r="R61084" s="103"/>
      <c r="S61084" s="8"/>
      <c r="T61084" s="8"/>
      <c r="U61084" s="8"/>
      <c r="V61084" s="8"/>
      <c r="W61084" s="8"/>
      <c r="X61084" s="8"/>
      <c r="Y61084" s="8"/>
      <c r="Z61084" s="8"/>
      <c r="AA61084" s="8"/>
    </row>
    <row r="61085" spans="1:27" x14ac:dyDescent="0.25">
      <c r="A61085" s="8"/>
      <c r="B61085" s="8"/>
      <c r="C61085" s="99"/>
      <c r="D61085" s="8"/>
      <c r="E61085" s="8"/>
      <c r="F61085" s="8"/>
      <c r="G61085" s="8"/>
      <c r="H61085" s="8"/>
      <c r="I61085" s="102"/>
      <c r="J61085" s="8"/>
      <c r="K61085" s="8"/>
      <c r="L61085" s="8"/>
      <c r="M61085" s="8"/>
      <c r="N61085" s="8"/>
      <c r="O61085" s="8"/>
      <c r="P61085" s="8"/>
      <c r="Q61085" s="8"/>
      <c r="R61085" s="103"/>
      <c r="S61085" s="8"/>
      <c r="T61085" s="8"/>
      <c r="U61085" s="8"/>
      <c r="V61085" s="8"/>
      <c r="W61085" s="8"/>
      <c r="X61085" s="8"/>
      <c r="Y61085" s="8"/>
      <c r="Z61085" s="8"/>
      <c r="AA61085" s="8"/>
    </row>
    <row r="61086" spans="1:27" x14ac:dyDescent="0.25">
      <c r="A61086" s="8"/>
      <c r="B61086" s="8"/>
      <c r="C61086" s="99"/>
      <c r="D61086" s="8"/>
      <c r="E61086" s="8"/>
      <c r="F61086" s="8"/>
      <c r="G61086" s="8"/>
      <c r="H61086" s="8"/>
      <c r="I61086" s="102"/>
      <c r="J61086" s="8"/>
      <c r="K61086" s="8"/>
      <c r="L61086" s="8"/>
      <c r="M61086" s="8"/>
      <c r="N61086" s="8"/>
      <c r="O61086" s="8"/>
      <c r="P61086" s="8"/>
      <c r="Q61086" s="8"/>
      <c r="R61086" s="103"/>
      <c r="S61086" s="8"/>
      <c r="T61086" s="8"/>
      <c r="U61086" s="8"/>
      <c r="V61086" s="8"/>
      <c r="W61086" s="8"/>
      <c r="X61086" s="8"/>
      <c r="Y61086" s="8"/>
      <c r="Z61086" s="8"/>
      <c r="AA61086" s="8"/>
    </row>
    <row r="61087" spans="1:27" x14ac:dyDescent="0.25">
      <c r="A61087" s="8"/>
      <c r="B61087" s="8"/>
      <c r="C61087" s="99"/>
      <c r="D61087" s="8"/>
      <c r="E61087" s="8"/>
      <c r="F61087" s="8"/>
      <c r="G61087" s="8"/>
      <c r="H61087" s="8"/>
      <c r="I61087" s="102"/>
      <c r="J61087" s="8"/>
      <c r="K61087" s="8"/>
      <c r="L61087" s="8"/>
      <c r="M61087" s="8"/>
      <c r="N61087" s="8"/>
      <c r="O61087" s="8"/>
      <c r="P61087" s="8"/>
      <c r="Q61087" s="8"/>
      <c r="R61087" s="103"/>
      <c r="S61087" s="8"/>
      <c r="T61087" s="8"/>
      <c r="U61087" s="8"/>
      <c r="V61087" s="8"/>
      <c r="W61087" s="8"/>
      <c r="X61087" s="8"/>
      <c r="Y61087" s="8"/>
      <c r="Z61087" s="8"/>
      <c r="AA61087" s="8"/>
    </row>
    <row r="61088" spans="1:27" x14ac:dyDescent="0.25">
      <c r="A61088" s="8"/>
      <c r="B61088" s="8"/>
      <c r="C61088" s="99"/>
      <c r="D61088" s="8"/>
      <c r="E61088" s="8"/>
      <c r="F61088" s="8"/>
      <c r="G61088" s="8"/>
      <c r="H61088" s="8"/>
      <c r="I61088" s="102"/>
      <c r="J61088" s="8"/>
      <c r="K61088" s="8"/>
      <c r="L61088" s="8"/>
      <c r="M61088" s="8"/>
      <c r="N61088" s="8"/>
      <c r="O61088" s="8"/>
      <c r="P61088" s="8"/>
      <c r="Q61088" s="8"/>
      <c r="R61088" s="103"/>
      <c r="S61088" s="8"/>
      <c r="T61088" s="8"/>
      <c r="U61088" s="8"/>
      <c r="V61088" s="8"/>
      <c r="W61088" s="8"/>
      <c r="X61088" s="8"/>
      <c r="Y61088" s="8"/>
      <c r="Z61088" s="8"/>
      <c r="AA61088" s="8"/>
    </row>
    <row r="61089" spans="1:27" x14ac:dyDescent="0.25">
      <c r="A61089" s="8"/>
      <c r="B61089" s="8"/>
      <c r="C61089" s="99"/>
      <c r="D61089" s="8"/>
      <c r="E61089" s="8"/>
      <c r="F61089" s="8"/>
      <c r="G61089" s="8"/>
      <c r="H61089" s="8"/>
      <c r="I61089" s="102"/>
      <c r="J61089" s="8"/>
      <c r="K61089" s="8"/>
      <c r="L61089" s="8"/>
      <c r="M61089" s="8"/>
      <c r="N61089" s="8"/>
      <c r="O61089" s="8"/>
      <c r="P61089" s="8"/>
      <c r="Q61089" s="8"/>
      <c r="R61089" s="103"/>
      <c r="S61089" s="8"/>
      <c r="T61089" s="8"/>
      <c r="U61089" s="8"/>
      <c r="V61089" s="8"/>
      <c r="W61089" s="8"/>
      <c r="X61089" s="8"/>
      <c r="Y61089" s="8"/>
      <c r="Z61089" s="8"/>
      <c r="AA61089" s="8"/>
    </row>
    <row r="61090" spans="1:27" x14ac:dyDescent="0.25">
      <c r="A61090" s="8"/>
      <c r="B61090" s="8"/>
      <c r="C61090" s="99"/>
      <c r="D61090" s="8"/>
      <c r="E61090" s="8"/>
      <c r="F61090" s="8"/>
      <c r="G61090" s="8"/>
      <c r="H61090" s="8"/>
      <c r="I61090" s="102"/>
      <c r="J61090" s="8"/>
      <c r="K61090" s="8"/>
      <c r="L61090" s="8"/>
      <c r="M61090" s="8"/>
      <c r="N61090" s="8"/>
      <c r="O61090" s="8"/>
      <c r="P61090" s="8"/>
      <c r="Q61090" s="8"/>
      <c r="R61090" s="103"/>
      <c r="S61090" s="8"/>
      <c r="T61090" s="8"/>
      <c r="U61090" s="8"/>
      <c r="V61090" s="8"/>
      <c r="W61090" s="8"/>
      <c r="X61090" s="8"/>
      <c r="Y61090" s="8"/>
      <c r="Z61090" s="8"/>
      <c r="AA61090" s="8"/>
    </row>
    <row r="61091" spans="1:27" x14ac:dyDescent="0.25">
      <c r="A61091" s="8"/>
      <c r="B61091" s="8"/>
      <c r="C61091" s="99"/>
      <c r="D61091" s="8"/>
      <c r="E61091" s="8"/>
      <c r="F61091" s="8"/>
      <c r="G61091" s="8"/>
      <c r="H61091" s="8"/>
      <c r="I61091" s="102"/>
      <c r="J61091" s="8"/>
      <c r="K61091" s="8"/>
      <c r="L61091" s="8"/>
      <c r="M61091" s="8"/>
      <c r="N61091" s="8"/>
      <c r="O61091" s="8"/>
      <c r="P61091" s="8"/>
      <c r="Q61091" s="8"/>
      <c r="R61091" s="103"/>
      <c r="S61091" s="8"/>
      <c r="T61091" s="8"/>
      <c r="U61091" s="8"/>
      <c r="V61091" s="8"/>
      <c r="W61091" s="8"/>
      <c r="X61091" s="8"/>
      <c r="Y61091" s="8"/>
      <c r="Z61091" s="8"/>
      <c r="AA61091" s="8"/>
    </row>
    <row r="61092" spans="1:27" x14ac:dyDescent="0.25">
      <c r="A61092" s="8"/>
      <c r="B61092" s="8"/>
      <c r="C61092" s="99"/>
      <c r="D61092" s="8"/>
      <c r="E61092" s="8"/>
      <c r="F61092" s="8"/>
      <c r="G61092" s="8"/>
      <c r="H61092" s="8"/>
      <c r="I61092" s="102"/>
      <c r="J61092" s="8"/>
      <c r="K61092" s="8"/>
      <c r="L61092" s="8"/>
      <c r="M61092" s="8"/>
      <c r="N61092" s="8"/>
      <c r="O61092" s="8"/>
      <c r="P61092" s="8"/>
      <c r="Q61092" s="8"/>
      <c r="R61092" s="103"/>
      <c r="S61092" s="8"/>
      <c r="T61092" s="8"/>
      <c r="U61092" s="8"/>
      <c r="V61092" s="8"/>
      <c r="W61092" s="8"/>
      <c r="X61092" s="8"/>
      <c r="Y61092" s="8"/>
      <c r="Z61092" s="8"/>
      <c r="AA61092" s="8"/>
    </row>
    <row r="61093" spans="1:27" x14ac:dyDescent="0.25">
      <c r="A61093" s="8"/>
      <c r="B61093" s="8"/>
      <c r="C61093" s="99"/>
      <c r="D61093" s="8"/>
      <c r="E61093" s="8"/>
      <c r="F61093" s="8"/>
      <c r="G61093" s="8"/>
      <c r="H61093" s="8"/>
      <c r="I61093" s="102"/>
      <c r="J61093" s="8"/>
      <c r="K61093" s="8"/>
      <c r="L61093" s="8"/>
      <c r="M61093" s="8"/>
      <c r="N61093" s="8"/>
      <c r="O61093" s="8"/>
      <c r="P61093" s="8"/>
      <c r="Q61093" s="8"/>
      <c r="R61093" s="103"/>
      <c r="S61093" s="8"/>
      <c r="T61093" s="8"/>
      <c r="U61093" s="8"/>
      <c r="V61093" s="8"/>
      <c r="W61093" s="8"/>
      <c r="X61093" s="8"/>
      <c r="Y61093" s="8"/>
      <c r="Z61093" s="8"/>
      <c r="AA61093" s="8"/>
    </row>
    <row r="61094" spans="1:27" x14ac:dyDescent="0.25">
      <c r="A61094" s="8"/>
      <c r="B61094" s="8"/>
      <c r="C61094" s="99"/>
      <c r="D61094" s="8"/>
      <c r="E61094" s="8"/>
      <c r="F61094" s="8"/>
      <c r="G61094" s="8"/>
      <c r="H61094" s="8"/>
      <c r="I61094" s="102"/>
      <c r="J61094" s="8"/>
      <c r="K61094" s="8"/>
      <c r="L61094" s="8"/>
      <c r="M61094" s="8"/>
      <c r="N61094" s="8"/>
      <c r="O61094" s="8"/>
      <c r="P61094" s="8"/>
      <c r="Q61094" s="8"/>
      <c r="R61094" s="103"/>
      <c r="S61094" s="8"/>
      <c r="T61094" s="8"/>
      <c r="U61094" s="8"/>
      <c r="V61094" s="8"/>
      <c r="W61094" s="8"/>
      <c r="X61094" s="8"/>
      <c r="Y61094" s="8"/>
      <c r="Z61094" s="8"/>
      <c r="AA61094" s="8"/>
    </row>
    <row r="61095" spans="1:27" x14ac:dyDescent="0.25">
      <c r="A61095" s="8"/>
      <c r="B61095" s="8"/>
      <c r="C61095" s="99"/>
      <c r="D61095" s="8"/>
      <c r="E61095" s="8"/>
      <c r="F61095" s="8"/>
      <c r="G61095" s="8"/>
      <c r="H61095" s="8"/>
      <c r="I61095" s="102"/>
      <c r="J61095" s="8"/>
      <c r="K61095" s="8"/>
      <c r="L61095" s="8"/>
      <c r="M61095" s="8"/>
      <c r="N61095" s="8"/>
      <c r="O61095" s="8"/>
      <c r="P61095" s="8"/>
      <c r="Q61095" s="8"/>
      <c r="R61095" s="103"/>
      <c r="S61095" s="8"/>
      <c r="T61095" s="8"/>
      <c r="U61095" s="8"/>
      <c r="V61095" s="8"/>
      <c r="W61095" s="8"/>
      <c r="X61095" s="8"/>
      <c r="Y61095" s="8"/>
      <c r="Z61095" s="8"/>
      <c r="AA61095" s="8"/>
    </row>
    <row r="61096" spans="1:27" x14ac:dyDescent="0.25">
      <c r="A61096" s="8"/>
      <c r="B61096" s="8"/>
      <c r="C61096" s="99"/>
      <c r="D61096" s="8"/>
      <c r="E61096" s="8"/>
      <c r="F61096" s="8"/>
      <c r="G61096" s="8"/>
      <c r="H61096" s="8"/>
      <c r="I61096" s="102"/>
      <c r="J61096" s="8"/>
      <c r="K61096" s="8"/>
      <c r="L61096" s="8"/>
      <c r="M61096" s="8"/>
      <c r="N61096" s="8"/>
      <c r="O61096" s="8"/>
      <c r="P61096" s="8"/>
      <c r="Q61096" s="8"/>
      <c r="R61096" s="103"/>
      <c r="S61096" s="8"/>
      <c r="T61096" s="8"/>
      <c r="U61096" s="8"/>
      <c r="V61096" s="8"/>
      <c r="W61096" s="8"/>
      <c r="X61096" s="8"/>
      <c r="Y61096" s="8"/>
      <c r="Z61096" s="8"/>
      <c r="AA61096" s="8"/>
    </row>
    <row r="61097" spans="1:27" x14ac:dyDescent="0.25">
      <c r="A61097" s="8"/>
      <c r="B61097" s="8"/>
      <c r="C61097" s="99"/>
      <c r="D61097" s="8"/>
      <c r="E61097" s="8"/>
      <c r="F61097" s="8"/>
      <c r="G61097" s="8"/>
      <c r="H61097" s="8"/>
      <c r="I61097" s="102"/>
      <c r="J61097" s="8"/>
      <c r="K61097" s="8"/>
      <c r="L61097" s="8"/>
      <c r="M61097" s="8"/>
      <c r="N61097" s="8"/>
      <c r="O61097" s="8"/>
      <c r="P61097" s="8"/>
      <c r="Q61097" s="8"/>
      <c r="R61097" s="103"/>
      <c r="S61097" s="8"/>
      <c r="T61097" s="8"/>
      <c r="U61097" s="8"/>
      <c r="V61097" s="8"/>
      <c r="W61097" s="8"/>
      <c r="X61097" s="8"/>
      <c r="Y61097" s="8"/>
      <c r="Z61097" s="8"/>
      <c r="AA61097" s="8"/>
    </row>
    <row r="61098" spans="1:27" x14ac:dyDescent="0.25">
      <c r="A61098" s="8"/>
      <c r="B61098" s="8"/>
      <c r="C61098" s="99"/>
      <c r="D61098" s="8"/>
      <c r="E61098" s="8"/>
      <c r="F61098" s="8"/>
      <c r="G61098" s="8"/>
      <c r="H61098" s="8"/>
      <c r="I61098" s="102"/>
      <c r="J61098" s="8"/>
      <c r="K61098" s="8"/>
      <c r="L61098" s="8"/>
      <c r="M61098" s="8"/>
      <c r="N61098" s="8"/>
      <c r="O61098" s="8"/>
      <c r="P61098" s="8"/>
      <c r="Q61098" s="8"/>
      <c r="R61098" s="103"/>
      <c r="S61098" s="8"/>
      <c r="T61098" s="8"/>
      <c r="U61098" s="8"/>
      <c r="V61098" s="8"/>
      <c r="W61098" s="8"/>
      <c r="X61098" s="8"/>
      <c r="Y61098" s="8"/>
      <c r="Z61098" s="8"/>
      <c r="AA61098" s="8"/>
    </row>
    <row r="61099" spans="1:27" x14ac:dyDescent="0.25">
      <c r="A61099" s="8"/>
      <c r="B61099" s="8"/>
      <c r="C61099" s="99"/>
      <c r="D61099" s="8"/>
      <c r="E61099" s="8"/>
      <c r="F61099" s="8"/>
      <c r="G61099" s="8"/>
      <c r="H61099" s="8"/>
      <c r="I61099" s="102"/>
      <c r="J61099" s="8"/>
      <c r="K61099" s="8"/>
      <c r="L61099" s="8"/>
      <c r="M61099" s="8"/>
      <c r="N61099" s="8"/>
      <c r="O61099" s="8"/>
      <c r="P61099" s="8"/>
      <c r="Q61099" s="8"/>
      <c r="R61099" s="103"/>
      <c r="S61099" s="8"/>
      <c r="T61099" s="8"/>
      <c r="U61099" s="8"/>
      <c r="V61099" s="8"/>
      <c r="W61099" s="8"/>
      <c r="X61099" s="8"/>
      <c r="Y61099" s="8"/>
      <c r="Z61099" s="8"/>
      <c r="AA61099" s="8"/>
    </row>
    <row r="61100" spans="1:27" x14ac:dyDescent="0.25">
      <c r="A61100" s="8"/>
      <c r="B61100" s="8"/>
      <c r="C61100" s="99"/>
      <c r="D61100" s="8"/>
      <c r="E61100" s="8"/>
      <c r="F61100" s="8"/>
      <c r="G61100" s="8"/>
      <c r="H61100" s="8"/>
      <c r="I61100" s="102"/>
      <c r="J61100" s="8"/>
      <c r="K61100" s="8"/>
      <c r="L61100" s="8"/>
      <c r="M61100" s="8"/>
      <c r="N61100" s="8"/>
      <c r="O61100" s="8"/>
      <c r="P61100" s="8"/>
      <c r="Q61100" s="8"/>
      <c r="R61100" s="103"/>
      <c r="S61100" s="8"/>
      <c r="T61100" s="8"/>
      <c r="U61100" s="8"/>
      <c r="V61100" s="8"/>
      <c r="W61100" s="8"/>
      <c r="X61100" s="8"/>
      <c r="Y61100" s="8"/>
      <c r="Z61100" s="8"/>
      <c r="AA61100" s="8"/>
    </row>
    <row r="61101" spans="1:27" x14ac:dyDescent="0.25">
      <c r="A61101" s="8"/>
      <c r="B61101" s="8"/>
      <c r="C61101" s="99"/>
      <c r="D61101" s="8"/>
      <c r="E61101" s="8"/>
      <c r="F61101" s="8"/>
      <c r="G61101" s="8"/>
      <c r="H61101" s="8"/>
      <c r="I61101" s="102"/>
      <c r="J61101" s="8"/>
      <c r="K61101" s="8"/>
      <c r="L61101" s="8"/>
      <c r="M61101" s="8"/>
      <c r="N61101" s="8"/>
      <c r="O61101" s="8"/>
      <c r="P61101" s="8"/>
      <c r="Q61101" s="8"/>
      <c r="R61101" s="103"/>
      <c r="S61101" s="8"/>
      <c r="T61101" s="8"/>
      <c r="U61101" s="8"/>
      <c r="V61101" s="8"/>
      <c r="W61101" s="8"/>
      <c r="X61101" s="8"/>
      <c r="Y61101" s="8"/>
      <c r="Z61101" s="8"/>
      <c r="AA61101" s="8"/>
    </row>
    <row r="61102" spans="1:27" x14ac:dyDescent="0.25">
      <c r="A61102" s="8"/>
      <c r="B61102" s="8"/>
      <c r="C61102" s="99"/>
      <c r="D61102" s="8"/>
      <c r="E61102" s="8"/>
      <c r="F61102" s="8"/>
      <c r="G61102" s="8"/>
      <c r="H61102" s="8"/>
      <c r="I61102" s="102"/>
      <c r="J61102" s="8"/>
      <c r="K61102" s="8"/>
      <c r="L61102" s="8"/>
      <c r="M61102" s="8"/>
      <c r="N61102" s="8"/>
      <c r="O61102" s="8"/>
      <c r="P61102" s="8"/>
      <c r="Q61102" s="8"/>
      <c r="R61102" s="103"/>
      <c r="S61102" s="8"/>
      <c r="T61102" s="8"/>
      <c r="U61102" s="8"/>
      <c r="V61102" s="8"/>
      <c r="W61102" s="8"/>
      <c r="X61102" s="8"/>
      <c r="Y61102" s="8"/>
      <c r="Z61102" s="8"/>
      <c r="AA61102" s="8"/>
    </row>
    <row r="61103" spans="1:27" x14ac:dyDescent="0.25">
      <c r="A61103" s="8"/>
      <c r="B61103" s="8"/>
      <c r="C61103" s="99"/>
      <c r="D61103" s="8"/>
      <c r="E61103" s="8"/>
      <c r="F61103" s="8"/>
      <c r="G61103" s="8"/>
      <c r="H61103" s="8"/>
      <c r="I61103" s="102"/>
      <c r="J61103" s="8"/>
      <c r="K61103" s="8"/>
      <c r="L61103" s="8"/>
      <c r="M61103" s="8"/>
      <c r="N61103" s="8"/>
      <c r="O61103" s="8"/>
      <c r="P61103" s="8"/>
      <c r="Q61103" s="8"/>
      <c r="R61103" s="103"/>
      <c r="S61103" s="8"/>
      <c r="T61103" s="8"/>
      <c r="U61103" s="8"/>
      <c r="V61103" s="8"/>
      <c r="W61103" s="8"/>
      <c r="X61103" s="8"/>
      <c r="Y61103" s="8"/>
      <c r="Z61103" s="8"/>
      <c r="AA61103" s="8"/>
    </row>
    <row r="61104" spans="1:27" x14ac:dyDescent="0.25">
      <c r="A61104" s="8"/>
      <c r="B61104" s="8"/>
      <c r="C61104" s="99"/>
      <c r="D61104" s="8"/>
      <c r="E61104" s="8"/>
      <c r="F61104" s="8"/>
      <c r="G61104" s="8"/>
      <c r="H61104" s="8"/>
      <c r="I61104" s="102"/>
      <c r="J61104" s="8"/>
      <c r="K61104" s="8"/>
      <c r="L61104" s="8"/>
      <c r="M61104" s="8"/>
      <c r="N61104" s="8"/>
      <c r="O61104" s="8"/>
      <c r="P61104" s="8"/>
      <c r="Q61104" s="8"/>
      <c r="R61104" s="103"/>
      <c r="S61104" s="8"/>
      <c r="T61104" s="8"/>
      <c r="U61104" s="8"/>
      <c r="V61104" s="8"/>
      <c r="W61104" s="8"/>
      <c r="X61104" s="8"/>
      <c r="Y61104" s="8"/>
      <c r="Z61104" s="8"/>
      <c r="AA61104" s="8"/>
    </row>
    <row r="61105" spans="1:27" x14ac:dyDescent="0.25">
      <c r="A61105" s="8"/>
      <c r="B61105" s="8"/>
      <c r="C61105" s="99"/>
      <c r="D61105" s="8"/>
      <c r="E61105" s="8"/>
      <c r="F61105" s="8"/>
      <c r="G61105" s="8"/>
      <c r="H61105" s="8"/>
      <c r="I61105" s="102"/>
      <c r="J61105" s="8"/>
      <c r="K61105" s="8"/>
      <c r="L61105" s="8"/>
      <c r="M61105" s="8"/>
      <c r="N61105" s="8"/>
      <c r="O61105" s="8"/>
      <c r="P61105" s="8"/>
      <c r="Q61105" s="8"/>
      <c r="R61105" s="103"/>
      <c r="S61105" s="8"/>
      <c r="T61105" s="8"/>
      <c r="U61105" s="8"/>
      <c r="V61105" s="8"/>
      <c r="W61105" s="8"/>
      <c r="X61105" s="8"/>
      <c r="Y61105" s="8"/>
      <c r="Z61105" s="8"/>
      <c r="AA61105" s="8"/>
    </row>
    <row r="61106" spans="1:27" x14ac:dyDescent="0.25">
      <c r="A61106" s="8"/>
      <c r="B61106" s="8"/>
      <c r="C61106" s="99"/>
      <c r="D61106" s="8"/>
      <c r="E61106" s="8"/>
      <c r="F61106" s="8"/>
      <c r="G61106" s="8"/>
      <c r="H61106" s="8"/>
      <c r="I61106" s="102"/>
      <c r="J61106" s="8"/>
      <c r="K61106" s="8"/>
      <c r="L61106" s="8"/>
      <c r="M61106" s="8"/>
      <c r="N61106" s="8"/>
      <c r="O61106" s="8"/>
      <c r="P61106" s="8"/>
      <c r="Q61106" s="8"/>
      <c r="R61106" s="103"/>
      <c r="S61106" s="8"/>
      <c r="T61106" s="8"/>
      <c r="U61106" s="8"/>
      <c r="V61106" s="8"/>
      <c r="W61106" s="8"/>
      <c r="X61106" s="8"/>
      <c r="Y61106" s="8"/>
      <c r="Z61106" s="8"/>
      <c r="AA61106" s="8"/>
    </row>
    <row r="61107" spans="1:27" x14ac:dyDescent="0.25">
      <c r="A61107" s="8"/>
      <c r="B61107" s="8"/>
      <c r="C61107" s="99"/>
      <c r="D61107" s="8"/>
      <c r="E61107" s="8"/>
      <c r="F61107" s="8"/>
      <c r="G61107" s="8"/>
      <c r="H61107" s="8"/>
      <c r="I61107" s="102"/>
      <c r="J61107" s="8"/>
      <c r="K61107" s="8"/>
      <c r="L61107" s="8"/>
      <c r="M61107" s="8"/>
      <c r="N61107" s="8"/>
      <c r="O61107" s="8"/>
      <c r="P61107" s="8"/>
      <c r="Q61107" s="8"/>
      <c r="R61107" s="103"/>
      <c r="S61107" s="8"/>
      <c r="T61107" s="8"/>
      <c r="U61107" s="8"/>
      <c r="V61107" s="8"/>
      <c r="W61107" s="8"/>
      <c r="X61107" s="8"/>
      <c r="Y61107" s="8"/>
      <c r="Z61107" s="8"/>
      <c r="AA61107" s="8"/>
    </row>
    <row r="61108" spans="1:27" x14ac:dyDescent="0.25">
      <c r="A61108" s="8"/>
      <c r="B61108" s="8"/>
      <c r="C61108" s="99"/>
      <c r="D61108" s="8"/>
      <c r="E61108" s="8"/>
      <c r="F61108" s="8"/>
      <c r="G61108" s="8"/>
      <c r="H61108" s="8"/>
      <c r="I61108" s="102"/>
      <c r="J61108" s="8"/>
      <c r="K61108" s="8"/>
      <c r="L61108" s="8"/>
      <c r="M61108" s="8"/>
      <c r="N61108" s="8"/>
      <c r="O61108" s="8"/>
      <c r="P61108" s="8"/>
      <c r="Q61108" s="8"/>
      <c r="R61108" s="103"/>
      <c r="S61108" s="8"/>
      <c r="T61108" s="8"/>
      <c r="U61108" s="8"/>
      <c r="V61108" s="8"/>
      <c r="W61108" s="8"/>
      <c r="X61108" s="8"/>
      <c r="Y61108" s="8"/>
      <c r="Z61108" s="8"/>
      <c r="AA61108" s="8"/>
    </row>
    <row r="61109" spans="1:27" x14ac:dyDescent="0.25">
      <c r="A61109" s="8"/>
      <c r="B61109" s="8"/>
      <c r="C61109" s="99"/>
      <c r="D61109" s="8"/>
      <c r="E61109" s="8"/>
      <c r="F61109" s="8"/>
      <c r="G61109" s="8"/>
      <c r="H61109" s="8"/>
      <c r="I61109" s="102"/>
      <c r="J61109" s="8"/>
      <c r="K61109" s="8"/>
      <c r="L61109" s="8"/>
      <c r="M61109" s="8"/>
      <c r="N61109" s="8"/>
      <c r="O61109" s="8"/>
      <c r="P61109" s="8"/>
      <c r="Q61109" s="8"/>
      <c r="R61109" s="103"/>
      <c r="S61109" s="8"/>
      <c r="T61109" s="8"/>
      <c r="U61109" s="8"/>
      <c r="V61109" s="8"/>
      <c r="W61109" s="8"/>
      <c r="X61109" s="8"/>
      <c r="Y61109" s="8"/>
      <c r="Z61109" s="8"/>
      <c r="AA61109" s="8"/>
    </row>
    <row r="61110" spans="1:27" x14ac:dyDescent="0.25">
      <c r="A61110" s="8"/>
      <c r="B61110" s="8"/>
      <c r="C61110" s="99"/>
      <c r="D61110" s="8"/>
      <c r="E61110" s="8"/>
      <c r="F61110" s="8"/>
      <c r="G61110" s="8"/>
      <c r="H61110" s="8"/>
      <c r="I61110" s="102"/>
      <c r="J61110" s="8"/>
      <c r="K61110" s="8"/>
      <c r="L61110" s="8"/>
      <c r="M61110" s="8"/>
      <c r="N61110" s="8"/>
      <c r="O61110" s="8"/>
      <c r="P61110" s="8"/>
      <c r="Q61110" s="8"/>
      <c r="R61110" s="103"/>
      <c r="S61110" s="8"/>
      <c r="T61110" s="8"/>
      <c r="U61110" s="8"/>
      <c r="V61110" s="8"/>
      <c r="W61110" s="8"/>
      <c r="X61110" s="8"/>
      <c r="Y61110" s="8"/>
      <c r="Z61110" s="8"/>
      <c r="AA61110" s="8"/>
    </row>
    <row r="61111" spans="1:27" x14ac:dyDescent="0.25">
      <c r="A61111" s="8"/>
      <c r="B61111" s="8"/>
      <c r="C61111" s="99"/>
      <c r="D61111" s="8"/>
      <c r="E61111" s="8"/>
      <c r="F61111" s="8"/>
      <c r="G61111" s="8"/>
      <c r="H61111" s="8"/>
      <c r="I61111" s="102"/>
      <c r="J61111" s="8"/>
      <c r="K61111" s="8"/>
      <c r="L61111" s="8"/>
      <c r="M61111" s="8"/>
      <c r="N61111" s="8"/>
      <c r="O61111" s="8"/>
      <c r="P61111" s="8"/>
      <c r="Q61111" s="8"/>
      <c r="R61111" s="103"/>
      <c r="S61111" s="8"/>
      <c r="T61111" s="8"/>
      <c r="U61111" s="8"/>
      <c r="V61111" s="8"/>
      <c r="W61111" s="8"/>
      <c r="X61111" s="8"/>
      <c r="Y61111" s="8"/>
      <c r="Z61111" s="8"/>
      <c r="AA61111" s="8"/>
    </row>
    <row r="61112" spans="1:27" x14ac:dyDescent="0.25">
      <c r="A61112" s="8"/>
      <c r="B61112" s="8"/>
      <c r="C61112" s="99"/>
      <c r="D61112" s="8"/>
      <c r="E61112" s="8"/>
      <c r="F61112" s="8"/>
      <c r="G61112" s="8"/>
      <c r="H61112" s="8"/>
      <c r="I61112" s="102"/>
      <c r="J61112" s="8"/>
      <c r="K61112" s="8"/>
      <c r="L61112" s="8"/>
      <c r="M61112" s="8"/>
      <c r="N61112" s="8"/>
      <c r="O61112" s="8"/>
      <c r="P61112" s="8"/>
      <c r="Q61112" s="8"/>
      <c r="R61112" s="103"/>
      <c r="S61112" s="8"/>
      <c r="T61112" s="8"/>
      <c r="U61112" s="8"/>
      <c r="V61112" s="8"/>
      <c r="W61112" s="8"/>
      <c r="X61112" s="8"/>
      <c r="Y61112" s="8"/>
      <c r="Z61112" s="8"/>
      <c r="AA61112" s="8"/>
    </row>
    <row r="61113" spans="1:27" x14ac:dyDescent="0.25">
      <c r="A61113" s="8"/>
      <c r="B61113" s="8"/>
      <c r="C61113" s="99"/>
      <c r="D61113" s="8"/>
      <c r="E61113" s="8"/>
      <c r="F61113" s="8"/>
      <c r="G61113" s="8"/>
      <c r="H61113" s="8"/>
      <c r="I61113" s="102"/>
      <c r="J61113" s="8"/>
      <c r="K61113" s="8"/>
      <c r="L61113" s="8"/>
      <c r="M61113" s="8"/>
      <c r="N61113" s="8"/>
      <c r="O61113" s="8"/>
      <c r="P61113" s="8"/>
      <c r="Q61113" s="8"/>
      <c r="R61113" s="103"/>
      <c r="S61113" s="8"/>
      <c r="T61113" s="8"/>
      <c r="U61113" s="8"/>
      <c r="V61113" s="8"/>
      <c r="W61113" s="8"/>
      <c r="X61113" s="8"/>
      <c r="Y61113" s="8"/>
      <c r="Z61113" s="8"/>
      <c r="AA61113" s="8"/>
    </row>
    <row r="61114" spans="1:27" x14ac:dyDescent="0.25">
      <c r="A61114" s="8"/>
      <c r="B61114" s="8"/>
      <c r="C61114" s="99"/>
      <c r="D61114" s="8"/>
      <c r="E61114" s="8"/>
      <c r="F61114" s="8"/>
      <c r="G61114" s="8"/>
      <c r="H61114" s="8"/>
      <c r="I61114" s="102"/>
      <c r="J61114" s="8"/>
      <c r="K61114" s="8"/>
      <c r="L61114" s="8"/>
      <c r="M61114" s="8"/>
      <c r="N61114" s="8"/>
      <c r="O61114" s="8"/>
      <c r="P61114" s="8"/>
      <c r="Q61114" s="8"/>
      <c r="R61114" s="103"/>
      <c r="S61114" s="8"/>
      <c r="T61114" s="8"/>
      <c r="U61114" s="8"/>
      <c r="V61114" s="8"/>
      <c r="W61114" s="8"/>
      <c r="X61114" s="8"/>
      <c r="Y61114" s="8"/>
      <c r="Z61114" s="8"/>
      <c r="AA61114" s="8"/>
    </row>
    <row r="61115" spans="1:27" x14ac:dyDescent="0.25">
      <c r="A61115" s="8"/>
      <c r="B61115" s="8"/>
      <c r="C61115" s="99"/>
      <c r="D61115" s="8"/>
      <c r="E61115" s="8"/>
      <c r="F61115" s="8"/>
      <c r="G61115" s="8"/>
      <c r="H61115" s="8"/>
      <c r="I61115" s="102"/>
      <c r="J61115" s="8"/>
      <c r="K61115" s="8"/>
      <c r="L61115" s="8"/>
      <c r="M61115" s="8"/>
      <c r="N61115" s="8"/>
      <c r="O61115" s="8"/>
      <c r="P61115" s="8"/>
      <c r="Q61115" s="8"/>
      <c r="R61115" s="103"/>
      <c r="S61115" s="8"/>
      <c r="T61115" s="8"/>
      <c r="U61115" s="8"/>
      <c r="V61115" s="8"/>
      <c r="W61115" s="8"/>
      <c r="X61115" s="8"/>
      <c r="Y61115" s="8"/>
      <c r="Z61115" s="8"/>
      <c r="AA61115" s="8"/>
    </row>
    <row r="61116" spans="1:27" x14ac:dyDescent="0.25">
      <c r="A61116" s="8"/>
      <c r="B61116" s="8"/>
      <c r="C61116" s="99"/>
      <c r="D61116" s="8"/>
      <c r="E61116" s="8"/>
      <c r="F61116" s="8"/>
      <c r="G61116" s="8"/>
      <c r="H61116" s="8"/>
      <c r="I61116" s="102"/>
      <c r="J61116" s="8"/>
      <c r="K61116" s="8"/>
      <c r="L61116" s="8"/>
      <c r="M61116" s="8"/>
      <c r="N61116" s="8"/>
      <c r="O61116" s="8"/>
      <c r="P61116" s="8"/>
      <c r="Q61116" s="8"/>
      <c r="R61116" s="103"/>
      <c r="S61116" s="8"/>
      <c r="T61116" s="8"/>
      <c r="U61116" s="8"/>
      <c r="V61116" s="8"/>
      <c r="W61116" s="8"/>
      <c r="X61116" s="8"/>
      <c r="Y61116" s="8"/>
      <c r="Z61116" s="8"/>
      <c r="AA61116" s="8"/>
    </row>
    <row r="61117" spans="1:27" x14ac:dyDescent="0.25">
      <c r="A61117" s="8"/>
      <c r="B61117" s="8"/>
      <c r="C61117" s="99"/>
      <c r="D61117" s="8"/>
      <c r="E61117" s="8"/>
      <c r="F61117" s="8"/>
      <c r="G61117" s="8"/>
      <c r="H61117" s="8"/>
      <c r="I61117" s="102"/>
      <c r="J61117" s="8"/>
      <c r="K61117" s="8"/>
      <c r="L61117" s="8"/>
      <c r="M61117" s="8"/>
      <c r="N61117" s="8"/>
      <c r="O61117" s="8"/>
      <c r="P61117" s="8"/>
      <c r="Q61117" s="8"/>
      <c r="R61117" s="103"/>
      <c r="S61117" s="8"/>
      <c r="T61117" s="8"/>
      <c r="U61117" s="8"/>
      <c r="V61117" s="8"/>
      <c r="W61117" s="8"/>
      <c r="X61117" s="8"/>
      <c r="Y61117" s="8"/>
      <c r="Z61117" s="8"/>
      <c r="AA61117" s="8"/>
    </row>
    <row r="61118" spans="1:27" x14ac:dyDescent="0.25">
      <c r="A61118" s="8"/>
      <c r="B61118" s="8"/>
      <c r="C61118" s="99"/>
      <c r="D61118" s="8"/>
      <c r="E61118" s="8"/>
      <c r="F61118" s="8"/>
      <c r="G61118" s="8"/>
      <c r="H61118" s="8"/>
      <c r="I61118" s="102"/>
      <c r="J61118" s="8"/>
      <c r="K61118" s="8"/>
      <c r="L61118" s="8"/>
      <c r="M61118" s="8"/>
      <c r="N61118" s="8"/>
      <c r="O61118" s="8"/>
      <c r="P61118" s="8"/>
      <c r="Q61118" s="8"/>
      <c r="R61118" s="103"/>
      <c r="S61118" s="8"/>
      <c r="T61118" s="8"/>
      <c r="U61118" s="8"/>
      <c r="V61118" s="8"/>
      <c r="W61118" s="8"/>
      <c r="X61118" s="8"/>
      <c r="Y61118" s="8"/>
      <c r="Z61118" s="8"/>
      <c r="AA61118" s="8"/>
    </row>
    <row r="61119" spans="1:27" x14ac:dyDescent="0.25">
      <c r="A61119" s="8"/>
      <c r="B61119" s="8"/>
      <c r="C61119" s="99"/>
      <c r="D61119" s="8"/>
      <c r="E61119" s="8"/>
      <c r="F61119" s="8"/>
      <c r="G61119" s="8"/>
      <c r="H61119" s="8"/>
      <c r="I61119" s="102"/>
      <c r="J61119" s="8"/>
      <c r="K61119" s="8"/>
      <c r="L61119" s="8"/>
      <c r="M61119" s="8"/>
      <c r="N61119" s="8"/>
      <c r="O61119" s="8"/>
      <c r="P61119" s="8"/>
      <c r="Q61119" s="8"/>
      <c r="R61119" s="103"/>
      <c r="S61119" s="8"/>
      <c r="T61119" s="8"/>
      <c r="U61119" s="8"/>
      <c r="V61119" s="8"/>
      <c r="W61119" s="8"/>
      <c r="X61119" s="8"/>
      <c r="Y61119" s="8"/>
      <c r="Z61119" s="8"/>
      <c r="AA61119" s="8"/>
    </row>
    <row r="61120" spans="1:27" x14ac:dyDescent="0.25">
      <c r="A61120" s="8"/>
      <c r="B61120" s="8"/>
      <c r="C61120" s="99"/>
      <c r="D61120" s="8"/>
      <c r="E61120" s="8"/>
      <c r="F61120" s="8"/>
      <c r="G61120" s="8"/>
      <c r="H61120" s="8"/>
      <c r="I61120" s="102"/>
      <c r="J61120" s="8"/>
      <c r="K61120" s="8"/>
      <c r="L61120" s="8"/>
      <c r="M61120" s="8"/>
      <c r="N61120" s="8"/>
      <c r="O61120" s="8"/>
      <c r="P61120" s="8"/>
      <c r="Q61120" s="8"/>
      <c r="R61120" s="103"/>
      <c r="S61120" s="8"/>
      <c r="T61120" s="8"/>
      <c r="U61120" s="8"/>
      <c r="V61120" s="8"/>
      <c r="W61120" s="8"/>
      <c r="X61120" s="8"/>
      <c r="Y61120" s="8"/>
      <c r="Z61120" s="8"/>
      <c r="AA61120" s="8"/>
    </row>
    <row r="61121" spans="1:27" x14ac:dyDescent="0.25">
      <c r="A61121" s="8"/>
      <c r="B61121" s="8"/>
      <c r="C61121" s="99"/>
      <c r="D61121" s="8"/>
      <c r="E61121" s="8"/>
      <c r="F61121" s="8"/>
      <c r="G61121" s="8"/>
      <c r="H61121" s="8"/>
      <c r="I61121" s="102"/>
      <c r="J61121" s="8"/>
      <c r="K61121" s="8"/>
      <c r="L61121" s="8"/>
      <c r="M61121" s="8"/>
      <c r="N61121" s="8"/>
      <c r="O61121" s="8"/>
      <c r="P61121" s="8"/>
      <c r="Q61121" s="8"/>
      <c r="R61121" s="103"/>
      <c r="S61121" s="8"/>
      <c r="T61121" s="8"/>
      <c r="U61121" s="8"/>
      <c r="V61121" s="8"/>
      <c r="W61121" s="8"/>
      <c r="X61121" s="8"/>
      <c r="Y61121" s="8"/>
      <c r="Z61121" s="8"/>
      <c r="AA61121" s="8"/>
    </row>
    <row r="61122" spans="1:27" x14ac:dyDescent="0.25">
      <c r="A61122" s="8"/>
      <c r="B61122" s="8"/>
      <c r="C61122" s="99"/>
      <c r="D61122" s="8"/>
      <c r="E61122" s="8"/>
      <c r="F61122" s="8"/>
      <c r="G61122" s="8"/>
      <c r="H61122" s="8"/>
      <c r="I61122" s="102"/>
      <c r="J61122" s="8"/>
      <c r="K61122" s="8"/>
      <c r="L61122" s="8"/>
      <c r="M61122" s="8"/>
      <c r="N61122" s="8"/>
      <c r="O61122" s="8"/>
      <c r="P61122" s="8"/>
      <c r="Q61122" s="8"/>
      <c r="R61122" s="103"/>
      <c r="S61122" s="8"/>
      <c r="T61122" s="8"/>
      <c r="U61122" s="8"/>
      <c r="V61122" s="8"/>
      <c r="W61122" s="8"/>
      <c r="X61122" s="8"/>
      <c r="Y61122" s="8"/>
      <c r="Z61122" s="8"/>
      <c r="AA61122" s="8"/>
    </row>
    <row r="61123" spans="1:27" x14ac:dyDescent="0.25">
      <c r="A61123" s="8"/>
      <c r="B61123" s="8"/>
      <c r="C61123" s="99"/>
      <c r="D61123" s="8"/>
      <c r="E61123" s="8"/>
      <c r="F61123" s="8"/>
      <c r="G61123" s="8"/>
      <c r="H61123" s="8"/>
      <c r="I61123" s="102"/>
      <c r="J61123" s="8"/>
      <c r="K61123" s="8"/>
      <c r="L61123" s="8"/>
      <c r="M61123" s="8"/>
      <c r="N61123" s="8"/>
      <c r="O61123" s="8"/>
      <c r="P61123" s="8"/>
      <c r="Q61123" s="8"/>
      <c r="R61123" s="103"/>
      <c r="S61123" s="8"/>
      <c r="T61123" s="8"/>
      <c r="U61123" s="8"/>
      <c r="V61123" s="8"/>
      <c r="W61123" s="8"/>
      <c r="X61123" s="8"/>
      <c r="Y61123" s="8"/>
      <c r="Z61123" s="8"/>
      <c r="AA61123" s="8"/>
    </row>
    <row r="61124" spans="1:27" x14ac:dyDescent="0.25">
      <c r="A61124" s="8"/>
      <c r="B61124" s="8"/>
      <c r="C61124" s="99"/>
      <c r="D61124" s="8"/>
      <c r="E61124" s="8"/>
      <c r="F61124" s="8"/>
      <c r="G61124" s="8"/>
      <c r="H61124" s="8"/>
      <c r="I61124" s="102"/>
      <c r="J61124" s="8"/>
      <c r="K61124" s="8"/>
      <c r="L61124" s="8"/>
      <c r="M61124" s="8"/>
      <c r="N61124" s="8"/>
      <c r="O61124" s="8"/>
      <c r="P61124" s="8"/>
      <c r="Q61124" s="8"/>
      <c r="R61124" s="103"/>
      <c r="S61124" s="8"/>
      <c r="T61124" s="8"/>
      <c r="U61124" s="8"/>
      <c r="V61124" s="8"/>
      <c r="W61124" s="8"/>
      <c r="X61124" s="8"/>
      <c r="Y61124" s="8"/>
      <c r="Z61124" s="8"/>
      <c r="AA61124" s="8"/>
    </row>
    <row r="61125" spans="1:27" x14ac:dyDescent="0.25">
      <c r="A61125" s="8"/>
      <c r="B61125" s="8"/>
      <c r="C61125" s="99"/>
      <c r="D61125" s="8"/>
      <c r="E61125" s="8"/>
      <c r="F61125" s="8"/>
      <c r="G61125" s="8"/>
      <c r="H61125" s="8"/>
      <c r="I61125" s="102"/>
      <c r="J61125" s="8"/>
      <c r="K61125" s="8"/>
      <c r="L61125" s="8"/>
      <c r="M61125" s="8"/>
      <c r="N61125" s="8"/>
      <c r="O61125" s="8"/>
      <c r="P61125" s="8"/>
      <c r="Q61125" s="8"/>
      <c r="R61125" s="103"/>
      <c r="S61125" s="8"/>
      <c r="T61125" s="8"/>
      <c r="U61125" s="8"/>
      <c r="V61125" s="8"/>
      <c r="W61125" s="8"/>
      <c r="X61125" s="8"/>
      <c r="Y61125" s="8"/>
      <c r="Z61125" s="8"/>
      <c r="AA61125" s="8"/>
    </row>
    <row r="61126" spans="1:27" x14ac:dyDescent="0.25">
      <c r="A61126" s="8"/>
      <c r="B61126" s="8"/>
      <c r="C61126" s="99"/>
      <c r="D61126" s="8"/>
      <c r="E61126" s="8"/>
      <c r="F61126" s="8"/>
      <c r="G61126" s="8"/>
      <c r="H61126" s="8"/>
      <c r="I61126" s="102"/>
      <c r="J61126" s="8"/>
      <c r="K61126" s="8"/>
      <c r="L61126" s="8"/>
      <c r="M61126" s="8"/>
      <c r="N61126" s="8"/>
      <c r="O61126" s="8"/>
      <c r="P61126" s="8"/>
      <c r="Q61126" s="8"/>
      <c r="R61126" s="103"/>
      <c r="S61126" s="8"/>
      <c r="T61126" s="8"/>
      <c r="U61126" s="8"/>
      <c r="V61126" s="8"/>
      <c r="W61126" s="8"/>
      <c r="X61126" s="8"/>
      <c r="Y61126" s="8"/>
      <c r="Z61126" s="8"/>
      <c r="AA61126" s="8"/>
    </row>
    <row r="61127" spans="1:27" x14ac:dyDescent="0.25">
      <c r="A61127" s="8"/>
      <c r="B61127" s="8"/>
      <c r="C61127" s="99"/>
      <c r="D61127" s="8"/>
      <c r="E61127" s="8"/>
      <c r="F61127" s="8"/>
      <c r="G61127" s="8"/>
      <c r="H61127" s="8"/>
      <c r="I61127" s="102"/>
      <c r="J61127" s="8"/>
      <c r="K61127" s="8"/>
      <c r="L61127" s="8"/>
      <c r="M61127" s="8"/>
      <c r="N61127" s="8"/>
      <c r="O61127" s="8"/>
      <c r="P61127" s="8"/>
      <c r="Q61127" s="8"/>
      <c r="R61127" s="103"/>
      <c r="S61127" s="8"/>
      <c r="T61127" s="8"/>
      <c r="U61127" s="8"/>
      <c r="V61127" s="8"/>
      <c r="W61127" s="8"/>
      <c r="X61127" s="8"/>
      <c r="Y61127" s="8"/>
      <c r="Z61127" s="8"/>
      <c r="AA61127" s="8"/>
    </row>
    <row r="61128" spans="1:27" x14ac:dyDescent="0.25">
      <c r="A61128" s="8"/>
      <c r="B61128" s="8"/>
      <c r="C61128" s="99"/>
      <c r="D61128" s="8"/>
      <c r="E61128" s="8"/>
      <c r="F61128" s="8"/>
      <c r="G61128" s="8"/>
      <c r="H61128" s="8"/>
      <c r="I61128" s="102"/>
      <c r="J61128" s="8"/>
      <c r="K61128" s="8"/>
      <c r="L61128" s="8"/>
      <c r="M61128" s="8"/>
      <c r="N61128" s="8"/>
      <c r="O61128" s="8"/>
      <c r="P61128" s="8"/>
      <c r="Q61128" s="8"/>
      <c r="R61128" s="103"/>
      <c r="S61128" s="8"/>
      <c r="T61128" s="8"/>
      <c r="U61128" s="8"/>
      <c r="V61128" s="8"/>
      <c r="W61128" s="8"/>
      <c r="X61128" s="8"/>
      <c r="Y61128" s="8"/>
      <c r="Z61128" s="8"/>
      <c r="AA61128" s="8"/>
    </row>
    <row r="61129" spans="1:27" x14ac:dyDescent="0.25">
      <c r="A61129" s="8"/>
      <c r="B61129" s="8"/>
      <c r="C61129" s="99"/>
      <c r="D61129" s="8"/>
      <c r="E61129" s="8"/>
      <c r="F61129" s="8"/>
      <c r="G61129" s="8"/>
      <c r="H61129" s="8"/>
      <c r="I61129" s="102"/>
      <c r="J61129" s="8"/>
      <c r="K61129" s="8"/>
      <c r="L61129" s="8"/>
      <c r="M61129" s="8"/>
      <c r="N61129" s="8"/>
      <c r="O61129" s="8"/>
      <c r="P61129" s="8"/>
      <c r="Q61129" s="8"/>
      <c r="R61129" s="103"/>
      <c r="S61129" s="8"/>
      <c r="T61129" s="8"/>
      <c r="U61129" s="8"/>
      <c r="V61129" s="8"/>
      <c r="W61129" s="8"/>
      <c r="X61129" s="8"/>
      <c r="Y61129" s="8"/>
      <c r="Z61129" s="8"/>
      <c r="AA61129" s="8"/>
    </row>
    <row r="61130" spans="1:27" x14ac:dyDescent="0.25">
      <c r="A61130" s="8"/>
      <c r="B61130" s="8"/>
      <c r="C61130" s="99"/>
      <c r="D61130" s="8"/>
      <c r="E61130" s="8"/>
      <c r="F61130" s="8"/>
      <c r="G61130" s="8"/>
      <c r="H61130" s="8"/>
      <c r="I61130" s="102"/>
      <c r="J61130" s="8"/>
      <c r="K61130" s="8"/>
      <c r="L61130" s="8"/>
      <c r="M61130" s="8"/>
      <c r="N61130" s="8"/>
      <c r="O61130" s="8"/>
      <c r="P61130" s="8"/>
      <c r="Q61130" s="8"/>
      <c r="R61130" s="103"/>
      <c r="S61130" s="8"/>
      <c r="T61130" s="8"/>
      <c r="U61130" s="8"/>
      <c r="V61130" s="8"/>
      <c r="W61130" s="8"/>
      <c r="X61130" s="8"/>
      <c r="Y61130" s="8"/>
      <c r="Z61130" s="8"/>
      <c r="AA61130" s="8"/>
    </row>
    <row r="61131" spans="1:27" x14ac:dyDescent="0.25">
      <c r="A61131" s="8"/>
      <c r="B61131" s="8"/>
      <c r="C61131" s="99"/>
      <c r="D61131" s="8"/>
      <c r="E61131" s="8"/>
      <c r="F61131" s="8"/>
      <c r="G61131" s="8"/>
      <c r="H61131" s="8"/>
      <c r="I61131" s="102"/>
      <c r="J61131" s="8"/>
      <c r="K61131" s="8"/>
      <c r="L61131" s="8"/>
      <c r="M61131" s="8"/>
      <c r="N61131" s="8"/>
      <c r="O61131" s="8"/>
      <c r="P61131" s="8"/>
      <c r="Q61131" s="8"/>
      <c r="R61131" s="103"/>
      <c r="S61131" s="8"/>
      <c r="T61131" s="8"/>
      <c r="U61131" s="8"/>
      <c r="V61131" s="8"/>
      <c r="W61131" s="8"/>
      <c r="X61131" s="8"/>
      <c r="Y61131" s="8"/>
      <c r="Z61131" s="8"/>
      <c r="AA61131" s="8"/>
    </row>
    <row r="61132" spans="1:27" x14ac:dyDescent="0.25">
      <c r="A61132" s="8"/>
      <c r="B61132" s="8"/>
      <c r="C61132" s="99"/>
      <c r="D61132" s="8"/>
      <c r="E61132" s="8"/>
      <c r="F61132" s="8"/>
      <c r="G61132" s="8"/>
      <c r="H61132" s="8"/>
      <c r="I61132" s="102"/>
      <c r="J61132" s="8"/>
      <c r="K61132" s="8"/>
      <c r="L61132" s="8"/>
      <c r="M61132" s="8"/>
      <c r="N61132" s="8"/>
      <c r="O61132" s="8"/>
      <c r="P61132" s="8"/>
      <c r="Q61132" s="8"/>
      <c r="R61132" s="103"/>
      <c r="S61132" s="8"/>
      <c r="T61132" s="8"/>
      <c r="U61132" s="8"/>
      <c r="V61132" s="8"/>
      <c r="W61132" s="8"/>
      <c r="X61132" s="8"/>
      <c r="Y61132" s="8"/>
      <c r="Z61132" s="8"/>
      <c r="AA61132" s="8"/>
    </row>
    <row r="61133" spans="1:27" x14ac:dyDescent="0.25">
      <c r="A61133" s="8"/>
      <c r="B61133" s="8"/>
      <c r="C61133" s="99"/>
      <c r="D61133" s="8"/>
      <c r="E61133" s="8"/>
      <c r="F61133" s="8"/>
      <c r="G61133" s="8"/>
      <c r="H61133" s="8"/>
      <c r="I61133" s="102"/>
      <c r="J61133" s="8"/>
      <c r="K61133" s="8"/>
      <c r="L61133" s="8"/>
      <c r="M61133" s="8"/>
      <c r="N61133" s="8"/>
      <c r="O61133" s="8"/>
      <c r="P61133" s="8"/>
      <c r="Q61133" s="8"/>
      <c r="R61133" s="103"/>
      <c r="S61133" s="8"/>
      <c r="T61133" s="8"/>
      <c r="U61133" s="8"/>
      <c r="V61133" s="8"/>
      <c r="W61133" s="8"/>
      <c r="X61133" s="8"/>
      <c r="Y61133" s="8"/>
      <c r="Z61133" s="8"/>
      <c r="AA61133" s="8"/>
    </row>
    <row r="61134" spans="1:27" x14ac:dyDescent="0.25">
      <c r="A61134" s="8"/>
      <c r="B61134" s="8"/>
      <c r="C61134" s="99"/>
      <c r="D61134" s="8"/>
      <c r="E61134" s="8"/>
      <c r="F61134" s="8"/>
      <c r="G61134" s="8"/>
      <c r="H61134" s="8"/>
      <c r="I61134" s="102"/>
      <c r="J61134" s="8"/>
      <c r="K61134" s="8"/>
      <c r="L61134" s="8"/>
      <c r="M61134" s="8"/>
      <c r="N61134" s="8"/>
      <c r="O61134" s="8"/>
      <c r="P61134" s="8"/>
      <c r="Q61134" s="8"/>
      <c r="R61134" s="103"/>
      <c r="S61134" s="8"/>
      <c r="T61134" s="8"/>
      <c r="U61134" s="8"/>
      <c r="V61134" s="8"/>
      <c r="W61134" s="8"/>
      <c r="X61134" s="8"/>
      <c r="Y61134" s="8"/>
      <c r="Z61134" s="8"/>
      <c r="AA61134" s="8"/>
    </row>
    <row r="61135" spans="1:27" x14ac:dyDescent="0.25">
      <c r="A61135" s="8"/>
      <c r="B61135" s="8"/>
      <c r="C61135" s="99"/>
      <c r="D61135" s="8"/>
      <c r="E61135" s="8"/>
      <c r="F61135" s="8"/>
      <c r="G61135" s="8"/>
      <c r="H61135" s="8"/>
      <c r="I61135" s="102"/>
      <c r="J61135" s="8"/>
      <c r="K61135" s="8"/>
      <c r="L61135" s="8"/>
      <c r="M61135" s="8"/>
      <c r="N61135" s="8"/>
      <c r="O61135" s="8"/>
      <c r="P61135" s="8"/>
      <c r="Q61135" s="8"/>
      <c r="R61135" s="103"/>
      <c r="S61135" s="8"/>
      <c r="T61135" s="8"/>
      <c r="U61135" s="8"/>
      <c r="V61135" s="8"/>
      <c r="W61135" s="8"/>
      <c r="X61135" s="8"/>
      <c r="Y61135" s="8"/>
      <c r="Z61135" s="8"/>
      <c r="AA61135" s="8"/>
    </row>
    <row r="61136" spans="1:27" x14ac:dyDescent="0.25">
      <c r="A61136" s="8"/>
      <c r="B61136" s="8"/>
      <c r="C61136" s="99"/>
      <c r="D61136" s="8"/>
      <c r="E61136" s="8"/>
      <c r="F61136" s="8"/>
      <c r="G61136" s="8"/>
      <c r="H61136" s="8"/>
      <c r="I61136" s="102"/>
      <c r="J61136" s="8"/>
      <c r="K61136" s="8"/>
      <c r="L61136" s="8"/>
      <c r="M61136" s="8"/>
      <c r="N61136" s="8"/>
      <c r="O61136" s="8"/>
      <c r="P61136" s="8"/>
      <c r="Q61136" s="8"/>
      <c r="R61136" s="103"/>
      <c r="S61136" s="8"/>
      <c r="T61136" s="8"/>
      <c r="U61136" s="8"/>
      <c r="V61136" s="8"/>
      <c r="W61136" s="8"/>
      <c r="X61136" s="8"/>
      <c r="Y61136" s="8"/>
      <c r="Z61136" s="8"/>
      <c r="AA61136" s="8"/>
    </row>
    <row r="61137" spans="1:27" x14ac:dyDescent="0.25">
      <c r="A61137" s="8"/>
      <c r="B61137" s="8"/>
      <c r="C61137" s="99"/>
      <c r="D61137" s="8"/>
      <c r="E61137" s="8"/>
      <c r="F61137" s="8"/>
      <c r="G61137" s="8"/>
      <c r="H61137" s="8"/>
      <c r="I61137" s="102"/>
      <c r="J61137" s="8"/>
      <c r="K61137" s="8"/>
      <c r="L61137" s="8"/>
      <c r="M61137" s="8"/>
      <c r="N61137" s="8"/>
      <c r="O61137" s="8"/>
      <c r="P61137" s="8"/>
      <c r="Q61137" s="8"/>
      <c r="R61137" s="103"/>
      <c r="S61137" s="8"/>
      <c r="T61137" s="8"/>
      <c r="U61137" s="8"/>
      <c r="V61137" s="8"/>
      <c r="W61137" s="8"/>
      <c r="X61137" s="8"/>
      <c r="Y61137" s="8"/>
      <c r="Z61137" s="8"/>
      <c r="AA61137" s="8"/>
    </row>
    <row r="61138" spans="1:27" x14ac:dyDescent="0.25">
      <c r="A61138" s="8"/>
      <c r="B61138" s="8"/>
      <c r="C61138" s="99"/>
      <c r="D61138" s="8"/>
      <c r="E61138" s="8"/>
      <c r="F61138" s="8"/>
      <c r="G61138" s="8"/>
      <c r="H61138" s="8"/>
      <c r="I61138" s="102"/>
      <c r="J61138" s="8"/>
      <c r="K61138" s="8"/>
      <c r="L61138" s="8"/>
      <c r="M61138" s="8"/>
      <c r="N61138" s="8"/>
      <c r="O61138" s="8"/>
      <c r="P61138" s="8"/>
      <c r="Q61138" s="8"/>
      <c r="R61138" s="103"/>
      <c r="S61138" s="8"/>
      <c r="T61138" s="8"/>
      <c r="U61138" s="8"/>
      <c r="V61138" s="8"/>
      <c r="W61138" s="8"/>
      <c r="X61138" s="8"/>
      <c r="Y61138" s="8"/>
      <c r="Z61138" s="8"/>
      <c r="AA61138" s="8"/>
    </row>
    <row r="61139" spans="1:27" x14ac:dyDescent="0.25">
      <c r="A61139" s="8"/>
      <c r="B61139" s="8"/>
      <c r="C61139" s="99"/>
      <c r="D61139" s="8"/>
      <c r="E61139" s="8"/>
      <c r="F61139" s="8"/>
      <c r="G61139" s="8"/>
      <c r="H61139" s="8"/>
      <c r="I61139" s="102"/>
      <c r="J61139" s="8"/>
      <c r="K61139" s="8"/>
      <c r="L61139" s="8"/>
      <c r="M61139" s="8"/>
      <c r="N61139" s="8"/>
      <c r="O61139" s="8"/>
      <c r="P61139" s="8"/>
      <c r="Q61139" s="8"/>
      <c r="R61139" s="103"/>
      <c r="S61139" s="8"/>
      <c r="T61139" s="8"/>
      <c r="U61139" s="8"/>
      <c r="V61139" s="8"/>
      <c r="W61139" s="8"/>
      <c r="X61139" s="8"/>
      <c r="Y61139" s="8"/>
      <c r="Z61139" s="8"/>
      <c r="AA61139" s="8"/>
    </row>
    <row r="61140" spans="1:27" x14ac:dyDescent="0.25">
      <c r="A61140" s="8"/>
      <c r="B61140" s="8"/>
      <c r="C61140" s="99"/>
      <c r="D61140" s="8"/>
      <c r="E61140" s="8"/>
      <c r="F61140" s="8"/>
      <c r="G61140" s="8"/>
      <c r="H61140" s="8"/>
      <c r="I61140" s="102"/>
      <c r="J61140" s="8"/>
      <c r="K61140" s="8"/>
      <c r="L61140" s="8"/>
      <c r="M61140" s="8"/>
      <c r="N61140" s="8"/>
      <c r="O61140" s="8"/>
      <c r="P61140" s="8"/>
      <c r="Q61140" s="8"/>
      <c r="R61140" s="103"/>
      <c r="S61140" s="8"/>
      <c r="T61140" s="8"/>
      <c r="U61140" s="8"/>
      <c r="V61140" s="8"/>
      <c r="W61140" s="8"/>
      <c r="X61140" s="8"/>
      <c r="Y61140" s="8"/>
      <c r="Z61140" s="8"/>
      <c r="AA61140" s="8"/>
    </row>
    <row r="61141" spans="1:27" x14ac:dyDescent="0.25">
      <c r="A61141" s="8"/>
      <c r="B61141" s="8"/>
      <c r="C61141" s="99"/>
      <c r="D61141" s="8"/>
      <c r="E61141" s="8"/>
      <c r="F61141" s="8"/>
      <c r="G61141" s="8"/>
      <c r="H61141" s="8"/>
      <c r="I61141" s="102"/>
      <c r="J61141" s="8"/>
      <c r="K61141" s="8"/>
      <c r="L61141" s="8"/>
      <c r="M61141" s="8"/>
      <c r="N61141" s="8"/>
      <c r="O61141" s="8"/>
      <c r="P61141" s="8"/>
      <c r="Q61141" s="8"/>
      <c r="R61141" s="103"/>
      <c r="S61141" s="8"/>
      <c r="T61141" s="8"/>
      <c r="U61141" s="8"/>
      <c r="V61141" s="8"/>
      <c r="W61141" s="8"/>
      <c r="X61141" s="8"/>
      <c r="Y61141" s="8"/>
      <c r="Z61141" s="8"/>
      <c r="AA61141" s="8"/>
    </row>
    <row r="61142" spans="1:27" x14ac:dyDescent="0.25">
      <c r="A61142" s="8"/>
      <c r="B61142" s="8"/>
      <c r="C61142" s="99"/>
      <c r="D61142" s="8"/>
      <c r="E61142" s="8"/>
      <c r="F61142" s="8"/>
      <c r="G61142" s="8"/>
      <c r="H61142" s="8"/>
      <c r="I61142" s="102"/>
      <c r="J61142" s="8"/>
      <c r="K61142" s="8"/>
      <c r="L61142" s="8"/>
      <c r="M61142" s="8"/>
      <c r="N61142" s="8"/>
      <c r="O61142" s="8"/>
      <c r="P61142" s="8"/>
      <c r="Q61142" s="8"/>
      <c r="R61142" s="103"/>
      <c r="S61142" s="8"/>
      <c r="T61142" s="8"/>
      <c r="U61142" s="8"/>
      <c r="V61142" s="8"/>
      <c r="W61142" s="8"/>
      <c r="X61142" s="8"/>
      <c r="Y61142" s="8"/>
      <c r="Z61142" s="8"/>
      <c r="AA61142" s="8"/>
    </row>
    <row r="61143" spans="1:27" x14ac:dyDescent="0.25">
      <c r="A61143" s="8"/>
      <c r="B61143" s="8"/>
      <c r="C61143" s="99"/>
      <c r="D61143" s="8"/>
      <c r="E61143" s="8"/>
      <c r="F61143" s="8"/>
      <c r="G61143" s="8"/>
      <c r="H61143" s="8"/>
      <c r="I61143" s="102"/>
      <c r="J61143" s="8"/>
      <c r="K61143" s="8"/>
      <c r="L61143" s="8"/>
      <c r="M61143" s="8"/>
      <c r="N61143" s="8"/>
      <c r="O61143" s="8"/>
      <c r="P61143" s="8"/>
      <c r="Q61143" s="8"/>
      <c r="R61143" s="103"/>
      <c r="S61143" s="8"/>
      <c r="T61143" s="8"/>
      <c r="U61143" s="8"/>
      <c r="V61143" s="8"/>
      <c r="W61143" s="8"/>
      <c r="X61143" s="8"/>
      <c r="Y61143" s="8"/>
      <c r="Z61143" s="8"/>
      <c r="AA61143" s="8"/>
    </row>
    <row r="61144" spans="1:27" x14ac:dyDescent="0.25">
      <c r="A61144" s="8"/>
      <c r="B61144" s="8"/>
      <c r="C61144" s="99"/>
      <c r="D61144" s="8"/>
      <c r="E61144" s="8"/>
      <c r="F61144" s="8"/>
      <c r="G61144" s="8"/>
      <c r="H61144" s="8"/>
      <c r="I61144" s="102"/>
      <c r="J61144" s="8"/>
      <c r="K61144" s="8"/>
      <c r="L61144" s="8"/>
      <c r="M61144" s="8"/>
      <c r="N61144" s="8"/>
      <c r="O61144" s="8"/>
      <c r="P61144" s="8"/>
      <c r="Q61144" s="8"/>
      <c r="R61144" s="103"/>
      <c r="S61144" s="8"/>
      <c r="T61144" s="8"/>
      <c r="U61144" s="8"/>
      <c r="V61144" s="8"/>
      <c r="W61144" s="8"/>
      <c r="X61144" s="8"/>
      <c r="Y61144" s="8"/>
      <c r="Z61144" s="8"/>
      <c r="AA61144" s="8"/>
    </row>
    <row r="61145" spans="1:27" x14ac:dyDescent="0.25">
      <c r="A61145" s="8"/>
      <c r="B61145" s="8"/>
      <c r="C61145" s="99"/>
      <c r="D61145" s="8"/>
      <c r="E61145" s="8"/>
      <c r="F61145" s="8"/>
      <c r="G61145" s="8"/>
      <c r="H61145" s="8"/>
      <c r="I61145" s="102"/>
      <c r="J61145" s="8"/>
      <c r="K61145" s="8"/>
      <c r="L61145" s="8"/>
      <c r="M61145" s="8"/>
      <c r="N61145" s="8"/>
      <c r="O61145" s="8"/>
      <c r="P61145" s="8"/>
      <c r="Q61145" s="8"/>
      <c r="R61145" s="103"/>
      <c r="S61145" s="8"/>
      <c r="T61145" s="8"/>
      <c r="U61145" s="8"/>
      <c r="V61145" s="8"/>
      <c r="W61145" s="8"/>
      <c r="X61145" s="8"/>
      <c r="Y61145" s="8"/>
      <c r="Z61145" s="8"/>
      <c r="AA61145" s="8"/>
    </row>
    <row r="61146" spans="1:27" x14ac:dyDescent="0.25">
      <c r="A61146" s="8"/>
      <c r="B61146" s="8"/>
      <c r="C61146" s="99"/>
      <c r="D61146" s="8"/>
      <c r="E61146" s="8"/>
      <c r="F61146" s="8"/>
      <c r="G61146" s="8"/>
      <c r="H61146" s="8"/>
      <c r="I61146" s="102"/>
      <c r="J61146" s="8"/>
      <c r="K61146" s="8"/>
      <c r="L61146" s="8"/>
      <c r="M61146" s="8"/>
      <c r="N61146" s="8"/>
      <c r="O61146" s="8"/>
      <c r="P61146" s="8"/>
      <c r="Q61146" s="8"/>
      <c r="R61146" s="103"/>
      <c r="S61146" s="8"/>
      <c r="T61146" s="8"/>
      <c r="U61146" s="8"/>
      <c r="V61146" s="8"/>
      <c r="W61146" s="8"/>
      <c r="X61146" s="8"/>
      <c r="Y61146" s="8"/>
      <c r="Z61146" s="8"/>
      <c r="AA61146" s="8"/>
    </row>
    <row r="61147" spans="1:27" x14ac:dyDescent="0.25">
      <c r="A61147" s="8"/>
      <c r="B61147" s="8"/>
      <c r="C61147" s="99"/>
      <c r="D61147" s="8"/>
      <c r="E61147" s="8"/>
      <c r="F61147" s="8"/>
      <c r="G61147" s="8"/>
      <c r="H61147" s="8"/>
      <c r="I61147" s="102"/>
      <c r="J61147" s="8"/>
      <c r="K61147" s="8"/>
      <c r="L61147" s="8"/>
      <c r="M61147" s="8"/>
      <c r="N61147" s="8"/>
      <c r="O61147" s="8"/>
      <c r="P61147" s="8"/>
      <c r="Q61147" s="8"/>
      <c r="R61147" s="103"/>
      <c r="S61147" s="8"/>
      <c r="T61147" s="8"/>
      <c r="U61147" s="8"/>
      <c r="V61147" s="8"/>
      <c r="W61147" s="8"/>
      <c r="X61147" s="8"/>
      <c r="Y61147" s="8"/>
      <c r="Z61147" s="8"/>
      <c r="AA61147" s="8"/>
    </row>
    <row r="61148" spans="1:27" x14ac:dyDescent="0.25">
      <c r="A61148" s="8"/>
      <c r="B61148" s="8"/>
      <c r="C61148" s="99"/>
      <c r="D61148" s="8"/>
      <c r="E61148" s="8"/>
      <c r="F61148" s="8"/>
      <c r="G61148" s="8"/>
      <c r="H61148" s="8"/>
      <c r="I61148" s="102"/>
      <c r="J61148" s="8"/>
      <c r="K61148" s="8"/>
      <c r="L61148" s="8"/>
      <c r="M61148" s="8"/>
      <c r="N61148" s="8"/>
      <c r="O61148" s="8"/>
      <c r="P61148" s="8"/>
      <c r="Q61148" s="8"/>
      <c r="R61148" s="103"/>
      <c r="S61148" s="8"/>
      <c r="T61148" s="8"/>
      <c r="U61148" s="8"/>
      <c r="V61148" s="8"/>
      <c r="W61148" s="8"/>
      <c r="X61148" s="8"/>
      <c r="Y61148" s="8"/>
      <c r="Z61148" s="8"/>
      <c r="AA61148" s="8"/>
    </row>
    <row r="61149" spans="1:27" x14ac:dyDescent="0.25">
      <c r="A61149" s="8"/>
      <c r="B61149" s="8"/>
      <c r="C61149" s="99"/>
      <c r="D61149" s="8"/>
      <c r="E61149" s="8"/>
      <c r="F61149" s="8"/>
      <c r="G61149" s="8"/>
      <c r="H61149" s="8"/>
      <c r="I61149" s="102"/>
      <c r="J61149" s="8"/>
      <c r="K61149" s="8"/>
      <c r="L61149" s="8"/>
      <c r="M61149" s="8"/>
      <c r="N61149" s="8"/>
      <c r="O61149" s="8"/>
      <c r="P61149" s="8"/>
      <c r="Q61149" s="8"/>
      <c r="R61149" s="103"/>
      <c r="S61149" s="8"/>
      <c r="T61149" s="8"/>
      <c r="U61149" s="8"/>
      <c r="V61149" s="8"/>
      <c r="W61149" s="8"/>
      <c r="X61149" s="8"/>
      <c r="Y61149" s="8"/>
      <c r="Z61149" s="8"/>
      <c r="AA61149" s="8"/>
    </row>
    <row r="61150" spans="1:27" x14ac:dyDescent="0.25">
      <c r="A61150" s="8"/>
      <c r="B61150" s="8"/>
      <c r="C61150" s="99"/>
      <c r="D61150" s="8"/>
      <c r="E61150" s="8"/>
      <c r="F61150" s="8"/>
      <c r="G61150" s="8"/>
      <c r="H61150" s="8"/>
      <c r="I61150" s="102"/>
      <c r="J61150" s="8"/>
      <c r="K61150" s="8"/>
      <c r="L61150" s="8"/>
      <c r="M61150" s="8"/>
      <c r="N61150" s="8"/>
      <c r="O61150" s="8"/>
      <c r="P61150" s="8"/>
      <c r="Q61150" s="8"/>
      <c r="R61150" s="103"/>
      <c r="S61150" s="8"/>
      <c r="T61150" s="8"/>
      <c r="U61150" s="8"/>
      <c r="V61150" s="8"/>
      <c r="W61150" s="8"/>
      <c r="X61150" s="8"/>
      <c r="Y61150" s="8"/>
      <c r="Z61150" s="8"/>
      <c r="AA61150" s="8"/>
    </row>
    <row r="61151" spans="1:27" x14ac:dyDescent="0.25">
      <c r="A61151" s="8"/>
      <c r="B61151" s="8"/>
      <c r="C61151" s="99"/>
      <c r="D61151" s="8"/>
      <c r="E61151" s="8"/>
      <c r="F61151" s="8"/>
      <c r="G61151" s="8"/>
      <c r="H61151" s="8"/>
      <c r="I61151" s="102"/>
      <c r="J61151" s="8"/>
      <c r="K61151" s="8"/>
      <c r="L61151" s="8"/>
      <c r="M61151" s="8"/>
      <c r="N61151" s="8"/>
      <c r="O61151" s="8"/>
      <c r="P61151" s="8"/>
      <c r="Q61151" s="8"/>
      <c r="R61151" s="103"/>
      <c r="S61151" s="8"/>
      <c r="T61151" s="8"/>
      <c r="U61151" s="8"/>
      <c r="V61151" s="8"/>
      <c r="W61151" s="8"/>
      <c r="X61151" s="8"/>
      <c r="Y61151" s="8"/>
      <c r="Z61151" s="8"/>
      <c r="AA61151" s="8"/>
    </row>
    <row r="61152" spans="1:27" x14ac:dyDescent="0.25">
      <c r="A61152" s="8"/>
      <c r="B61152" s="8"/>
      <c r="C61152" s="99"/>
      <c r="D61152" s="8"/>
      <c r="E61152" s="8"/>
      <c r="F61152" s="8"/>
      <c r="G61152" s="8"/>
      <c r="H61152" s="8"/>
      <c r="I61152" s="102"/>
      <c r="J61152" s="8"/>
      <c r="K61152" s="8"/>
      <c r="L61152" s="8"/>
      <c r="M61152" s="8"/>
      <c r="N61152" s="8"/>
      <c r="O61152" s="8"/>
      <c r="P61152" s="8"/>
      <c r="Q61152" s="8"/>
      <c r="R61152" s="103"/>
      <c r="S61152" s="8"/>
      <c r="T61152" s="8"/>
      <c r="U61152" s="8"/>
      <c r="V61152" s="8"/>
      <c r="W61152" s="8"/>
      <c r="X61152" s="8"/>
      <c r="Y61152" s="8"/>
      <c r="Z61152" s="8"/>
      <c r="AA61152" s="8"/>
    </row>
    <row r="61153" spans="1:27" x14ac:dyDescent="0.25">
      <c r="A61153" s="8"/>
      <c r="B61153" s="8"/>
      <c r="C61153" s="99"/>
      <c r="D61153" s="8"/>
      <c r="E61153" s="8"/>
      <c r="F61153" s="8"/>
      <c r="G61153" s="8"/>
      <c r="H61153" s="8"/>
      <c r="I61153" s="102"/>
      <c r="J61153" s="8"/>
      <c r="K61153" s="8"/>
      <c r="L61153" s="8"/>
      <c r="M61153" s="8"/>
      <c r="N61153" s="8"/>
      <c r="O61153" s="8"/>
      <c r="P61153" s="8"/>
      <c r="Q61153" s="8"/>
      <c r="R61153" s="103"/>
      <c r="S61153" s="8"/>
      <c r="T61153" s="8"/>
      <c r="U61153" s="8"/>
      <c r="V61153" s="8"/>
      <c r="W61153" s="8"/>
      <c r="X61153" s="8"/>
      <c r="Y61153" s="8"/>
      <c r="Z61153" s="8"/>
      <c r="AA61153" s="8"/>
    </row>
    <row r="61154" spans="1:27" x14ac:dyDescent="0.25">
      <c r="A61154" s="8"/>
      <c r="B61154" s="8"/>
      <c r="C61154" s="99"/>
      <c r="D61154" s="8"/>
      <c r="E61154" s="8"/>
      <c r="F61154" s="8"/>
      <c r="G61154" s="8"/>
      <c r="H61154" s="8"/>
      <c r="I61154" s="102"/>
      <c r="J61154" s="8"/>
      <c r="K61154" s="8"/>
      <c r="L61154" s="8"/>
      <c r="M61154" s="8"/>
      <c r="N61154" s="8"/>
      <c r="O61154" s="8"/>
      <c r="P61154" s="8"/>
      <c r="Q61154" s="8"/>
      <c r="R61154" s="103"/>
      <c r="S61154" s="8"/>
      <c r="T61154" s="8"/>
      <c r="U61154" s="8"/>
      <c r="V61154" s="8"/>
      <c r="W61154" s="8"/>
      <c r="X61154" s="8"/>
      <c r="Y61154" s="8"/>
      <c r="Z61154" s="8"/>
      <c r="AA61154" s="8"/>
    </row>
    <row r="61155" spans="1:27" x14ac:dyDescent="0.25">
      <c r="A61155" s="8"/>
      <c r="B61155" s="8"/>
      <c r="C61155" s="99"/>
      <c r="D61155" s="8"/>
      <c r="E61155" s="8"/>
      <c r="F61155" s="8"/>
      <c r="G61155" s="8"/>
      <c r="H61155" s="8"/>
      <c r="I61155" s="102"/>
      <c r="J61155" s="8"/>
      <c r="K61155" s="8"/>
      <c r="L61155" s="8"/>
      <c r="M61155" s="8"/>
      <c r="N61155" s="8"/>
      <c r="O61155" s="8"/>
      <c r="P61155" s="8"/>
      <c r="Q61155" s="8"/>
      <c r="R61155" s="103"/>
      <c r="S61155" s="8"/>
      <c r="T61155" s="8"/>
      <c r="U61155" s="8"/>
      <c r="V61155" s="8"/>
      <c r="W61155" s="8"/>
      <c r="X61155" s="8"/>
      <c r="Y61155" s="8"/>
      <c r="Z61155" s="8"/>
      <c r="AA61155" s="8"/>
    </row>
    <row r="61156" spans="1:27" x14ac:dyDescent="0.25">
      <c r="A61156" s="8"/>
      <c r="B61156" s="8"/>
      <c r="C61156" s="99"/>
      <c r="D61156" s="8"/>
      <c r="E61156" s="8"/>
      <c r="F61156" s="8"/>
      <c r="G61156" s="8"/>
      <c r="H61156" s="8"/>
      <c r="I61156" s="102"/>
      <c r="J61156" s="8"/>
      <c r="K61156" s="8"/>
      <c r="L61156" s="8"/>
      <c r="M61156" s="8"/>
      <c r="N61156" s="8"/>
      <c r="O61156" s="8"/>
      <c r="P61156" s="8"/>
      <c r="Q61156" s="8"/>
      <c r="R61156" s="103"/>
      <c r="S61156" s="8"/>
      <c r="T61156" s="8"/>
      <c r="U61156" s="8"/>
      <c r="V61156" s="8"/>
      <c r="W61156" s="8"/>
      <c r="X61156" s="8"/>
      <c r="Y61156" s="8"/>
      <c r="Z61156" s="8"/>
      <c r="AA61156" s="8"/>
    </row>
    <row r="61157" spans="1:27" x14ac:dyDescent="0.25">
      <c r="A61157" s="8"/>
      <c r="B61157" s="8"/>
      <c r="C61157" s="99"/>
      <c r="D61157" s="8"/>
      <c r="E61157" s="8"/>
      <c r="F61157" s="8"/>
      <c r="G61157" s="8"/>
      <c r="H61157" s="8"/>
      <c r="I61157" s="102"/>
      <c r="J61157" s="8"/>
      <c r="K61157" s="8"/>
      <c r="L61157" s="8"/>
      <c r="M61157" s="8"/>
      <c r="N61157" s="8"/>
      <c r="O61157" s="8"/>
      <c r="P61157" s="8"/>
      <c r="Q61157" s="8"/>
      <c r="R61157" s="103"/>
      <c r="S61157" s="8"/>
      <c r="T61157" s="8"/>
      <c r="U61157" s="8"/>
      <c r="V61157" s="8"/>
      <c r="W61157" s="8"/>
      <c r="X61157" s="8"/>
      <c r="Y61157" s="8"/>
      <c r="Z61157" s="8"/>
      <c r="AA61157" s="8"/>
    </row>
    <row r="61158" spans="1:27" x14ac:dyDescent="0.25">
      <c r="A61158" s="8"/>
      <c r="B61158" s="8"/>
      <c r="C61158" s="99"/>
      <c r="D61158" s="8"/>
      <c r="E61158" s="8"/>
      <c r="F61158" s="8"/>
      <c r="G61158" s="8"/>
      <c r="H61158" s="8"/>
      <c r="I61158" s="102"/>
      <c r="J61158" s="8"/>
      <c r="K61158" s="8"/>
      <c r="L61158" s="8"/>
      <c r="M61158" s="8"/>
      <c r="N61158" s="8"/>
      <c r="O61158" s="8"/>
      <c r="P61158" s="8"/>
      <c r="Q61158" s="8"/>
      <c r="R61158" s="103"/>
      <c r="S61158" s="8"/>
      <c r="T61158" s="8"/>
      <c r="U61158" s="8"/>
      <c r="V61158" s="8"/>
      <c r="W61158" s="8"/>
      <c r="X61158" s="8"/>
      <c r="Y61158" s="8"/>
      <c r="Z61158" s="8"/>
      <c r="AA61158" s="8"/>
    </row>
    <row r="61159" spans="1:27" x14ac:dyDescent="0.25">
      <c r="A61159" s="8"/>
      <c r="B61159" s="8"/>
      <c r="C61159" s="99"/>
      <c r="D61159" s="8"/>
      <c r="E61159" s="8"/>
      <c r="F61159" s="8"/>
      <c r="G61159" s="8"/>
      <c r="H61159" s="8"/>
      <c r="I61159" s="102"/>
      <c r="J61159" s="8"/>
      <c r="K61159" s="8"/>
      <c r="L61159" s="8"/>
      <c r="M61159" s="8"/>
      <c r="N61159" s="8"/>
      <c r="O61159" s="8"/>
      <c r="P61159" s="8"/>
      <c r="Q61159" s="8"/>
      <c r="R61159" s="103"/>
      <c r="S61159" s="8"/>
      <c r="T61159" s="8"/>
      <c r="U61159" s="8"/>
      <c r="V61159" s="8"/>
      <c r="W61159" s="8"/>
      <c r="X61159" s="8"/>
      <c r="Y61159" s="8"/>
      <c r="Z61159" s="8"/>
      <c r="AA61159" s="8"/>
    </row>
    <row r="61160" spans="1:27" x14ac:dyDescent="0.25">
      <c r="A61160" s="8"/>
      <c r="B61160" s="8"/>
      <c r="C61160" s="99"/>
      <c r="D61160" s="8"/>
      <c r="E61160" s="8"/>
      <c r="F61160" s="8"/>
      <c r="G61160" s="8"/>
      <c r="H61160" s="8"/>
      <c r="I61160" s="102"/>
      <c r="J61160" s="8"/>
      <c r="K61160" s="8"/>
      <c r="L61160" s="8"/>
      <c r="M61160" s="8"/>
      <c r="N61160" s="8"/>
      <c r="O61160" s="8"/>
      <c r="P61160" s="8"/>
      <c r="Q61160" s="8"/>
      <c r="R61160" s="103"/>
      <c r="S61160" s="8"/>
      <c r="T61160" s="8"/>
      <c r="U61160" s="8"/>
      <c r="V61160" s="8"/>
      <c r="W61160" s="8"/>
      <c r="X61160" s="8"/>
      <c r="Y61160" s="8"/>
      <c r="Z61160" s="8"/>
      <c r="AA61160" s="8"/>
    </row>
    <row r="61161" spans="1:27" x14ac:dyDescent="0.25">
      <c r="A61161" s="8"/>
      <c r="B61161" s="8"/>
      <c r="C61161" s="99"/>
      <c r="D61161" s="8"/>
      <c r="E61161" s="8"/>
      <c r="F61161" s="8"/>
      <c r="G61161" s="8"/>
      <c r="H61161" s="8"/>
      <c r="I61161" s="102"/>
      <c r="J61161" s="8"/>
      <c r="K61161" s="8"/>
      <c r="L61161" s="8"/>
      <c r="M61161" s="8"/>
      <c r="N61161" s="8"/>
      <c r="O61161" s="8"/>
      <c r="P61161" s="8"/>
      <c r="Q61161" s="8"/>
      <c r="R61161" s="103"/>
      <c r="S61161" s="8"/>
      <c r="T61161" s="8"/>
      <c r="U61161" s="8"/>
      <c r="V61161" s="8"/>
      <c r="W61161" s="8"/>
      <c r="X61161" s="8"/>
      <c r="Y61161" s="8"/>
      <c r="Z61161" s="8"/>
      <c r="AA61161" s="8"/>
    </row>
    <row r="61162" spans="1:27" x14ac:dyDescent="0.25">
      <c r="A61162" s="8"/>
      <c r="B61162" s="8"/>
      <c r="C61162" s="99"/>
      <c r="D61162" s="8"/>
      <c r="E61162" s="8"/>
      <c r="F61162" s="8"/>
      <c r="G61162" s="8"/>
      <c r="H61162" s="8"/>
      <c r="I61162" s="102"/>
      <c r="J61162" s="8"/>
      <c r="K61162" s="8"/>
      <c r="L61162" s="8"/>
      <c r="M61162" s="8"/>
      <c r="N61162" s="8"/>
      <c r="O61162" s="8"/>
      <c r="P61162" s="8"/>
      <c r="Q61162" s="8"/>
      <c r="R61162" s="103"/>
      <c r="S61162" s="8"/>
      <c r="T61162" s="8"/>
      <c r="U61162" s="8"/>
      <c r="V61162" s="8"/>
      <c r="W61162" s="8"/>
      <c r="X61162" s="8"/>
      <c r="Y61162" s="8"/>
      <c r="Z61162" s="8"/>
      <c r="AA61162" s="8"/>
    </row>
    <row r="61163" spans="1:27" x14ac:dyDescent="0.25">
      <c r="A61163" s="8"/>
      <c r="B61163" s="8"/>
      <c r="C61163" s="99"/>
      <c r="D61163" s="8"/>
      <c r="E61163" s="8"/>
      <c r="F61163" s="8"/>
      <c r="G61163" s="8"/>
      <c r="H61163" s="8"/>
      <c r="I61163" s="102"/>
      <c r="J61163" s="8"/>
      <c r="K61163" s="8"/>
      <c r="L61163" s="8"/>
      <c r="M61163" s="8"/>
      <c r="N61163" s="8"/>
      <c r="O61163" s="8"/>
      <c r="P61163" s="8"/>
      <c r="Q61163" s="8"/>
      <c r="R61163" s="103"/>
      <c r="S61163" s="8"/>
      <c r="T61163" s="8"/>
      <c r="U61163" s="8"/>
      <c r="V61163" s="8"/>
      <c r="W61163" s="8"/>
      <c r="X61163" s="8"/>
      <c r="Y61163" s="8"/>
      <c r="Z61163" s="8"/>
      <c r="AA61163" s="8"/>
    </row>
    <row r="61164" spans="1:27" x14ac:dyDescent="0.25">
      <c r="A61164" s="8"/>
      <c r="B61164" s="8"/>
      <c r="C61164" s="99"/>
      <c r="D61164" s="8"/>
      <c r="E61164" s="8"/>
      <c r="F61164" s="8"/>
      <c r="G61164" s="8"/>
      <c r="H61164" s="8"/>
      <c r="I61164" s="102"/>
      <c r="J61164" s="8"/>
      <c r="K61164" s="8"/>
      <c r="L61164" s="8"/>
      <c r="M61164" s="8"/>
      <c r="N61164" s="8"/>
      <c r="O61164" s="8"/>
      <c r="P61164" s="8"/>
      <c r="Q61164" s="8"/>
      <c r="R61164" s="103"/>
      <c r="S61164" s="8"/>
      <c r="T61164" s="8"/>
      <c r="U61164" s="8"/>
      <c r="V61164" s="8"/>
      <c r="W61164" s="8"/>
      <c r="X61164" s="8"/>
      <c r="Y61164" s="8"/>
      <c r="Z61164" s="8"/>
      <c r="AA61164" s="8"/>
    </row>
    <row r="61165" spans="1:27" x14ac:dyDescent="0.25">
      <c r="A61165" s="8"/>
      <c r="B61165" s="8"/>
      <c r="C61165" s="99"/>
      <c r="D61165" s="8"/>
      <c r="E61165" s="8"/>
      <c r="F61165" s="8"/>
      <c r="G61165" s="8"/>
      <c r="H61165" s="8"/>
      <c r="I61165" s="102"/>
      <c r="J61165" s="8"/>
      <c r="K61165" s="8"/>
      <c r="L61165" s="8"/>
      <c r="M61165" s="8"/>
      <c r="N61165" s="8"/>
      <c r="O61165" s="8"/>
      <c r="P61165" s="8"/>
      <c r="Q61165" s="8"/>
      <c r="R61165" s="103"/>
      <c r="S61165" s="8"/>
      <c r="T61165" s="8"/>
      <c r="U61165" s="8"/>
      <c r="V61165" s="8"/>
      <c r="W61165" s="8"/>
      <c r="X61165" s="8"/>
      <c r="Y61165" s="8"/>
      <c r="Z61165" s="8"/>
      <c r="AA61165" s="8"/>
    </row>
    <row r="61166" spans="1:27" x14ac:dyDescent="0.25">
      <c r="A61166" s="8"/>
      <c r="B61166" s="8"/>
      <c r="C61166" s="99"/>
      <c r="D61166" s="8"/>
      <c r="E61166" s="8"/>
      <c r="F61166" s="8"/>
      <c r="G61166" s="8"/>
      <c r="H61166" s="8"/>
      <c r="I61166" s="102"/>
      <c r="J61166" s="8"/>
      <c r="K61166" s="8"/>
      <c r="L61166" s="8"/>
      <c r="M61166" s="8"/>
      <c r="N61166" s="8"/>
      <c r="O61166" s="8"/>
      <c r="P61166" s="8"/>
      <c r="Q61166" s="8"/>
      <c r="R61166" s="103"/>
      <c r="S61166" s="8"/>
      <c r="T61166" s="8"/>
      <c r="U61166" s="8"/>
      <c r="V61166" s="8"/>
      <c r="W61166" s="8"/>
      <c r="X61166" s="8"/>
      <c r="Y61166" s="8"/>
      <c r="Z61166" s="8"/>
      <c r="AA61166" s="8"/>
    </row>
    <row r="61167" spans="1:27" x14ac:dyDescent="0.25">
      <c r="A61167" s="8"/>
      <c r="B61167" s="8"/>
      <c r="C61167" s="99"/>
      <c r="D61167" s="8"/>
      <c r="E61167" s="8"/>
      <c r="F61167" s="8"/>
      <c r="G61167" s="8"/>
      <c r="H61167" s="8"/>
      <c r="I61167" s="102"/>
      <c r="J61167" s="8"/>
      <c r="K61167" s="8"/>
      <c r="L61167" s="8"/>
      <c r="M61167" s="8"/>
      <c r="N61167" s="8"/>
      <c r="O61167" s="8"/>
      <c r="P61167" s="8"/>
      <c r="Q61167" s="8"/>
      <c r="R61167" s="103"/>
      <c r="S61167" s="8"/>
      <c r="T61167" s="8"/>
      <c r="U61167" s="8"/>
      <c r="V61167" s="8"/>
      <c r="W61167" s="8"/>
      <c r="X61167" s="8"/>
      <c r="Y61167" s="8"/>
      <c r="Z61167" s="8"/>
      <c r="AA61167" s="8"/>
    </row>
    <row r="61168" spans="1:27" x14ac:dyDescent="0.25">
      <c r="A61168" s="8"/>
      <c r="B61168" s="8"/>
      <c r="C61168" s="99"/>
      <c r="D61168" s="8"/>
      <c r="E61168" s="8"/>
      <c r="F61168" s="8"/>
      <c r="G61168" s="8"/>
      <c r="H61168" s="8"/>
      <c r="I61168" s="102"/>
      <c r="J61168" s="8"/>
      <c r="K61168" s="8"/>
      <c r="L61168" s="8"/>
      <c r="M61168" s="8"/>
      <c r="N61168" s="8"/>
      <c r="O61168" s="8"/>
      <c r="P61168" s="8"/>
      <c r="Q61168" s="8"/>
      <c r="R61168" s="103"/>
      <c r="S61168" s="8"/>
      <c r="T61168" s="8"/>
      <c r="U61168" s="8"/>
      <c r="V61168" s="8"/>
      <c r="W61168" s="8"/>
      <c r="X61168" s="8"/>
      <c r="Y61168" s="8"/>
      <c r="Z61168" s="8"/>
      <c r="AA61168" s="8"/>
    </row>
    <row r="61169" spans="1:27" x14ac:dyDescent="0.25">
      <c r="A61169" s="8"/>
      <c r="B61169" s="8"/>
      <c r="C61169" s="99"/>
      <c r="D61169" s="8"/>
      <c r="E61169" s="8"/>
      <c r="F61169" s="8"/>
      <c r="G61169" s="8"/>
      <c r="H61169" s="8"/>
      <c r="I61169" s="102"/>
      <c r="J61169" s="8"/>
      <c r="K61169" s="8"/>
      <c r="L61169" s="8"/>
      <c r="M61169" s="8"/>
      <c r="N61169" s="8"/>
      <c r="O61169" s="8"/>
      <c r="P61169" s="8"/>
      <c r="Q61169" s="8"/>
      <c r="R61169" s="103"/>
      <c r="S61169" s="8"/>
      <c r="T61169" s="8"/>
      <c r="U61169" s="8"/>
      <c r="V61169" s="8"/>
      <c r="W61169" s="8"/>
      <c r="X61169" s="8"/>
      <c r="Y61169" s="8"/>
      <c r="Z61169" s="8"/>
      <c r="AA61169" s="8"/>
    </row>
    <row r="61170" spans="1:27" x14ac:dyDescent="0.25">
      <c r="A61170" s="8"/>
      <c r="B61170" s="8"/>
      <c r="C61170" s="99"/>
      <c r="D61170" s="8"/>
      <c r="E61170" s="8"/>
      <c r="F61170" s="8"/>
      <c r="G61170" s="8"/>
      <c r="H61170" s="8"/>
      <c r="I61170" s="102"/>
      <c r="J61170" s="8"/>
      <c r="K61170" s="8"/>
      <c r="L61170" s="8"/>
      <c r="M61170" s="8"/>
      <c r="N61170" s="8"/>
      <c r="O61170" s="8"/>
      <c r="P61170" s="8"/>
      <c r="Q61170" s="8"/>
      <c r="R61170" s="103"/>
      <c r="S61170" s="8"/>
      <c r="T61170" s="8"/>
      <c r="U61170" s="8"/>
      <c r="V61170" s="8"/>
      <c r="W61170" s="8"/>
      <c r="X61170" s="8"/>
      <c r="Y61170" s="8"/>
      <c r="Z61170" s="8"/>
      <c r="AA61170" s="8"/>
    </row>
    <row r="61171" spans="1:27" x14ac:dyDescent="0.25">
      <c r="A61171" s="8"/>
      <c r="B61171" s="8"/>
      <c r="C61171" s="99"/>
      <c r="D61171" s="8"/>
      <c r="E61171" s="8"/>
      <c r="F61171" s="8"/>
      <c r="G61171" s="8"/>
      <c r="H61171" s="8"/>
      <c r="I61171" s="102"/>
      <c r="J61171" s="8"/>
      <c r="K61171" s="8"/>
      <c r="L61171" s="8"/>
      <c r="M61171" s="8"/>
      <c r="N61171" s="8"/>
      <c r="O61171" s="8"/>
      <c r="P61171" s="8"/>
      <c r="Q61171" s="8"/>
      <c r="R61171" s="103"/>
      <c r="S61171" s="8"/>
      <c r="T61171" s="8"/>
      <c r="U61171" s="8"/>
      <c r="V61171" s="8"/>
      <c r="W61171" s="8"/>
      <c r="X61171" s="8"/>
      <c r="Y61171" s="8"/>
      <c r="Z61171" s="8"/>
      <c r="AA61171" s="8"/>
    </row>
    <row r="61172" spans="1:27" x14ac:dyDescent="0.25">
      <c r="A61172" s="8"/>
      <c r="B61172" s="8"/>
      <c r="C61172" s="99"/>
      <c r="D61172" s="8"/>
      <c r="E61172" s="8"/>
      <c r="F61172" s="8"/>
      <c r="G61172" s="8"/>
      <c r="H61172" s="8"/>
      <c r="I61172" s="102"/>
      <c r="J61172" s="8"/>
      <c r="K61172" s="8"/>
      <c r="L61172" s="8"/>
      <c r="M61172" s="8"/>
      <c r="N61172" s="8"/>
      <c r="O61172" s="8"/>
      <c r="P61172" s="8"/>
      <c r="Q61172" s="8"/>
      <c r="R61172" s="103"/>
      <c r="S61172" s="8"/>
      <c r="T61172" s="8"/>
      <c r="U61172" s="8"/>
      <c r="V61172" s="8"/>
      <c r="W61172" s="8"/>
      <c r="X61172" s="8"/>
      <c r="Y61172" s="8"/>
      <c r="Z61172" s="8"/>
      <c r="AA61172" s="8"/>
    </row>
    <row r="61173" spans="1:27" x14ac:dyDescent="0.25">
      <c r="A61173" s="8"/>
      <c r="B61173" s="8"/>
      <c r="C61173" s="99"/>
      <c r="D61173" s="8"/>
      <c r="E61173" s="8"/>
      <c r="F61173" s="8"/>
      <c r="G61173" s="8"/>
      <c r="H61173" s="8"/>
      <c r="I61173" s="102"/>
      <c r="J61173" s="8"/>
      <c r="K61173" s="8"/>
      <c r="L61173" s="8"/>
      <c r="M61173" s="8"/>
      <c r="N61173" s="8"/>
      <c r="O61173" s="8"/>
      <c r="P61173" s="8"/>
      <c r="Q61173" s="8"/>
      <c r="R61173" s="103"/>
      <c r="S61173" s="8"/>
      <c r="T61173" s="8"/>
      <c r="U61173" s="8"/>
      <c r="V61173" s="8"/>
      <c r="W61173" s="8"/>
      <c r="X61173" s="8"/>
      <c r="Y61173" s="8"/>
      <c r="Z61173" s="8"/>
      <c r="AA61173" s="8"/>
    </row>
    <row r="61174" spans="1:27" x14ac:dyDescent="0.25">
      <c r="A61174" s="8"/>
      <c r="B61174" s="8"/>
      <c r="C61174" s="99"/>
      <c r="D61174" s="8"/>
      <c r="E61174" s="8"/>
      <c r="F61174" s="8"/>
      <c r="G61174" s="8"/>
      <c r="H61174" s="8"/>
      <c r="I61174" s="102"/>
      <c r="J61174" s="8"/>
      <c r="K61174" s="8"/>
      <c r="L61174" s="8"/>
      <c r="M61174" s="8"/>
      <c r="N61174" s="8"/>
      <c r="O61174" s="8"/>
      <c r="P61174" s="8"/>
      <c r="Q61174" s="8"/>
      <c r="R61174" s="103"/>
      <c r="S61174" s="8"/>
      <c r="T61174" s="8"/>
      <c r="U61174" s="8"/>
      <c r="V61174" s="8"/>
      <c r="W61174" s="8"/>
      <c r="X61174" s="8"/>
      <c r="Y61174" s="8"/>
      <c r="Z61174" s="8"/>
      <c r="AA61174" s="8"/>
    </row>
    <row r="61175" spans="1:27" x14ac:dyDescent="0.25">
      <c r="A61175" s="8"/>
      <c r="B61175" s="8"/>
      <c r="C61175" s="99"/>
      <c r="D61175" s="8"/>
      <c r="E61175" s="8"/>
      <c r="F61175" s="8"/>
      <c r="G61175" s="8"/>
      <c r="H61175" s="8"/>
      <c r="I61175" s="102"/>
      <c r="J61175" s="8"/>
      <c r="K61175" s="8"/>
      <c r="L61175" s="8"/>
      <c r="M61175" s="8"/>
      <c r="N61175" s="8"/>
      <c r="O61175" s="8"/>
      <c r="P61175" s="8"/>
      <c r="Q61175" s="8"/>
      <c r="R61175" s="103"/>
      <c r="S61175" s="8"/>
      <c r="T61175" s="8"/>
      <c r="U61175" s="8"/>
      <c r="V61175" s="8"/>
      <c r="W61175" s="8"/>
      <c r="X61175" s="8"/>
      <c r="Y61175" s="8"/>
      <c r="Z61175" s="8"/>
      <c r="AA61175" s="8"/>
    </row>
    <row r="61176" spans="1:27" x14ac:dyDescent="0.25">
      <c r="A61176" s="8"/>
      <c r="B61176" s="8"/>
      <c r="C61176" s="99"/>
      <c r="D61176" s="8"/>
      <c r="E61176" s="8"/>
      <c r="F61176" s="8"/>
      <c r="G61176" s="8"/>
      <c r="H61176" s="8"/>
      <c r="I61176" s="102"/>
      <c r="J61176" s="8"/>
      <c r="K61176" s="8"/>
      <c r="L61176" s="8"/>
      <c r="M61176" s="8"/>
      <c r="N61176" s="8"/>
      <c r="O61176" s="8"/>
      <c r="P61176" s="8"/>
      <c r="Q61176" s="8"/>
      <c r="R61176" s="103"/>
      <c r="S61176" s="8"/>
      <c r="T61176" s="8"/>
      <c r="U61176" s="8"/>
      <c r="V61176" s="8"/>
      <c r="W61176" s="8"/>
      <c r="X61176" s="8"/>
      <c r="Y61176" s="8"/>
      <c r="Z61176" s="8"/>
      <c r="AA61176" s="8"/>
    </row>
    <row r="61177" spans="1:27" x14ac:dyDescent="0.25">
      <c r="A61177" s="8"/>
      <c r="B61177" s="8"/>
      <c r="C61177" s="99"/>
      <c r="D61177" s="8"/>
      <c r="E61177" s="8"/>
      <c r="F61177" s="8"/>
      <c r="G61177" s="8"/>
      <c r="H61177" s="8"/>
      <c r="I61177" s="102"/>
      <c r="J61177" s="8"/>
      <c r="K61177" s="8"/>
      <c r="L61177" s="8"/>
      <c r="M61177" s="8"/>
      <c r="N61177" s="8"/>
      <c r="O61177" s="8"/>
      <c r="P61177" s="8"/>
      <c r="Q61177" s="8"/>
      <c r="R61177" s="103"/>
      <c r="S61177" s="8"/>
      <c r="T61177" s="8"/>
      <c r="U61177" s="8"/>
      <c r="V61177" s="8"/>
      <c r="W61177" s="8"/>
      <c r="X61177" s="8"/>
      <c r="Y61177" s="8"/>
      <c r="Z61177" s="8"/>
      <c r="AA61177" s="8"/>
    </row>
    <row r="61178" spans="1:27" x14ac:dyDescent="0.25">
      <c r="A61178" s="8"/>
      <c r="B61178" s="8"/>
      <c r="C61178" s="99"/>
      <c r="D61178" s="8"/>
      <c r="E61178" s="8"/>
      <c r="F61178" s="8"/>
      <c r="G61178" s="8"/>
      <c r="H61178" s="8"/>
      <c r="I61178" s="102"/>
      <c r="J61178" s="8"/>
      <c r="K61178" s="8"/>
      <c r="L61178" s="8"/>
      <c r="M61178" s="8"/>
      <c r="N61178" s="8"/>
      <c r="O61178" s="8"/>
      <c r="P61178" s="8"/>
      <c r="Q61178" s="8"/>
      <c r="R61178" s="103"/>
      <c r="S61178" s="8"/>
      <c r="T61178" s="8"/>
      <c r="U61178" s="8"/>
      <c r="V61178" s="8"/>
      <c r="W61178" s="8"/>
      <c r="X61178" s="8"/>
      <c r="Y61178" s="8"/>
      <c r="Z61178" s="8"/>
      <c r="AA61178" s="8"/>
    </row>
    <row r="61179" spans="1:27" x14ac:dyDescent="0.25">
      <c r="A61179" s="8"/>
      <c r="B61179" s="8"/>
      <c r="C61179" s="99"/>
      <c r="D61179" s="8"/>
      <c r="E61179" s="8"/>
      <c r="F61179" s="8"/>
      <c r="G61179" s="8"/>
      <c r="H61179" s="8"/>
      <c r="I61179" s="102"/>
      <c r="J61179" s="8"/>
      <c r="K61179" s="8"/>
      <c r="L61179" s="8"/>
      <c r="M61179" s="8"/>
      <c r="N61179" s="8"/>
      <c r="O61179" s="8"/>
      <c r="P61179" s="8"/>
      <c r="Q61179" s="8"/>
      <c r="R61179" s="103"/>
      <c r="S61179" s="8"/>
      <c r="T61179" s="8"/>
      <c r="U61179" s="8"/>
      <c r="V61179" s="8"/>
      <c r="W61179" s="8"/>
      <c r="X61179" s="8"/>
      <c r="Y61179" s="8"/>
      <c r="Z61179" s="8"/>
      <c r="AA61179" s="8"/>
    </row>
    <row r="61180" spans="1:27" x14ac:dyDescent="0.25">
      <c r="A61180" s="8"/>
      <c r="B61180" s="8"/>
      <c r="C61180" s="99"/>
      <c r="D61180" s="8"/>
      <c r="E61180" s="8"/>
      <c r="F61180" s="8"/>
      <c r="G61180" s="8"/>
      <c r="H61180" s="8"/>
      <c r="I61180" s="102"/>
      <c r="J61180" s="8"/>
      <c r="K61180" s="8"/>
      <c r="L61180" s="8"/>
      <c r="M61180" s="8"/>
      <c r="N61180" s="8"/>
      <c r="O61180" s="8"/>
      <c r="P61180" s="8"/>
      <c r="Q61180" s="8"/>
      <c r="R61180" s="103"/>
      <c r="S61180" s="8"/>
      <c r="T61180" s="8"/>
      <c r="U61180" s="8"/>
      <c r="V61180" s="8"/>
      <c r="W61180" s="8"/>
      <c r="X61180" s="8"/>
      <c r="Y61180" s="8"/>
      <c r="Z61180" s="8"/>
      <c r="AA61180" s="8"/>
    </row>
    <row r="61181" spans="1:27" x14ac:dyDescent="0.25">
      <c r="A61181" s="8"/>
      <c r="B61181" s="8"/>
      <c r="C61181" s="99"/>
      <c r="D61181" s="8"/>
      <c r="E61181" s="8"/>
      <c r="F61181" s="8"/>
      <c r="G61181" s="8"/>
      <c r="H61181" s="8"/>
      <c r="I61181" s="102"/>
      <c r="J61181" s="8"/>
      <c r="K61181" s="8"/>
      <c r="L61181" s="8"/>
      <c r="M61181" s="8"/>
      <c r="N61181" s="8"/>
      <c r="O61181" s="8"/>
      <c r="P61181" s="8"/>
      <c r="Q61181" s="8"/>
      <c r="R61181" s="103"/>
      <c r="S61181" s="8"/>
      <c r="T61181" s="8"/>
      <c r="U61181" s="8"/>
      <c r="V61181" s="8"/>
      <c r="W61181" s="8"/>
      <c r="X61181" s="8"/>
      <c r="Y61181" s="8"/>
      <c r="Z61181" s="8"/>
      <c r="AA61181" s="8"/>
    </row>
    <row r="61182" spans="1:27" x14ac:dyDescent="0.25">
      <c r="A61182" s="8"/>
      <c r="B61182" s="8"/>
      <c r="C61182" s="99"/>
      <c r="D61182" s="8"/>
      <c r="E61182" s="8"/>
      <c r="F61182" s="8"/>
      <c r="G61182" s="8"/>
      <c r="H61182" s="8"/>
      <c r="I61182" s="102"/>
      <c r="J61182" s="8"/>
      <c r="K61182" s="8"/>
      <c r="L61182" s="8"/>
      <c r="M61182" s="8"/>
      <c r="N61182" s="8"/>
      <c r="O61182" s="8"/>
      <c r="P61182" s="8"/>
      <c r="Q61182" s="8"/>
      <c r="R61182" s="103"/>
      <c r="S61182" s="8"/>
      <c r="T61182" s="8"/>
      <c r="U61182" s="8"/>
      <c r="V61182" s="8"/>
      <c r="W61182" s="8"/>
      <c r="X61182" s="8"/>
      <c r="Y61182" s="8"/>
      <c r="Z61182" s="8"/>
      <c r="AA61182" s="8"/>
    </row>
    <row r="61183" spans="1:27" x14ac:dyDescent="0.25">
      <c r="A61183" s="8"/>
      <c r="B61183" s="8"/>
      <c r="C61183" s="99"/>
      <c r="D61183" s="8"/>
      <c r="E61183" s="8"/>
      <c r="F61183" s="8"/>
      <c r="G61183" s="8"/>
      <c r="H61183" s="8"/>
      <c r="I61183" s="102"/>
      <c r="J61183" s="8"/>
      <c r="K61183" s="8"/>
      <c r="L61183" s="8"/>
      <c r="M61183" s="8"/>
      <c r="N61183" s="8"/>
      <c r="O61183" s="8"/>
      <c r="P61183" s="8"/>
      <c r="Q61183" s="8"/>
      <c r="R61183" s="103"/>
      <c r="S61183" s="8"/>
      <c r="T61183" s="8"/>
      <c r="U61183" s="8"/>
      <c r="V61183" s="8"/>
      <c r="W61183" s="8"/>
      <c r="X61183" s="8"/>
      <c r="Y61183" s="8"/>
      <c r="Z61183" s="8"/>
      <c r="AA61183" s="8"/>
    </row>
    <row r="61184" spans="1:27" x14ac:dyDescent="0.25">
      <c r="A61184" s="8"/>
      <c r="B61184" s="8"/>
      <c r="C61184" s="99"/>
      <c r="D61184" s="8"/>
      <c r="E61184" s="8"/>
      <c r="F61184" s="8"/>
      <c r="G61184" s="8"/>
      <c r="H61184" s="8"/>
      <c r="I61184" s="102"/>
      <c r="J61184" s="8"/>
      <c r="K61184" s="8"/>
      <c r="L61184" s="8"/>
      <c r="M61184" s="8"/>
      <c r="N61184" s="8"/>
      <c r="O61184" s="8"/>
      <c r="P61184" s="8"/>
      <c r="Q61184" s="8"/>
      <c r="R61184" s="103"/>
      <c r="S61184" s="8"/>
      <c r="T61184" s="8"/>
      <c r="U61184" s="8"/>
      <c r="V61184" s="8"/>
      <c r="W61184" s="8"/>
      <c r="X61184" s="8"/>
      <c r="Y61184" s="8"/>
      <c r="Z61184" s="8"/>
      <c r="AA61184" s="8"/>
    </row>
    <row r="61185" spans="1:27" x14ac:dyDescent="0.25">
      <c r="A61185" s="8"/>
      <c r="B61185" s="8"/>
      <c r="C61185" s="99"/>
      <c r="D61185" s="8"/>
      <c r="E61185" s="8"/>
      <c r="F61185" s="8"/>
      <c r="G61185" s="8"/>
      <c r="H61185" s="8"/>
      <c r="I61185" s="102"/>
      <c r="J61185" s="8"/>
      <c r="K61185" s="8"/>
      <c r="L61185" s="8"/>
      <c r="M61185" s="8"/>
      <c r="N61185" s="8"/>
      <c r="O61185" s="8"/>
      <c r="P61185" s="8"/>
      <c r="Q61185" s="8"/>
      <c r="R61185" s="103"/>
      <c r="S61185" s="8"/>
      <c r="T61185" s="8"/>
      <c r="U61185" s="8"/>
      <c r="V61185" s="8"/>
      <c r="W61185" s="8"/>
      <c r="X61185" s="8"/>
      <c r="Y61185" s="8"/>
      <c r="Z61185" s="8"/>
      <c r="AA61185" s="8"/>
    </row>
    <row r="61186" spans="1:27" x14ac:dyDescent="0.25">
      <c r="A61186" s="8"/>
      <c r="B61186" s="8"/>
      <c r="C61186" s="99"/>
      <c r="D61186" s="8"/>
      <c r="E61186" s="8"/>
      <c r="F61186" s="8"/>
      <c r="G61186" s="8"/>
      <c r="H61186" s="8"/>
      <c r="I61186" s="102"/>
      <c r="J61186" s="8"/>
      <c r="K61186" s="8"/>
      <c r="L61186" s="8"/>
      <c r="M61186" s="8"/>
      <c r="N61186" s="8"/>
      <c r="O61186" s="8"/>
      <c r="P61186" s="8"/>
      <c r="Q61186" s="8"/>
      <c r="R61186" s="103"/>
      <c r="S61186" s="8"/>
      <c r="T61186" s="8"/>
      <c r="U61186" s="8"/>
      <c r="V61186" s="8"/>
      <c r="W61186" s="8"/>
      <c r="X61186" s="8"/>
      <c r="Y61186" s="8"/>
      <c r="Z61186" s="8"/>
      <c r="AA61186" s="8"/>
    </row>
    <row r="61187" spans="1:27" x14ac:dyDescent="0.25">
      <c r="A61187" s="8"/>
      <c r="B61187" s="8"/>
      <c r="C61187" s="99"/>
      <c r="D61187" s="8"/>
      <c r="E61187" s="8"/>
      <c r="F61187" s="8"/>
      <c r="G61187" s="8"/>
      <c r="H61187" s="8"/>
      <c r="I61187" s="102"/>
      <c r="J61187" s="8"/>
      <c r="K61187" s="8"/>
      <c r="L61187" s="8"/>
      <c r="M61187" s="8"/>
      <c r="N61187" s="8"/>
      <c r="O61187" s="8"/>
      <c r="P61187" s="8"/>
      <c r="Q61187" s="8"/>
      <c r="R61187" s="103"/>
      <c r="S61187" s="8"/>
      <c r="T61187" s="8"/>
      <c r="U61187" s="8"/>
      <c r="V61187" s="8"/>
      <c r="W61187" s="8"/>
      <c r="X61187" s="8"/>
      <c r="Y61187" s="8"/>
      <c r="Z61187" s="8"/>
      <c r="AA61187" s="8"/>
    </row>
    <row r="61188" spans="1:27" x14ac:dyDescent="0.25">
      <c r="A61188" s="8"/>
      <c r="B61188" s="8"/>
      <c r="C61188" s="99"/>
      <c r="D61188" s="8"/>
      <c r="E61188" s="8"/>
      <c r="F61188" s="8"/>
      <c r="G61188" s="8"/>
      <c r="H61188" s="8"/>
      <c r="I61188" s="102"/>
      <c r="J61188" s="8"/>
      <c r="K61188" s="8"/>
      <c r="L61188" s="8"/>
      <c r="M61188" s="8"/>
      <c r="N61188" s="8"/>
      <c r="O61188" s="8"/>
      <c r="P61188" s="8"/>
      <c r="Q61188" s="8"/>
      <c r="R61188" s="103"/>
      <c r="S61188" s="8"/>
      <c r="T61188" s="8"/>
      <c r="U61188" s="8"/>
      <c r="V61188" s="8"/>
      <c r="W61188" s="8"/>
      <c r="X61188" s="8"/>
      <c r="Y61188" s="8"/>
      <c r="Z61188" s="8"/>
      <c r="AA61188" s="8"/>
    </row>
    <row r="61189" spans="1:27" x14ac:dyDescent="0.25">
      <c r="A61189" s="8"/>
      <c r="B61189" s="8"/>
      <c r="C61189" s="99"/>
      <c r="D61189" s="8"/>
      <c r="E61189" s="8"/>
      <c r="F61189" s="8"/>
      <c r="G61189" s="8"/>
      <c r="H61189" s="8"/>
      <c r="I61189" s="102"/>
      <c r="J61189" s="8"/>
      <c r="K61189" s="8"/>
      <c r="L61189" s="8"/>
      <c r="M61189" s="8"/>
      <c r="N61189" s="8"/>
      <c r="O61189" s="8"/>
      <c r="P61189" s="8"/>
      <c r="Q61189" s="8"/>
      <c r="R61189" s="103"/>
      <c r="S61189" s="8"/>
      <c r="T61189" s="8"/>
      <c r="U61189" s="8"/>
      <c r="V61189" s="8"/>
      <c r="W61189" s="8"/>
      <c r="X61189" s="8"/>
      <c r="Y61189" s="8"/>
      <c r="Z61189" s="8"/>
      <c r="AA61189" s="8"/>
    </row>
    <row r="61190" spans="1:27" x14ac:dyDescent="0.25">
      <c r="A61190" s="8"/>
      <c r="B61190" s="8"/>
      <c r="C61190" s="99"/>
      <c r="D61190" s="8"/>
      <c r="E61190" s="8"/>
      <c r="F61190" s="8"/>
      <c r="G61190" s="8"/>
      <c r="H61190" s="8"/>
      <c r="I61190" s="102"/>
      <c r="J61190" s="8"/>
      <c r="K61190" s="8"/>
      <c r="L61190" s="8"/>
      <c r="M61190" s="8"/>
      <c r="N61190" s="8"/>
      <c r="O61190" s="8"/>
      <c r="P61190" s="8"/>
      <c r="Q61190" s="8"/>
      <c r="R61190" s="103"/>
      <c r="S61190" s="8"/>
      <c r="T61190" s="8"/>
      <c r="U61190" s="8"/>
      <c r="V61190" s="8"/>
      <c r="W61190" s="8"/>
      <c r="X61190" s="8"/>
      <c r="Y61190" s="8"/>
      <c r="Z61190" s="8"/>
      <c r="AA61190" s="8"/>
    </row>
    <row r="61191" spans="1:27" x14ac:dyDescent="0.25">
      <c r="A61191" s="8"/>
      <c r="B61191" s="8"/>
      <c r="C61191" s="99"/>
      <c r="D61191" s="8"/>
      <c r="E61191" s="8"/>
      <c r="F61191" s="8"/>
      <c r="G61191" s="8"/>
      <c r="H61191" s="8"/>
      <c r="I61191" s="102"/>
      <c r="J61191" s="8"/>
      <c r="K61191" s="8"/>
      <c r="L61191" s="8"/>
      <c r="M61191" s="8"/>
      <c r="N61191" s="8"/>
      <c r="O61191" s="8"/>
      <c r="P61191" s="8"/>
      <c r="Q61191" s="8"/>
      <c r="R61191" s="103"/>
      <c r="S61191" s="8"/>
      <c r="T61191" s="8"/>
      <c r="U61191" s="8"/>
      <c r="V61191" s="8"/>
      <c r="W61191" s="8"/>
      <c r="X61191" s="8"/>
      <c r="Y61191" s="8"/>
      <c r="Z61191" s="8"/>
      <c r="AA61191" s="8"/>
    </row>
    <row r="61192" spans="1:27" x14ac:dyDescent="0.25">
      <c r="A61192" s="8"/>
      <c r="B61192" s="8"/>
      <c r="C61192" s="99"/>
      <c r="D61192" s="8"/>
      <c r="E61192" s="8"/>
      <c r="F61192" s="8"/>
      <c r="G61192" s="8"/>
      <c r="H61192" s="8"/>
      <c r="I61192" s="102"/>
      <c r="J61192" s="8"/>
      <c r="K61192" s="8"/>
      <c r="L61192" s="8"/>
      <c r="M61192" s="8"/>
      <c r="N61192" s="8"/>
      <c r="O61192" s="8"/>
      <c r="P61192" s="8"/>
      <c r="Q61192" s="8"/>
      <c r="R61192" s="103"/>
      <c r="S61192" s="8"/>
      <c r="T61192" s="8"/>
      <c r="U61192" s="8"/>
      <c r="V61192" s="8"/>
      <c r="W61192" s="8"/>
      <c r="X61192" s="8"/>
      <c r="Y61192" s="8"/>
      <c r="Z61192" s="8"/>
      <c r="AA61192" s="8"/>
    </row>
    <row r="61193" spans="1:27" x14ac:dyDescent="0.25">
      <c r="A61193" s="8"/>
      <c r="B61193" s="8"/>
      <c r="C61193" s="99"/>
      <c r="D61193" s="8"/>
      <c r="E61193" s="8"/>
      <c r="F61193" s="8"/>
      <c r="G61193" s="8"/>
      <c r="H61193" s="8"/>
      <c r="I61193" s="102"/>
      <c r="J61193" s="8"/>
      <c r="K61193" s="8"/>
      <c r="L61193" s="8"/>
      <c r="M61193" s="8"/>
      <c r="N61193" s="8"/>
      <c r="O61193" s="8"/>
      <c r="P61193" s="8"/>
      <c r="Q61193" s="8"/>
      <c r="R61193" s="103"/>
      <c r="S61193" s="8"/>
      <c r="T61193" s="8"/>
      <c r="U61193" s="8"/>
      <c r="V61193" s="8"/>
      <c r="W61193" s="8"/>
      <c r="X61193" s="8"/>
      <c r="Y61193" s="8"/>
      <c r="Z61193" s="8"/>
      <c r="AA61193" s="8"/>
    </row>
    <row r="61194" spans="1:27" x14ac:dyDescent="0.25">
      <c r="A61194" s="8"/>
      <c r="B61194" s="8"/>
      <c r="C61194" s="99"/>
      <c r="D61194" s="8"/>
      <c r="E61194" s="8"/>
      <c r="F61194" s="8"/>
      <c r="G61194" s="8"/>
      <c r="H61194" s="8"/>
      <c r="I61194" s="102"/>
      <c r="J61194" s="8"/>
      <c r="K61194" s="8"/>
      <c r="L61194" s="8"/>
      <c r="M61194" s="8"/>
      <c r="N61194" s="8"/>
      <c r="O61194" s="8"/>
      <c r="P61194" s="8"/>
      <c r="Q61194" s="8"/>
      <c r="R61194" s="103"/>
      <c r="S61194" s="8"/>
      <c r="T61194" s="8"/>
      <c r="U61194" s="8"/>
      <c r="V61194" s="8"/>
      <c r="W61194" s="8"/>
      <c r="X61194" s="8"/>
      <c r="Y61194" s="8"/>
      <c r="Z61194" s="8"/>
      <c r="AA61194" s="8"/>
    </row>
    <row r="61195" spans="1:27" x14ac:dyDescent="0.25">
      <c r="A61195" s="8"/>
      <c r="B61195" s="8"/>
      <c r="C61195" s="99"/>
      <c r="D61195" s="8"/>
      <c r="E61195" s="8"/>
      <c r="F61195" s="8"/>
      <c r="G61195" s="8"/>
      <c r="H61195" s="8"/>
      <c r="I61195" s="102"/>
      <c r="J61195" s="8"/>
      <c r="K61195" s="8"/>
      <c r="L61195" s="8"/>
      <c r="M61195" s="8"/>
      <c r="N61195" s="8"/>
      <c r="O61195" s="8"/>
      <c r="P61195" s="8"/>
      <c r="Q61195" s="8"/>
      <c r="R61195" s="103"/>
      <c r="S61195" s="8"/>
      <c r="T61195" s="8"/>
      <c r="U61195" s="8"/>
      <c r="V61195" s="8"/>
      <c r="W61195" s="8"/>
      <c r="X61195" s="8"/>
      <c r="Y61195" s="8"/>
      <c r="Z61195" s="8"/>
      <c r="AA61195" s="8"/>
    </row>
    <row r="61196" spans="1:27" x14ac:dyDescent="0.25">
      <c r="A61196" s="8"/>
      <c r="B61196" s="8"/>
      <c r="C61196" s="99"/>
      <c r="D61196" s="8"/>
      <c r="E61196" s="8"/>
      <c r="F61196" s="8"/>
      <c r="G61196" s="8"/>
      <c r="H61196" s="8"/>
      <c r="I61196" s="102"/>
      <c r="J61196" s="8"/>
      <c r="K61196" s="8"/>
      <c r="L61196" s="8"/>
      <c r="M61196" s="8"/>
      <c r="N61196" s="8"/>
      <c r="O61196" s="8"/>
      <c r="P61196" s="8"/>
      <c r="Q61196" s="8"/>
      <c r="R61196" s="103"/>
      <c r="S61196" s="8"/>
      <c r="T61196" s="8"/>
      <c r="U61196" s="8"/>
      <c r="V61196" s="8"/>
      <c r="W61196" s="8"/>
      <c r="X61196" s="8"/>
      <c r="Y61196" s="8"/>
      <c r="Z61196" s="8"/>
      <c r="AA61196" s="8"/>
    </row>
    <row r="61197" spans="1:27" x14ac:dyDescent="0.25">
      <c r="A61197" s="8"/>
      <c r="B61197" s="8"/>
      <c r="C61197" s="99"/>
      <c r="D61197" s="8"/>
      <c r="E61197" s="8"/>
      <c r="F61197" s="8"/>
      <c r="G61197" s="8"/>
      <c r="H61197" s="8"/>
      <c r="I61197" s="102"/>
      <c r="J61197" s="8"/>
      <c r="K61197" s="8"/>
      <c r="L61197" s="8"/>
      <c r="M61197" s="8"/>
      <c r="N61197" s="8"/>
      <c r="O61197" s="8"/>
      <c r="P61197" s="8"/>
      <c r="Q61197" s="8"/>
      <c r="R61197" s="103"/>
      <c r="S61197" s="8"/>
      <c r="T61197" s="8"/>
      <c r="U61197" s="8"/>
      <c r="V61197" s="8"/>
      <c r="W61197" s="8"/>
      <c r="X61197" s="8"/>
      <c r="Y61197" s="8"/>
      <c r="Z61197" s="8"/>
      <c r="AA61197" s="8"/>
    </row>
    <row r="61198" spans="1:27" x14ac:dyDescent="0.25">
      <c r="A61198" s="8"/>
      <c r="B61198" s="8"/>
      <c r="C61198" s="99"/>
      <c r="D61198" s="8"/>
      <c r="E61198" s="8"/>
      <c r="F61198" s="8"/>
      <c r="G61198" s="8"/>
      <c r="H61198" s="8"/>
      <c r="I61198" s="102"/>
      <c r="J61198" s="8"/>
      <c r="K61198" s="8"/>
      <c r="L61198" s="8"/>
      <c r="M61198" s="8"/>
      <c r="N61198" s="8"/>
      <c r="O61198" s="8"/>
      <c r="P61198" s="8"/>
      <c r="Q61198" s="8"/>
      <c r="R61198" s="103"/>
      <c r="S61198" s="8"/>
      <c r="T61198" s="8"/>
      <c r="U61198" s="8"/>
      <c r="V61198" s="8"/>
      <c r="W61198" s="8"/>
      <c r="X61198" s="8"/>
      <c r="Y61198" s="8"/>
      <c r="Z61198" s="8"/>
      <c r="AA61198" s="8"/>
    </row>
    <row r="61199" spans="1:27" x14ac:dyDescent="0.25">
      <c r="A61199" s="8"/>
      <c r="B61199" s="8"/>
      <c r="C61199" s="99"/>
      <c r="D61199" s="8"/>
      <c r="E61199" s="8"/>
      <c r="F61199" s="8"/>
      <c r="G61199" s="8"/>
      <c r="H61199" s="8"/>
      <c r="I61199" s="102"/>
      <c r="J61199" s="8"/>
      <c r="K61199" s="8"/>
      <c r="L61199" s="8"/>
      <c r="M61199" s="8"/>
      <c r="N61199" s="8"/>
      <c r="O61199" s="8"/>
      <c r="P61199" s="8"/>
      <c r="Q61199" s="8"/>
      <c r="R61199" s="103"/>
      <c r="S61199" s="8"/>
      <c r="T61199" s="8"/>
      <c r="U61199" s="8"/>
      <c r="V61199" s="8"/>
      <c r="W61199" s="8"/>
      <c r="X61199" s="8"/>
      <c r="Y61199" s="8"/>
      <c r="Z61199" s="8"/>
      <c r="AA61199" s="8"/>
    </row>
    <row r="61200" spans="1:27" x14ac:dyDescent="0.25">
      <c r="A61200" s="8"/>
      <c r="B61200" s="8"/>
      <c r="C61200" s="99"/>
      <c r="D61200" s="8"/>
      <c r="E61200" s="8"/>
      <c r="F61200" s="8"/>
      <c r="G61200" s="8"/>
      <c r="H61200" s="8"/>
      <c r="I61200" s="102"/>
      <c r="J61200" s="8"/>
      <c r="K61200" s="8"/>
      <c r="L61200" s="8"/>
      <c r="M61200" s="8"/>
      <c r="N61200" s="8"/>
      <c r="O61200" s="8"/>
      <c r="P61200" s="8"/>
      <c r="Q61200" s="8"/>
      <c r="R61200" s="103"/>
      <c r="S61200" s="8"/>
      <c r="T61200" s="8"/>
      <c r="U61200" s="8"/>
      <c r="V61200" s="8"/>
      <c r="W61200" s="8"/>
      <c r="X61200" s="8"/>
      <c r="Y61200" s="8"/>
      <c r="Z61200" s="8"/>
      <c r="AA61200" s="8"/>
    </row>
    <row r="61201" spans="1:27" x14ac:dyDescent="0.25">
      <c r="A61201" s="8"/>
      <c r="B61201" s="8"/>
      <c r="C61201" s="99"/>
      <c r="D61201" s="8"/>
      <c r="E61201" s="8"/>
      <c r="F61201" s="8"/>
      <c r="G61201" s="8"/>
      <c r="H61201" s="8"/>
      <c r="I61201" s="102"/>
      <c r="J61201" s="8"/>
      <c r="K61201" s="8"/>
      <c r="L61201" s="8"/>
      <c r="M61201" s="8"/>
      <c r="N61201" s="8"/>
      <c r="O61201" s="8"/>
      <c r="P61201" s="8"/>
      <c r="Q61201" s="8"/>
      <c r="R61201" s="103"/>
      <c r="S61201" s="8"/>
      <c r="T61201" s="8"/>
      <c r="U61201" s="8"/>
      <c r="V61201" s="8"/>
      <c r="W61201" s="8"/>
      <c r="X61201" s="8"/>
      <c r="Y61201" s="8"/>
      <c r="Z61201" s="8"/>
      <c r="AA61201" s="8"/>
    </row>
    <row r="61202" spans="1:27" x14ac:dyDescent="0.25">
      <c r="A61202" s="8"/>
      <c r="B61202" s="8"/>
      <c r="C61202" s="99"/>
      <c r="D61202" s="8"/>
      <c r="E61202" s="8"/>
      <c r="F61202" s="8"/>
      <c r="G61202" s="8"/>
      <c r="H61202" s="8"/>
      <c r="I61202" s="102"/>
      <c r="J61202" s="8"/>
      <c r="K61202" s="8"/>
      <c r="L61202" s="8"/>
      <c r="M61202" s="8"/>
      <c r="N61202" s="8"/>
      <c r="O61202" s="8"/>
      <c r="P61202" s="8"/>
      <c r="Q61202" s="8"/>
      <c r="R61202" s="103"/>
      <c r="S61202" s="8"/>
      <c r="T61202" s="8"/>
      <c r="U61202" s="8"/>
      <c r="V61202" s="8"/>
      <c r="W61202" s="8"/>
      <c r="X61202" s="8"/>
      <c r="Y61202" s="8"/>
      <c r="Z61202" s="8"/>
      <c r="AA61202" s="8"/>
    </row>
    <row r="61203" spans="1:27" x14ac:dyDescent="0.25">
      <c r="A61203" s="8"/>
      <c r="B61203" s="8"/>
      <c r="C61203" s="99"/>
      <c r="D61203" s="8"/>
      <c r="E61203" s="8"/>
      <c r="F61203" s="8"/>
      <c r="G61203" s="8"/>
      <c r="H61203" s="8"/>
      <c r="I61203" s="102"/>
      <c r="J61203" s="8"/>
      <c r="K61203" s="8"/>
      <c r="L61203" s="8"/>
      <c r="M61203" s="8"/>
      <c r="N61203" s="8"/>
      <c r="O61203" s="8"/>
      <c r="P61203" s="8"/>
      <c r="Q61203" s="8"/>
      <c r="R61203" s="103"/>
      <c r="S61203" s="8"/>
      <c r="T61203" s="8"/>
      <c r="U61203" s="8"/>
      <c r="V61203" s="8"/>
      <c r="W61203" s="8"/>
      <c r="X61203" s="8"/>
      <c r="Y61203" s="8"/>
      <c r="Z61203" s="8"/>
      <c r="AA61203" s="8"/>
    </row>
    <row r="61204" spans="1:27" x14ac:dyDescent="0.25">
      <c r="A61204" s="8"/>
      <c r="B61204" s="8"/>
      <c r="C61204" s="99"/>
      <c r="D61204" s="8"/>
      <c r="E61204" s="8"/>
      <c r="F61204" s="8"/>
      <c r="G61204" s="8"/>
      <c r="H61204" s="8"/>
      <c r="I61204" s="102"/>
      <c r="J61204" s="8"/>
      <c r="K61204" s="8"/>
      <c r="L61204" s="8"/>
      <c r="M61204" s="8"/>
      <c r="N61204" s="8"/>
      <c r="O61204" s="8"/>
      <c r="P61204" s="8"/>
      <c r="Q61204" s="8"/>
      <c r="R61204" s="103"/>
      <c r="S61204" s="8"/>
      <c r="T61204" s="8"/>
      <c r="U61204" s="8"/>
      <c r="V61204" s="8"/>
      <c r="W61204" s="8"/>
      <c r="X61204" s="8"/>
      <c r="Y61204" s="8"/>
      <c r="Z61204" s="8"/>
      <c r="AA61204" s="8"/>
    </row>
    <row r="61205" spans="1:27" x14ac:dyDescent="0.25">
      <c r="A61205" s="8"/>
      <c r="B61205" s="8"/>
      <c r="C61205" s="99"/>
      <c r="D61205" s="8"/>
      <c r="E61205" s="8"/>
      <c r="F61205" s="8"/>
      <c r="G61205" s="8"/>
      <c r="H61205" s="8"/>
      <c r="I61205" s="102"/>
      <c r="J61205" s="8"/>
      <c r="K61205" s="8"/>
      <c r="L61205" s="8"/>
      <c r="M61205" s="8"/>
      <c r="N61205" s="8"/>
      <c r="O61205" s="8"/>
      <c r="P61205" s="8"/>
      <c r="Q61205" s="8"/>
      <c r="R61205" s="103"/>
      <c r="S61205" s="8"/>
      <c r="T61205" s="8"/>
      <c r="U61205" s="8"/>
      <c r="V61205" s="8"/>
      <c r="W61205" s="8"/>
      <c r="X61205" s="8"/>
      <c r="Y61205" s="8"/>
      <c r="Z61205" s="8"/>
      <c r="AA61205" s="8"/>
    </row>
    <row r="61206" spans="1:27" x14ac:dyDescent="0.25">
      <c r="A61206" s="8"/>
      <c r="B61206" s="8"/>
      <c r="C61206" s="99"/>
      <c r="D61206" s="8"/>
      <c r="E61206" s="8"/>
      <c r="F61206" s="8"/>
      <c r="G61206" s="8"/>
      <c r="H61206" s="8"/>
      <c r="I61206" s="102"/>
      <c r="J61206" s="8"/>
      <c r="K61206" s="8"/>
      <c r="L61206" s="8"/>
      <c r="M61206" s="8"/>
      <c r="N61206" s="8"/>
      <c r="O61206" s="8"/>
      <c r="P61206" s="8"/>
      <c r="Q61206" s="8"/>
      <c r="R61206" s="103"/>
      <c r="S61206" s="8"/>
      <c r="T61206" s="8"/>
      <c r="U61206" s="8"/>
      <c r="V61206" s="8"/>
      <c r="W61206" s="8"/>
      <c r="X61206" s="8"/>
      <c r="Y61206" s="8"/>
      <c r="Z61206" s="8"/>
      <c r="AA61206" s="8"/>
    </row>
    <row r="61207" spans="1:27" x14ac:dyDescent="0.25">
      <c r="A61207" s="8"/>
      <c r="B61207" s="8"/>
      <c r="C61207" s="99"/>
      <c r="D61207" s="8"/>
      <c r="E61207" s="8"/>
      <c r="F61207" s="8"/>
      <c r="G61207" s="8"/>
      <c r="H61207" s="8"/>
      <c r="I61207" s="102"/>
      <c r="J61207" s="8"/>
      <c r="K61207" s="8"/>
      <c r="L61207" s="8"/>
      <c r="M61207" s="8"/>
      <c r="N61207" s="8"/>
      <c r="O61207" s="8"/>
      <c r="P61207" s="8"/>
      <c r="Q61207" s="8"/>
      <c r="R61207" s="103"/>
      <c r="S61207" s="8"/>
      <c r="T61207" s="8"/>
      <c r="U61207" s="8"/>
      <c r="V61207" s="8"/>
      <c r="W61207" s="8"/>
      <c r="X61207" s="8"/>
      <c r="Y61207" s="8"/>
      <c r="Z61207" s="8"/>
      <c r="AA61207" s="8"/>
    </row>
    <row r="61208" spans="1:27" x14ac:dyDescent="0.25">
      <c r="A61208" s="8"/>
      <c r="B61208" s="8"/>
      <c r="C61208" s="99"/>
      <c r="D61208" s="8"/>
      <c r="E61208" s="8"/>
      <c r="F61208" s="8"/>
      <c r="G61208" s="8"/>
      <c r="H61208" s="8"/>
      <c r="I61208" s="102"/>
      <c r="J61208" s="8"/>
      <c r="K61208" s="8"/>
      <c r="L61208" s="8"/>
      <c r="M61208" s="8"/>
      <c r="N61208" s="8"/>
      <c r="O61208" s="8"/>
      <c r="P61208" s="8"/>
      <c r="Q61208" s="8"/>
      <c r="R61208" s="103"/>
      <c r="S61208" s="8"/>
      <c r="T61208" s="8"/>
      <c r="U61208" s="8"/>
      <c r="V61208" s="8"/>
      <c r="W61208" s="8"/>
      <c r="X61208" s="8"/>
      <c r="Y61208" s="8"/>
      <c r="Z61208" s="8"/>
      <c r="AA61208" s="8"/>
    </row>
    <row r="61209" spans="1:27" x14ac:dyDescent="0.25">
      <c r="A61209" s="8"/>
      <c r="B61209" s="8"/>
      <c r="C61209" s="99"/>
      <c r="D61209" s="8"/>
      <c r="E61209" s="8"/>
      <c r="F61209" s="8"/>
      <c r="G61209" s="8"/>
      <c r="H61209" s="8"/>
      <c r="I61209" s="102"/>
      <c r="J61209" s="8"/>
      <c r="K61209" s="8"/>
      <c r="L61209" s="8"/>
      <c r="M61209" s="8"/>
      <c r="N61209" s="8"/>
      <c r="O61209" s="8"/>
      <c r="P61209" s="8"/>
      <c r="Q61209" s="8"/>
      <c r="R61209" s="103"/>
      <c r="S61209" s="8"/>
      <c r="T61209" s="8"/>
      <c r="U61209" s="8"/>
      <c r="V61209" s="8"/>
      <c r="W61209" s="8"/>
      <c r="X61209" s="8"/>
      <c r="Y61209" s="8"/>
      <c r="Z61209" s="8"/>
      <c r="AA61209" s="8"/>
    </row>
    <row r="61210" spans="1:27" x14ac:dyDescent="0.25">
      <c r="A61210" s="8"/>
      <c r="B61210" s="8"/>
      <c r="C61210" s="99"/>
      <c r="D61210" s="8"/>
      <c r="E61210" s="8"/>
      <c r="F61210" s="8"/>
      <c r="G61210" s="8"/>
      <c r="H61210" s="8"/>
      <c r="I61210" s="102"/>
      <c r="J61210" s="8"/>
      <c r="K61210" s="8"/>
      <c r="L61210" s="8"/>
      <c r="M61210" s="8"/>
      <c r="N61210" s="8"/>
      <c r="O61210" s="8"/>
      <c r="P61210" s="8"/>
      <c r="Q61210" s="8"/>
      <c r="R61210" s="103"/>
      <c r="S61210" s="8"/>
      <c r="T61210" s="8"/>
      <c r="U61210" s="8"/>
      <c r="V61210" s="8"/>
      <c r="W61210" s="8"/>
      <c r="X61210" s="8"/>
      <c r="Y61210" s="8"/>
      <c r="Z61210" s="8"/>
      <c r="AA61210" s="8"/>
    </row>
    <row r="61211" spans="1:27" x14ac:dyDescent="0.25">
      <c r="A61211" s="8"/>
      <c r="B61211" s="8"/>
      <c r="C61211" s="99"/>
      <c r="D61211" s="8"/>
      <c r="E61211" s="8"/>
      <c r="F61211" s="8"/>
      <c r="G61211" s="8"/>
      <c r="H61211" s="8"/>
      <c r="I61211" s="102"/>
      <c r="J61211" s="8"/>
      <c r="K61211" s="8"/>
      <c r="L61211" s="8"/>
      <c r="M61211" s="8"/>
      <c r="N61211" s="8"/>
      <c r="O61211" s="8"/>
      <c r="P61211" s="8"/>
      <c r="Q61211" s="8"/>
      <c r="R61211" s="103"/>
      <c r="S61211" s="8"/>
      <c r="T61211" s="8"/>
      <c r="U61211" s="8"/>
      <c r="V61211" s="8"/>
      <c r="W61211" s="8"/>
      <c r="X61211" s="8"/>
      <c r="Y61211" s="8"/>
      <c r="Z61211" s="8"/>
      <c r="AA61211" s="8"/>
    </row>
    <row r="61212" spans="1:27" x14ac:dyDescent="0.25">
      <c r="A61212" s="8"/>
      <c r="B61212" s="8"/>
      <c r="C61212" s="99"/>
      <c r="D61212" s="8"/>
      <c r="E61212" s="8"/>
      <c r="F61212" s="8"/>
      <c r="G61212" s="8"/>
      <c r="H61212" s="8"/>
      <c r="I61212" s="102"/>
      <c r="J61212" s="8"/>
      <c r="K61212" s="8"/>
      <c r="L61212" s="8"/>
      <c r="M61212" s="8"/>
      <c r="N61212" s="8"/>
      <c r="O61212" s="8"/>
      <c r="P61212" s="8"/>
      <c r="Q61212" s="8"/>
      <c r="R61212" s="103"/>
      <c r="S61212" s="8"/>
      <c r="T61212" s="8"/>
      <c r="U61212" s="8"/>
      <c r="V61212" s="8"/>
      <c r="W61212" s="8"/>
      <c r="X61212" s="8"/>
      <c r="Y61212" s="8"/>
      <c r="Z61212" s="8"/>
      <c r="AA61212" s="8"/>
    </row>
    <row r="61213" spans="1:27" x14ac:dyDescent="0.25">
      <c r="A61213" s="8"/>
      <c r="B61213" s="8"/>
      <c r="C61213" s="99"/>
      <c r="D61213" s="8"/>
      <c r="E61213" s="8"/>
      <c r="F61213" s="8"/>
      <c r="G61213" s="8"/>
      <c r="H61213" s="8"/>
      <c r="I61213" s="102"/>
      <c r="J61213" s="8"/>
      <c r="K61213" s="8"/>
      <c r="L61213" s="8"/>
      <c r="M61213" s="8"/>
      <c r="N61213" s="8"/>
      <c r="O61213" s="8"/>
      <c r="P61213" s="8"/>
      <c r="Q61213" s="8"/>
      <c r="R61213" s="103"/>
      <c r="S61213" s="8"/>
      <c r="T61213" s="8"/>
      <c r="U61213" s="8"/>
      <c r="V61213" s="8"/>
      <c r="W61213" s="8"/>
      <c r="X61213" s="8"/>
      <c r="Y61213" s="8"/>
      <c r="Z61213" s="8"/>
      <c r="AA61213" s="8"/>
    </row>
    <row r="61214" spans="1:27" x14ac:dyDescent="0.25">
      <c r="A61214" s="8"/>
      <c r="B61214" s="8"/>
      <c r="C61214" s="99"/>
      <c r="D61214" s="8"/>
      <c r="E61214" s="8"/>
      <c r="F61214" s="8"/>
      <c r="G61214" s="8"/>
      <c r="H61214" s="8"/>
      <c r="I61214" s="102"/>
      <c r="J61214" s="8"/>
      <c r="K61214" s="8"/>
      <c r="L61214" s="8"/>
      <c r="M61214" s="8"/>
      <c r="N61214" s="8"/>
      <c r="O61214" s="8"/>
      <c r="P61214" s="8"/>
      <c r="Q61214" s="8"/>
      <c r="R61214" s="103"/>
      <c r="S61214" s="8"/>
      <c r="T61214" s="8"/>
      <c r="U61214" s="8"/>
      <c r="V61214" s="8"/>
      <c r="W61214" s="8"/>
      <c r="X61214" s="8"/>
      <c r="Y61214" s="8"/>
      <c r="Z61214" s="8"/>
      <c r="AA61214" s="8"/>
    </row>
    <row r="61215" spans="1:27" x14ac:dyDescent="0.25">
      <c r="A61215" s="8"/>
      <c r="B61215" s="8"/>
      <c r="C61215" s="99"/>
      <c r="D61215" s="8"/>
      <c r="E61215" s="8"/>
      <c r="F61215" s="8"/>
      <c r="G61215" s="8"/>
      <c r="H61215" s="8"/>
      <c r="I61215" s="102"/>
      <c r="J61215" s="8"/>
      <c r="K61215" s="8"/>
      <c r="L61215" s="8"/>
      <c r="M61215" s="8"/>
      <c r="N61215" s="8"/>
      <c r="O61215" s="8"/>
      <c r="P61215" s="8"/>
      <c r="Q61215" s="8"/>
      <c r="R61215" s="103"/>
      <c r="S61215" s="8"/>
      <c r="T61215" s="8"/>
      <c r="U61215" s="8"/>
      <c r="V61215" s="8"/>
      <c r="W61215" s="8"/>
      <c r="X61215" s="8"/>
      <c r="Y61215" s="8"/>
      <c r="Z61215" s="8"/>
      <c r="AA61215" s="8"/>
    </row>
    <row r="61216" spans="1:27" x14ac:dyDescent="0.25">
      <c r="A61216" s="8"/>
      <c r="B61216" s="8"/>
      <c r="C61216" s="99"/>
      <c r="D61216" s="8"/>
      <c r="E61216" s="8"/>
      <c r="F61216" s="8"/>
      <c r="G61216" s="8"/>
      <c r="H61216" s="8"/>
      <c r="I61216" s="102"/>
      <c r="J61216" s="8"/>
      <c r="K61216" s="8"/>
      <c r="L61216" s="8"/>
      <c r="M61216" s="8"/>
      <c r="N61216" s="8"/>
      <c r="O61216" s="8"/>
      <c r="P61216" s="8"/>
      <c r="Q61216" s="8"/>
      <c r="R61216" s="103"/>
      <c r="S61216" s="8"/>
      <c r="T61216" s="8"/>
      <c r="U61216" s="8"/>
      <c r="V61216" s="8"/>
      <c r="W61216" s="8"/>
      <c r="X61216" s="8"/>
      <c r="Y61216" s="8"/>
      <c r="Z61216" s="8"/>
      <c r="AA61216" s="8"/>
    </row>
    <row r="61217" spans="1:27" x14ac:dyDescent="0.25">
      <c r="A61217" s="8"/>
      <c r="B61217" s="8"/>
      <c r="C61217" s="99"/>
      <c r="D61217" s="8"/>
      <c r="E61217" s="8"/>
      <c r="F61217" s="8"/>
      <c r="G61217" s="8"/>
      <c r="H61217" s="8"/>
      <c r="I61217" s="102"/>
      <c r="J61217" s="8"/>
      <c r="K61217" s="8"/>
      <c r="L61217" s="8"/>
      <c r="M61217" s="8"/>
      <c r="N61217" s="8"/>
      <c r="O61217" s="8"/>
      <c r="P61217" s="8"/>
      <c r="Q61217" s="8"/>
      <c r="R61217" s="103"/>
      <c r="S61217" s="8"/>
      <c r="T61217" s="8"/>
      <c r="U61217" s="8"/>
      <c r="V61217" s="8"/>
      <c r="W61217" s="8"/>
      <c r="X61217" s="8"/>
      <c r="Y61217" s="8"/>
      <c r="Z61217" s="8"/>
      <c r="AA61217" s="8"/>
    </row>
    <row r="61218" spans="1:27" x14ac:dyDescent="0.25">
      <c r="A61218" s="8"/>
      <c r="B61218" s="8"/>
      <c r="C61218" s="99"/>
      <c r="D61218" s="8"/>
      <c r="E61218" s="8"/>
      <c r="F61218" s="8"/>
      <c r="G61218" s="8"/>
      <c r="H61218" s="8"/>
      <c r="I61218" s="102"/>
      <c r="J61218" s="8"/>
      <c r="K61218" s="8"/>
      <c r="L61218" s="8"/>
      <c r="M61218" s="8"/>
      <c r="N61218" s="8"/>
      <c r="O61218" s="8"/>
      <c r="P61218" s="8"/>
      <c r="Q61218" s="8"/>
      <c r="R61218" s="103"/>
      <c r="S61218" s="8"/>
      <c r="T61218" s="8"/>
      <c r="U61218" s="8"/>
      <c r="V61218" s="8"/>
      <c r="W61218" s="8"/>
      <c r="X61218" s="8"/>
      <c r="Y61218" s="8"/>
      <c r="Z61218" s="8"/>
      <c r="AA61218" s="8"/>
    </row>
    <row r="61219" spans="1:27" x14ac:dyDescent="0.25">
      <c r="A61219" s="8"/>
      <c r="B61219" s="8"/>
      <c r="C61219" s="99"/>
      <c r="D61219" s="8"/>
      <c r="E61219" s="8"/>
      <c r="F61219" s="8"/>
      <c r="G61219" s="8"/>
      <c r="H61219" s="8"/>
      <c r="I61219" s="102"/>
      <c r="J61219" s="8"/>
      <c r="K61219" s="8"/>
      <c r="L61219" s="8"/>
      <c r="M61219" s="8"/>
      <c r="N61219" s="8"/>
      <c r="O61219" s="8"/>
      <c r="P61219" s="8"/>
      <c r="Q61219" s="8"/>
      <c r="R61219" s="103"/>
      <c r="S61219" s="8"/>
      <c r="T61219" s="8"/>
      <c r="U61219" s="8"/>
      <c r="V61219" s="8"/>
      <c r="W61219" s="8"/>
      <c r="X61219" s="8"/>
      <c r="Y61219" s="8"/>
      <c r="Z61219" s="8"/>
      <c r="AA61219" s="8"/>
    </row>
    <row r="61220" spans="1:27" x14ac:dyDescent="0.25">
      <c r="A61220" s="8"/>
      <c r="B61220" s="8"/>
      <c r="C61220" s="99"/>
      <c r="D61220" s="8"/>
      <c r="E61220" s="8"/>
      <c r="F61220" s="8"/>
      <c r="G61220" s="8"/>
      <c r="H61220" s="8"/>
      <c r="I61220" s="102"/>
      <c r="J61220" s="8"/>
      <c r="K61220" s="8"/>
      <c r="L61220" s="8"/>
      <c r="M61220" s="8"/>
      <c r="N61220" s="8"/>
      <c r="O61220" s="8"/>
      <c r="P61220" s="8"/>
      <c r="Q61220" s="8"/>
      <c r="R61220" s="103"/>
      <c r="S61220" s="8"/>
      <c r="T61220" s="8"/>
      <c r="U61220" s="8"/>
      <c r="V61220" s="8"/>
      <c r="W61220" s="8"/>
      <c r="X61220" s="8"/>
      <c r="Y61220" s="8"/>
      <c r="Z61220" s="8"/>
      <c r="AA61220" s="8"/>
    </row>
    <row r="61221" spans="1:27" x14ac:dyDescent="0.25">
      <c r="A61221" s="8"/>
      <c r="B61221" s="8"/>
      <c r="C61221" s="99"/>
      <c r="D61221" s="8"/>
      <c r="E61221" s="8"/>
      <c r="F61221" s="8"/>
      <c r="G61221" s="8"/>
      <c r="H61221" s="8"/>
      <c r="I61221" s="102"/>
      <c r="J61221" s="8"/>
      <c r="K61221" s="8"/>
      <c r="L61221" s="8"/>
      <c r="M61221" s="8"/>
      <c r="N61221" s="8"/>
      <c r="O61221" s="8"/>
      <c r="P61221" s="8"/>
      <c r="Q61221" s="8"/>
      <c r="R61221" s="103"/>
      <c r="S61221" s="8"/>
      <c r="T61221" s="8"/>
      <c r="U61221" s="8"/>
      <c r="V61221" s="8"/>
      <c r="W61221" s="8"/>
      <c r="X61221" s="8"/>
      <c r="Y61221" s="8"/>
      <c r="Z61221" s="8"/>
      <c r="AA61221" s="8"/>
    </row>
    <row r="61222" spans="1:27" x14ac:dyDescent="0.25">
      <c r="A61222" s="8"/>
      <c r="B61222" s="8"/>
      <c r="C61222" s="99"/>
      <c r="D61222" s="8"/>
      <c r="E61222" s="8"/>
      <c r="F61222" s="8"/>
      <c r="G61222" s="8"/>
      <c r="H61222" s="8"/>
      <c r="I61222" s="102"/>
      <c r="J61222" s="8"/>
      <c r="K61222" s="8"/>
      <c r="L61222" s="8"/>
      <c r="M61222" s="8"/>
      <c r="N61222" s="8"/>
      <c r="O61222" s="8"/>
      <c r="P61222" s="8"/>
      <c r="Q61222" s="8"/>
      <c r="R61222" s="103"/>
      <c r="S61222" s="8"/>
      <c r="T61222" s="8"/>
      <c r="U61222" s="8"/>
      <c r="V61222" s="8"/>
      <c r="W61222" s="8"/>
      <c r="X61222" s="8"/>
      <c r="Y61222" s="8"/>
      <c r="Z61222" s="8"/>
      <c r="AA61222" s="8"/>
    </row>
    <row r="61223" spans="1:27" x14ac:dyDescent="0.25">
      <c r="A61223" s="8"/>
      <c r="B61223" s="8"/>
      <c r="C61223" s="99"/>
      <c r="D61223" s="8"/>
      <c r="E61223" s="8"/>
      <c r="F61223" s="8"/>
      <c r="G61223" s="8"/>
      <c r="H61223" s="8"/>
      <c r="I61223" s="102"/>
      <c r="J61223" s="8"/>
      <c r="K61223" s="8"/>
      <c r="L61223" s="8"/>
      <c r="M61223" s="8"/>
      <c r="N61223" s="8"/>
      <c r="O61223" s="8"/>
      <c r="P61223" s="8"/>
      <c r="Q61223" s="8"/>
      <c r="R61223" s="103"/>
      <c r="S61223" s="8"/>
      <c r="T61223" s="8"/>
      <c r="U61223" s="8"/>
      <c r="V61223" s="8"/>
      <c r="W61223" s="8"/>
      <c r="X61223" s="8"/>
      <c r="Y61223" s="8"/>
      <c r="Z61223" s="8"/>
      <c r="AA61223" s="8"/>
    </row>
    <row r="61224" spans="1:27" x14ac:dyDescent="0.25">
      <c r="A61224" s="8"/>
      <c r="B61224" s="8"/>
      <c r="C61224" s="99"/>
      <c r="D61224" s="8"/>
      <c r="E61224" s="8"/>
      <c r="F61224" s="8"/>
      <c r="G61224" s="8"/>
      <c r="H61224" s="8"/>
      <c r="I61224" s="102"/>
      <c r="J61224" s="8"/>
      <c r="K61224" s="8"/>
      <c r="L61224" s="8"/>
      <c r="M61224" s="8"/>
      <c r="N61224" s="8"/>
      <c r="O61224" s="8"/>
      <c r="P61224" s="8"/>
      <c r="Q61224" s="8"/>
      <c r="R61224" s="103"/>
      <c r="S61224" s="8"/>
      <c r="T61224" s="8"/>
      <c r="U61224" s="8"/>
      <c r="V61224" s="8"/>
      <c r="W61224" s="8"/>
      <c r="X61224" s="8"/>
      <c r="Y61224" s="8"/>
      <c r="Z61224" s="8"/>
      <c r="AA61224" s="8"/>
    </row>
    <row r="61225" spans="1:27" x14ac:dyDescent="0.25">
      <c r="A61225" s="8"/>
      <c r="B61225" s="8"/>
      <c r="C61225" s="99"/>
      <c r="D61225" s="8"/>
      <c r="E61225" s="8"/>
      <c r="F61225" s="8"/>
      <c r="G61225" s="8"/>
      <c r="H61225" s="8"/>
      <c r="I61225" s="102"/>
      <c r="J61225" s="8"/>
      <c r="K61225" s="8"/>
      <c r="L61225" s="8"/>
      <c r="M61225" s="8"/>
      <c r="N61225" s="8"/>
      <c r="O61225" s="8"/>
      <c r="P61225" s="8"/>
      <c r="Q61225" s="8"/>
      <c r="R61225" s="103"/>
      <c r="S61225" s="8"/>
      <c r="T61225" s="8"/>
      <c r="U61225" s="8"/>
      <c r="V61225" s="8"/>
      <c r="W61225" s="8"/>
      <c r="X61225" s="8"/>
      <c r="Y61225" s="8"/>
      <c r="Z61225" s="8"/>
      <c r="AA61225" s="8"/>
    </row>
    <row r="61226" spans="1:27" x14ac:dyDescent="0.25">
      <c r="A61226" s="8"/>
      <c r="B61226" s="8"/>
      <c r="C61226" s="99"/>
      <c r="D61226" s="8"/>
      <c r="E61226" s="8"/>
      <c r="F61226" s="8"/>
      <c r="G61226" s="8"/>
      <c r="H61226" s="8"/>
      <c r="I61226" s="102"/>
      <c r="J61226" s="8"/>
      <c r="K61226" s="8"/>
      <c r="L61226" s="8"/>
      <c r="M61226" s="8"/>
      <c r="N61226" s="8"/>
      <c r="O61226" s="8"/>
      <c r="P61226" s="8"/>
      <c r="Q61226" s="8"/>
      <c r="R61226" s="103"/>
      <c r="S61226" s="8"/>
      <c r="T61226" s="8"/>
      <c r="U61226" s="8"/>
      <c r="V61226" s="8"/>
      <c r="W61226" s="8"/>
      <c r="X61226" s="8"/>
      <c r="Y61226" s="8"/>
      <c r="Z61226" s="8"/>
      <c r="AA61226" s="8"/>
    </row>
    <row r="61227" spans="1:27" x14ac:dyDescent="0.25">
      <c r="A61227" s="8"/>
      <c r="B61227" s="8"/>
      <c r="C61227" s="99"/>
      <c r="D61227" s="8"/>
      <c r="E61227" s="8"/>
      <c r="F61227" s="8"/>
      <c r="G61227" s="8"/>
      <c r="H61227" s="8"/>
      <c r="I61227" s="102"/>
      <c r="J61227" s="8"/>
      <c r="K61227" s="8"/>
      <c r="L61227" s="8"/>
      <c r="M61227" s="8"/>
      <c r="N61227" s="8"/>
      <c r="O61227" s="8"/>
      <c r="P61227" s="8"/>
      <c r="Q61227" s="8"/>
      <c r="R61227" s="103"/>
      <c r="S61227" s="8"/>
      <c r="T61227" s="8"/>
      <c r="U61227" s="8"/>
      <c r="V61227" s="8"/>
      <c r="W61227" s="8"/>
      <c r="X61227" s="8"/>
      <c r="Y61227" s="8"/>
      <c r="Z61227" s="8"/>
      <c r="AA61227" s="8"/>
    </row>
    <row r="61228" spans="1:27" x14ac:dyDescent="0.25">
      <c r="A61228" s="8"/>
      <c r="B61228" s="8"/>
      <c r="C61228" s="99"/>
      <c r="D61228" s="8"/>
      <c r="E61228" s="8"/>
      <c r="F61228" s="8"/>
      <c r="G61228" s="8"/>
      <c r="H61228" s="8"/>
      <c r="I61228" s="102"/>
      <c r="J61228" s="8"/>
      <c r="K61228" s="8"/>
      <c r="L61228" s="8"/>
      <c r="M61228" s="8"/>
      <c r="N61228" s="8"/>
      <c r="O61228" s="8"/>
      <c r="P61228" s="8"/>
      <c r="Q61228" s="8"/>
      <c r="R61228" s="103"/>
      <c r="S61228" s="8"/>
      <c r="T61228" s="8"/>
      <c r="U61228" s="8"/>
      <c r="V61228" s="8"/>
      <c r="W61228" s="8"/>
      <c r="X61228" s="8"/>
      <c r="Y61228" s="8"/>
      <c r="Z61228" s="8"/>
      <c r="AA61228" s="8"/>
    </row>
    <row r="61229" spans="1:27" x14ac:dyDescent="0.25">
      <c r="A61229" s="8"/>
      <c r="B61229" s="8"/>
      <c r="C61229" s="99"/>
      <c r="D61229" s="8"/>
      <c r="E61229" s="8"/>
      <c r="F61229" s="8"/>
      <c r="G61229" s="8"/>
      <c r="H61229" s="8"/>
      <c r="I61229" s="102"/>
      <c r="J61229" s="8"/>
      <c r="K61229" s="8"/>
      <c r="L61229" s="8"/>
      <c r="M61229" s="8"/>
      <c r="N61229" s="8"/>
      <c r="O61229" s="8"/>
      <c r="P61229" s="8"/>
      <c r="Q61229" s="8"/>
      <c r="R61229" s="103"/>
      <c r="S61229" s="8"/>
      <c r="T61229" s="8"/>
      <c r="U61229" s="8"/>
      <c r="V61229" s="8"/>
      <c r="W61229" s="8"/>
      <c r="X61229" s="8"/>
      <c r="Y61229" s="8"/>
      <c r="Z61229" s="8"/>
      <c r="AA61229" s="8"/>
    </row>
    <row r="61230" spans="1:27" x14ac:dyDescent="0.25">
      <c r="A61230" s="8"/>
      <c r="B61230" s="8"/>
      <c r="C61230" s="99"/>
      <c r="D61230" s="8"/>
      <c r="E61230" s="8"/>
      <c r="F61230" s="8"/>
      <c r="G61230" s="8"/>
      <c r="H61230" s="8"/>
      <c r="I61230" s="102"/>
      <c r="J61230" s="8"/>
      <c r="K61230" s="8"/>
      <c r="L61230" s="8"/>
      <c r="M61230" s="8"/>
      <c r="N61230" s="8"/>
      <c r="O61230" s="8"/>
      <c r="P61230" s="8"/>
      <c r="Q61230" s="8"/>
      <c r="R61230" s="103"/>
      <c r="S61230" s="8"/>
      <c r="T61230" s="8"/>
      <c r="U61230" s="8"/>
      <c r="V61230" s="8"/>
      <c r="W61230" s="8"/>
      <c r="X61230" s="8"/>
      <c r="Y61230" s="8"/>
      <c r="Z61230" s="8"/>
      <c r="AA61230" s="8"/>
    </row>
    <row r="61231" spans="1:27" x14ac:dyDescent="0.25">
      <c r="A61231" s="8"/>
      <c r="B61231" s="8"/>
      <c r="C61231" s="99"/>
      <c r="D61231" s="8"/>
      <c r="E61231" s="8"/>
      <c r="F61231" s="8"/>
      <c r="G61231" s="8"/>
      <c r="H61231" s="8"/>
      <c r="I61231" s="102"/>
      <c r="J61231" s="8"/>
      <c r="K61231" s="8"/>
      <c r="L61231" s="8"/>
      <c r="M61231" s="8"/>
      <c r="N61231" s="8"/>
      <c r="O61231" s="8"/>
      <c r="P61231" s="8"/>
      <c r="Q61231" s="8"/>
      <c r="R61231" s="103"/>
      <c r="S61231" s="8"/>
      <c r="T61231" s="8"/>
      <c r="U61231" s="8"/>
      <c r="V61231" s="8"/>
      <c r="W61231" s="8"/>
      <c r="X61231" s="8"/>
      <c r="Y61231" s="8"/>
      <c r="Z61231" s="8"/>
      <c r="AA61231" s="8"/>
    </row>
    <row r="61232" spans="1:27" x14ac:dyDescent="0.25">
      <c r="A61232" s="8"/>
      <c r="B61232" s="8"/>
      <c r="C61232" s="99"/>
      <c r="D61232" s="8"/>
      <c r="E61232" s="8"/>
      <c r="F61232" s="8"/>
      <c r="G61232" s="8"/>
      <c r="H61232" s="8"/>
      <c r="I61232" s="102"/>
      <c r="J61232" s="8"/>
      <c r="K61232" s="8"/>
      <c r="L61232" s="8"/>
      <c r="M61232" s="8"/>
      <c r="N61232" s="8"/>
      <c r="O61232" s="8"/>
      <c r="P61232" s="8"/>
      <c r="Q61232" s="8"/>
      <c r="R61232" s="103"/>
      <c r="S61232" s="8"/>
      <c r="T61232" s="8"/>
      <c r="U61232" s="8"/>
      <c r="V61232" s="8"/>
      <c r="W61232" s="8"/>
      <c r="X61232" s="8"/>
      <c r="Y61232" s="8"/>
      <c r="Z61232" s="8"/>
      <c r="AA61232" s="8"/>
    </row>
    <row r="61233" spans="1:27" x14ac:dyDescent="0.25">
      <c r="A61233" s="8"/>
      <c r="B61233" s="8"/>
      <c r="C61233" s="99"/>
      <c r="D61233" s="8"/>
      <c r="E61233" s="8"/>
      <c r="F61233" s="8"/>
      <c r="G61233" s="8"/>
      <c r="H61233" s="8"/>
      <c r="I61233" s="102"/>
      <c r="J61233" s="8"/>
      <c r="K61233" s="8"/>
      <c r="L61233" s="8"/>
      <c r="M61233" s="8"/>
      <c r="N61233" s="8"/>
      <c r="O61233" s="8"/>
      <c r="P61233" s="8"/>
      <c r="Q61233" s="8"/>
      <c r="R61233" s="103"/>
      <c r="S61233" s="8"/>
      <c r="T61233" s="8"/>
      <c r="U61233" s="8"/>
      <c r="V61233" s="8"/>
      <c r="W61233" s="8"/>
      <c r="X61233" s="8"/>
      <c r="Y61233" s="8"/>
      <c r="Z61233" s="8"/>
      <c r="AA61233" s="8"/>
    </row>
    <row r="61234" spans="1:27" x14ac:dyDescent="0.25">
      <c r="A61234" s="8"/>
      <c r="B61234" s="8"/>
      <c r="C61234" s="99"/>
      <c r="D61234" s="8"/>
      <c r="E61234" s="8"/>
      <c r="F61234" s="8"/>
      <c r="G61234" s="8"/>
      <c r="H61234" s="8"/>
      <c r="I61234" s="102"/>
      <c r="J61234" s="8"/>
      <c r="K61234" s="8"/>
      <c r="L61234" s="8"/>
      <c r="M61234" s="8"/>
      <c r="N61234" s="8"/>
      <c r="O61234" s="8"/>
      <c r="P61234" s="8"/>
      <c r="Q61234" s="8"/>
      <c r="R61234" s="103"/>
      <c r="S61234" s="8"/>
      <c r="T61234" s="8"/>
      <c r="U61234" s="8"/>
      <c r="V61234" s="8"/>
      <c r="W61234" s="8"/>
      <c r="X61234" s="8"/>
      <c r="Y61234" s="8"/>
      <c r="Z61234" s="8"/>
      <c r="AA61234" s="8"/>
    </row>
    <row r="61235" spans="1:27" x14ac:dyDescent="0.25">
      <c r="A61235" s="8"/>
      <c r="B61235" s="8"/>
      <c r="C61235" s="99"/>
      <c r="D61235" s="8"/>
      <c r="E61235" s="8"/>
      <c r="F61235" s="8"/>
      <c r="G61235" s="8"/>
      <c r="H61235" s="8"/>
      <c r="I61235" s="102"/>
      <c r="J61235" s="8"/>
      <c r="K61235" s="8"/>
      <c r="L61235" s="8"/>
      <c r="M61235" s="8"/>
      <c r="N61235" s="8"/>
      <c r="O61235" s="8"/>
      <c r="P61235" s="8"/>
      <c r="Q61235" s="8"/>
      <c r="R61235" s="103"/>
      <c r="S61235" s="8"/>
      <c r="T61235" s="8"/>
      <c r="U61235" s="8"/>
      <c r="V61235" s="8"/>
      <c r="W61235" s="8"/>
      <c r="X61235" s="8"/>
      <c r="Y61235" s="8"/>
      <c r="Z61235" s="8"/>
      <c r="AA61235" s="8"/>
    </row>
    <row r="61236" spans="1:27" x14ac:dyDescent="0.25">
      <c r="A61236" s="8"/>
      <c r="B61236" s="8"/>
      <c r="C61236" s="99"/>
      <c r="D61236" s="8"/>
      <c r="E61236" s="8"/>
      <c r="F61236" s="8"/>
      <c r="G61236" s="8"/>
      <c r="H61236" s="8"/>
      <c r="I61236" s="102"/>
      <c r="J61236" s="8"/>
      <c r="K61236" s="8"/>
      <c r="L61236" s="8"/>
      <c r="M61236" s="8"/>
      <c r="N61236" s="8"/>
      <c r="O61236" s="8"/>
      <c r="P61236" s="8"/>
      <c r="Q61236" s="8"/>
      <c r="R61236" s="103"/>
      <c r="S61236" s="8"/>
      <c r="T61236" s="8"/>
      <c r="U61236" s="8"/>
      <c r="V61236" s="8"/>
      <c r="W61236" s="8"/>
      <c r="X61236" s="8"/>
      <c r="Y61236" s="8"/>
      <c r="Z61236" s="8"/>
      <c r="AA61236" s="8"/>
    </row>
    <row r="61237" spans="1:27" x14ac:dyDescent="0.25">
      <c r="A61237" s="8"/>
      <c r="B61237" s="8"/>
      <c r="C61237" s="99"/>
      <c r="D61237" s="8"/>
      <c r="E61237" s="8"/>
      <c r="F61237" s="8"/>
      <c r="G61237" s="8"/>
      <c r="H61237" s="8"/>
      <c r="I61237" s="102"/>
      <c r="J61237" s="8"/>
      <c r="K61237" s="8"/>
      <c r="L61237" s="8"/>
      <c r="M61237" s="8"/>
      <c r="N61237" s="8"/>
      <c r="O61237" s="8"/>
      <c r="P61237" s="8"/>
      <c r="Q61237" s="8"/>
      <c r="R61237" s="103"/>
      <c r="S61237" s="8"/>
      <c r="T61237" s="8"/>
      <c r="U61237" s="8"/>
      <c r="V61237" s="8"/>
      <c r="W61237" s="8"/>
      <c r="X61237" s="8"/>
      <c r="Y61237" s="8"/>
      <c r="Z61237" s="8"/>
      <c r="AA61237" s="8"/>
    </row>
    <row r="61238" spans="1:27" x14ac:dyDescent="0.25">
      <c r="A61238" s="8"/>
      <c r="B61238" s="8"/>
      <c r="C61238" s="99"/>
      <c r="D61238" s="8"/>
      <c r="E61238" s="8"/>
      <c r="F61238" s="8"/>
      <c r="G61238" s="8"/>
      <c r="H61238" s="8"/>
      <c r="I61238" s="102"/>
      <c r="J61238" s="8"/>
      <c r="K61238" s="8"/>
      <c r="L61238" s="8"/>
      <c r="M61238" s="8"/>
      <c r="N61238" s="8"/>
      <c r="O61238" s="8"/>
      <c r="P61238" s="8"/>
      <c r="Q61238" s="8"/>
      <c r="R61238" s="103"/>
      <c r="S61238" s="8"/>
      <c r="T61238" s="8"/>
      <c r="U61238" s="8"/>
      <c r="V61238" s="8"/>
      <c r="W61238" s="8"/>
      <c r="X61238" s="8"/>
      <c r="Y61238" s="8"/>
      <c r="Z61238" s="8"/>
      <c r="AA61238" s="8"/>
    </row>
    <row r="61239" spans="1:27" x14ac:dyDescent="0.25">
      <c r="A61239" s="8"/>
      <c r="B61239" s="8"/>
      <c r="C61239" s="99"/>
      <c r="D61239" s="8"/>
      <c r="E61239" s="8"/>
      <c r="F61239" s="8"/>
      <c r="G61239" s="8"/>
      <c r="H61239" s="8"/>
      <c r="I61239" s="102"/>
      <c r="J61239" s="8"/>
      <c r="K61239" s="8"/>
      <c r="L61239" s="8"/>
      <c r="M61239" s="8"/>
      <c r="N61239" s="8"/>
      <c r="O61239" s="8"/>
      <c r="P61239" s="8"/>
      <c r="Q61239" s="8"/>
      <c r="R61239" s="103"/>
      <c r="S61239" s="8"/>
      <c r="T61239" s="8"/>
      <c r="U61239" s="8"/>
      <c r="V61239" s="8"/>
      <c r="W61239" s="8"/>
      <c r="X61239" s="8"/>
      <c r="Y61239" s="8"/>
      <c r="Z61239" s="8"/>
      <c r="AA61239" s="8"/>
    </row>
    <row r="61240" spans="1:27" x14ac:dyDescent="0.25">
      <c r="A61240" s="8"/>
      <c r="B61240" s="8"/>
      <c r="C61240" s="99"/>
      <c r="D61240" s="8"/>
      <c r="E61240" s="8"/>
      <c r="F61240" s="8"/>
      <c r="G61240" s="8"/>
      <c r="H61240" s="8"/>
      <c r="I61240" s="102"/>
      <c r="J61240" s="8"/>
      <c r="K61240" s="8"/>
      <c r="L61240" s="8"/>
      <c r="M61240" s="8"/>
      <c r="N61240" s="8"/>
      <c r="O61240" s="8"/>
      <c r="P61240" s="8"/>
      <c r="Q61240" s="8"/>
      <c r="R61240" s="103"/>
      <c r="S61240" s="8"/>
      <c r="T61240" s="8"/>
      <c r="U61240" s="8"/>
      <c r="V61240" s="8"/>
      <c r="W61240" s="8"/>
      <c r="X61240" s="8"/>
      <c r="Y61240" s="8"/>
      <c r="Z61240" s="8"/>
      <c r="AA61240" s="8"/>
    </row>
    <row r="61241" spans="1:27" x14ac:dyDescent="0.25">
      <c r="A61241" s="8"/>
      <c r="B61241" s="8"/>
      <c r="C61241" s="99"/>
      <c r="D61241" s="8"/>
      <c r="E61241" s="8"/>
      <c r="F61241" s="8"/>
      <c r="G61241" s="8"/>
      <c r="H61241" s="8"/>
      <c r="I61241" s="102"/>
      <c r="J61241" s="8"/>
      <c r="K61241" s="8"/>
      <c r="L61241" s="8"/>
      <c r="M61241" s="8"/>
      <c r="N61241" s="8"/>
      <c r="O61241" s="8"/>
      <c r="P61241" s="8"/>
      <c r="Q61241" s="8"/>
      <c r="R61241" s="103"/>
      <c r="S61241" s="8"/>
      <c r="T61241" s="8"/>
      <c r="U61241" s="8"/>
      <c r="V61241" s="8"/>
      <c r="W61241" s="8"/>
      <c r="X61241" s="8"/>
      <c r="Y61241" s="8"/>
      <c r="Z61241" s="8"/>
      <c r="AA61241" s="8"/>
    </row>
    <row r="61242" spans="1:27" x14ac:dyDescent="0.25">
      <c r="A61242" s="8"/>
      <c r="B61242" s="8"/>
      <c r="C61242" s="99"/>
      <c r="D61242" s="8"/>
      <c r="E61242" s="8"/>
      <c r="F61242" s="8"/>
      <c r="G61242" s="8"/>
      <c r="H61242" s="8"/>
      <c r="I61242" s="102"/>
      <c r="J61242" s="8"/>
      <c r="K61242" s="8"/>
      <c r="L61242" s="8"/>
      <c r="M61242" s="8"/>
      <c r="N61242" s="8"/>
      <c r="O61242" s="8"/>
      <c r="P61242" s="8"/>
      <c r="Q61242" s="8"/>
      <c r="R61242" s="103"/>
      <c r="S61242" s="8"/>
      <c r="T61242" s="8"/>
      <c r="U61242" s="8"/>
      <c r="V61242" s="8"/>
      <c r="W61242" s="8"/>
      <c r="X61242" s="8"/>
      <c r="Y61242" s="8"/>
      <c r="Z61242" s="8"/>
      <c r="AA61242" s="8"/>
    </row>
    <row r="61243" spans="1:27" x14ac:dyDescent="0.25">
      <c r="A61243" s="8"/>
      <c r="B61243" s="8"/>
      <c r="C61243" s="99"/>
      <c r="D61243" s="8"/>
      <c r="E61243" s="8"/>
      <c r="F61243" s="8"/>
      <c r="G61243" s="8"/>
      <c r="H61243" s="8"/>
      <c r="I61243" s="102"/>
      <c r="J61243" s="8"/>
      <c r="K61243" s="8"/>
      <c r="L61243" s="8"/>
      <c r="M61243" s="8"/>
      <c r="N61243" s="8"/>
      <c r="O61243" s="8"/>
      <c r="P61243" s="8"/>
      <c r="Q61243" s="8"/>
      <c r="R61243" s="103"/>
      <c r="S61243" s="8"/>
      <c r="T61243" s="8"/>
      <c r="U61243" s="8"/>
      <c r="V61243" s="8"/>
      <c r="W61243" s="8"/>
      <c r="X61243" s="8"/>
      <c r="Y61243" s="8"/>
      <c r="Z61243" s="8"/>
      <c r="AA61243" s="8"/>
    </row>
    <row r="61244" spans="1:27" x14ac:dyDescent="0.25">
      <c r="A61244" s="8"/>
      <c r="B61244" s="8"/>
      <c r="C61244" s="99"/>
      <c r="D61244" s="8"/>
      <c r="E61244" s="8"/>
      <c r="F61244" s="8"/>
      <c r="G61244" s="8"/>
      <c r="H61244" s="8"/>
      <c r="I61244" s="102"/>
      <c r="J61244" s="8"/>
      <c r="K61244" s="8"/>
      <c r="L61244" s="8"/>
      <c r="M61244" s="8"/>
      <c r="N61244" s="8"/>
      <c r="O61244" s="8"/>
      <c r="P61244" s="8"/>
      <c r="Q61244" s="8"/>
      <c r="R61244" s="103"/>
      <c r="S61244" s="8"/>
      <c r="T61244" s="8"/>
      <c r="U61244" s="8"/>
      <c r="V61244" s="8"/>
      <c r="W61244" s="8"/>
      <c r="X61244" s="8"/>
      <c r="Y61244" s="8"/>
      <c r="Z61244" s="8"/>
      <c r="AA61244" s="8"/>
    </row>
    <row r="61245" spans="1:27" x14ac:dyDescent="0.25">
      <c r="A61245" s="8"/>
      <c r="B61245" s="8"/>
      <c r="C61245" s="99"/>
      <c r="D61245" s="8"/>
      <c r="E61245" s="8"/>
      <c r="F61245" s="8"/>
      <c r="G61245" s="8"/>
      <c r="H61245" s="8"/>
      <c r="I61245" s="102"/>
      <c r="J61245" s="8"/>
      <c r="K61245" s="8"/>
      <c r="L61245" s="8"/>
      <c r="M61245" s="8"/>
      <c r="N61245" s="8"/>
      <c r="O61245" s="8"/>
      <c r="P61245" s="8"/>
      <c r="Q61245" s="8"/>
      <c r="R61245" s="103"/>
      <c r="S61245" s="8"/>
      <c r="T61245" s="8"/>
      <c r="U61245" s="8"/>
      <c r="V61245" s="8"/>
      <c r="W61245" s="8"/>
      <c r="X61245" s="8"/>
      <c r="Y61245" s="8"/>
      <c r="Z61245" s="8"/>
      <c r="AA61245" s="8"/>
    </row>
    <row r="61246" spans="1:27" x14ac:dyDescent="0.25">
      <c r="A61246" s="8"/>
      <c r="B61246" s="8"/>
      <c r="C61246" s="99"/>
      <c r="D61246" s="8"/>
      <c r="E61246" s="8"/>
      <c r="F61246" s="8"/>
      <c r="G61246" s="8"/>
      <c r="H61246" s="8"/>
      <c r="I61246" s="102"/>
      <c r="J61246" s="8"/>
      <c r="K61246" s="8"/>
      <c r="L61246" s="8"/>
      <c r="M61246" s="8"/>
      <c r="N61246" s="8"/>
      <c r="O61246" s="8"/>
      <c r="P61246" s="8"/>
      <c r="Q61246" s="8"/>
      <c r="R61246" s="103"/>
      <c r="S61246" s="8"/>
      <c r="T61246" s="8"/>
      <c r="U61246" s="8"/>
      <c r="V61246" s="8"/>
      <c r="W61246" s="8"/>
      <c r="X61246" s="8"/>
      <c r="Y61246" s="8"/>
      <c r="Z61246" s="8"/>
      <c r="AA61246" s="8"/>
    </row>
    <row r="61247" spans="1:27" x14ac:dyDescent="0.25">
      <c r="A61247" s="8"/>
      <c r="B61247" s="8"/>
      <c r="C61247" s="99"/>
      <c r="D61247" s="8"/>
      <c r="E61247" s="8"/>
      <c r="F61247" s="8"/>
      <c r="G61247" s="8"/>
      <c r="H61247" s="8"/>
      <c r="I61247" s="102"/>
      <c r="J61247" s="8"/>
      <c r="K61247" s="8"/>
      <c r="L61247" s="8"/>
      <c r="M61247" s="8"/>
      <c r="N61247" s="8"/>
      <c r="O61247" s="8"/>
      <c r="P61247" s="8"/>
      <c r="Q61247" s="8"/>
      <c r="R61247" s="103"/>
      <c r="S61247" s="8"/>
      <c r="T61247" s="8"/>
      <c r="U61247" s="8"/>
      <c r="V61247" s="8"/>
      <c r="W61247" s="8"/>
      <c r="X61247" s="8"/>
      <c r="Y61247" s="8"/>
      <c r="Z61247" s="8"/>
      <c r="AA61247" s="8"/>
    </row>
    <row r="61248" spans="1:27" x14ac:dyDescent="0.25">
      <c r="A61248" s="8"/>
      <c r="B61248" s="8"/>
      <c r="C61248" s="99"/>
      <c r="D61248" s="8"/>
      <c r="E61248" s="8"/>
      <c r="F61248" s="8"/>
      <c r="G61248" s="8"/>
      <c r="H61248" s="8"/>
      <c r="I61248" s="102"/>
      <c r="J61248" s="8"/>
      <c r="K61248" s="8"/>
      <c r="L61248" s="8"/>
      <c r="M61248" s="8"/>
      <c r="N61248" s="8"/>
      <c r="O61248" s="8"/>
      <c r="P61248" s="8"/>
      <c r="Q61248" s="8"/>
      <c r="R61248" s="103"/>
      <c r="S61248" s="8"/>
      <c r="T61248" s="8"/>
      <c r="U61248" s="8"/>
      <c r="V61248" s="8"/>
      <c r="W61248" s="8"/>
      <c r="X61248" s="8"/>
      <c r="Y61248" s="8"/>
      <c r="Z61248" s="8"/>
      <c r="AA61248" s="8"/>
    </row>
    <row r="61249" spans="1:27" x14ac:dyDescent="0.25">
      <c r="A61249" s="8"/>
      <c r="B61249" s="8"/>
      <c r="C61249" s="99"/>
      <c r="D61249" s="8"/>
      <c r="E61249" s="8"/>
      <c r="F61249" s="8"/>
      <c r="G61249" s="8"/>
      <c r="H61249" s="8"/>
      <c r="I61249" s="102"/>
      <c r="J61249" s="8"/>
      <c r="K61249" s="8"/>
      <c r="L61249" s="8"/>
      <c r="M61249" s="8"/>
      <c r="N61249" s="8"/>
      <c r="O61249" s="8"/>
      <c r="P61249" s="8"/>
      <c r="Q61249" s="8"/>
      <c r="R61249" s="103"/>
      <c r="S61249" s="8"/>
      <c r="T61249" s="8"/>
      <c r="U61249" s="8"/>
      <c r="V61249" s="8"/>
      <c r="W61249" s="8"/>
      <c r="X61249" s="8"/>
      <c r="Y61249" s="8"/>
      <c r="Z61249" s="8"/>
      <c r="AA61249" s="8"/>
    </row>
    <row r="61250" spans="1:27" x14ac:dyDescent="0.25">
      <c r="A61250" s="8"/>
      <c r="B61250" s="8"/>
      <c r="C61250" s="99"/>
      <c r="D61250" s="8"/>
      <c r="E61250" s="8"/>
      <c r="F61250" s="8"/>
      <c r="G61250" s="8"/>
      <c r="H61250" s="8"/>
      <c r="I61250" s="102"/>
      <c r="J61250" s="8"/>
      <c r="K61250" s="8"/>
      <c r="L61250" s="8"/>
      <c r="M61250" s="8"/>
      <c r="N61250" s="8"/>
      <c r="O61250" s="8"/>
      <c r="P61250" s="8"/>
      <c r="Q61250" s="8"/>
      <c r="R61250" s="103"/>
      <c r="S61250" s="8"/>
      <c r="T61250" s="8"/>
      <c r="U61250" s="8"/>
      <c r="V61250" s="8"/>
      <c r="W61250" s="8"/>
      <c r="X61250" s="8"/>
      <c r="Y61250" s="8"/>
      <c r="Z61250" s="8"/>
      <c r="AA61250" s="8"/>
    </row>
    <row r="61251" spans="1:27" x14ac:dyDescent="0.25">
      <c r="A61251" s="8"/>
      <c r="B61251" s="8"/>
      <c r="C61251" s="99"/>
      <c r="D61251" s="8"/>
      <c r="E61251" s="8"/>
      <c r="F61251" s="8"/>
      <c r="G61251" s="8"/>
      <c r="H61251" s="8"/>
      <c r="I61251" s="102"/>
      <c r="J61251" s="8"/>
      <c r="K61251" s="8"/>
      <c r="L61251" s="8"/>
      <c r="M61251" s="8"/>
      <c r="N61251" s="8"/>
      <c r="O61251" s="8"/>
      <c r="P61251" s="8"/>
      <c r="Q61251" s="8"/>
      <c r="R61251" s="103"/>
      <c r="S61251" s="8"/>
      <c r="T61251" s="8"/>
      <c r="U61251" s="8"/>
      <c r="V61251" s="8"/>
      <c r="W61251" s="8"/>
      <c r="X61251" s="8"/>
      <c r="Y61251" s="8"/>
      <c r="Z61251" s="8"/>
      <c r="AA61251" s="8"/>
    </row>
    <row r="61252" spans="1:27" x14ac:dyDescent="0.25">
      <c r="A61252" s="8"/>
      <c r="B61252" s="8"/>
      <c r="C61252" s="99"/>
      <c r="D61252" s="8"/>
      <c r="E61252" s="8"/>
      <c r="F61252" s="8"/>
      <c r="G61252" s="8"/>
      <c r="H61252" s="8"/>
      <c r="I61252" s="102"/>
      <c r="J61252" s="8"/>
      <c r="K61252" s="8"/>
      <c r="L61252" s="8"/>
      <c r="M61252" s="8"/>
      <c r="N61252" s="8"/>
      <c r="O61252" s="8"/>
      <c r="P61252" s="8"/>
      <c r="Q61252" s="8"/>
      <c r="R61252" s="103"/>
      <c r="S61252" s="8"/>
      <c r="T61252" s="8"/>
      <c r="U61252" s="8"/>
      <c r="V61252" s="8"/>
      <c r="W61252" s="8"/>
      <c r="X61252" s="8"/>
      <c r="Y61252" s="8"/>
      <c r="Z61252" s="8"/>
      <c r="AA61252" s="8"/>
    </row>
    <row r="61253" spans="1:27" x14ac:dyDescent="0.25">
      <c r="A61253" s="8"/>
      <c r="B61253" s="8"/>
      <c r="C61253" s="99"/>
      <c r="D61253" s="8"/>
      <c r="E61253" s="8"/>
      <c r="F61253" s="8"/>
      <c r="G61253" s="8"/>
      <c r="H61253" s="8"/>
      <c r="I61253" s="102"/>
      <c r="J61253" s="8"/>
      <c r="K61253" s="8"/>
      <c r="L61253" s="8"/>
      <c r="M61253" s="8"/>
      <c r="N61253" s="8"/>
      <c r="O61253" s="8"/>
      <c r="P61253" s="8"/>
      <c r="Q61253" s="8"/>
      <c r="R61253" s="103"/>
      <c r="S61253" s="8"/>
      <c r="T61253" s="8"/>
      <c r="U61253" s="8"/>
      <c r="V61253" s="8"/>
      <c r="W61253" s="8"/>
      <c r="X61253" s="8"/>
      <c r="Y61253" s="8"/>
      <c r="Z61253" s="8"/>
      <c r="AA61253" s="8"/>
    </row>
    <row r="61254" spans="1:27" x14ac:dyDescent="0.25">
      <c r="A61254" s="8"/>
      <c r="B61254" s="8"/>
      <c r="C61254" s="99"/>
      <c r="D61254" s="8"/>
      <c r="E61254" s="8"/>
      <c r="F61254" s="8"/>
      <c r="G61254" s="8"/>
      <c r="H61254" s="8"/>
      <c r="I61254" s="102"/>
      <c r="J61254" s="8"/>
      <c r="K61254" s="8"/>
      <c r="L61254" s="8"/>
      <c r="M61254" s="8"/>
      <c r="N61254" s="8"/>
      <c r="O61254" s="8"/>
      <c r="P61254" s="8"/>
      <c r="Q61254" s="8"/>
      <c r="R61254" s="103"/>
      <c r="S61254" s="8"/>
      <c r="T61254" s="8"/>
      <c r="U61254" s="8"/>
      <c r="V61254" s="8"/>
      <c r="W61254" s="8"/>
      <c r="X61254" s="8"/>
      <c r="Y61254" s="8"/>
      <c r="Z61254" s="8"/>
      <c r="AA61254" s="8"/>
    </row>
    <row r="61255" spans="1:27" x14ac:dyDescent="0.25">
      <c r="A61255" s="8"/>
      <c r="B61255" s="8"/>
      <c r="C61255" s="99"/>
      <c r="D61255" s="8"/>
      <c r="E61255" s="8"/>
      <c r="F61255" s="8"/>
      <c r="G61255" s="8"/>
      <c r="H61255" s="8"/>
      <c r="I61255" s="102"/>
      <c r="J61255" s="8"/>
      <c r="K61255" s="8"/>
      <c r="L61255" s="8"/>
      <c r="M61255" s="8"/>
      <c r="N61255" s="8"/>
      <c r="O61255" s="8"/>
      <c r="P61255" s="8"/>
      <c r="Q61255" s="8"/>
      <c r="R61255" s="103"/>
      <c r="S61255" s="8"/>
      <c r="T61255" s="8"/>
      <c r="U61255" s="8"/>
      <c r="V61255" s="8"/>
      <c r="W61255" s="8"/>
      <c r="X61255" s="8"/>
      <c r="Y61255" s="8"/>
      <c r="Z61255" s="8"/>
      <c r="AA61255" s="8"/>
    </row>
    <row r="61256" spans="1:27" x14ac:dyDescent="0.25">
      <c r="A61256" s="8"/>
      <c r="B61256" s="8"/>
      <c r="C61256" s="99"/>
      <c r="D61256" s="8"/>
      <c r="E61256" s="8"/>
      <c r="F61256" s="8"/>
      <c r="G61256" s="8"/>
      <c r="H61256" s="8"/>
      <c r="I61256" s="102"/>
      <c r="J61256" s="8"/>
      <c r="K61256" s="8"/>
      <c r="L61256" s="8"/>
      <c r="M61256" s="8"/>
      <c r="N61256" s="8"/>
      <c r="O61256" s="8"/>
      <c r="P61256" s="8"/>
      <c r="Q61256" s="8"/>
      <c r="R61256" s="103"/>
      <c r="S61256" s="8"/>
      <c r="T61256" s="8"/>
      <c r="U61256" s="8"/>
      <c r="V61256" s="8"/>
      <c r="W61256" s="8"/>
      <c r="X61256" s="8"/>
      <c r="Y61256" s="8"/>
      <c r="Z61256" s="8"/>
      <c r="AA61256" s="8"/>
    </row>
    <row r="61257" spans="1:27" x14ac:dyDescent="0.25">
      <c r="A61257" s="8"/>
      <c r="B61257" s="8"/>
      <c r="C61257" s="99"/>
      <c r="D61257" s="8"/>
      <c r="E61257" s="8"/>
      <c r="F61257" s="8"/>
      <c r="G61257" s="8"/>
      <c r="H61257" s="8"/>
      <c r="I61257" s="102"/>
      <c r="J61257" s="8"/>
      <c r="K61257" s="8"/>
      <c r="L61257" s="8"/>
      <c r="M61257" s="8"/>
      <c r="N61257" s="8"/>
      <c r="O61257" s="8"/>
      <c r="P61257" s="8"/>
      <c r="Q61257" s="8"/>
      <c r="R61257" s="103"/>
      <c r="S61257" s="8"/>
      <c r="T61257" s="8"/>
      <c r="U61257" s="8"/>
      <c r="V61257" s="8"/>
      <c r="W61257" s="8"/>
      <c r="X61257" s="8"/>
      <c r="Y61257" s="8"/>
      <c r="Z61257" s="8"/>
      <c r="AA61257" s="8"/>
    </row>
    <row r="61258" spans="1:27" x14ac:dyDescent="0.25">
      <c r="A61258" s="8"/>
      <c r="B61258" s="8"/>
      <c r="C61258" s="99"/>
      <c r="D61258" s="8"/>
      <c r="E61258" s="8"/>
      <c r="F61258" s="8"/>
      <c r="G61258" s="8"/>
      <c r="H61258" s="8"/>
      <c r="I61258" s="102"/>
      <c r="J61258" s="8"/>
      <c r="K61258" s="8"/>
      <c r="L61258" s="8"/>
      <c r="M61258" s="8"/>
      <c r="N61258" s="8"/>
      <c r="O61258" s="8"/>
      <c r="P61258" s="8"/>
      <c r="Q61258" s="8"/>
      <c r="R61258" s="103"/>
      <c r="S61258" s="8"/>
      <c r="T61258" s="8"/>
      <c r="U61258" s="8"/>
      <c r="V61258" s="8"/>
      <c r="W61258" s="8"/>
      <c r="X61258" s="8"/>
      <c r="Y61258" s="8"/>
      <c r="Z61258" s="8"/>
      <c r="AA61258" s="8"/>
    </row>
    <row r="61259" spans="1:27" x14ac:dyDescent="0.25">
      <c r="A61259" s="8"/>
      <c r="B61259" s="8"/>
      <c r="C61259" s="99"/>
      <c r="D61259" s="8"/>
      <c r="E61259" s="8"/>
      <c r="F61259" s="8"/>
      <c r="G61259" s="8"/>
      <c r="H61259" s="8"/>
      <c r="I61259" s="102"/>
      <c r="J61259" s="8"/>
      <c r="K61259" s="8"/>
      <c r="L61259" s="8"/>
      <c r="M61259" s="8"/>
      <c r="N61259" s="8"/>
      <c r="O61259" s="8"/>
      <c r="P61259" s="8"/>
      <c r="Q61259" s="8"/>
      <c r="R61259" s="103"/>
      <c r="S61259" s="8"/>
      <c r="T61259" s="8"/>
      <c r="U61259" s="8"/>
      <c r="V61259" s="8"/>
      <c r="W61259" s="8"/>
      <c r="X61259" s="8"/>
      <c r="Y61259" s="8"/>
      <c r="Z61259" s="8"/>
      <c r="AA61259" s="8"/>
    </row>
    <row r="61260" spans="1:27" x14ac:dyDescent="0.25">
      <c r="A61260" s="8"/>
      <c r="B61260" s="8"/>
      <c r="C61260" s="99"/>
      <c r="D61260" s="8"/>
      <c r="E61260" s="8"/>
      <c r="F61260" s="8"/>
      <c r="G61260" s="8"/>
      <c r="H61260" s="8"/>
      <c r="I61260" s="102"/>
      <c r="J61260" s="8"/>
      <c r="K61260" s="8"/>
      <c r="L61260" s="8"/>
      <c r="M61260" s="8"/>
      <c r="N61260" s="8"/>
      <c r="O61260" s="8"/>
      <c r="P61260" s="8"/>
      <c r="Q61260" s="8"/>
      <c r="R61260" s="103"/>
      <c r="S61260" s="8"/>
      <c r="T61260" s="8"/>
      <c r="U61260" s="8"/>
      <c r="V61260" s="8"/>
      <c r="W61260" s="8"/>
      <c r="X61260" s="8"/>
      <c r="Y61260" s="8"/>
      <c r="Z61260" s="8"/>
      <c r="AA61260" s="8"/>
    </row>
    <row r="61261" spans="1:27" x14ac:dyDescent="0.25">
      <c r="A61261" s="8"/>
      <c r="B61261" s="8"/>
      <c r="C61261" s="99"/>
      <c r="D61261" s="8"/>
      <c r="E61261" s="8"/>
      <c r="F61261" s="8"/>
      <c r="G61261" s="8"/>
      <c r="H61261" s="8"/>
      <c r="I61261" s="102"/>
      <c r="J61261" s="8"/>
      <c r="K61261" s="8"/>
      <c r="L61261" s="8"/>
      <c r="M61261" s="8"/>
      <c r="N61261" s="8"/>
      <c r="O61261" s="8"/>
      <c r="P61261" s="8"/>
      <c r="Q61261" s="8"/>
      <c r="R61261" s="103"/>
      <c r="S61261" s="8"/>
      <c r="T61261" s="8"/>
      <c r="U61261" s="8"/>
      <c r="V61261" s="8"/>
      <c r="W61261" s="8"/>
      <c r="X61261" s="8"/>
      <c r="Y61261" s="8"/>
      <c r="Z61261" s="8"/>
      <c r="AA61261" s="8"/>
    </row>
    <row r="61262" spans="1:27" x14ac:dyDescent="0.25">
      <c r="A61262" s="8"/>
      <c r="B61262" s="8"/>
      <c r="C61262" s="99"/>
      <c r="D61262" s="8"/>
      <c r="E61262" s="8"/>
      <c r="F61262" s="8"/>
      <c r="G61262" s="8"/>
      <c r="H61262" s="8"/>
      <c r="I61262" s="102"/>
      <c r="J61262" s="8"/>
      <c r="K61262" s="8"/>
      <c r="L61262" s="8"/>
      <c r="M61262" s="8"/>
      <c r="N61262" s="8"/>
      <c r="O61262" s="8"/>
      <c r="P61262" s="8"/>
      <c r="Q61262" s="8"/>
      <c r="R61262" s="103"/>
      <c r="S61262" s="8"/>
      <c r="T61262" s="8"/>
      <c r="U61262" s="8"/>
      <c r="V61262" s="8"/>
      <c r="W61262" s="8"/>
      <c r="X61262" s="8"/>
      <c r="Y61262" s="8"/>
      <c r="Z61262" s="8"/>
      <c r="AA61262" s="8"/>
    </row>
    <row r="61263" spans="1:27" x14ac:dyDescent="0.25">
      <c r="A61263" s="8"/>
      <c r="B61263" s="8"/>
      <c r="C61263" s="99"/>
      <c r="D61263" s="8"/>
      <c r="E61263" s="8"/>
      <c r="F61263" s="8"/>
      <c r="G61263" s="8"/>
      <c r="H61263" s="8"/>
      <c r="I61263" s="102"/>
      <c r="J61263" s="8"/>
      <c r="K61263" s="8"/>
      <c r="L61263" s="8"/>
      <c r="M61263" s="8"/>
      <c r="N61263" s="8"/>
      <c r="O61263" s="8"/>
      <c r="P61263" s="8"/>
      <c r="Q61263" s="8"/>
      <c r="R61263" s="103"/>
      <c r="S61263" s="8"/>
      <c r="T61263" s="8"/>
      <c r="U61263" s="8"/>
      <c r="V61263" s="8"/>
      <c r="W61263" s="8"/>
      <c r="X61263" s="8"/>
      <c r="Y61263" s="8"/>
      <c r="Z61263" s="8"/>
      <c r="AA61263" s="8"/>
    </row>
    <row r="61264" spans="1:27" x14ac:dyDescent="0.25">
      <c r="A61264" s="8"/>
      <c r="B61264" s="8"/>
      <c r="C61264" s="99"/>
      <c r="D61264" s="8"/>
      <c r="E61264" s="8"/>
      <c r="F61264" s="8"/>
      <c r="G61264" s="8"/>
      <c r="H61264" s="8"/>
      <c r="I61264" s="102"/>
      <c r="J61264" s="8"/>
      <c r="K61264" s="8"/>
      <c r="L61264" s="8"/>
      <c r="M61264" s="8"/>
      <c r="N61264" s="8"/>
      <c r="O61264" s="8"/>
      <c r="P61264" s="8"/>
      <c r="Q61264" s="8"/>
      <c r="R61264" s="103"/>
      <c r="S61264" s="8"/>
      <c r="T61264" s="8"/>
      <c r="U61264" s="8"/>
      <c r="V61264" s="8"/>
      <c r="W61264" s="8"/>
      <c r="X61264" s="8"/>
      <c r="Y61264" s="8"/>
      <c r="Z61264" s="8"/>
      <c r="AA61264" s="8"/>
    </row>
    <row r="61265" spans="1:27" x14ac:dyDescent="0.25">
      <c r="A61265" s="8"/>
      <c r="B61265" s="8"/>
      <c r="C61265" s="99"/>
      <c r="D61265" s="8"/>
      <c r="E61265" s="8"/>
      <c r="F61265" s="8"/>
      <c r="G61265" s="8"/>
      <c r="H61265" s="8"/>
      <c r="I61265" s="102"/>
      <c r="J61265" s="8"/>
      <c r="K61265" s="8"/>
      <c r="L61265" s="8"/>
      <c r="M61265" s="8"/>
      <c r="N61265" s="8"/>
      <c r="O61265" s="8"/>
      <c r="P61265" s="8"/>
      <c r="Q61265" s="8"/>
      <c r="R61265" s="103"/>
      <c r="S61265" s="8"/>
      <c r="T61265" s="8"/>
      <c r="U61265" s="8"/>
      <c r="V61265" s="8"/>
      <c r="W61265" s="8"/>
      <c r="X61265" s="8"/>
      <c r="Y61265" s="8"/>
      <c r="Z61265" s="8"/>
      <c r="AA61265" s="8"/>
    </row>
    <row r="61266" spans="1:27" x14ac:dyDescent="0.25">
      <c r="A61266" s="8"/>
      <c r="B61266" s="8"/>
      <c r="C61266" s="99"/>
      <c r="D61266" s="8"/>
      <c r="E61266" s="8"/>
      <c r="F61266" s="8"/>
      <c r="G61266" s="8"/>
      <c r="H61266" s="8"/>
      <c r="I61266" s="102"/>
      <c r="J61266" s="8"/>
      <c r="K61266" s="8"/>
      <c r="L61266" s="8"/>
      <c r="M61266" s="8"/>
      <c r="N61266" s="8"/>
      <c r="O61266" s="8"/>
      <c r="P61266" s="8"/>
      <c r="Q61266" s="8"/>
      <c r="R61266" s="103"/>
      <c r="S61266" s="8"/>
      <c r="T61266" s="8"/>
      <c r="U61266" s="8"/>
      <c r="V61266" s="8"/>
      <c r="W61266" s="8"/>
      <c r="X61266" s="8"/>
      <c r="Y61266" s="8"/>
      <c r="Z61266" s="8"/>
      <c r="AA61266" s="8"/>
    </row>
    <row r="61267" spans="1:27" x14ac:dyDescent="0.25">
      <c r="A61267" s="8"/>
      <c r="B61267" s="8"/>
      <c r="C61267" s="99"/>
      <c r="D61267" s="8"/>
      <c r="E61267" s="8"/>
      <c r="F61267" s="8"/>
      <c r="G61267" s="8"/>
      <c r="H61267" s="8"/>
      <c r="I61267" s="102"/>
      <c r="J61267" s="8"/>
      <c r="K61267" s="8"/>
      <c r="L61267" s="8"/>
      <c r="M61267" s="8"/>
      <c r="N61267" s="8"/>
      <c r="O61267" s="8"/>
      <c r="P61267" s="8"/>
      <c r="Q61267" s="8"/>
      <c r="R61267" s="103"/>
      <c r="S61267" s="8"/>
      <c r="T61267" s="8"/>
      <c r="U61267" s="8"/>
      <c r="V61267" s="8"/>
      <c r="W61267" s="8"/>
      <c r="X61267" s="8"/>
      <c r="Y61267" s="8"/>
      <c r="Z61267" s="8"/>
      <c r="AA61267" s="8"/>
    </row>
    <row r="61268" spans="1:27" x14ac:dyDescent="0.25">
      <c r="A61268" s="8"/>
      <c r="B61268" s="8"/>
      <c r="C61268" s="99"/>
      <c r="D61268" s="8"/>
      <c r="E61268" s="8"/>
      <c r="F61268" s="8"/>
      <c r="G61268" s="8"/>
      <c r="H61268" s="8"/>
      <c r="I61268" s="102"/>
      <c r="J61268" s="8"/>
      <c r="K61268" s="8"/>
      <c r="L61268" s="8"/>
      <c r="M61268" s="8"/>
      <c r="N61268" s="8"/>
      <c r="O61268" s="8"/>
      <c r="P61268" s="8"/>
      <c r="Q61268" s="8"/>
      <c r="R61268" s="103"/>
      <c r="S61268" s="8"/>
      <c r="T61268" s="8"/>
      <c r="U61268" s="8"/>
      <c r="V61268" s="8"/>
      <c r="W61268" s="8"/>
      <c r="X61268" s="8"/>
      <c r="Y61268" s="8"/>
      <c r="Z61268" s="8"/>
      <c r="AA61268" s="8"/>
    </row>
    <row r="61269" spans="1:27" x14ac:dyDescent="0.25">
      <c r="A61269" s="8"/>
      <c r="B61269" s="8"/>
      <c r="C61269" s="99"/>
      <c r="D61269" s="8"/>
      <c r="E61269" s="8"/>
      <c r="F61269" s="8"/>
      <c r="G61269" s="8"/>
      <c r="H61269" s="8"/>
      <c r="I61269" s="102"/>
      <c r="J61269" s="8"/>
      <c r="K61269" s="8"/>
      <c r="L61269" s="8"/>
      <c r="M61269" s="8"/>
      <c r="N61269" s="8"/>
      <c r="O61269" s="8"/>
      <c r="P61269" s="8"/>
      <c r="Q61269" s="8"/>
      <c r="R61269" s="103"/>
      <c r="S61269" s="8"/>
      <c r="T61269" s="8"/>
      <c r="U61269" s="8"/>
      <c r="V61269" s="8"/>
      <c r="W61269" s="8"/>
      <c r="X61269" s="8"/>
      <c r="Y61269" s="8"/>
      <c r="Z61269" s="8"/>
      <c r="AA61269" s="8"/>
    </row>
    <row r="61270" spans="1:27" x14ac:dyDescent="0.25">
      <c r="A61270" s="8"/>
      <c r="B61270" s="8"/>
      <c r="C61270" s="99"/>
      <c r="D61270" s="8"/>
      <c r="E61270" s="8"/>
      <c r="F61270" s="8"/>
      <c r="G61270" s="8"/>
      <c r="H61270" s="8"/>
      <c r="I61270" s="102"/>
      <c r="J61270" s="8"/>
      <c r="K61270" s="8"/>
      <c r="L61270" s="8"/>
      <c r="M61270" s="8"/>
      <c r="N61270" s="8"/>
      <c r="O61270" s="8"/>
      <c r="P61270" s="8"/>
      <c r="Q61270" s="8"/>
      <c r="R61270" s="103"/>
      <c r="S61270" s="8"/>
      <c r="T61270" s="8"/>
      <c r="U61270" s="8"/>
      <c r="V61270" s="8"/>
      <c r="W61270" s="8"/>
      <c r="X61270" s="8"/>
      <c r="Y61270" s="8"/>
      <c r="Z61270" s="8"/>
      <c r="AA61270" s="8"/>
    </row>
    <row r="61271" spans="1:27" x14ac:dyDescent="0.25">
      <c r="A61271" s="8"/>
      <c r="B61271" s="8"/>
      <c r="C61271" s="99"/>
      <c r="D61271" s="8"/>
      <c r="E61271" s="8"/>
      <c r="F61271" s="8"/>
      <c r="G61271" s="8"/>
      <c r="H61271" s="8"/>
      <c r="I61271" s="102"/>
      <c r="J61271" s="8"/>
      <c r="K61271" s="8"/>
      <c r="L61271" s="8"/>
      <c r="M61271" s="8"/>
      <c r="N61271" s="8"/>
      <c r="O61271" s="8"/>
      <c r="P61271" s="8"/>
      <c r="Q61271" s="8"/>
      <c r="R61271" s="103"/>
      <c r="S61271" s="8"/>
      <c r="T61271" s="8"/>
      <c r="U61271" s="8"/>
      <c r="V61271" s="8"/>
      <c r="W61271" s="8"/>
      <c r="X61271" s="8"/>
      <c r="Y61271" s="8"/>
      <c r="Z61271" s="8"/>
      <c r="AA61271" s="8"/>
    </row>
    <row r="61272" spans="1:27" x14ac:dyDescent="0.25">
      <c r="A61272" s="8"/>
      <c r="B61272" s="8"/>
      <c r="C61272" s="99"/>
      <c r="D61272" s="8"/>
      <c r="E61272" s="8"/>
      <c r="F61272" s="8"/>
      <c r="G61272" s="8"/>
      <c r="H61272" s="8"/>
      <c r="I61272" s="102"/>
      <c r="J61272" s="8"/>
      <c r="K61272" s="8"/>
      <c r="L61272" s="8"/>
      <c r="M61272" s="8"/>
      <c r="N61272" s="8"/>
      <c r="O61272" s="8"/>
      <c r="P61272" s="8"/>
      <c r="Q61272" s="8"/>
      <c r="R61272" s="103"/>
      <c r="S61272" s="8"/>
      <c r="T61272" s="8"/>
      <c r="U61272" s="8"/>
      <c r="V61272" s="8"/>
      <c r="W61272" s="8"/>
      <c r="X61272" s="8"/>
      <c r="Y61272" s="8"/>
      <c r="Z61272" s="8"/>
      <c r="AA61272" s="8"/>
    </row>
    <row r="61273" spans="1:27" x14ac:dyDescent="0.25">
      <c r="A61273" s="8"/>
      <c r="B61273" s="8"/>
      <c r="C61273" s="99"/>
      <c r="D61273" s="8"/>
      <c r="E61273" s="8"/>
      <c r="F61273" s="8"/>
      <c r="G61273" s="8"/>
      <c r="H61273" s="8"/>
      <c r="I61273" s="102"/>
      <c r="J61273" s="8"/>
      <c r="K61273" s="8"/>
      <c r="L61273" s="8"/>
      <c r="M61273" s="8"/>
      <c r="N61273" s="8"/>
      <c r="O61273" s="8"/>
      <c r="P61273" s="8"/>
      <c r="Q61273" s="8"/>
      <c r="R61273" s="103"/>
      <c r="S61273" s="8"/>
      <c r="T61273" s="8"/>
      <c r="U61273" s="8"/>
      <c r="V61273" s="8"/>
      <c r="W61273" s="8"/>
      <c r="X61273" s="8"/>
      <c r="Y61273" s="8"/>
      <c r="Z61273" s="8"/>
      <c r="AA61273" s="8"/>
    </row>
    <row r="61274" spans="1:27" x14ac:dyDescent="0.25">
      <c r="A61274" s="8"/>
      <c r="B61274" s="8"/>
      <c r="C61274" s="99"/>
      <c r="D61274" s="8"/>
      <c r="E61274" s="8"/>
      <c r="F61274" s="8"/>
      <c r="G61274" s="8"/>
      <c r="H61274" s="8"/>
      <c r="I61274" s="102"/>
      <c r="J61274" s="8"/>
      <c r="K61274" s="8"/>
      <c r="L61274" s="8"/>
      <c r="M61274" s="8"/>
      <c r="N61274" s="8"/>
      <c r="O61274" s="8"/>
      <c r="P61274" s="8"/>
      <c r="Q61274" s="8"/>
      <c r="R61274" s="103"/>
      <c r="S61274" s="8"/>
      <c r="T61274" s="8"/>
      <c r="U61274" s="8"/>
      <c r="V61274" s="8"/>
      <c r="W61274" s="8"/>
      <c r="X61274" s="8"/>
      <c r="Y61274" s="8"/>
      <c r="Z61274" s="8"/>
      <c r="AA61274" s="8"/>
    </row>
    <row r="61275" spans="1:27" x14ac:dyDescent="0.25">
      <c r="A61275" s="8"/>
      <c r="B61275" s="8"/>
      <c r="C61275" s="99"/>
      <c r="D61275" s="8"/>
      <c r="E61275" s="8"/>
      <c r="F61275" s="8"/>
      <c r="G61275" s="8"/>
      <c r="H61275" s="8"/>
      <c r="I61275" s="102"/>
      <c r="J61275" s="8"/>
      <c r="K61275" s="8"/>
      <c r="L61275" s="8"/>
      <c r="M61275" s="8"/>
      <c r="N61275" s="8"/>
      <c r="O61275" s="8"/>
      <c r="P61275" s="8"/>
      <c r="Q61275" s="8"/>
      <c r="R61275" s="103"/>
      <c r="S61275" s="8"/>
      <c r="T61275" s="8"/>
      <c r="U61275" s="8"/>
      <c r="V61275" s="8"/>
      <c r="W61275" s="8"/>
      <c r="X61275" s="8"/>
      <c r="Y61275" s="8"/>
      <c r="Z61275" s="8"/>
      <c r="AA61275" s="8"/>
    </row>
    <row r="61276" spans="1:27" x14ac:dyDescent="0.25">
      <c r="A61276" s="8"/>
      <c r="B61276" s="8"/>
      <c r="C61276" s="99"/>
      <c r="D61276" s="8"/>
      <c r="E61276" s="8"/>
      <c r="F61276" s="8"/>
      <c r="G61276" s="8"/>
      <c r="H61276" s="8"/>
      <c r="I61276" s="102"/>
      <c r="J61276" s="8"/>
      <c r="K61276" s="8"/>
      <c r="L61276" s="8"/>
      <c r="M61276" s="8"/>
      <c r="N61276" s="8"/>
      <c r="O61276" s="8"/>
      <c r="P61276" s="8"/>
      <c r="Q61276" s="8"/>
      <c r="R61276" s="103"/>
      <c r="S61276" s="8"/>
      <c r="T61276" s="8"/>
      <c r="U61276" s="8"/>
      <c r="V61276" s="8"/>
      <c r="W61276" s="8"/>
      <c r="X61276" s="8"/>
      <c r="Y61276" s="8"/>
      <c r="Z61276" s="8"/>
      <c r="AA61276" s="8"/>
    </row>
    <row r="61277" spans="1:27" x14ac:dyDescent="0.25">
      <c r="A61277" s="8"/>
      <c r="B61277" s="8"/>
      <c r="C61277" s="99"/>
      <c r="D61277" s="8"/>
      <c r="E61277" s="8"/>
      <c r="F61277" s="8"/>
      <c r="G61277" s="8"/>
      <c r="H61277" s="8"/>
      <c r="I61277" s="102"/>
      <c r="J61277" s="8"/>
      <c r="K61277" s="8"/>
      <c r="L61277" s="8"/>
      <c r="M61277" s="8"/>
      <c r="N61277" s="8"/>
      <c r="O61277" s="8"/>
      <c r="P61277" s="8"/>
      <c r="Q61277" s="8"/>
      <c r="R61277" s="103"/>
      <c r="S61277" s="8"/>
      <c r="T61277" s="8"/>
      <c r="U61277" s="8"/>
      <c r="V61277" s="8"/>
      <c r="W61277" s="8"/>
      <c r="X61277" s="8"/>
      <c r="Y61277" s="8"/>
      <c r="Z61277" s="8"/>
      <c r="AA61277" s="8"/>
    </row>
    <row r="61278" spans="1:27" x14ac:dyDescent="0.25">
      <c r="A61278" s="8"/>
      <c r="B61278" s="8"/>
      <c r="C61278" s="99"/>
      <c r="D61278" s="8"/>
      <c r="E61278" s="8"/>
      <c r="F61278" s="8"/>
      <c r="G61278" s="8"/>
      <c r="H61278" s="8"/>
      <c r="I61278" s="102"/>
      <c r="J61278" s="8"/>
      <c r="K61278" s="8"/>
      <c r="L61278" s="8"/>
      <c r="M61278" s="8"/>
      <c r="N61278" s="8"/>
      <c r="O61278" s="8"/>
      <c r="P61278" s="8"/>
      <c r="Q61278" s="8"/>
      <c r="R61278" s="103"/>
      <c r="S61278" s="8"/>
      <c r="T61278" s="8"/>
      <c r="U61278" s="8"/>
      <c r="V61278" s="8"/>
      <c r="W61278" s="8"/>
      <c r="X61278" s="8"/>
      <c r="Y61278" s="8"/>
      <c r="Z61278" s="8"/>
      <c r="AA61278" s="8"/>
    </row>
    <row r="61279" spans="1:27" x14ac:dyDescent="0.25">
      <c r="A61279" s="8"/>
      <c r="B61279" s="8"/>
      <c r="C61279" s="99"/>
      <c r="D61279" s="8"/>
      <c r="E61279" s="8"/>
      <c r="F61279" s="8"/>
      <c r="G61279" s="8"/>
      <c r="H61279" s="8"/>
      <c r="I61279" s="102"/>
      <c r="J61279" s="8"/>
      <c r="K61279" s="8"/>
      <c r="L61279" s="8"/>
      <c r="M61279" s="8"/>
      <c r="N61279" s="8"/>
      <c r="O61279" s="8"/>
      <c r="P61279" s="8"/>
      <c r="Q61279" s="8"/>
      <c r="R61279" s="103"/>
      <c r="S61279" s="8"/>
      <c r="T61279" s="8"/>
      <c r="U61279" s="8"/>
      <c r="V61279" s="8"/>
      <c r="W61279" s="8"/>
      <c r="X61279" s="8"/>
      <c r="Y61279" s="8"/>
      <c r="Z61279" s="8"/>
      <c r="AA61279" s="8"/>
    </row>
    <row r="61280" spans="1:27" x14ac:dyDescent="0.25">
      <c r="A61280" s="8"/>
      <c r="B61280" s="8"/>
      <c r="C61280" s="99"/>
      <c r="D61280" s="8"/>
      <c r="E61280" s="8"/>
      <c r="F61280" s="8"/>
      <c r="G61280" s="8"/>
      <c r="H61280" s="8"/>
      <c r="I61280" s="102"/>
      <c r="J61280" s="8"/>
      <c r="K61280" s="8"/>
      <c r="L61280" s="8"/>
      <c r="M61280" s="8"/>
      <c r="N61280" s="8"/>
      <c r="O61280" s="8"/>
      <c r="P61280" s="8"/>
      <c r="Q61280" s="8"/>
      <c r="R61280" s="103"/>
      <c r="S61280" s="8"/>
      <c r="T61280" s="8"/>
      <c r="U61280" s="8"/>
      <c r="V61280" s="8"/>
      <c r="W61280" s="8"/>
      <c r="X61280" s="8"/>
      <c r="Y61280" s="8"/>
      <c r="Z61280" s="8"/>
      <c r="AA61280" s="8"/>
    </row>
    <row r="61281" spans="1:27" x14ac:dyDescent="0.25">
      <c r="A61281" s="8"/>
      <c r="B61281" s="8"/>
      <c r="C61281" s="99"/>
      <c r="D61281" s="8"/>
      <c r="E61281" s="8"/>
      <c r="F61281" s="8"/>
      <c r="G61281" s="8"/>
      <c r="H61281" s="8"/>
      <c r="I61281" s="102"/>
      <c r="J61281" s="8"/>
      <c r="K61281" s="8"/>
      <c r="L61281" s="8"/>
      <c r="M61281" s="8"/>
      <c r="N61281" s="8"/>
      <c r="O61281" s="8"/>
      <c r="P61281" s="8"/>
      <c r="Q61281" s="8"/>
      <c r="R61281" s="103"/>
      <c r="S61281" s="8"/>
      <c r="T61281" s="8"/>
      <c r="U61281" s="8"/>
      <c r="V61281" s="8"/>
      <c r="W61281" s="8"/>
      <c r="X61281" s="8"/>
      <c r="Y61281" s="8"/>
      <c r="Z61281" s="8"/>
      <c r="AA61281" s="8"/>
    </row>
    <row r="61282" spans="1:27" x14ac:dyDescent="0.25">
      <c r="A61282" s="8"/>
      <c r="B61282" s="8"/>
      <c r="C61282" s="99"/>
      <c r="D61282" s="8"/>
      <c r="E61282" s="8"/>
      <c r="F61282" s="8"/>
      <c r="G61282" s="8"/>
      <c r="H61282" s="8"/>
      <c r="I61282" s="102"/>
      <c r="J61282" s="8"/>
      <c r="K61282" s="8"/>
      <c r="L61282" s="8"/>
      <c r="M61282" s="8"/>
      <c r="N61282" s="8"/>
      <c r="O61282" s="8"/>
      <c r="P61282" s="8"/>
      <c r="Q61282" s="8"/>
      <c r="R61282" s="103"/>
      <c r="S61282" s="8"/>
      <c r="T61282" s="8"/>
      <c r="U61282" s="8"/>
      <c r="V61282" s="8"/>
      <c r="W61282" s="8"/>
      <c r="X61282" s="8"/>
      <c r="Y61282" s="8"/>
      <c r="Z61282" s="8"/>
      <c r="AA61282" s="8"/>
    </row>
    <row r="61283" spans="1:27" x14ac:dyDescent="0.25">
      <c r="A61283" s="8"/>
      <c r="B61283" s="8"/>
      <c r="C61283" s="99"/>
      <c r="D61283" s="8"/>
      <c r="E61283" s="8"/>
      <c r="F61283" s="8"/>
      <c r="G61283" s="8"/>
      <c r="H61283" s="8"/>
      <c r="I61283" s="102"/>
      <c r="J61283" s="8"/>
      <c r="K61283" s="8"/>
      <c r="L61283" s="8"/>
      <c r="M61283" s="8"/>
      <c r="N61283" s="8"/>
      <c r="O61283" s="8"/>
      <c r="P61283" s="8"/>
      <c r="Q61283" s="8"/>
      <c r="R61283" s="103"/>
      <c r="S61283" s="8"/>
      <c r="T61283" s="8"/>
      <c r="U61283" s="8"/>
      <c r="V61283" s="8"/>
      <c r="W61283" s="8"/>
      <c r="X61283" s="8"/>
      <c r="Y61283" s="8"/>
      <c r="Z61283" s="8"/>
      <c r="AA61283" s="8"/>
    </row>
    <row r="61284" spans="1:27" x14ac:dyDescent="0.25">
      <c r="A61284" s="8"/>
      <c r="B61284" s="8"/>
      <c r="C61284" s="99"/>
      <c r="D61284" s="8"/>
      <c r="E61284" s="8"/>
      <c r="F61284" s="8"/>
      <c r="G61284" s="8"/>
      <c r="H61284" s="8"/>
      <c r="I61284" s="102"/>
      <c r="J61284" s="8"/>
      <c r="K61284" s="8"/>
      <c r="L61284" s="8"/>
      <c r="M61284" s="8"/>
      <c r="N61284" s="8"/>
      <c r="O61284" s="8"/>
      <c r="P61284" s="8"/>
      <c r="Q61284" s="8"/>
      <c r="R61284" s="103"/>
      <c r="S61284" s="8"/>
      <c r="T61284" s="8"/>
      <c r="U61284" s="8"/>
      <c r="V61284" s="8"/>
      <c r="W61284" s="8"/>
      <c r="X61284" s="8"/>
      <c r="Y61284" s="8"/>
      <c r="Z61284" s="8"/>
      <c r="AA61284" s="8"/>
    </row>
    <row r="61285" spans="1:27" x14ac:dyDescent="0.25">
      <c r="A61285" s="8"/>
      <c r="B61285" s="8"/>
      <c r="C61285" s="99"/>
      <c r="D61285" s="8"/>
      <c r="E61285" s="8"/>
      <c r="F61285" s="8"/>
      <c r="G61285" s="8"/>
      <c r="H61285" s="8"/>
      <c r="I61285" s="102"/>
      <c r="J61285" s="8"/>
      <c r="K61285" s="8"/>
      <c r="L61285" s="8"/>
      <c r="M61285" s="8"/>
      <c r="N61285" s="8"/>
      <c r="O61285" s="8"/>
      <c r="P61285" s="8"/>
      <c r="Q61285" s="8"/>
      <c r="R61285" s="103"/>
      <c r="S61285" s="8"/>
      <c r="T61285" s="8"/>
      <c r="U61285" s="8"/>
      <c r="V61285" s="8"/>
      <c r="W61285" s="8"/>
      <c r="X61285" s="8"/>
      <c r="Y61285" s="8"/>
      <c r="Z61285" s="8"/>
      <c r="AA61285" s="8"/>
    </row>
    <row r="61286" spans="1:27" x14ac:dyDescent="0.25">
      <c r="A61286" s="8"/>
      <c r="B61286" s="8"/>
      <c r="C61286" s="99"/>
      <c r="D61286" s="8"/>
      <c r="E61286" s="8"/>
      <c r="F61286" s="8"/>
      <c r="G61286" s="8"/>
      <c r="H61286" s="8"/>
      <c r="I61286" s="102"/>
      <c r="J61286" s="8"/>
      <c r="K61286" s="8"/>
      <c r="L61286" s="8"/>
      <c r="M61286" s="8"/>
      <c r="N61286" s="8"/>
      <c r="O61286" s="8"/>
      <c r="P61286" s="8"/>
      <c r="Q61286" s="8"/>
      <c r="R61286" s="103"/>
      <c r="S61286" s="8"/>
      <c r="T61286" s="8"/>
      <c r="U61286" s="8"/>
      <c r="V61286" s="8"/>
      <c r="W61286" s="8"/>
      <c r="X61286" s="8"/>
      <c r="Y61286" s="8"/>
      <c r="Z61286" s="8"/>
      <c r="AA61286" s="8"/>
    </row>
    <row r="61287" spans="1:27" x14ac:dyDescent="0.25">
      <c r="A61287" s="8"/>
      <c r="B61287" s="8"/>
      <c r="C61287" s="99"/>
      <c r="D61287" s="8"/>
      <c r="E61287" s="8"/>
      <c r="F61287" s="8"/>
      <c r="G61287" s="8"/>
      <c r="H61287" s="8"/>
      <c r="I61287" s="102"/>
      <c r="J61287" s="8"/>
      <c r="K61287" s="8"/>
      <c r="L61287" s="8"/>
      <c r="M61287" s="8"/>
      <c r="N61287" s="8"/>
      <c r="O61287" s="8"/>
      <c r="P61287" s="8"/>
      <c r="Q61287" s="8"/>
      <c r="R61287" s="103"/>
      <c r="S61287" s="8"/>
      <c r="T61287" s="8"/>
      <c r="U61287" s="8"/>
      <c r="V61287" s="8"/>
      <c r="W61287" s="8"/>
      <c r="X61287" s="8"/>
      <c r="Y61287" s="8"/>
      <c r="Z61287" s="8"/>
      <c r="AA61287" s="8"/>
    </row>
    <row r="61288" spans="1:27" x14ac:dyDescent="0.25">
      <c r="A61288" s="8"/>
      <c r="B61288" s="8"/>
      <c r="C61288" s="99"/>
      <c r="D61288" s="8"/>
      <c r="E61288" s="8"/>
      <c r="F61288" s="8"/>
      <c r="G61288" s="8"/>
      <c r="H61288" s="8"/>
      <c r="I61288" s="102"/>
      <c r="J61288" s="8"/>
      <c r="K61288" s="8"/>
      <c r="L61288" s="8"/>
      <c r="M61288" s="8"/>
      <c r="N61288" s="8"/>
      <c r="O61288" s="8"/>
      <c r="P61288" s="8"/>
      <c r="Q61288" s="8"/>
      <c r="R61288" s="103"/>
      <c r="S61288" s="8"/>
      <c r="T61288" s="8"/>
      <c r="U61288" s="8"/>
      <c r="V61288" s="8"/>
      <c r="W61288" s="8"/>
      <c r="X61288" s="8"/>
      <c r="Y61288" s="8"/>
      <c r="Z61288" s="8"/>
      <c r="AA61288" s="8"/>
    </row>
    <row r="61289" spans="1:27" x14ac:dyDescent="0.25">
      <c r="A61289" s="8"/>
      <c r="B61289" s="8"/>
      <c r="C61289" s="99"/>
      <c r="D61289" s="8"/>
      <c r="E61289" s="8"/>
      <c r="F61289" s="8"/>
      <c r="G61289" s="8"/>
      <c r="H61289" s="8"/>
      <c r="I61289" s="102"/>
      <c r="J61289" s="8"/>
      <c r="K61289" s="8"/>
      <c r="L61289" s="8"/>
      <c r="M61289" s="8"/>
      <c r="N61289" s="8"/>
      <c r="O61289" s="8"/>
      <c r="P61289" s="8"/>
      <c r="Q61289" s="8"/>
      <c r="R61289" s="103"/>
      <c r="S61289" s="8"/>
      <c r="T61289" s="8"/>
      <c r="U61289" s="8"/>
      <c r="V61289" s="8"/>
      <c r="W61289" s="8"/>
      <c r="X61289" s="8"/>
      <c r="Y61289" s="8"/>
      <c r="Z61289" s="8"/>
      <c r="AA61289" s="8"/>
    </row>
    <row r="61290" spans="1:27" x14ac:dyDescent="0.25">
      <c r="A61290" s="8"/>
      <c r="B61290" s="8"/>
      <c r="C61290" s="99"/>
      <c r="D61290" s="8"/>
      <c r="E61290" s="8"/>
      <c r="F61290" s="8"/>
      <c r="G61290" s="8"/>
      <c r="H61290" s="8"/>
      <c r="I61290" s="102"/>
      <c r="J61290" s="8"/>
      <c r="K61290" s="8"/>
      <c r="L61290" s="8"/>
      <c r="M61290" s="8"/>
      <c r="N61290" s="8"/>
      <c r="O61290" s="8"/>
      <c r="P61290" s="8"/>
      <c r="Q61290" s="8"/>
      <c r="R61290" s="103"/>
      <c r="S61290" s="8"/>
      <c r="T61290" s="8"/>
      <c r="U61290" s="8"/>
      <c r="V61290" s="8"/>
      <c r="W61290" s="8"/>
      <c r="X61290" s="8"/>
      <c r="Y61290" s="8"/>
      <c r="Z61290" s="8"/>
      <c r="AA61290" s="8"/>
    </row>
    <row r="61291" spans="1:27" x14ac:dyDescent="0.25">
      <c r="A61291" s="8"/>
      <c r="B61291" s="8"/>
      <c r="C61291" s="99"/>
      <c r="D61291" s="8"/>
      <c r="E61291" s="8"/>
      <c r="F61291" s="8"/>
      <c r="G61291" s="8"/>
      <c r="H61291" s="8"/>
      <c r="I61291" s="102"/>
      <c r="J61291" s="8"/>
      <c r="K61291" s="8"/>
      <c r="L61291" s="8"/>
      <c r="M61291" s="8"/>
      <c r="N61291" s="8"/>
      <c r="O61291" s="8"/>
      <c r="P61291" s="8"/>
      <c r="Q61291" s="8"/>
      <c r="R61291" s="103"/>
      <c r="S61291" s="8"/>
      <c r="T61291" s="8"/>
      <c r="U61291" s="8"/>
      <c r="V61291" s="8"/>
      <c r="W61291" s="8"/>
      <c r="X61291" s="8"/>
      <c r="Y61291" s="8"/>
      <c r="Z61291" s="8"/>
      <c r="AA61291" s="8"/>
    </row>
    <row r="61292" spans="1:27" x14ac:dyDescent="0.25">
      <c r="A61292" s="8"/>
      <c r="B61292" s="8"/>
      <c r="C61292" s="99"/>
      <c r="D61292" s="8"/>
      <c r="E61292" s="8"/>
      <c r="F61292" s="8"/>
      <c r="G61292" s="8"/>
      <c r="H61292" s="8"/>
      <c r="I61292" s="102"/>
      <c r="J61292" s="8"/>
      <c r="K61292" s="8"/>
      <c r="L61292" s="8"/>
      <c r="M61292" s="8"/>
      <c r="N61292" s="8"/>
      <c r="O61292" s="8"/>
      <c r="P61292" s="8"/>
      <c r="Q61292" s="8"/>
      <c r="R61292" s="103"/>
      <c r="S61292" s="8"/>
      <c r="T61292" s="8"/>
      <c r="U61292" s="8"/>
      <c r="V61292" s="8"/>
      <c r="W61292" s="8"/>
      <c r="X61292" s="8"/>
      <c r="Y61292" s="8"/>
      <c r="Z61292" s="8"/>
      <c r="AA61292" s="8"/>
    </row>
    <row r="61293" spans="1:27" x14ac:dyDescent="0.25">
      <c r="A61293" s="8"/>
      <c r="B61293" s="8"/>
      <c r="C61293" s="99"/>
      <c r="D61293" s="8"/>
      <c r="E61293" s="8"/>
      <c r="F61293" s="8"/>
      <c r="G61293" s="8"/>
      <c r="H61293" s="8"/>
      <c r="I61293" s="102"/>
      <c r="J61293" s="8"/>
      <c r="K61293" s="8"/>
      <c r="L61293" s="8"/>
      <c r="M61293" s="8"/>
      <c r="N61293" s="8"/>
      <c r="O61293" s="8"/>
      <c r="P61293" s="8"/>
      <c r="Q61293" s="8"/>
      <c r="R61293" s="103"/>
      <c r="S61293" s="8"/>
      <c r="T61293" s="8"/>
      <c r="U61293" s="8"/>
      <c r="V61293" s="8"/>
      <c r="W61293" s="8"/>
      <c r="X61293" s="8"/>
      <c r="Y61293" s="8"/>
      <c r="Z61293" s="8"/>
      <c r="AA61293" s="8"/>
    </row>
    <row r="61294" spans="1:27" x14ac:dyDescent="0.25">
      <c r="A61294" s="8"/>
      <c r="B61294" s="8"/>
      <c r="C61294" s="99"/>
      <c r="D61294" s="8"/>
      <c r="E61294" s="8"/>
      <c r="F61294" s="8"/>
      <c r="G61294" s="8"/>
      <c r="H61294" s="8"/>
      <c r="I61294" s="102"/>
      <c r="J61294" s="8"/>
      <c r="K61294" s="8"/>
      <c r="L61294" s="8"/>
      <c r="M61294" s="8"/>
      <c r="N61294" s="8"/>
      <c r="O61294" s="8"/>
      <c r="P61294" s="8"/>
      <c r="Q61294" s="8"/>
      <c r="R61294" s="103"/>
      <c r="S61294" s="8"/>
      <c r="T61294" s="8"/>
      <c r="U61294" s="8"/>
      <c r="V61294" s="8"/>
      <c r="W61294" s="8"/>
      <c r="X61294" s="8"/>
      <c r="Y61294" s="8"/>
      <c r="Z61294" s="8"/>
      <c r="AA61294" s="8"/>
    </row>
    <row r="61295" spans="1:27" x14ac:dyDescent="0.25">
      <c r="A61295" s="8"/>
      <c r="B61295" s="8"/>
      <c r="C61295" s="99"/>
      <c r="D61295" s="8"/>
      <c r="E61295" s="8"/>
      <c r="F61295" s="8"/>
      <c r="G61295" s="8"/>
      <c r="H61295" s="8"/>
      <c r="I61295" s="102"/>
      <c r="J61295" s="8"/>
      <c r="K61295" s="8"/>
      <c r="L61295" s="8"/>
      <c r="M61295" s="8"/>
      <c r="N61295" s="8"/>
      <c r="O61295" s="8"/>
      <c r="P61295" s="8"/>
      <c r="Q61295" s="8"/>
      <c r="R61295" s="103"/>
      <c r="S61295" s="8"/>
      <c r="T61295" s="8"/>
      <c r="U61295" s="8"/>
      <c r="V61295" s="8"/>
      <c r="W61295" s="8"/>
      <c r="X61295" s="8"/>
      <c r="Y61295" s="8"/>
      <c r="Z61295" s="8"/>
      <c r="AA61295" s="8"/>
    </row>
    <row r="61296" spans="1:27" x14ac:dyDescent="0.25">
      <c r="A61296" s="8"/>
      <c r="B61296" s="8"/>
      <c r="C61296" s="99"/>
      <c r="D61296" s="8"/>
      <c r="E61296" s="8"/>
      <c r="F61296" s="8"/>
      <c r="G61296" s="8"/>
      <c r="H61296" s="8"/>
      <c r="I61296" s="102"/>
      <c r="J61296" s="8"/>
      <c r="K61296" s="8"/>
      <c r="L61296" s="8"/>
      <c r="M61296" s="8"/>
      <c r="N61296" s="8"/>
      <c r="O61296" s="8"/>
      <c r="P61296" s="8"/>
      <c r="Q61296" s="8"/>
      <c r="R61296" s="103"/>
      <c r="S61296" s="8"/>
      <c r="T61296" s="8"/>
      <c r="U61296" s="8"/>
      <c r="V61296" s="8"/>
      <c r="W61296" s="8"/>
      <c r="X61296" s="8"/>
      <c r="Y61296" s="8"/>
      <c r="Z61296" s="8"/>
      <c r="AA61296" s="8"/>
    </row>
    <row r="61297" spans="1:27" x14ac:dyDescent="0.25">
      <c r="A61297" s="8"/>
      <c r="B61297" s="8"/>
      <c r="C61297" s="99"/>
      <c r="D61297" s="8"/>
      <c r="E61297" s="8"/>
      <c r="F61297" s="8"/>
      <c r="G61297" s="8"/>
      <c r="H61297" s="8"/>
      <c r="I61297" s="102"/>
      <c r="J61297" s="8"/>
      <c r="K61297" s="8"/>
      <c r="L61297" s="8"/>
      <c r="M61297" s="8"/>
      <c r="N61297" s="8"/>
      <c r="O61297" s="8"/>
      <c r="P61297" s="8"/>
      <c r="Q61297" s="8"/>
      <c r="R61297" s="103"/>
      <c r="S61297" s="8"/>
      <c r="T61297" s="8"/>
      <c r="U61297" s="8"/>
      <c r="V61297" s="8"/>
      <c r="W61297" s="8"/>
      <c r="X61297" s="8"/>
      <c r="Y61297" s="8"/>
      <c r="Z61297" s="8"/>
      <c r="AA61297" s="8"/>
    </row>
    <row r="61298" spans="1:27" x14ac:dyDescent="0.25">
      <c r="A61298" s="8"/>
      <c r="B61298" s="8"/>
      <c r="C61298" s="99"/>
      <c r="D61298" s="8"/>
      <c r="E61298" s="8"/>
      <c r="F61298" s="8"/>
      <c r="G61298" s="8"/>
      <c r="H61298" s="8"/>
      <c r="I61298" s="102"/>
      <c r="J61298" s="8"/>
      <c r="K61298" s="8"/>
      <c r="L61298" s="8"/>
      <c r="M61298" s="8"/>
      <c r="N61298" s="8"/>
      <c r="O61298" s="8"/>
      <c r="P61298" s="8"/>
      <c r="Q61298" s="8"/>
      <c r="R61298" s="103"/>
      <c r="S61298" s="8"/>
      <c r="T61298" s="8"/>
      <c r="U61298" s="8"/>
      <c r="V61298" s="8"/>
      <c r="W61298" s="8"/>
      <c r="X61298" s="8"/>
      <c r="Y61298" s="8"/>
      <c r="Z61298" s="8"/>
      <c r="AA61298" s="8"/>
    </row>
    <row r="61299" spans="1:27" x14ac:dyDescent="0.25">
      <c r="A61299" s="8"/>
      <c r="B61299" s="8"/>
      <c r="C61299" s="99"/>
      <c r="D61299" s="8"/>
      <c r="E61299" s="8"/>
      <c r="F61299" s="8"/>
      <c r="G61299" s="8"/>
      <c r="H61299" s="8"/>
      <c r="I61299" s="102"/>
      <c r="J61299" s="8"/>
      <c r="K61299" s="8"/>
      <c r="L61299" s="8"/>
      <c r="M61299" s="8"/>
      <c r="N61299" s="8"/>
      <c r="O61299" s="8"/>
      <c r="P61299" s="8"/>
      <c r="Q61299" s="8"/>
      <c r="R61299" s="103"/>
      <c r="S61299" s="8"/>
      <c r="T61299" s="8"/>
      <c r="U61299" s="8"/>
      <c r="V61299" s="8"/>
      <c r="W61299" s="8"/>
      <c r="X61299" s="8"/>
      <c r="Y61299" s="8"/>
      <c r="Z61299" s="8"/>
      <c r="AA61299" s="8"/>
    </row>
    <row r="61300" spans="1:27" x14ac:dyDescent="0.25">
      <c r="A61300" s="8"/>
      <c r="B61300" s="8"/>
      <c r="C61300" s="99"/>
      <c r="D61300" s="8"/>
      <c r="E61300" s="8"/>
      <c r="F61300" s="8"/>
      <c r="G61300" s="8"/>
      <c r="H61300" s="8"/>
      <c r="I61300" s="102"/>
      <c r="J61300" s="8"/>
      <c r="K61300" s="8"/>
      <c r="L61300" s="8"/>
      <c r="M61300" s="8"/>
      <c r="N61300" s="8"/>
      <c r="O61300" s="8"/>
      <c r="P61300" s="8"/>
      <c r="Q61300" s="8"/>
      <c r="R61300" s="103"/>
      <c r="S61300" s="8"/>
      <c r="T61300" s="8"/>
      <c r="U61300" s="8"/>
      <c r="V61300" s="8"/>
      <c r="W61300" s="8"/>
      <c r="X61300" s="8"/>
      <c r="Y61300" s="8"/>
      <c r="Z61300" s="8"/>
      <c r="AA61300" s="8"/>
    </row>
    <row r="61301" spans="1:27" x14ac:dyDescent="0.25">
      <c r="A61301" s="8"/>
      <c r="B61301" s="8"/>
      <c r="C61301" s="99"/>
      <c r="D61301" s="8"/>
      <c r="E61301" s="8"/>
      <c r="F61301" s="8"/>
      <c r="G61301" s="8"/>
      <c r="H61301" s="8"/>
      <c r="I61301" s="102"/>
      <c r="J61301" s="8"/>
      <c r="K61301" s="8"/>
      <c r="L61301" s="8"/>
      <c r="M61301" s="8"/>
      <c r="N61301" s="8"/>
      <c r="O61301" s="8"/>
      <c r="P61301" s="8"/>
      <c r="Q61301" s="8"/>
      <c r="R61301" s="103"/>
      <c r="S61301" s="8"/>
      <c r="T61301" s="8"/>
      <c r="U61301" s="8"/>
      <c r="V61301" s="8"/>
      <c r="W61301" s="8"/>
      <c r="X61301" s="8"/>
      <c r="Y61301" s="8"/>
      <c r="Z61301" s="8"/>
      <c r="AA61301" s="8"/>
    </row>
    <row r="61302" spans="1:27" x14ac:dyDescent="0.25">
      <c r="A61302" s="8"/>
      <c r="B61302" s="8"/>
      <c r="C61302" s="99"/>
      <c r="D61302" s="8"/>
      <c r="E61302" s="8"/>
      <c r="F61302" s="8"/>
      <c r="G61302" s="8"/>
      <c r="H61302" s="8"/>
      <c r="I61302" s="102"/>
      <c r="J61302" s="8"/>
      <c r="K61302" s="8"/>
      <c r="L61302" s="8"/>
      <c r="M61302" s="8"/>
      <c r="N61302" s="8"/>
      <c r="O61302" s="8"/>
      <c r="P61302" s="8"/>
      <c r="Q61302" s="8"/>
      <c r="R61302" s="103"/>
      <c r="S61302" s="8"/>
      <c r="T61302" s="8"/>
      <c r="U61302" s="8"/>
      <c r="V61302" s="8"/>
      <c r="W61302" s="8"/>
      <c r="X61302" s="8"/>
      <c r="Y61302" s="8"/>
      <c r="Z61302" s="8"/>
      <c r="AA61302" s="8"/>
    </row>
    <row r="61303" spans="1:27" x14ac:dyDescent="0.25">
      <c r="A61303" s="8"/>
      <c r="B61303" s="8"/>
      <c r="C61303" s="99"/>
      <c r="D61303" s="8"/>
      <c r="E61303" s="8"/>
      <c r="F61303" s="8"/>
      <c r="G61303" s="8"/>
      <c r="H61303" s="8"/>
      <c r="I61303" s="102"/>
      <c r="J61303" s="8"/>
      <c r="K61303" s="8"/>
      <c r="L61303" s="8"/>
      <c r="M61303" s="8"/>
      <c r="N61303" s="8"/>
      <c r="O61303" s="8"/>
      <c r="P61303" s="8"/>
      <c r="Q61303" s="8"/>
      <c r="R61303" s="103"/>
      <c r="S61303" s="8"/>
      <c r="T61303" s="8"/>
      <c r="U61303" s="8"/>
      <c r="V61303" s="8"/>
      <c r="W61303" s="8"/>
      <c r="X61303" s="8"/>
      <c r="Y61303" s="8"/>
      <c r="Z61303" s="8"/>
      <c r="AA61303" s="8"/>
    </row>
    <row r="61304" spans="1:27" x14ac:dyDescent="0.25">
      <c r="A61304" s="8"/>
      <c r="B61304" s="8"/>
      <c r="C61304" s="99"/>
      <c r="D61304" s="8"/>
      <c r="E61304" s="8"/>
      <c r="F61304" s="8"/>
      <c r="G61304" s="8"/>
      <c r="H61304" s="8"/>
      <c r="I61304" s="102"/>
      <c r="J61304" s="8"/>
      <c r="K61304" s="8"/>
      <c r="L61304" s="8"/>
      <c r="M61304" s="8"/>
      <c r="N61304" s="8"/>
      <c r="O61304" s="8"/>
      <c r="P61304" s="8"/>
      <c r="Q61304" s="8"/>
      <c r="R61304" s="103"/>
      <c r="S61304" s="8"/>
      <c r="T61304" s="8"/>
      <c r="U61304" s="8"/>
      <c r="V61304" s="8"/>
      <c r="W61304" s="8"/>
      <c r="X61304" s="8"/>
      <c r="Y61304" s="8"/>
      <c r="Z61304" s="8"/>
      <c r="AA61304" s="8"/>
    </row>
    <row r="61305" spans="1:27" x14ac:dyDescent="0.25">
      <c r="A61305" s="8"/>
      <c r="B61305" s="8"/>
      <c r="C61305" s="99"/>
      <c r="D61305" s="8"/>
      <c r="E61305" s="8"/>
      <c r="F61305" s="8"/>
      <c r="G61305" s="8"/>
      <c r="H61305" s="8"/>
      <c r="I61305" s="102"/>
      <c r="J61305" s="8"/>
      <c r="K61305" s="8"/>
      <c r="L61305" s="8"/>
      <c r="M61305" s="8"/>
      <c r="N61305" s="8"/>
      <c r="O61305" s="8"/>
      <c r="P61305" s="8"/>
      <c r="Q61305" s="8"/>
      <c r="R61305" s="103"/>
      <c r="S61305" s="8"/>
      <c r="T61305" s="8"/>
      <c r="U61305" s="8"/>
      <c r="V61305" s="8"/>
      <c r="W61305" s="8"/>
      <c r="X61305" s="8"/>
      <c r="Y61305" s="8"/>
      <c r="Z61305" s="8"/>
      <c r="AA61305" s="8"/>
    </row>
    <row r="61306" spans="1:27" x14ac:dyDescent="0.25">
      <c r="A61306" s="8"/>
      <c r="B61306" s="8"/>
      <c r="C61306" s="99"/>
      <c r="D61306" s="8"/>
      <c r="E61306" s="8"/>
      <c r="F61306" s="8"/>
      <c r="G61306" s="8"/>
      <c r="H61306" s="8"/>
      <c r="I61306" s="102"/>
      <c r="J61306" s="8"/>
      <c r="K61306" s="8"/>
      <c r="L61306" s="8"/>
      <c r="M61306" s="8"/>
      <c r="N61306" s="8"/>
      <c r="O61306" s="8"/>
      <c r="P61306" s="8"/>
      <c r="Q61306" s="8"/>
      <c r="R61306" s="103"/>
      <c r="S61306" s="8"/>
      <c r="T61306" s="8"/>
      <c r="U61306" s="8"/>
      <c r="V61306" s="8"/>
      <c r="W61306" s="8"/>
      <c r="X61306" s="8"/>
      <c r="Y61306" s="8"/>
      <c r="Z61306" s="8"/>
      <c r="AA61306" s="8"/>
    </row>
    <row r="61307" spans="1:27" x14ac:dyDescent="0.25">
      <c r="A61307" s="8"/>
      <c r="B61307" s="8"/>
      <c r="C61307" s="99"/>
      <c r="D61307" s="8"/>
      <c r="E61307" s="8"/>
      <c r="F61307" s="8"/>
      <c r="G61307" s="8"/>
      <c r="H61307" s="8"/>
      <c r="I61307" s="102"/>
      <c r="J61307" s="8"/>
      <c r="K61307" s="8"/>
      <c r="L61307" s="8"/>
      <c r="M61307" s="8"/>
      <c r="N61307" s="8"/>
      <c r="O61307" s="8"/>
      <c r="P61307" s="8"/>
      <c r="Q61307" s="8"/>
      <c r="R61307" s="103"/>
      <c r="S61307" s="8"/>
      <c r="T61307" s="8"/>
      <c r="U61307" s="8"/>
      <c r="V61307" s="8"/>
      <c r="W61307" s="8"/>
      <c r="X61307" s="8"/>
      <c r="Y61307" s="8"/>
      <c r="Z61307" s="8"/>
      <c r="AA61307" s="8"/>
    </row>
    <row r="61308" spans="1:27" x14ac:dyDescent="0.25">
      <c r="A61308" s="8"/>
      <c r="B61308" s="8"/>
      <c r="C61308" s="99"/>
      <c r="D61308" s="8"/>
      <c r="E61308" s="8"/>
      <c r="F61308" s="8"/>
      <c r="G61308" s="8"/>
      <c r="H61308" s="8"/>
      <c r="I61308" s="102"/>
      <c r="J61308" s="8"/>
      <c r="K61308" s="8"/>
      <c r="L61308" s="8"/>
      <c r="M61308" s="8"/>
      <c r="N61308" s="8"/>
      <c r="O61308" s="8"/>
      <c r="P61308" s="8"/>
      <c r="Q61308" s="8"/>
      <c r="R61308" s="103"/>
      <c r="S61308" s="8"/>
      <c r="T61308" s="8"/>
      <c r="U61308" s="8"/>
      <c r="V61308" s="8"/>
      <c r="W61308" s="8"/>
      <c r="X61308" s="8"/>
      <c r="Y61308" s="8"/>
      <c r="Z61308" s="8"/>
      <c r="AA61308" s="8"/>
    </row>
    <row r="61309" spans="1:27" x14ac:dyDescent="0.25">
      <c r="A61309" s="8"/>
      <c r="B61309" s="8"/>
      <c r="C61309" s="99"/>
      <c r="D61309" s="8"/>
      <c r="E61309" s="8"/>
      <c r="F61309" s="8"/>
      <c r="G61309" s="8"/>
      <c r="H61309" s="8"/>
      <c r="I61309" s="102"/>
      <c r="J61309" s="8"/>
      <c r="K61309" s="8"/>
      <c r="L61309" s="8"/>
      <c r="M61309" s="8"/>
      <c r="N61309" s="8"/>
      <c r="O61309" s="8"/>
      <c r="P61309" s="8"/>
      <c r="Q61309" s="8"/>
      <c r="R61309" s="103"/>
      <c r="S61309" s="8"/>
      <c r="T61309" s="8"/>
      <c r="U61309" s="8"/>
      <c r="V61309" s="8"/>
      <c r="W61309" s="8"/>
      <c r="X61309" s="8"/>
      <c r="Y61309" s="8"/>
      <c r="Z61309" s="8"/>
      <c r="AA61309" s="8"/>
    </row>
    <row r="61310" spans="1:27" x14ac:dyDescent="0.25">
      <c r="A61310" s="8"/>
      <c r="B61310" s="8"/>
      <c r="C61310" s="99"/>
      <c r="D61310" s="8"/>
      <c r="E61310" s="8"/>
      <c r="F61310" s="8"/>
      <c r="G61310" s="8"/>
      <c r="H61310" s="8"/>
      <c r="I61310" s="102"/>
      <c r="J61310" s="8"/>
      <c r="K61310" s="8"/>
      <c r="L61310" s="8"/>
      <c r="M61310" s="8"/>
      <c r="N61310" s="8"/>
      <c r="O61310" s="8"/>
      <c r="P61310" s="8"/>
      <c r="Q61310" s="8"/>
      <c r="R61310" s="103"/>
      <c r="S61310" s="8"/>
      <c r="T61310" s="8"/>
      <c r="U61310" s="8"/>
      <c r="V61310" s="8"/>
      <c r="W61310" s="8"/>
      <c r="X61310" s="8"/>
      <c r="Y61310" s="8"/>
      <c r="Z61310" s="8"/>
      <c r="AA61310" s="8"/>
    </row>
    <row r="61311" spans="1:27" x14ac:dyDescent="0.25">
      <c r="A61311" s="8"/>
      <c r="B61311" s="8"/>
      <c r="C61311" s="99"/>
      <c r="D61311" s="8"/>
      <c r="E61311" s="8"/>
      <c r="F61311" s="8"/>
      <c r="G61311" s="8"/>
      <c r="H61311" s="8"/>
      <c r="I61311" s="102"/>
      <c r="J61311" s="8"/>
      <c r="K61311" s="8"/>
      <c r="L61311" s="8"/>
      <c r="M61311" s="8"/>
      <c r="N61311" s="8"/>
      <c r="O61311" s="8"/>
      <c r="P61311" s="8"/>
      <c r="Q61311" s="8"/>
      <c r="R61311" s="103"/>
      <c r="S61311" s="8"/>
      <c r="T61311" s="8"/>
      <c r="U61311" s="8"/>
      <c r="V61311" s="8"/>
      <c r="W61311" s="8"/>
      <c r="X61311" s="8"/>
      <c r="Y61311" s="8"/>
      <c r="Z61311" s="8"/>
      <c r="AA61311" s="8"/>
    </row>
    <row r="61312" spans="1:27" x14ac:dyDescent="0.25">
      <c r="A61312" s="8"/>
      <c r="B61312" s="8"/>
      <c r="C61312" s="99"/>
      <c r="D61312" s="8"/>
      <c r="E61312" s="8"/>
      <c r="F61312" s="8"/>
      <c r="G61312" s="8"/>
      <c r="H61312" s="8"/>
      <c r="I61312" s="102"/>
      <c r="J61312" s="8"/>
      <c r="K61312" s="8"/>
      <c r="L61312" s="8"/>
      <c r="M61312" s="8"/>
      <c r="N61312" s="8"/>
      <c r="O61312" s="8"/>
      <c r="P61312" s="8"/>
      <c r="Q61312" s="8"/>
      <c r="R61312" s="103"/>
      <c r="S61312" s="8"/>
      <c r="T61312" s="8"/>
      <c r="U61312" s="8"/>
      <c r="V61312" s="8"/>
      <c r="W61312" s="8"/>
      <c r="X61312" s="8"/>
      <c r="Y61312" s="8"/>
      <c r="Z61312" s="8"/>
      <c r="AA61312" s="8"/>
    </row>
    <row r="61313" spans="1:27" x14ac:dyDescent="0.25">
      <c r="A61313" s="8"/>
      <c r="B61313" s="8"/>
      <c r="C61313" s="99"/>
      <c r="D61313" s="8"/>
      <c r="E61313" s="8"/>
      <c r="F61313" s="8"/>
      <c r="G61313" s="8"/>
      <c r="H61313" s="8"/>
      <c r="I61313" s="102"/>
      <c r="J61313" s="8"/>
      <c r="K61313" s="8"/>
      <c r="L61313" s="8"/>
      <c r="M61313" s="8"/>
      <c r="N61313" s="8"/>
      <c r="O61313" s="8"/>
      <c r="P61313" s="8"/>
      <c r="Q61313" s="8"/>
      <c r="R61313" s="103"/>
      <c r="S61313" s="8"/>
      <c r="T61313" s="8"/>
      <c r="U61313" s="8"/>
      <c r="V61313" s="8"/>
      <c r="W61313" s="8"/>
      <c r="X61313" s="8"/>
      <c r="Y61313" s="8"/>
      <c r="Z61313" s="8"/>
      <c r="AA61313" s="8"/>
    </row>
    <row r="61314" spans="1:27" x14ac:dyDescent="0.25">
      <c r="A61314" s="8"/>
      <c r="B61314" s="8"/>
      <c r="C61314" s="99"/>
      <c r="D61314" s="8"/>
      <c r="E61314" s="8"/>
      <c r="F61314" s="8"/>
      <c r="G61314" s="8"/>
      <c r="H61314" s="8"/>
      <c r="I61314" s="102"/>
      <c r="J61314" s="8"/>
      <c r="K61314" s="8"/>
      <c r="L61314" s="8"/>
      <c r="M61314" s="8"/>
      <c r="N61314" s="8"/>
      <c r="O61314" s="8"/>
      <c r="P61314" s="8"/>
      <c r="Q61314" s="8"/>
      <c r="R61314" s="103"/>
      <c r="S61314" s="8"/>
      <c r="T61314" s="8"/>
      <c r="U61314" s="8"/>
      <c r="V61314" s="8"/>
      <c r="W61314" s="8"/>
      <c r="X61314" s="8"/>
      <c r="Y61314" s="8"/>
      <c r="Z61314" s="8"/>
      <c r="AA61314" s="8"/>
    </row>
    <row r="61315" spans="1:27" x14ac:dyDescent="0.25">
      <c r="A61315" s="8"/>
      <c r="B61315" s="8"/>
      <c r="C61315" s="99"/>
      <c r="D61315" s="8"/>
      <c r="E61315" s="8"/>
      <c r="F61315" s="8"/>
      <c r="G61315" s="8"/>
      <c r="H61315" s="8"/>
      <c r="I61315" s="102"/>
      <c r="J61315" s="8"/>
      <c r="K61315" s="8"/>
      <c r="L61315" s="8"/>
      <c r="M61315" s="8"/>
      <c r="N61315" s="8"/>
      <c r="O61315" s="8"/>
      <c r="P61315" s="8"/>
      <c r="Q61315" s="8"/>
      <c r="R61315" s="103"/>
      <c r="S61315" s="8"/>
      <c r="T61315" s="8"/>
      <c r="U61315" s="8"/>
      <c r="V61315" s="8"/>
      <c r="W61315" s="8"/>
      <c r="X61315" s="8"/>
      <c r="Y61315" s="8"/>
      <c r="Z61315" s="8"/>
      <c r="AA61315" s="8"/>
    </row>
    <row r="61316" spans="1:27" x14ac:dyDescent="0.25">
      <c r="A61316" s="8"/>
      <c r="B61316" s="8"/>
      <c r="C61316" s="99"/>
      <c r="D61316" s="8"/>
      <c r="E61316" s="8"/>
      <c r="F61316" s="8"/>
      <c r="G61316" s="8"/>
      <c r="H61316" s="8"/>
      <c r="I61316" s="102"/>
      <c r="J61316" s="8"/>
      <c r="K61316" s="8"/>
      <c r="L61316" s="8"/>
      <c r="M61316" s="8"/>
      <c r="N61316" s="8"/>
      <c r="O61316" s="8"/>
      <c r="P61316" s="8"/>
      <c r="Q61316" s="8"/>
      <c r="R61316" s="103"/>
      <c r="S61316" s="8"/>
      <c r="T61316" s="8"/>
      <c r="U61316" s="8"/>
      <c r="V61316" s="8"/>
      <c r="W61316" s="8"/>
      <c r="X61316" s="8"/>
      <c r="Y61316" s="8"/>
      <c r="Z61316" s="8"/>
      <c r="AA61316" s="8"/>
    </row>
    <row r="61317" spans="1:27" x14ac:dyDescent="0.25">
      <c r="A61317" s="8"/>
      <c r="B61317" s="8"/>
      <c r="C61317" s="99"/>
      <c r="D61317" s="8"/>
      <c r="E61317" s="8"/>
      <c r="F61317" s="8"/>
      <c r="G61317" s="8"/>
      <c r="H61317" s="8"/>
      <c r="I61317" s="102"/>
      <c r="J61317" s="8"/>
      <c r="K61317" s="8"/>
      <c r="L61317" s="8"/>
      <c r="M61317" s="8"/>
      <c r="N61317" s="8"/>
      <c r="O61317" s="8"/>
      <c r="P61317" s="8"/>
      <c r="Q61317" s="8"/>
      <c r="R61317" s="103"/>
      <c r="S61317" s="8"/>
      <c r="T61317" s="8"/>
      <c r="U61317" s="8"/>
      <c r="V61317" s="8"/>
      <c r="W61317" s="8"/>
      <c r="X61317" s="8"/>
      <c r="Y61317" s="8"/>
      <c r="Z61317" s="8"/>
      <c r="AA61317" s="8"/>
    </row>
    <row r="61318" spans="1:27" x14ac:dyDescent="0.25">
      <c r="A61318" s="8"/>
      <c r="B61318" s="8"/>
      <c r="C61318" s="99"/>
      <c r="D61318" s="8"/>
      <c r="E61318" s="8"/>
      <c r="F61318" s="8"/>
      <c r="G61318" s="8"/>
      <c r="H61318" s="8"/>
      <c r="I61318" s="102"/>
      <c r="J61318" s="8"/>
      <c r="K61318" s="8"/>
      <c r="L61318" s="8"/>
      <c r="M61318" s="8"/>
      <c r="N61318" s="8"/>
      <c r="O61318" s="8"/>
      <c r="P61318" s="8"/>
      <c r="Q61318" s="8"/>
      <c r="R61318" s="103"/>
      <c r="S61318" s="8"/>
      <c r="T61318" s="8"/>
      <c r="U61318" s="8"/>
      <c r="V61318" s="8"/>
      <c r="W61318" s="8"/>
      <c r="X61318" s="8"/>
      <c r="Y61318" s="8"/>
      <c r="Z61318" s="8"/>
      <c r="AA61318" s="8"/>
    </row>
    <row r="61319" spans="1:27" x14ac:dyDescent="0.25">
      <c r="A61319" s="8"/>
      <c r="B61319" s="8"/>
      <c r="C61319" s="99"/>
      <c r="D61319" s="8"/>
      <c r="E61319" s="8"/>
      <c r="F61319" s="8"/>
      <c r="G61319" s="8"/>
      <c r="H61319" s="8"/>
      <c r="I61319" s="102"/>
      <c r="J61319" s="8"/>
      <c r="K61319" s="8"/>
      <c r="L61319" s="8"/>
      <c r="M61319" s="8"/>
      <c r="N61319" s="8"/>
      <c r="O61319" s="8"/>
      <c r="P61319" s="8"/>
      <c r="Q61319" s="8"/>
      <c r="R61319" s="103"/>
      <c r="S61319" s="8"/>
      <c r="T61319" s="8"/>
      <c r="U61319" s="8"/>
      <c r="V61319" s="8"/>
      <c r="W61319" s="8"/>
      <c r="X61319" s="8"/>
      <c r="Y61319" s="8"/>
      <c r="Z61319" s="8"/>
      <c r="AA61319" s="8"/>
    </row>
    <row r="61320" spans="1:27" x14ac:dyDescent="0.25">
      <c r="A61320" s="8"/>
      <c r="B61320" s="8"/>
      <c r="C61320" s="99"/>
      <c r="D61320" s="8"/>
      <c r="E61320" s="8"/>
      <c r="F61320" s="8"/>
      <c r="G61320" s="8"/>
      <c r="H61320" s="8"/>
      <c r="I61320" s="102"/>
      <c r="J61320" s="8"/>
      <c r="K61320" s="8"/>
      <c r="L61320" s="8"/>
      <c r="M61320" s="8"/>
      <c r="N61320" s="8"/>
      <c r="O61320" s="8"/>
      <c r="P61320" s="8"/>
      <c r="Q61320" s="8"/>
      <c r="R61320" s="103"/>
      <c r="S61320" s="8"/>
      <c r="T61320" s="8"/>
      <c r="U61320" s="8"/>
      <c r="V61320" s="8"/>
      <c r="W61320" s="8"/>
      <c r="X61320" s="8"/>
      <c r="Y61320" s="8"/>
      <c r="Z61320" s="8"/>
      <c r="AA61320" s="8"/>
    </row>
    <row r="61321" spans="1:27" x14ac:dyDescent="0.25">
      <c r="A61321" s="8"/>
      <c r="B61321" s="8"/>
      <c r="C61321" s="99"/>
      <c r="D61321" s="8"/>
      <c r="E61321" s="8"/>
      <c r="F61321" s="8"/>
      <c r="G61321" s="8"/>
      <c r="H61321" s="8"/>
      <c r="I61321" s="102"/>
      <c r="J61321" s="8"/>
      <c r="K61321" s="8"/>
      <c r="L61321" s="8"/>
      <c r="M61321" s="8"/>
      <c r="N61321" s="8"/>
      <c r="O61321" s="8"/>
      <c r="P61321" s="8"/>
      <c r="Q61321" s="8"/>
      <c r="R61321" s="103"/>
      <c r="S61321" s="8"/>
      <c r="T61321" s="8"/>
      <c r="U61321" s="8"/>
      <c r="V61321" s="8"/>
      <c r="W61321" s="8"/>
      <c r="X61321" s="8"/>
      <c r="Y61321" s="8"/>
      <c r="Z61321" s="8"/>
      <c r="AA61321" s="8"/>
    </row>
    <row r="61322" spans="1:27" x14ac:dyDescent="0.25">
      <c r="A61322" s="8"/>
      <c r="B61322" s="8"/>
      <c r="C61322" s="99"/>
      <c r="D61322" s="8"/>
      <c r="E61322" s="8"/>
      <c r="F61322" s="8"/>
      <c r="G61322" s="8"/>
      <c r="H61322" s="8"/>
      <c r="I61322" s="102"/>
      <c r="J61322" s="8"/>
      <c r="K61322" s="8"/>
      <c r="L61322" s="8"/>
      <c r="M61322" s="8"/>
      <c r="N61322" s="8"/>
      <c r="O61322" s="8"/>
      <c r="P61322" s="8"/>
      <c r="Q61322" s="8"/>
      <c r="R61322" s="103"/>
      <c r="S61322" s="8"/>
      <c r="T61322" s="8"/>
      <c r="U61322" s="8"/>
      <c r="V61322" s="8"/>
      <c r="W61322" s="8"/>
      <c r="X61322" s="8"/>
      <c r="Y61322" s="8"/>
      <c r="Z61322" s="8"/>
      <c r="AA61322" s="8"/>
    </row>
    <row r="61323" spans="1:27" x14ac:dyDescent="0.25">
      <c r="A61323" s="8"/>
      <c r="B61323" s="8"/>
      <c r="C61323" s="99"/>
      <c r="D61323" s="8"/>
      <c r="E61323" s="8"/>
      <c r="F61323" s="8"/>
      <c r="G61323" s="8"/>
      <c r="H61323" s="8"/>
      <c r="I61323" s="102"/>
      <c r="J61323" s="8"/>
      <c r="K61323" s="8"/>
      <c r="L61323" s="8"/>
      <c r="M61323" s="8"/>
      <c r="N61323" s="8"/>
      <c r="O61323" s="8"/>
      <c r="P61323" s="8"/>
      <c r="Q61323" s="8"/>
      <c r="R61323" s="103"/>
      <c r="S61323" s="8"/>
      <c r="T61323" s="8"/>
      <c r="U61323" s="8"/>
      <c r="V61323" s="8"/>
      <c r="W61323" s="8"/>
      <c r="X61323" s="8"/>
      <c r="Y61323" s="8"/>
      <c r="Z61323" s="8"/>
      <c r="AA61323" s="8"/>
    </row>
    <row r="61324" spans="1:27" x14ac:dyDescent="0.25">
      <c r="A61324" s="8"/>
      <c r="B61324" s="8"/>
      <c r="C61324" s="99"/>
      <c r="D61324" s="8"/>
      <c r="E61324" s="8"/>
      <c r="F61324" s="8"/>
      <c r="G61324" s="8"/>
      <c r="H61324" s="8"/>
      <c r="I61324" s="102"/>
      <c r="J61324" s="8"/>
      <c r="K61324" s="8"/>
      <c r="L61324" s="8"/>
      <c r="M61324" s="8"/>
      <c r="N61324" s="8"/>
      <c r="O61324" s="8"/>
      <c r="P61324" s="8"/>
      <c r="Q61324" s="8"/>
      <c r="R61324" s="103"/>
      <c r="S61324" s="8"/>
      <c r="T61324" s="8"/>
      <c r="U61324" s="8"/>
      <c r="V61324" s="8"/>
      <c r="W61324" s="8"/>
      <c r="X61324" s="8"/>
      <c r="Y61324" s="8"/>
      <c r="Z61324" s="8"/>
      <c r="AA61324" s="8"/>
    </row>
    <row r="61325" spans="1:27" x14ac:dyDescent="0.25">
      <c r="A61325" s="8"/>
      <c r="B61325" s="8"/>
      <c r="C61325" s="99"/>
      <c r="D61325" s="8"/>
      <c r="E61325" s="8"/>
      <c r="F61325" s="8"/>
      <c r="G61325" s="8"/>
      <c r="H61325" s="8"/>
      <c r="I61325" s="102"/>
      <c r="J61325" s="8"/>
      <c r="K61325" s="8"/>
      <c r="L61325" s="8"/>
      <c r="M61325" s="8"/>
      <c r="N61325" s="8"/>
      <c r="O61325" s="8"/>
      <c r="P61325" s="8"/>
      <c r="Q61325" s="8"/>
      <c r="R61325" s="103"/>
      <c r="S61325" s="8"/>
      <c r="T61325" s="8"/>
      <c r="U61325" s="8"/>
      <c r="V61325" s="8"/>
      <c r="W61325" s="8"/>
      <c r="X61325" s="8"/>
      <c r="Y61325" s="8"/>
      <c r="Z61325" s="8"/>
      <c r="AA61325" s="8"/>
    </row>
    <row r="61326" spans="1:27" x14ac:dyDescent="0.25">
      <c r="A61326" s="8"/>
      <c r="B61326" s="8"/>
      <c r="C61326" s="99"/>
      <c r="D61326" s="8"/>
      <c r="E61326" s="8"/>
      <c r="F61326" s="8"/>
      <c r="G61326" s="8"/>
      <c r="H61326" s="8"/>
      <c r="I61326" s="102"/>
      <c r="J61326" s="8"/>
      <c r="K61326" s="8"/>
      <c r="L61326" s="8"/>
      <c r="M61326" s="8"/>
      <c r="N61326" s="8"/>
      <c r="O61326" s="8"/>
      <c r="P61326" s="8"/>
      <c r="Q61326" s="8"/>
      <c r="R61326" s="103"/>
      <c r="S61326" s="8"/>
      <c r="T61326" s="8"/>
      <c r="U61326" s="8"/>
      <c r="V61326" s="8"/>
      <c r="W61326" s="8"/>
      <c r="X61326" s="8"/>
      <c r="Y61326" s="8"/>
      <c r="Z61326" s="8"/>
      <c r="AA61326" s="8"/>
    </row>
    <row r="61327" spans="1:27" x14ac:dyDescent="0.25">
      <c r="A61327" s="8"/>
      <c r="B61327" s="8"/>
      <c r="C61327" s="99"/>
      <c r="D61327" s="8"/>
      <c r="E61327" s="8"/>
      <c r="F61327" s="8"/>
      <c r="G61327" s="8"/>
      <c r="H61327" s="8"/>
      <c r="I61327" s="102"/>
      <c r="J61327" s="8"/>
      <c r="K61327" s="8"/>
      <c r="L61327" s="8"/>
      <c r="M61327" s="8"/>
      <c r="N61327" s="8"/>
      <c r="O61327" s="8"/>
      <c r="P61327" s="8"/>
      <c r="Q61327" s="8"/>
      <c r="R61327" s="103"/>
      <c r="S61327" s="8"/>
      <c r="T61327" s="8"/>
      <c r="U61327" s="8"/>
      <c r="V61327" s="8"/>
      <c r="W61327" s="8"/>
      <c r="X61327" s="8"/>
      <c r="Y61327" s="8"/>
      <c r="Z61327" s="8"/>
      <c r="AA61327" s="8"/>
    </row>
    <row r="61328" spans="1:27" x14ac:dyDescent="0.25">
      <c r="A61328" s="8"/>
      <c r="B61328" s="8"/>
      <c r="C61328" s="99"/>
      <c r="D61328" s="8"/>
      <c r="E61328" s="8"/>
      <c r="F61328" s="8"/>
      <c r="G61328" s="8"/>
      <c r="H61328" s="8"/>
      <c r="I61328" s="102"/>
      <c r="J61328" s="8"/>
      <c r="K61328" s="8"/>
      <c r="L61328" s="8"/>
      <c r="M61328" s="8"/>
      <c r="N61328" s="8"/>
      <c r="O61328" s="8"/>
      <c r="P61328" s="8"/>
      <c r="Q61328" s="8"/>
      <c r="R61328" s="103"/>
      <c r="S61328" s="8"/>
      <c r="T61328" s="8"/>
      <c r="U61328" s="8"/>
      <c r="V61328" s="8"/>
      <c r="W61328" s="8"/>
      <c r="X61328" s="8"/>
      <c r="Y61328" s="8"/>
      <c r="Z61328" s="8"/>
      <c r="AA61328" s="8"/>
    </row>
    <row r="61329" spans="1:27" x14ac:dyDescent="0.25">
      <c r="A61329" s="8"/>
      <c r="B61329" s="8"/>
      <c r="C61329" s="99"/>
      <c r="D61329" s="8"/>
      <c r="E61329" s="8"/>
      <c r="F61329" s="8"/>
      <c r="G61329" s="8"/>
      <c r="H61329" s="8"/>
      <c r="I61329" s="102"/>
      <c r="J61329" s="8"/>
      <c r="K61329" s="8"/>
      <c r="L61329" s="8"/>
      <c r="M61329" s="8"/>
      <c r="N61329" s="8"/>
      <c r="O61329" s="8"/>
      <c r="P61329" s="8"/>
      <c r="Q61329" s="8"/>
      <c r="R61329" s="103"/>
      <c r="S61329" s="8"/>
      <c r="T61329" s="8"/>
      <c r="U61329" s="8"/>
      <c r="V61329" s="8"/>
      <c r="W61329" s="8"/>
      <c r="X61329" s="8"/>
      <c r="Y61329" s="8"/>
      <c r="Z61329" s="8"/>
      <c r="AA61329" s="8"/>
    </row>
    <row r="61330" spans="1:27" x14ac:dyDescent="0.25">
      <c r="A61330" s="8"/>
      <c r="B61330" s="8"/>
      <c r="C61330" s="99"/>
      <c r="D61330" s="8"/>
      <c r="E61330" s="8"/>
      <c r="F61330" s="8"/>
      <c r="G61330" s="8"/>
      <c r="H61330" s="8"/>
      <c r="I61330" s="102"/>
      <c r="J61330" s="8"/>
      <c r="K61330" s="8"/>
      <c r="L61330" s="8"/>
      <c r="M61330" s="8"/>
      <c r="N61330" s="8"/>
      <c r="O61330" s="8"/>
      <c r="P61330" s="8"/>
      <c r="Q61330" s="8"/>
      <c r="R61330" s="103"/>
      <c r="S61330" s="8"/>
      <c r="T61330" s="8"/>
      <c r="U61330" s="8"/>
      <c r="V61330" s="8"/>
      <c r="W61330" s="8"/>
      <c r="X61330" s="8"/>
      <c r="Y61330" s="8"/>
      <c r="Z61330" s="8"/>
      <c r="AA61330" s="8"/>
    </row>
    <row r="61331" spans="1:27" x14ac:dyDescent="0.25">
      <c r="A61331" s="8"/>
      <c r="B61331" s="8"/>
      <c r="C61331" s="99"/>
      <c r="D61331" s="8"/>
      <c r="E61331" s="8"/>
      <c r="F61331" s="8"/>
      <c r="G61331" s="8"/>
      <c r="H61331" s="8"/>
      <c r="I61331" s="102"/>
      <c r="J61331" s="8"/>
      <c r="K61331" s="8"/>
      <c r="L61331" s="8"/>
      <c r="M61331" s="8"/>
      <c r="N61331" s="8"/>
      <c r="O61331" s="8"/>
      <c r="P61331" s="8"/>
      <c r="Q61331" s="8"/>
      <c r="R61331" s="103"/>
      <c r="S61331" s="8"/>
      <c r="T61331" s="8"/>
      <c r="U61331" s="8"/>
      <c r="V61331" s="8"/>
      <c r="W61331" s="8"/>
      <c r="X61331" s="8"/>
      <c r="Y61331" s="8"/>
      <c r="Z61331" s="8"/>
      <c r="AA61331" s="8"/>
    </row>
    <row r="61332" spans="1:27" x14ac:dyDescent="0.25">
      <c r="A61332" s="8"/>
      <c r="B61332" s="8"/>
      <c r="C61332" s="99"/>
      <c r="D61332" s="8"/>
      <c r="E61332" s="8"/>
      <c r="F61332" s="8"/>
      <c r="G61332" s="8"/>
      <c r="H61332" s="8"/>
      <c r="I61332" s="102"/>
      <c r="J61332" s="8"/>
      <c r="K61332" s="8"/>
      <c r="L61332" s="8"/>
      <c r="M61332" s="8"/>
      <c r="N61332" s="8"/>
      <c r="O61332" s="8"/>
      <c r="P61332" s="8"/>
      <c r="Q61332" s="8"/>
      <c r="R61332" s="103"/>
      <c r="S61332" s="8"/>
      <c r="T61332" s="8"/>
      <c r="U61332" s="8"/>
      <c r="V61332" s="8"/>
      <c r="W61332" s="8"/>
      <c r="X61332" s="8"/>
      <c r="Y61332" s="8"/>
      <c r="Z61332" s="8"/>
      <c r="AA61332" s="8"/>
    </row>
    <row r="61333" spans="1:27" x14ac:dyDescent="0.25">
      <c r="A61333" s="8"/>
      <c r="B61333" s="8"/>
      <c r="C61333" s="99"/>
      <c r="D61333" s="8"/>
      <c r="E61333" s="8"/>
      <c r="F61333" s="8"/>
      <c r="G61333" s="8"/>
      <c r="H61333" s="8"/>
      <c r="I61333" s="102"/>
      <c r="J61333" s="8"/>
      <c r="K61333" s="8"/>
      <c r="L61333" s="8"/>
      <c r="M61333" s="8"/>
      <c r="N61333" s="8"/>
      <c r="O61333" s="8"/>
      <c r="P61333" s="8"/>
      <c r="Q61333" s="8"/>
      <c r="R61333" s="103"/>
      <c r="S61333" s="8"/>
      <c r="T61333" s="8"/>
      <c r="U61333" s="8"/>
      <c r="V61333" s="8"/>
      <c r="W61333" s="8"/>
      <c r="X61333" s="8"/>
      <c r="Y61333" s="8"/>
      <c r="Z61333" s="8"/>
      <c r="AA61333" s="8"/>
    </row>
    <row r="61334" spans="1:27" x14ac:dyDescent="0.25">
      <c r="A61334" s="8"/>
      <c r="B61334" s="8"/>
      <c r="C61334" s="99"/>
      <c r="D61334" s="8"/>
      <c r="E61334" s="8"/>
      <c r="F61334" s="8"/>
      <c r="G61334" s="8"/>
      <c r="H61334" s="8"/>
      <c r="I61334" s="102"/>
      <c r="J61334" s="8"/>
      <c r="K61334" s="8"/>
      <c r="L61334" s="8"/>
      <c r="M61334" s="8"/>
      <c r="N61334" s="8"/>
      <c r="O61334" s="8"/>
      <c r="P61334" s="8"/>
      <c r="Q61334" s="8"/>
      <c r="R61334" s="103"/>
      <c r="S61334" s="8"/>
      <c r="T61334" s="8"/>
      <c r="U61334" s="8"/>
      <c r="V61334" s="8"/>
      <c r="W61334" s="8"/>
      <c r="X61334" s="8"/>
      <c r="Y61334" s="8"/>
      <c r="Z61334" s="8"/>
      <c r="AA61334" s="8"/>
    </row>
    <row r="61335" spans="1:27" x14ac:dyDescent="0.25">
      <c r="A61335" s="8"/>
      <c r="B61335" s="8"/>
      <c r="C61335" s="99"/>
      <c r="D61335" s="8"/>
      <c r="E61335" s="8"/>
      <c r="F61335" s="8"/>
      <c r="G61335" s="8"/>
      <c r="H61335" s="8"/>
      <c r="I61335" s="102"/>
      <c r="J61335" s="8"/>
      <c r="K61335" s="8"/>
      <c r="L61335" s="8"/>
      <c r="M61335" s="8"/>
      <c r="N61335" s="8"/>
      <c r="O61335" s="8"/>
      <c r="P61335" s="8"/>
      <c r="Q61335" s="8"/>
      <c r="R61335" s="103"/>
      <c r="S61335" s="8"/>
      <c r="T61335" s="8"/>
      <c r="U61335" s="8"/>
      <c r="V61335" s="8"/>
      <c r="W61335" s="8"/>
      <c r="X61335" s="8"/>
      <c r="Y61335" s="8"/>
      <c r="Z61335" s="8"/>
      <c r="AA61335" s="8"/>
    </row>
    <row r="61336" spans="1:27" x14ac:dyDescent="0.25">
      <c r="A61336" s="8"/>
      <c r="B61336" s="8"/>
      <c r="C61336" s="99"/>
      <c r="D61336" s="8"/>
      <c r="E61336" s="8"/>
      <c r="F61336" s="8"/>
      <c r="G61336" s="8"/>
      <c r="H61336" s="8"/>
      <c r="I61336" s="102"/>
      <c r="J61336" s="8"/>
      <c r="K61336" s="8"/>
      <c r="L61336" s="8"/>
      <c r="M61336" s="8"/>
      <c r="N61336" s="8"/>
      <c r="O61336" s="8"/>
      <c r="P61336" s="8"/>
      <c r="Q61336" s="8"/>
      <c r="R61336" s="103"/>
      <c r="S61336" s="8"/>
      <c r="T61336" s="8"/>
      <c r="U61336" s="8"/>
      <c r="V61336" s="8"/>
      <c r="W61336" s="8"/>
      <c r="X61336" s="8"/>
      <c r="Y61336" s="8"/>
      <c r="Z61336" s="8"/>
      <c r="AA61336" s="8"/>
    </row>
    <row r="61337" spans="1:27" x14ac:dyDescent="0.25">
      <c r="A61337" s="8"/>
      <c r="B61337" s="8"/>
      <c r="C61337" s="99"/>
      <c r="D61337" s="8"/>
      <c r="E61337" s="8"/>
      <c r="F61337" s="8"/>
      <c r="G61337" s="8"/>
      <c r="H61337" s="8"/>
      <c r="I61337" s="102"/>
      <c r="J61337" s="8"/>
      <c r="K61337" s="8"/>
      <c r="L61337" s="8"/>
      <c r="M61337" s="8"/>
      <c r="N61337" s="8"/>
      <c r="O61337" s="8"/>
      <c r="P61337" s="8"/>
      <c r="Q61337" s="8"/>
      <c r="R61337" s="103"/>
      <c r="S61337" s="8"/>
      <c r="T61337" s="8"/>
      <c r="U61337" s="8"/>
      <c r="V61337" s="8"/>
      <c r="W61337" s="8"/>
      <c r="X61337" s="8"/>
      <c r="Y61337" s="8"/>
      <c r="Z61337" s="8"/>
      <c r="AA61337" s="8"/>
    </row>
    <row r="61338" spans="1:27" x14ac:dyDescent="0.25">
      <c r="A61338" s="8"/>
      <c r="B61338" s="8"/>
      <c r="C61338" s="99"/>
      <c r="D61338" s="8"/>
      <c r="E61338" s="8"/>
      <c r="F61338" s="8"/>
      <c r="G61338" s="8"/>
      <c r="H61338" s="8"/>
      <c r="I61338" s="102"/>
      <c r="J61338" s="8"/>
      <c r="K61338" s="8"/>
      <c r="L61338" s="8"/>
      <c r="M61338" s="8"/>
      <c r="N61338" s="8"/>
      <c r="O61338" s="8"/>
      <c r="P61338" s="8"/>
      <c r="Q61338" s="8"/>
      <c r="R61338" s="103"/>
      <c r="S61338" s="8"/>
      <c r="T61338" s="8"/>
      <c r="U61338" s="8"/>
      <c r="V61338" s="8"/>
      <c r="W61338" s="8"/>
      <c r="X61338" s="8"/>
      <c r="Y61338" s="8"/>
      <c r="Z61338" s="8"/>
      <c r="AA61338" s="8"/>
    </row>
    <row r="61339" spans="1:27" x14ac:dyDescent="0.25">
      <c r="A61339" s="8"/>
      <c r="B61339" s="8"/>
      <c r="C61339" s="99"/>
      <c r="D61339" s="8"/>
      <c r="E61339" s="8"/>
      <c r="F61339" s="8"/>
      <c r="G61339" s="8"/>
      <c r="H61339" s="8"/>
      <c r="I61339" s="102"/>
      <c r="J61339" s="8"/>
      <c r="K61339" s="8"/>
      <c r="L61339" s="8"/>
      <c r="M61339" s="8"/>
      <c r="N61339" s="8"/>
      <c r="O61339" s="8"/>
      <c r="P61339" s="8"/>
      <c r="Q61339" s="8"/>
      <c r="R61339" s="103"/>
      <c r="S61339" s="8"/>
      <c r="T61339" s="8"/>
      <c r="U61339" s="8"/>
      <c r="V61339" s="8"/>
      <c r="W61339" s="8"/>
      <c r="X61339" s="8"/>
      <c r="Y61339" s="8"/>
      <c r="Z61339" s="8"/>
      <c r="AA61339" s="8"/>
    </row>
    <row r="61340" spans="1:27" x14ac:dyDescent="0.25">
      <c r="A61340" s="8"/>
      <c r="B61340" s="8"/>
      <c r="C61340" s="99"/>
      <c r="D61340" s="8"/>
      <c r="E61340" s="8"/>
      <c r="F61340" s="8"/>
      <c r="G61340" s="8"/>
      <c r="H61340" s="8"/>
      <c r="I61340" s="102"/>
      <c r="J61340" s="8"/>
      <c r="K61340" s="8"/>
      <c r="L61340" s="8"/>
      <c r="M61340" s="8"/>
      <c r="N61340" s="8"/>
      <c r="O61340" s="8"/>
      <c r="P61340" s="8"/>
      <c r="Q61340" s="8"/>
      <c r="R61340" s="103"/>
      <c r="S61340" s="8"/>
      <c r="T61340" s="8"/>
      <c r="U61340" s="8"/>
      <c r="V61340" s="8"/>
      <c r="W61340" s="8"/>
      <c r="X61340" s="8"/>
      <c r="Y61340" s="8"/>
      <c r="Z61340" s="8"/>
      <c r="AA61340" s="8"/>
    </row>
    <row r="61341" spans="1:27" x14ac:dyDescent="0.25">
      <c r="A61341" s="8"/>
      <c r="B61341" s="8"/>
      <c r="C61341" s="99"/>
      <c r="D61341" s="8"/>
      <c r="E61341" s="8"/>
      <c r="F61341" s="8"/>
      <c r="G61341" s="8"/>
      <c r="H61341" s="8"/>
      <c r="I61341" s="102"/>
      <c r="J61341" s="8"/>
      <c r="K61341" s="8"/>
      <c r="L61341" s="8"/>
      <c r="M61341" s="8"/>
      <c r="N61341" s="8"/>
      <c r="O61341" s="8"/>
      <c r="P61341" s="8"/>
      <c r="Q61341" s="8"/>
      <c r="R61341" s="103"/>
      <c r="S61341" s="8"/>
      <c r="T61341" s="8"/>
      <c r="U61341" s="8"/>
      <c r="V61341" s="8"/>
      <c r="W61341" s="8"/>
      <c r="X61341" s="8"/>
      <c r="Y61341" s="8"/>
      <c r="Z61341" s="8"/>
      <c r="AA61341" s="8"/>
    </row>
    <row r="61342" spans="1:27" x14ac:dyDescent="0.25">
      <c r="A61342" s="8"/>
      <c r="B61342" s="8"/>
      <c r="C61342" s="99"/>
      <c r="D61342" s="8"/>
      <c r="E61342" s="8"/>
      <c r="F61342" s="8"/>
      <c r="G61342" s="8"/>
      <c r="H61342" s="8"/>
      <c r="I61342" s="102"/>
      <c r="J61342" s="8"/>
      <c r="K61342" s="8"/>
      <c r="L61342" s="8"/>
      <c r="M61342" s="8"/>
      <c r="N61342" s="8"/>
      <c r="O61342" s="8"/>
      <c r="P61342" s="8"/>
      <c r="Q61342" s="8"/>
      <c r="R61342" s="103"/>
      <c r="S61342" s="8"/>
      <c r="T61342" s="8"/>
      <c r="U61342" s="8"/>
      <c r="V61342" s="8"/>
      <c r="W61342" s="8"/>
      <c r="X61342" s="8"/>
      <c r="Y61342" s="8"/>
      <c r="Z61342" s="8"/>
      <c r="AA61342" s="8"/>
    </row>
    <row r="61343" spans="1:27" x14ac:dyDescent="0.25">
      <c r="A61343" s="8"/>
      <c r="B61343" s="8"/>
      <c r="C61343" s="99"/>
      <c r="D61343" s="8"/>
      <c r="E61343" s="8"/>
      <c r="F61343" s="8"/>
      <c r="G61343" s="8"/>
      <c r="H61343" s="8"/>
      <c r="I61343" s="102"/>
      <c r="J61343" s="8"/>
      <c r="K61343" s="8"/>
      <c r="L61343" s="8"/>
      <c r="M61343" s="8"/>
      <c r="N61343" s="8"/>
      <c r="O61343" s="8"/>
      <c r="P61343" s="8"/>
      <c r="Q61343" s="8"/>
      <c r="R61343" s="103"/>
      <c r="S61343" s="8"/>
      <c r="T61343" s="8"/>
      <c r="U61343" s="8"/>
      <c r="V61343" s="8"/>
      <c r="W61343" s="8"/>
      <c r="X61343" s="8"/>
      <c r="Y61343" s="8"/>
      <c r="Z61343" s="8"/>
      <c r="AA61343" s="8"/>
    </row>
    <row r="61344" spans="1:27" x14ac:dyDescent="0.25">
      <c r="A61344" s="8"/>
      <c r="B61344" s="8"/>
      <c r="C61344" s="99"/>
      <c r="D61344" s="8"/>
      <c r="E61344" s="8"/>
      <c r="F61344" s="8"/>
      <c r="G61344" s="8"/>
      <c r="H61344" s="8"/>
      <c r="I61344" s="102"/>
      <c r="J61344" s="8"/>
      <c r="K61344" s="8"/>
      <c r="L61344" s="8"/>
      <c r="M61344" s="8"/>
      <c r="N61344" s="8"/>
      <c r="O61344" s="8"/>
      <c r="P61344" s="8"/>
      <c r="Q61344" s="8"/>
      <c r="R61344" s="103"/>
      <c r="S61344" s="8"/>
      <c r="T61344" s="8"/>
      <c r="U61344" s="8"/>
      <c r="V61344" s="8"/>
      <c r="W61344" s="8"/>
      <c r="X61344" s="8"/>
      <c r="Y61344" s="8"/>
      <c r="Z61344" s="8"/>
      <c r="AA61344" s="8"/>
    </row>
    <row r="61345" spans="1:27" x14ac:dyDescent="0.25">
      <c r="A61345" s="8"/>
      <c r="B61345" s="8"/>
      <c r="C61345" s="99"/>
      <c r="D61345" s="8"/>
      <c r="E61345" s="8"/>
      <c r="F61345" s="8"/>
      <c r="G61345" s="8"/>
      <c r="H61345" s="8"/>
      <c r="I61345" s="102"/>
      <c r="J61345" s="8"/>
      <c r="K61345" s="8"/>
      <c r="L61345" s="8"/>
      <c r="M61345" s="8"/>
      <c r="N61345" s="8"/>
      <c r="O61345" s="8"/>
      <c r="P61345" s="8"/>
      <c r="Q61345" s="8"/>
      <c r="R61345" s="103"/>
      <c r="S61345" s="8"/>
      <c r="T61345" s="8"/>
      <c r="U61345" s="8"/>
      <c r="V61345" s="8"/>
      <c r="W61345" s="8"/>
      <c r="X61345" s="8"/>
      <c r="Y61345" s="8"/>
      <c r="Z61345" s="8"/>
      <c r="AA61345" s="8"/>
    </row>
    <row r="61346" spans="1:27" x14ac:dyDescent="0.25">
      <c r="A61346" s="8"/>
      <c r="B61346" s="8"/>
      <c r="C61346" s="99"/>
      <c r="D61346" s="8"/>
      <c r="E61346" s="8"/>
      <c r="F61346" s="8"/>
      <c r="G61346" s="8"/>
      <c r="H61346" s="8"/>
      <c r="I61346" s="102"/>
      <c r="J61346" s="8"/>
      <c r="K61346" s="8"/>
      <c r="L61346" s="8"/>
      <c r="M61346" s="8"/>
      <c r="N61346" s="8"/>
      <c r="O61346" s="8"/>
      <c r="P61346" s="8"/>
      <c r="Q61346" s="8"/>
      <c r="R61346" s="103"/>
      <c r="S61346" s="8"/>
      <c r="T61346" s="8"/>
      <c r="U61346" s="8"/>
      <c r="V61346" s="8"/>
      <c r="W61346" s="8"/>
      <c r="X61346" s="8"/>
      <c r="Y61346" s="8"/>
      <c r="Z61346" s="8"/>
      <c r="AA61346" s="8"/>
    </row>
    <row r="61347" spans="1:27" x14ac:dyDescent="0.25">
      <c r="A61347" s="8"/>
      <c r="B61347" s="8"/>
      <c r="C61347" s="99"/>
      <c r="D61347" s="8"/>
      <c r="E61347" s="8"/>
      <c r="F61347" s="8"/>
      <c r="G61347" s="8"/>
      <c r="H61347" s="8"/>
      <c r="I61347" s="102"/>
      <c r="J61347" s="8"/>
      <c r="K61347" s="8"/>
      <c r="L61347" s="8"/>
      <c r="M61347" s="8"/>
      <c r="N61347" s="8"/>
      <c r="O61347" s="8"/>
      <c r="P61347" s="8"/>
      <c r="Q61347" s="8"/>
      <c r="R61347" s="103"/>
      <c r="S61347" s="8"/>
      <c r="T61347" s="8"/>
      <c r="U61347" s="8"/>
      <c r="V61347" s="8"/>
      <c r="W61347" s="8"/>
      <c r="X61347" s="8"/>
      <c r="Y61347" s="8"/>
      <c r="Z61347" s="8"/>
      <c r="AA61347" s="8"/>
    </row>
    <row r="61348" spans="1:27" x14ac:dyDescent="0.25">
      <c r="A61348" s="8"/>
      <c r="B61348" s="8"/>
      <c r="C61348" s="99"/>
      <c r="D61348" s="8"/>
      <c r="E61348" s="8"/>
      <c r="F61348" s="8"/>
      <c r="G61348" s="8"/>
      <c r="H61348" s="8"/>
      <c r="I61348" s="102"/>
      <c r="J61348" s="8"/>
      <c r="K61348" s="8"/>
      <c r="L61348" s="8"/>
      <c r="M61348" s="8"/>
      <c r="N61348" s="8"/>
      <c r="O61348" s="8"/>
      <c r="P61348" s="8"/>
      <c r="Q61348" s="8"/>
      <c r="R61348" s="103"/>
      <c r="S61348" s="8"/>
      <c r="T61348" s="8"/>
      <c r="U61348" s="8"/>
      <c r="V61348" s="8"/>
      <c r="W61348" s="8"/>
      <c r="X61348" s="8"/>
      <c r="Y61348" s="8"/>
      <c r="Z61348" s="8"/>
      <c r="AA61348" s="8"/>
    </row>
    <row r="61349" spans="1:27" x14ac:dyDescent="0.25">
      <c r="A61349" s="8"/>
      <c r="B61349" s="8"/>
      <c r="C61349" s="99"/>
      <c r="D61349" s="8"/>
      <c r="E61349" s="8"/>
      <c r="F61349" s="8"/>
      <c r="G61349" s="8"/>
      <c r="H61349" s="8"/>
      <c r="I61349" s="102"/>
      <c r="J61349" s="8"/>
      <c r="K61349" s="8"/>
      <c r="L61349" s="8"/>
      <c r="M61349" s="8"/>
      <c r="N61349" s="8"/>
      <c r="O61349" s="8"/>
      <c r="P61349" s="8"/>
      <c r="Q61349" s="8"/>
      <c r="R61349" s="103"/>
      <c r="S61349" s="8"/>
      <c r="T61349" s="8"/>
      <c r="U61349" s="8"/>
      <c r="V61349" s="8"/>
      <c r="W61349" s="8"/>
      <c r="X61349" s="8"/>
      <c r="Y61349" s="8"/>
      <c r="Z61349" s="8"/>
      <c r="AA61349" s="8"/>
    </row>
    <row r="61350" spans="1:27" x14ac:dyDescent="0.25">
      <c r="A61350" s="8"/>
      <c r="B61350" s="8"/>
      <c r="C61350" s="99"/>
      <c r="D61350" s="8"/>
      <c r="E61350" s="8"/>
      <c r="F61350" s="8"/>
      <c r="G61350" s="8"/>
      <c r="H61350" s="8"/>
      <c r="I61350" s="102"/>
      <c r="J61350" s="8"/>
      <c r="K61350" s="8"/>
      <c r="L61350" s="8"/>
      <c r="M61350" s="8"/>
      <c r="N61350" s="8"/>
      <c r="O61350" s="8"/>
      <c r="P61350" s="8"/>
      <c r="Q61350" s="8"/>
      <c r="R61350" s="103"/>
      <c r="S61350" s="8"/>
      <c r="T61350" s="8"/>
      <c r="U61350" s="8"/>
      <c r="V61350" s="8"/>
      <c r="W61350" s="8"/>
      <c r="X61350" s="8"/>
      <c r="Y61350" s="8"/>
      <c r="Z61350" s="8"/>
      <c r="AA61350" s="8"/>
    </row>
    <row r="61351" spans="1:27" x14ac:dyDescent="0.25">
      <c r="A61351" s="8"/>
      <c r="B61351" s="8"/>
      <c r="C61351" s="99"/>
      <c r="D61351" s="8"/>
      <c r="E61351" s="8"/>
      <c r="F61351" s="8"/>
      <c r="G61351" s="8"/>
      <c r="H61351" s="8"/>
      <c r="I61351" s="102"/>
      <c r="J61351" s="8"/>
      <c r="K61351" s="8"/>
      <c r="L61351" s="8"/>
      <c r="M61351" s="8"/>
      <c r="N61351" s="8"/>
      <c r="O61351" s="8"/>
      <c r="P61351" s="8"/>
      <c r="Q61351" s="8"/>
      <c r="R61351" s="103"/>
      <c r="S61351" s="8"/>
      <c r="T61351" s="8"/>
      <c r="U61351" s="8"/>
      <c r="V61351" s="8"/>
      <c r="W61351" s="8"/>
      <c r="X61351" s="8"/>
      <c r="Y61351" s="8"/>
      <c r="Z61351" s="8"/>
      <c r="AA61351" s="8"/>
    </row>
    <row r="61352" spans="1:27" x14ac:dyDescent="0.25">
      <c r="A61352" s="8"/>
      <c r="B61352" s="8"/>
      <c r="C61352" s="99"/>
      <c r="D61352" s="8"/>
      <c r="E61352" s="8"/>
      <c r="F61352" s="8"/>
      <c r="G61352" s="8"/>
      <c r="H61352" s="8"/>
      <c r="I61352" s="102"/>
      <c r="J61352" s="8"/>
      <c r="K61352" s="8"/>
      <c r="L61352" s="8"/>
      <c r="M61352" s="8"/>
      <c r="N61352" s="8"/>
      <c r="O61352" s="8"/>
      <c r="P61352" s="8"/>
      <c r="Q61352" s="8"/>
      <c r="R61352" s="103"/>
      <c r="S61352" s="8"/>
      <c r="T61352" s="8"/>
      <c r="U61352" s="8"/>
      <c r="V61352" s="8"/>
      <c r="W61352" s="8"/>
      <c r="X61352" s="8"/>
      <c r="Y61352" s="8"/>
      <c r="Z61352" s="8"/>
      <c r="AA61352" s="8"/>
    </row>
    <row r="61353" spans="1:27" x14ac:dyDescent="0.25">
      <c r="A61353" s="8"/>
      <c r="B61353" s="8"/>
      <c r="C61353" s="99"/>
      <c r="D61353" s="8"/>
      <c r="E61353" s="8"/>
      <c r="F61353" s="8"/>
      <c r="G61353" s="8"/>
      <c r="H61353" s="8"/>
      <c r="I61353" s="102"/>
      <c r="J61353" s="8"/>
      <c r="K61353" s="8"/>
      <c r="L61353" s="8"/>
      <c r="M61353" s="8"/>
      <c r="N61353" s="8"/>
      <c r="O61353" s="8"/>
      <c r="P61353" s="8"/>
      <c r="Q61353" s="8"/>
      <c r="R61353" s="103"/>
      <c r="S61353" s="8"/>
      <c r="T61353" s="8"/>
      <c r="U61353" s="8"/>
      <c r="V61353" s="8"/>
      <c r="W61353" s="8"/>
      <c r="X61353" s="8"/>
      <c r="Y61353" s="8"/>
      <c r="Z61353" s="8"/>
      <c r="AA61353" s="8"/>
    </row>
    <row r="61354" spans="1:27" x14ac:dyDescent="0.25">
      <c r="A61354" s="8"/>
      <c r="B61354" s="8"/>
      <c r="C61354" s="99"/>
      <c r="D61354" s="8"/>
      <c r="E61354" s="8"/>
      <c r="F61354" s="8"/>
      <c r="G61354" s="8"/>
      <c r="H61354" s="8"/>
      <c r="I61354" s="102"/>
      <c r="J61354" s="8"/>
      <c r="K61354" s="8"/>
      <c r="L61354" s="8"/>
      <c r="M61354" s="8"/>
      <c r="N61354" s="8"/>
      <c r="O61354" s="8"/>
      <c r="P61354" s="8"/>
      <c r="Q61354" s="8"/>
      <c r="R61354" s="103"/>
      <c r="S61354" s="8"/>
      <c r="T61354" s="8"/>
      <c r="U61354" s="8"/>
      <c r="V61354" s="8"/>
      <c r="W61354" s="8"/>
      <c r="X61354" s="8"/>
      <c r="Y61354" s="8"/>
      <c r="Z61354" s="8"/>
      <c r="AA61354" s="8"/>
    </row>
    <row r="61355" spans="1:27" x14ac:dyDescent="0.25">
      <c r="A61355" s="8"/>
      <c r="B61355" s="8"/>
      <c r="C61355" s="99"/>
      <c r="D61355" s="8"/>
      <c r="E61355" s="8"/>
      <c r="F61355" s="8"/>
      <c r="G61355" s="8"/>
      <c r="H61355" s="8"/>
      <c r="I61355" s="102"/>
      <c r="J61355" s="8"/>
      <c r="K61355" s="8"/>
      <c r="L61355" s="8"/>
      <c r="M61355" s="8"/>
      <c r="N61355" s="8"/>
      <c r="O61355" s="8"/>
      <c r="P61355" s="8"/>
      <c r="Q61355" s="8"/>
      <c r="R61355" s="103"/>
      <c r="S61355" s="8"/>
      <c r="T61355" s="8"/>
      <c r="U61355" s="8"/>
      <c r="V61355" s="8"/>
      <c r="W61355" s="8"/>
      <c r="X61355" s="8"/>
      <c r="Y61355" s="8"/>
      <c r="Z61355" s="8"/>
      <c r="AA61355" s="8"/>
    </row>
    <row r="61356" spans="1:27" x14ac:dyDescent="0.25">
      <c r="A61356" s="8"/>
      <c r="B61356" s="8"/>
      <c r="C61356" s="99"/>
      <c r="D61356" s="8"/>
      <c r="E61356" s="8"/>
      <c r="F61356" s="8"/>
      <c r="G61356" s="8"/>
      <c r="H61356" s="8"/>
      <c r="I61356" s="102"/>
      <c r="J61356" s="8"/>
      <c r="K61356" s="8"/>
      <c r="L61356" s="8"/>
      <c r="M61356" s="8"/>
      <c r="N61356" s="8"/>
      <c r="O61356" s="8"/>
      <c r="P61356" s="8"/>
      <c r="Q61356" s="8"/>
      <c r="R61356" s="103"/>
      <c r="S61356" s="8"/>
      <c r="T61356" s="8"/>
      <c r="U61356" s="8"/>
      <c r="V61356" s="8"/>
      <c r="W61356" s="8"/>
      <c r="X61356" s="8"/>
      <c r="Y61356" s="8"/>
      <c r="Z61356" s="8"/>
      <c r="AA61356" s="8"/>
    </row>
    <row r="61357" spans="1:27" x14ac:dyDescent="0.25">
      <c r="A61357" s="8"/>
      <c r="B61357" s="8"/>
      <c r="C61357" s="99"/>
      <c r="D61357" s="8"/>
      <c r="E61357" s="8"/>
      <c r="F61357" s="8"/>
      <c r="G61357" s="8"/>
      <c r="H61357" s="8"/>
      <c r="I61357" s="102"/>
      <c r="J61357" s="8"/>
      <c r="K61357" s="8"/>
      <c r="L61357" s="8"/>
      <c r="M61357" s="8"/>
      <c r="N61357" s="8"/>
      <c r="O61357" s="8"/>
      <c r="P61357" s="8"/>
      <c r="Q61357" s="8"/>
      <c r="R61357" s="103"/>
      <c r="S61357" s="8"/>
      <c r="T61357" s="8"/>
      <c r="U61357" s="8"/>
      <c r="V61357" s="8"/>
      <c r="W61357" s="8"/>
      <c r="X61357" s="8"/>
      <c r="Y61357" s="8"/>
      <c r="Z61357" s="8"/>
      <c r="AA61357" s="8"/>
    </row>
    <row r="61358" spans="1:27" x14ac:dyDescent="0.25">
      <c r="A61358" s="8"/>
      <c r="B61358" s="8"/>
      <c r="C61358" s="99"/>
      <c r="D61358" s="8"/>
      <c r="E61358" s="8"/>
      <c r="F61358" s="8"/>
      <c r="G61358" s="8"/>
      <c r="H61358" s="8"/>
      <c r="I61358" s="102"/>
      <c r="J61358" s="8"/>
      <c r="K61358" s="8"/>
      <c r="L61358" s="8"/>
      <c r="M61358" s="8"/>
      <c r="N61358" s="8"/>
      <c r="O61358" s="8"/>
      <c r="P61358" s="8"/>
      <c r="Q61358" s="8"/>
      <c r="R61358" s="103"/>
      <c r="S61358" s="8"/>
      <c r="T61358" s="8"/>
      <c r="U61358" s="8"/>
      <c r="V61358" s="8"/>
      <c r="W61358" s="8"/>
      <c r="X61358" s="8"/>
      <c r="Y61358" s="8"/>
      <c r="Z61358" s="8"/>
      <c r="AA61358" s="8"/>
    </row>
    <row r="61359" spans="1:27" x14ac:dyDescent="0.25">
      <c r="A61359" s="8"/>
      <c r="B61359" s="8"/>
      <c r="C61359" s="99"/>
      <c r="D61359" s="8"/>
      <c r="E61359" s="8"/>
      <c r="F61359" s="8"/>
      <c r="G61359" s="8"/>
      <c r="H61359" s="8"/>
      <c r="I61359" s="102"/>
      <c r="J61359" s="8"/>
      <c r="K61359" s="8"/>
      <c r="L61359" s="8"/>
      <c r="M61359" s="8"/>
      <c r="N61359" s="8"/>
      <c r="O61359" s="8"/>
      <c r="P61359" s="8"/>
      <c r="Q61359" s="8"/>
      <c r="R61359" s="103"/>
      <c r="S61359" s="8"/>
      <c r="T61359" s="8"/>
      <c r="U61359" s="8"/>
      <c r="V61359" s="8"/>
      <c r="W61359" s="8"/>
      <c r="X61359" s="8"/>
      <c r="Y61359" s="8"/>
      <c r="Z61359" s="8"/>
      <c r="AA61359" s="8"/>
    </row>
    <row r="61360" spans="1:27" x14ac:dyDescent="0.25">
      <c r="A61360" s="8"/>
      <c r="B61360" s="8"/>
      <c r="C61360" s="99"/>
      <c r="D61360" s="8"/>
      <c r="E61360" s="8"/>
      <c r="F61360" s="8"/>
      <c r="G61360" s="8"/>
      <c r="H61360" s="8"/>
      <c r="I61360" s="102"/>
      <c r="J61360" s="8"/>
      <c r="K61360" s="8"/>
      <c r="L61360" s="8"/>
      <c r="M61360" s="8"/>
      <c r="N61360" s="8"/>
      <c r="O61360" s="8"/>
      <c r="P61360" s="8"/>
      <c r="Q61360" s="8"/>
      <c r="R61360" s="103"/>
      <c r="S61360" s="8"/>
      <c r="T61360" s="8"/>
      <c r="U61360" s="8"/>
      <c r="V61360" s="8"/>
      <c r="W61360" s="8"/>
      <c r="X61360" s="8"/>
      <c r="Y61360" s="8"/>
      <c r="Z61360" s="8"/>
      <c r="AA61360" s="8"/>
    </row>
    <row r="61361" spans="1:27" x14ac:dyDescent="0.25">
      <c r="A61361" s="8"/>
      <c r="B61361" s="8"/>
      <c r="C61361" s="99"/>
      <c r="D61361" s="8"/>
      <c r="E61361" s="8"/>
      <c r="F61361" s="8"/>
      <c r="G61361" s="8"/>
      <c r="H61361" s="8"/>
      <c r="I61361" s="102"/>
      <c r="J61361" s="8"/>
      <c r="K61361" s="8"/>
      <c r="L61361" s="8"/>
      <c r="M61361" s="8"/>
      <c r="N61361" s="8"/>
      <c r="O61361" s="8"/>
      <c r="P61361" s="8"/>
      <c r="Q61361" s="8"/>
      <c r="R61361" s="103"/>
      <c r="S61361" s="8"/>
      <c r="T61361" s="8"/>
      <c r="U61361" s="8"/>
      <c r="V61361" s="8"/>
      <c r="W61361" s="8"/>
      <c r="X61361" s="8"/>
      <c r="Y61361" s="8"/>
      <c r="Z61361" s="8"/>
      <c r="AA61361" s="8"/>
    </row>
    <row r="61362" spans="1:27" x14ac:dyDescent="0.25">
      <c r="A61362" s="8"/>
      <c r="B61362" s="8"/>
      <c r="C61362" s="99"/>
      <c r="D61362" s="8"/>
      <c r="E61362" s="8"/>
      <c r="F61362" s="8"/>
      <c r="G61362" s="8"/>
      <c r="H61362" s="8"/>
      <c r="I61362" s="102"/>
      <c r="J61362" s="8"/>
      <c r="K61362" s="8"/>
      <c r="L61362" s="8"/>
      <c r="M61362" s="8"/>
      <c r="N61362" s="8"/>
      <c r="O61362" s="8"/>
      <c r="P61362" s="8"/>
      <c r="Q61362" s="8"/>
      <c r="R61362" s="103"/>
      <c r="S61362" s="8"/>
      <c r="T61362" s="8"/>
      <c r="U61362" s="8"/>
      <c r="V61362" s="8"/>
      <c r="W61362" s="8"/>
      <c r="X61362" s="8"/>
      <c r="Y61362" s="8"/>
      <c r="Z61362" s="8"/>
      <c r="AA61362" s="8"/>
    </row>
    <row r="61363" spans="1:27" x14ac:dyDescent="0.25">
      <c r="A61363" s="8"/>
      <c r="B61363" s="8"/>
      <c r="C61363" s="99"/>
      <c r="D61363" s="8"/>
      <c r="E61363" s="8"/>
      <c r="F61363" s="8"/>
      <c r="G61363" s="8"/>
      <c r="H61363" s="8"/>
      <c r="I61363" s="102"/>
      <c r="J61363" s="8"/>
      <c r="K61363" s="8"/>
      <c r="L61363" s="8"/>
      <c r="M61363" s="8"/>
      <c r="N61363" s="8"/>
      <c r="O61363" s="8"/>
      <c r="P61363" s="8"/>
      <c r="Q61363" s="8"/>
      <c r="R61363" s="103"/>
      <c r="S61363" s="8"/>
      <c r="T61363" s="8"/>
      <c r="U61363" s="8"/>
      <c r="V61363" s="8"/>
      <c r="W61363" s="8"/>
      <c r="X61363" s="8"/>
      <c r="Y61363" s="8"/>
      <c r="Z61363" s="8"/>
      <c r="AA61363" s="8"/>
    </row>
    <row r="61364" spans="1:27" x14ac:dyDescent="0.25">
      <c r="A61364" s="8"/>
      <c r="B61364" s="8"/>
      <c r="C61364" s="99"/>
      <c r="D61364" s="8"/>
      <c r="E61364" s="8"/>
      <c r="F61364" s="8"/>
      <c r="G61364" s="8"/>
      <c r="H61364" s="8"/>
      <c r="I61364" s="102"/>
      <c r="J61364" s="8"/>
      <c r="K61364" s="8"/>
      <c r="L61364" s="8"/>
      <c r="M61364" s="8"/>
      <c r="N61364" s="8"/>
      <c r="O61364" s="8"/>
      <c r="P61364" s="8"/>
      <c r="Q61364" s="8"/>
      <c r="R61364" s="103"/>
      <c r="S61364" s="8"/>
      <c r="T61364" s="8"/>
      <c r="U61364" s="8"/>
      <c r="V61364" s="8"/>
      <c r="W61364" s="8"/>
      <c r="X61364" s="8"/>
      <c r="Y61364" s="8"/>
      <c r="Z61364" s="8"/>
      <c r="AA61364" s="8"/>
    </row>
    <row r="61365" spans="1:27" x14ac:dyDescent="0.25">
      <c r="A61365" s="8"/>
      <c r="B61365" s="8"/>
      <c r="C61365" s="99"/>
      <c r="D61365" s="8"/>
      <c r="E61365" s="8"/>
      <c r="F61365" s="8"/>
      <c r="G61365" s="8"/>
      <c r="H61365" s="8"/>
      <c r="I61365" s="102"/>
      <c r="J61365" s="8"/>
      <c r="K61365" s="8"/>
      <c r="L61365" s="8"/>
      <c r="M61365" s="8"/>
      <c r="N61365" s="8"/>
      <c r="O61365" s="8"/>
      <c r="P61365" s="8"/>
      <c r="Q61365" s="8"/>
      <c r="R61365" s="103"/>
      <c r="S61365" s="8"/>
      <c r="T61365" s="8"/>
      <c r="U61365" s="8"/>
      <c r="V61365" s="8"/>
      <c r="W61365" s="8"/>
      <c r="X61365" s="8"/>
      <c r="Y61365" s="8"/>
      <c r="Z61365" s="8"/>
      <c r="AA61365" s="8"/>
    </row>
    <row r="61366" spans="1:27" x14ac:dyDescent="0.25">
      <c r="A61366" s="8"/>
      <c r="B61366" s="8"/>
      <c r="C61366" s="99"/>
      <c r="D61366" s="8"/>
      <c r="E61366" s="8"/>
      <c r="F61366" s="8"/>
      <c r="G61366" s="8"/>
      <c r="H61366" s="8"/>
      <c r="I61366" s="102"/>
      <c r="J61366" s="8"/>
      <c r="K61366" s="8"/>
      <c r="L61366" s="8"/>
      <c r="M61366" s="8"/>
      <c r="N61366" s="8"/>
      <c r="O61366" s="8"/>
      <c r="P61366" s="8"/>
      <c r="Q61366" s="8"/>
      <c r="R61366" s="103"/>
      <c r="S61366" s="8"/>
      <c r="T61366" s="8"/>
      <c r="U61366" s="8"/>
      <c r="V61366" s="8"/>
      <c r="W61366" s="8"/>
      <c r="X61366" s="8"/>
      <c r="Y61366" s="8"/>
      <c r="Z61366" s="8"/>
      <c r="AA61366" s="8"/>
    </row>
    <row r="61367" spans="1:27" x14ac:dyDescent="0.25">
      <c r="A61367" s="8"/>
      <c r="B61367" s="8"/>
      <c r="C61367" s="99"/>
      <c r="D61367" s="8"/>
      <c r="E61367" s="8"/>
      <c r="F61367" s="8"/>
      <c r="G61367" s="8"/>
      <c r="H61367" s="8"/>
      <c r="I61367" s="102"/>
      <c r="J61367" s="8"/>
      <c r="K61367" s="8"/>
      <c r="L61367" s="8"/>
      <c r="M61367" s="8"/>
      <c r="N61367" s="8"/>
      <c r="O61367" s="8"/>
      <c r="P61367" s="8"/>
      <c r="Q61367" s="8"/>
      <c r="R61367" s="103"/>
      <c r="S61367" s="8"/>
      <c r="T61367" s="8"/>
      <c r="U61367" s="8"/>
      <c r="V61367" s="8"/>
      <c r="W61367" s="8"/>
      <c r="X61367" s="8"/>
      <c r="Y61367" s="8"/>
      <c r="Z61367" s="8"/>
      <c r="AA61367" s="8"/>
    </row>
    <row r="61368" spans="1:27" x14ac:dyDescent="0.25">
      <c r="A61368" s="8"/>
      <c r="B61368" s="8"/>
      <c r="C61368" s="99"/>
      <c r="D61368" s="8"/>
      <c r="E61368" s="8"/>
      <c r="F61368" s="8"/>
      <c r="G61368" s="8"/>
      <c r="H61368" s="8"/>
      <c r="I61368" s="102"/>
      <c r="J61368" s="8"/>
      <c r="K61368" s="8"/>
      <c r="L61368" s="8"/>
      <c r="M61368" s="8"/>
      <c r="N61368" s="8"/>
      <c r="O61368" s="8"/>
      <c r="P61368" s="8"/>
      <c r="Q61368" s="8"/>
      <c r="R61368" s="103"/>
      <c r="S61368" s="8"/>
      <c r="T61368" s="8"/>
      <c r="U61368" s="8"/>
      <c r="V61368" s="8"/>
      <c r="W61368" s="8"/>
      <c r="X61368" s="8"/>
      <c r="Y61368" s="8"/>
      <c r="Z61368" s="8"/>
      <c r="AA61368" s="8"/>
    </row>
    <row r="61369" spans="1:27" x14ac:dyDescent="0.25">
      <c r="A61369" s="8"/>
      <c r="B61369" s="8"/>
      <c r="C61369" s="99"/>
      <c r="D61369" s="8"/>
      <c r="E61369" s="8"/>
      <c r="F61369" s="8"/>
      <c r="G61369" s="8"/>
      <c r="H61369" s="8"/>
      <c r="I61369" s="102"/>
      <c r="J61369" s="8"/>
      <c r="K61369" s="8"/>
      <c r="L61369" s="8"/>
      <c r="M61369" s="8"/>
      <c r="N61369" s="8"/>
      <c r="O61369" s="8"/>
      <c r="P61369" s="8"/>
      <c r="Q61369" s="8"/>
      <c r="R61369" s="103"/>
      <c r="S61369" s="8"/>
      <c r="T61369" s="8"/>
      <c r="U61369" s="8"/>
      <c r="V61369" s="8"/>
      <c r="W61369" s="8"/>
      <c r="X61369" s="8"/>
      <c r="Y61369" s="8"/>
      <c r="Z61369" s="8"/>
      <c r="AA61369" s="8"/>
    </row>
    <row r="61370" spans="1:27" x14ac:dyDescent="0.25">
      <c r="A61370" s="8"/>
      <c r="B61370" s="8"/>
      <c r="C61370" s="99"/>
      <c r="D61370" s="8"/>
      <c r="E61370" s="8"/>
      <c r="F61370" s="8"/>
      <c r="G61370" s="8"/>
      <c r="H61370" s="8"/>
      <c r="I61370" s="102"/>
      <c r="J61370" s="8"/>
      <c r="K61370" s="8"/>
      <c r="L61370" s="8"/>
      <c r="M61370" s="8"/>
      <c r="N61370" s="8"/>
      <c r="O61370" s="8"/>
      <c r="P61370" s="8"/>
      <c r="Q61370" s="8"/>
      <c r="R61370" s="103"/>
      <c r="S61370" s="8"/>
      <c r="T61370" s="8"/>
      <c r="U61370" s="8"/>
      <c r="V61370" s="8"/>
      <c r="W61370" s="8"/>
      <c r="X61370" s="8"/>
      <c r="Y61370" s="8"/>
      <c r="Z61370" s="8"/>
      <c r="AA61370" s="8"/>
    </row>
    <row r="61371" spans="1:27" x14ac:dyDescent="0.25">
      <c r="A61371" s="8"/>
      <c r="B61371" s="8"/>
      <c r="C61371" s="99"/>
      <c r="D61371" s="8"/>
      <c r="E61371" s="8"/>
      <c r="F61371" s="8"/>
      <c r="G61371" s="8"/>
      <c r="H61371" s="8"/>
      <c r="I61371" s="102"/>
      <c r="J61371" s="8"/>
      <c r="K61371" s="8"/>
      <c r="L61371" s="8"/>
      <c r="M61371" s="8"/>
      <c r="N61371" s="8"/>
      <c r="O61371" s="8"/>
      <c r="P61371" s="8"/>
      <c r="Q61371" s="8"/>
      <c r="R61371" s="103"/>
      <c r="S61371" s="8"/>
      <c r="T61371" s="8"/>
      <c r="U61371" s="8"/>
      <c r="V61371" s="8"/>
      <c r="W61371" s="8"/>
      <c r="X61371" s="8"/>
      <c r="Y61371" s="8"/>
      <c r="Z61371" s="8"/>
      <c r="AA61371" s="8"/>
    </row>
    <row r="61372" spans="1:27" x14ac:dyDescent="0.25">
      <c r="A61372" s="8"/>
      <c r="B61372" s="8"/>
      <c r="C61372" s="99"/>
      <c r="D61372" s="8"/>
      <c r="E61372" s="8"/>
      <c r="F61372" s="8"/>
      <c r="G61372" s="8"/>
      <c r="H61372" s="8"/>
      <c r="I61372" s="102"/>
      <c r="J61372" s="8"/>
      <c r="K61372" s="8"/>
      <c r="L61372" s="8"/>
      <c r="M61372" s="8"/>
      <c r="N61372" s="8"/>
      <c r="O61372" s="8"/>
      <c r="P61372" s="8"/>
      <c r="Q61372" s="8"/>
      <c r="R61372" s="103"/>
      <c r="S61372" s="8"/>
      <c r="T61372" s="8"/>
      <c r="U61372" s="8"/>
      <c r="V61372" s="8"/>
      <c r="W61372" s="8"/>
      <c r="X61372" s="8"/>
      <c r="Y61372" s="8"/>
      <c r="Z61372" s="8"/>
      <c r="AA61372" s="8"/>
    </row>
    <row r="61373" spans="1:27" x14ac:dyDescent="0.25">
      <c r="A61373" s="8"/>
      <c r="B61373" s="8"/>
      <c r="C61373" s="99"/>
      <c r="D61373" s="8"/>
      <c r="E61373" s="8"/>
      <c r="F61373" s="8"/>
      <c r="G61373" s="8"/>
      <c r="H61373" s="8"/>
      <c r="I61373" s="102"/>
      <c r="J61373" s="8"/>
      <c r="K61373" s="8"/>
      <c r="L61373" s="8"/>
      <c r="M61373" s="8"/>
      <c r="N61373" s="8"/>
      <c r="O61373" s="8"/>
      <c r="P61373" s="8"/>
      <c r="Q61373" s="8"/>
      <c r="R61373" s="103"/>
      <c r="S61373" s="8"/>
      <c r="T61373" s="8"/>
      <c r="U61373" s="8"/>
      <c r="V61373" s="8"/>
      <c r="W61373" s="8"/>
      <c r="X61373" s="8"/>
      <c r="Y61373" s="8"/>
      <c r="Z61373" s="8"/>
      <c r="AA61373" s="8"/>
    </row>
    <row r="61374" spans="1:27" x14ac:dyDescent="0.25">
      <c r="A61374" s="8"/>
      <c r="B61374" s="8"/>
      <c r="C61374" s="99"/>
      <c r="D61374" s="8"/>
      <c r="E61374" s="8"/>
      <c r="F61374" s="8"/>
      <c r="G61374" s="8"/>
      <c r="H61374" s="8"/>
      <c r="I61374" s="102"/>
      <c r="J61374" s="8"/>
      <c r="K61374" s="8"/>
      <c r="L61374" s="8"/>
      <c r="M61374" s="8"/>
      <c r="N61374" s="8"/>
      <c r="O61374" s="8"/>
      <c r="P61374" s="8"/>
      <c r="Q61374" s="8"/>
      <c r="R61374" s="103"/>
      <c r="S61374" s="8"/>
      <c r="T61374" s="8"/>
      <c r="U61374" s="8"/>
      <c r="V61374" s="8"/>
      <c r="W61374" s="8"/>
      <c r="X61374" s="8"/>
      <c r="Y61374" s="8"/>
      <c r="Z61374" s="8"/>
      <c r="AA61374" s="8"/>
    </row>
    <row r="61375" spans="1:27" x14ac:dyDescent="0.25">
      <c r="A61375" s="8"/>
      <c r="B61375" s="8"/>
      <c r="C61375" s="99"/>
      <c r="D61375" s="8"/>
      <c r="E61375" s="8"/>
      <c r="F61375" s="8"/>
      <c r="G61375" s="8"/>
      <c r="H61375" s="8"/>
      <c r="I61375" s="102"/>
      <c r="J61375" s="8"/>
      <c r="K61375" s="8"/>
      <c r="L61375" s="8"/>
      <c r="M61375" s="8"/>
      <c r="N61375" s="8"/>
      <c r="O61375" s="8"/>
      <c r="P61375" s="8"/>
      <c r="Q61375" s="8"/>
      <c r="R61375" s="103"/>
      <c r="S61375" s="8"/>
      <c r="T61375" s="8"/>
      <c r="U61375" s="8"/>
      <c r="V61375" s="8"/>
      <c r="W61375" s="8"/>
      <c r="X61375" s="8"/>
      <c r="Y61375" s="8"/>
      <c r="Z61375" s="8"/>
      <c r="AA61375" s="8"/>
    </row>
    <row r="61376" spans="1:27" x14ac:dyDescent="0.25">
      <c r="A61376" s="8"/>
      <c r="B61376" s="8"/>
      <c r="C61376" s="99"/>
      <c r="D61376" s="8"/>
      <c r="E61376" s="8"/>
      <c r="F61376" s="8"/>
      <c r="G61376" s="8"/>
      <c r="H61376" s="8"/>
      <c r="I61376" s="102"/>
      <c r="J61376" s="8"/>
      <c r="K61376" s="8"/>
      <c r="L61376" s="8"/>
      <c r="M61376" s="8"/>
      <c r="N61376" s="8"/>
      <c r="O61376" s="8"/>
      <c r="P61376" s="8"/>
      <c r="Q61376" s="8"/>
      <c r="R61376" s="103"/>
      <c r="S61376" s="8"/>
      <c r="T61376" s="8"/>
      <c r="U61376" s="8"/>
      <c r="V61376" s="8"/>
      <c r="W61376" s="8"/>
      <c r="X61376" s="8"/>
      <c r="Y61376" s="8"/>
      <c r="Z61376" s="8"/>
      <c r="AA61376" s="8"/>
    </row>
    <row r="61377" spans="1:27" x14ac:dyDescent="0.25">
      <c r="A61377" s="8"/>
      <c r="B61377" s="8"/>
      <c r="C61377" s="99"/>
      <c r="D61377" s="8"/>
      <c r="E61377" s="8"/>
      <c r="F61377" s="8"/>
      <c r="G61377" s="8"/>
      <c r="H61377" s="8"/>
      <c r="I61377" s="102"/>
      <c r="J61377" s="8"/>
      <c r="K61377" s="8"/>
      <c r="L61377" s="8"/>
      <c r="M61377" s="8"/>
      <c r="N61377" s="8"/>
      <c r="O61377" s="8"/>
      <c r="P61377" s="8"/>
      <c r="Q61377" s="8"/>
      <c r="R61377" s="103"/>
      <c r="S61377" s="8"/>
      <c r="T61377" s="8"/>
      <c r="U61377" s="8"/>
      <c r="V61377" s="8"/>
      <c r="W61377" s="8"/>
      <c r="X61377" s="8"/>
      <c r="Y61377" s="8"/>
      <c r="Z61377" s="8"/>
      <c r="AA61377" s="8"/>
    </row>
    <row r="61378" spans="1:27" x14ac:dyDescent="0.25">
      <c r="A61378" s="8"/>
      <c r="B61378" s="8"/>
      <c r="C61378" s="99"/>
      <c r="D61378" s="8"/>
      <c r="E61378" s="8"/>
      <c r="F61378" s="8"/>
      <c r="G61378" s="8"/>
      <c r="H61378" s="8"/>
      <c r="I61378" s="102"/>
      <c r="J61378" s="8"/>
      <c r="K61378" s="8"/>
      <c r="L61378" s="8"/>
      <c r="M61378" s="8"/>
      <c r="N61378" s="8"/>
      <c r="O61378" s="8"/>
      <c r="P61378" s="8"/>
      <c r="Q61378" s="8"/>
      <c r="R61378" s="103"/>
      <c r="S61378" s="8"/>
      <c r="T61378" s="8"/>
      <c r="U61378" s="8"/>
      <c r="V61378" s="8"/>
      <c r="W61378" s="8"/>
      <c r="X61378" s="8"/>
      <c r="Y61378" s="8"/>
      <c r="Z61378" s="8"/>
      <c r="AA61378" s="8"/>
    </row>
    <row r="61379" spans="1:27" x14ac:dyDescent="0.25">
      <c r="A61379" s="8"/>
      <c r="B61379" s="8"/>
      <c r="C61379" s="99"/>
      <c r="D61379" s="8"/>
      <c r="E61379" s="8"/>
      <c r="F61379" s="8"/>
      <c r="G61379" s="8"/>
      <c r="H61379" s="8"/>
      <c r="I61379" s="102"/>
      <c r="J61379" s="8"/>
      <c r="K61379" s="8"/>
      <c r="L61379" s="8"/>
      <c r="M61379" s="8"/>
      <c r="N61379" s="8"/>
      <c r="O61379" s="8"/>
      <c r="P61379" s="8"/>
      <c r="Q61379" s="8"/>
      <c r="R61379" s="103"/>
      <c r="S61379" s="8"/>
      <c r="T61379" s="8"/>
      <c r="U61379" s="8"/>
      <c r="V61379" s="8"/>
      <c r="W61379" s="8"/>
      <c r="X61379" s="8"/>
      <c r="Y61379" s="8"/>
      <c r="Z61379" s="8"/>
      <c r="AA61379" s="8"/>
    </row>
    <row r="61380" spans="1:27" x14ac:dyDescent="0.25">
      <c r="A61380" s="8"/>
      <c r="B61380" s="8"/>
      <c r="C61380" s="99"/>
      <c r="D61380" s="8"/>
      <c r="E61380" s="8"/>
      <c r="F61380" s="8"/>
      <c r="G61380" s="8"/>
      <c r="H61380" s="8"/>
      <c r="I61380" s="102"/>
      <c r="J61380" s="8"/>
      <c r="K61380" s="8"/>
      <c r="L61380" s="8"/>
      <c r="M61380" s="8"/>
      <c r="N61380" s="8"/>
      <c r="O61380" s="8"/>
      <c r="P61380" s="8"/>
      <c r="Q61380" s="8"/>
      <c r="R61380" s="103"/>
      <c r="S61380" s="8"/>
      <c r="T61380" s="8"/>
      <c r="U61380" s="8"/>
      <c r="V61380" s="8"/>
      <c r="W61380" s="8"/>
      <c r="X61380" s="8"/>
      <c r="Y61380" s="8"/>
      <c r="Z61380" s="8"/>
      <c r="AA61380" s="8"/>
    </row>
    <row r="61381" spans="1:27" x14ac:dyDescent="0.25">
      <c r="A61381" s="8"/>
      <c r="B61381" s="8"/>
      <c r="C61381" s="99"/>
      <c r="D61381" s="8"/>
      <c r="E61381" s="8"/>
      <c r="F61381" s="8"/>
      <c r="G61381" s="8"/>
      <c r="H61381" s="8"/>
      <c r="I61381" s="102"/>
      <c r="J61381" s="8"/>
      <c r="K61381" s="8"/>
      <c r="L61381" s="8"/>
      <c r="M61381" s="8"/>
      <c r="N61381" s="8"/>
      <c r="O61381" s="8"/>
      <c r="P61381" s="8"/>
      <c r="Q61381" s="8"/>
      <c r="R61381" s="103"/>
      <c r="S61381" s="8"/>
      <c r="T61381" s="8"/>
      <c r="U61381" s="8"/>
      <c r="V61381" s="8"/>
      <c r="W61381" s="8"/>
      <c r="X61381" s="8"/>
      <c r="Y61381" s="8"/>
      <c r="Z61381" s="8"/>
      <c r="AA61381" s="8"/>
    </row>
    <row r="61382" spans="1:27" x14ac:dyDescent="0.25">
      <c r="A61382" s="8"/>
      <c r="B61382" s="8"/>
      <c r="C61382" s="99"/>
      <c r="D61382" s="8"/>
      <c r="E61382" s="8"/>
      <c r="F61382" s="8"/>
      <c r="G61382" s="8"/>
      <c r="H61382" s="8"/>
      <c r="I61382" s="102"/>
      <c r="J61382" s="8"/>
      <c r="K61382" s="8"/>
      <c r="L61382" s="8"/>
      <c r="M61382" s="8"/>
      <c r="N61382" s="8"/>
      <c r="O61382" s="8"/>
      <c r="P61382" s="8"/>
      <c r="Q61382" s="8"/>
      <c r="R61382" s="103"/>
      <c r="S61382" s="8"/>
      <c r="T61382" s="8"/>
      <c r="U61382" s="8"/>
      <c r="V61382" s="8"/>
      <c r="W61382" s="8"/>
      <c r="X61382" s="8"/>
      <c r="Y61382" s="8"/>
      <c r="Z61382" s="8"/>
      <c r="AA61382" s="8"/>
    </row>
    <row r="61383" spans="1:27" x14ac:dyDescent="0.25">
      <c r="A61383" s="8"/>
      <c r="B61383" s="8"/>
      <c r="C61383" s="99"/>
      <c r="D61383" s="8"/>
      <c r="E61383" s="8"/>
      <c r="F61383" s="8"/>
      <c r="G61383" s="8"/>
      <c r="H61383" s="8"/>
      <c r="I61383" s="102"/>
      <c r="J61383" s="8"/>
      <c r="K61383" s="8"/>
      <c r="L61383" s="8"/>
      <c r="M61383" s="8"/>
      <c r="N61383" s="8"/>
      <c r="O61383" s="8"/>
      <c r="P61383" s="8"/>
      <c r="Q61383" s="8"/>
      <c r="R61383" s="103"/>
      <c r="S61383" s="8"/>
      <c r="T61383" s="8"/>
      <c r="U61383" s="8"/>
      <c r="V61383" s="8"/>
      <c r="W61383" s="8"/>
      <c r="X61383" s="8"/>
      <c r="Y61383" s="8"/>
      <c r="Z61383" s="8"/>
      <c r="AA61383" s="8"/>
    </row>
    <row r="61384" spans="1:27" x14ac:dyDescent="0.25">
      <c r="A61384" s="8"/>
      <c r="B61384" s="8"/>
      <c r="C61384" s="99"/>
      <c r="D61384" s="8"/>
      <c r="E61384" s="8"/>
      <c r="F61384" s="8"/>
      <c r="G61384" s="8"/>
      <c r="H61384" s="8"/>
      <c r="I61384" s="102"/>
      <c r="J61384" s="8"/>
      <c r="K61384" s="8"/>
      <c r="L61384" s="8"/>
      <c r="M61384" s="8"/>
      <c r="N61384" s="8"/>
      <c r="O61384" s="8"/>
      <c r="P61384" s="8"/>
      <c r="Q61384" s="8"/>
      <c r="R61384" s="103"/>
      <c r="S61384" s="8"/>
      <c r="T61384" s="8"/>
      <c r="U61384" s="8"/>
      <c r="V61384" s="8"/>
      <c r="W61384" s="8"/>
      <c r="X61384" s="8"/>
      <c r="Y61384" s="8"/>
      <c r="Z61384" s="8"/>
      <c r="AA61384" s="8"/>
    </row>
    <row r="61385" spans="1:27" x14ac:dyDescent="0.25">
      <c r="A61385" s="8"/>
      <c r="B61385" s="8"/>
      <c r="C61385" s="99"/>
      <c r="D61385" s="8"/>
      <c r="E61385" s="8"/>
      <c r="F61385" s="8"/>
      <c r="G61385" s="8"/>
      <c r="H61385" s="8"/>
      <c r="I61385" s="102"/>
      <c r="J61385" s="8"/>
      <c r="K61385" s="8"/>
      <c r="L61385" s="8"/>
      <c r="M61385" s="8"/>
      <c r="N61385" s="8"/>
      <c r="O61385" s="8"/>
      <c r="P61385" s="8"/>
      <c r="Q61385" s="8"/>
      <c r="R61385" s="103"/>
      <c r="S61385" s="8"/>
      <c r="T61385" s="8"/>
      <c r="U61385" s="8"/>
      <c r="V61385" s="8"/>
      <c r="W61385" s="8"/>
      <c r="X61385" s="8"/>
      <c r="Y61385" s="8"/>
      <c r="Z61385" s="8"/>
      <c r="AA61385" s="8"/>
    </row>
    <row r="61386" spans="1:27" x14ac:dyDescent="0.25">
      <c r="A61386" s="8"/>
      <c r="B61386" s="8"/>
      <c r="C61386" s="99"/>
      <c r="D61386" s="8"/>
      <c r="E61386" s="8"/>
      <c r="F61386" s="8"/>
      <c r="G61386" s="8"/>
      <c r="H61386" s="8"/>
      <c r="I61386" s="102"/>
      <c r="J61386" s="8"/>
      <c r="K61386" s="8"/>
      <c r="L61386" s="8"/>
      <c r="M61386" s="8"/>
      <c r="N61386" s="8"/>
      <c r="O61386" s="8"/>
      <c r="P61386" s="8"/>
      <c r="Q61386" s="8"/>
      <c r="R61386" s="103"/>
      <c r="S61386" s="8"/>
      <c r="T61386" s="8"/>
      <c r="U61386" s="8"/>
      <c r="V61386" s="8"/>
      <c r="W61386" s="8"/>
      <c r="X61386" s="8"/>
      <c r="Y61386" s="8"/>
      <c r="Z61386" s="8"/>
      <c r="AA61386" s="8"/>
    </row>
    <row r="61387" spans="1:27" x14ac:dyDescent="0.25">
      <c r="A61387" s="8"/>
      <c r="B61387" s="8"/>
      <c r="C61387" s="99"/>
      <c r="D61387" s="8"/>
      <c r="E61387" s="8"/>
      <c r="F61387" s="8"/>
      <c r="G61387" s="8"/>
      <c r="H61387" s="8"/>
      <c r="I61387" s="102"/>
      <c r="J61387" s="8"/>
      <c r="K61387" s="8"/>
      <c r="L61387" s="8"/>
      <c r="M61387" s="8"/>
      <c r="N61387" s="8"/>
      <c r="O61387" s="8"/>
      <c r="P61387" s="8"/>
      <c r="Q61387" s="8"/>
      <c r="R61387" s="103"/>
      <c r="S61387" s="8"/>
      <c r="T61387" s="8"/>
      <c r="U61387" s="8"/>
      <c r="V61387" s="8"/>
      <c r="W61387" s="8"/>
      <c r="X61387" s="8"/>
      <c r="Y61387" s="8"/>
      <c r="Z61387" s="8"/>
      <c r="AA61387" s="8"/>
    </row>
    <row r="61388" spans="1:27" x14ac:dyDescent="0.25">
      <c r="A61388" s="8"/>
      <c r="B61388" s="8"/>
      <c r="C61388" s="99"/>
      <c r="D61388" s="8"/>
      <c r="E61388" s="8"/>
      <c r="F61388" s="8"/>
      <c r="G61388" s="8"/>
      <c r="H61388" s="8"/>
      <c r="I61388" s="102"/>
      <c r="J61388" s="8"/>
      <c r="K61388" s="8"/>
      <c r="L61388" s="8"/>
      <c r="M61388" s="8"/>
      <c r="N61388" s="8"/>
      <c r="O61388" s="8"/>
      <c r="P61388" s="8"/>
      <c r="Q61388" s="8"/>
      <c r="R61388" s="103"/>
      <c r="S61388" s="8"/>
      <c r="T61388" s="8"/>
      <c r="U61388" s="8"/>
      <c r="V61388" s="8"/>
      <c r="W61388" s="8"/>
      <c r="X61388" s="8"/>
      <c r="Y61388" s="8"/>
      <c r="Z61388" s="8"/>
      <c r="AA61388" s="8"/>
    </row>
    <row r="61389" spans="1:27" x14ac:dyDescent="0.25">
      <c r="A61389" s="8"/>
      <c r="B61389" s="8"/>
      <c r="C61389" s="99"/>
      <c r="D61389" s="8"/>
      <c r="E61389" s="8"/>
      <c r="F61389" s="8"/>
      <c r="G61389" s="8"/>
      <c r="H61389" s="8"/>
      <c r="I61389" s="102"/>
      <c r="J61389" s="8"/>
      <c r="K61389" s="8"/>
      <c r="L61389" s="8"/>
      <c r="M61389" s="8"/>
      <c r="N61389" s="8"/>
      <c r="O61389" s="8"/>
      <c r="P61389" s="8"/>
      <c r="Q61389" s="8"/>
      <c r="R61389" s="103"/>
      <c r="S61389" s="8"/>
      <c r="T61389" s="8"/>
      <c r="U61389" s="8"/>
      <c r="V61389" s="8"/>
      <c r="W61389" s="8"/>
      <c r="X61389" s="8"/>
      <c r="Y61389" s="8"/>
      <c r="Z61389" s="8"/>
      <c r="AA61389" s="8"/>
    </row>
    <row r="61390" spans="1:27" x14ac:dyDescent="0.25">
      <c r="A61390" s="8"/>
      <c r="B61390" s="8"/>
      <c r="C61390" s="99"/>
      <c r="D61390" s="8"/>
      <c r="E61390" s="8"/>
      <c r="F61390" s="8"/>
      <c r="G61390" s="8"/>
      <c r="H61390" s="8"/>
      <c r="I61390" s="102"/>
      <c r="J61390" s="8"/>
      <c r="K61390" s="8"/>
      <c r="L61390" s="8"/>
      <c r="M61390" s="8"/>
      <c r="N61390" s="8"/>
      <c r="O61390" s="8"/>
      <c r="P61390" s="8"/>
      <c r="Q61390" s="8"/>
      <c r="R61390" s="103"/>
      <c r="S61390" s="8"/>
      <c r="T61390" s="8"/>
      <c r="U61390" s="8"/>
      <c r="V61390" s="8"/>
      <c r="W61390" s="8"/>
      <c r="X61390" s="8"/>
      <c r="Y61390" s="8"/>
      <c r="Z61390" s="8"/>
      <c r="AA61390" s="8"/>
    </row>
    <row r="61391" spans="1:27" x14ac:dyDescent="0.25">
      <c r="A61391" s="8"/>
      <c r="B61391" s="8"/>
      <c r="C61391" s="99"/>
      <c r="D61391" s="8"/>
      <c r="E61391" s="8"/>
      <c r="F61391" s="8"/>
      <c r="G61391" s="8"/>
      <c r="H61391" s="8"/>
      <c r="I61391" s="102"/>
      <c r="J61391" s="8"/>
      <c r="K61391" s="8"/>
      <c r="L61391" s="8"/>
      <c r="M61391" s="8"/>
      <c r="N61391" s="8"/>
      <c r="O61391" s="8"/>
      <c r="P61391" s="8"/>
      <c r="Q61391" s="8"/>
      <c r="R61391" s="103"/>
      <c r="S61391" s="8"/>
      <c r="T61391" s="8"/>
      <c r="U61391" s="8"/>
      <c r="V61391" s="8"/>
      <c r="W61391" s="8"/>
      <c r="X61391" s="8"/>
      <c r="Y61391" s="8"/>
      <c r="Z61391" s="8"/>
      <c r="AA61391" s="8"/>
    </row>
    <row r="61392" spans="1:27" x14ac:dyDescent="0.25">
      <c r="A61392" s="8"/>
      <c r="B61392" s="8"/>
      <c r="C61392" s="99"/>
      <c r="D61392" s="8"/>
      <c r="E61392" s="8"/>
      <c r="F61392" s="8"/>
      <c r="G61392" s="8"/>
      <c r="H61392" s="8"/>
      <c r="I61392" s="102"/>
      <c r="J61392" s="8"/>
      <c r="K61392" s="8"/>
      <c r="L61392" s="8"/>
      <c r="M61392" s="8"/>
      <c r="N61392" s="8"/>
      <c r="O61392" s="8"/>
      <c r="P61392" s="8"/>
      <c r="Q61392" s="8"/>
      <c r="R61392" s="103"/>
      <c r="S61392" s="8"/>
      <c r="T61392" s="8"/>
      <c r="U61392" s="8"/>
      <c r="V61392" s="8"/>
      <c r="W61392" s="8"/>
      <c r="X61392" s="8"/>
      <c r="Y61392" s="8"/>
      <c r="Z61392" s="8"/>
      <c r="AA61392" s="8"/>
    </row>
    <row r="61393" spans="1:27" x14ac:dyDescent="0.25">
      <c r="A61393" s="8"/>
      <c r="B61393" s="8"/>
      <c r="C61393" s="99"/>
      <c r="D61393" s="8"/>
      <c r="E61393" s="8"/>
      <c r="F61393" s="8"/>
      <c r="G61393" s="8"/>
      <c r="H61393" s="8"/>
      <c r="I61393" s="102"/>
      <c r="J61393" s="8"/>
      <c r="K61393" s="8"/>
      <c r="L61393" s="8"/>
      <c r="M61393" s="8"/>
      <c r="N61393" s="8"/>
      <c r="O61393" s="8"/>
      <c r="P61393" s="8"/>
      <c r="Q61393" s="8"/>
      <c r="R61393" s="103"/>
      <c r="S61393" s="8"/>
      <c r="T61393" s="8"/>
      <c r="U61393" s="8"/>
      <c r="V61393" s="8"/>
      <c r="W61393" s="8"/>
      <c r="X61393" s="8"/>
      <c r="Y61393" s="8"/>
      <c r="Z61393" s="8"/>
      <c r="AA61393" s="8"/>
    </row>
    <row r="61394" spans="1:27" x14ac:dyDescent="0.25">
      <c r="A61394" s="8"/>
      <c r="B61394" s="8"/>
      <c r="C61394" s="99"/>
      <c r="D61394" s="8"/>
      <c r="E61394" s="8"/>
      <c r="F61394" s="8"/>
      <c r="G61394" s="8"/>
      <c r="H61394" s="8"/>
      <c r="I61394" s="102"/>
      <c r="J61394" s="8"/>
      <c r="K61394" s="8"/>
      <c r="L61394" s="8"/>
      <c r="M61394" s="8"/>
      <c r="N61394" s="8"/>
      <c r="O61394" s="8"/>
      <c r="P61394" s="8"/>
      <c r="Q61394" s="8"/>
      <c r="R61394" s="103"/>
      <c r="S61394" s="8"/>
      <c r="T61394" s="8"/>
      <c r="U61394" s="8"/>
      <c r="V61394" s="8"/>
      <c r="W61394" s="8"/>
      <c r="X61394" s="8"/>
      <c r="Y61394" s="8"/>
      <c r="Z61394" s="8"/>
      <c r="AA61394" s="8"/>
    </row>
    <row r="61395" spans="1:27" x14ac:dyDescent="0.25">
      <c r="A61395" s="8"/>
      <c r="B61395" s="8"/>
      <c r="C61395" s="99"/>
      <c r="D61395" s="8"/>
      <c r="E61395" s="8"/>
      <c r="F61395" s="8"/>
      <c r="G61395" s="8"/>
      <c r="H61395" s="8"/>
      <c r="I61395" s="102"/>
      <c r="J61395" s="8"/>
      <c r="K61395" s="8"/>
      <c r="L61395" s="8"/>
      <c r="M61395" s="8"/>
      <c r="N61395" s="8"/>
      <c r="O61395" s="8"/>
      <c r="P61395" s="8"/>
      <c r="Q61395" s="8"/>
      <c r="R61395" s="103"/>
      <c r="S61395" s="8"/>
      <c r="T61395" s="8"/>
      <c r="U61395" s="8"/>
      <c r="V61395" s="8"/>
      <c r="W61395" s="8"/>
      <c r="X61395" s="8"/>
      <c r="Y61395" s="8"/>
      <c r="Z61395" s="8"/>
      <c r="AA61395" s="8"/>
    </row>
    <row r="61396" spans="1:27" x14ac:dyDescent="0.25">
      <c r="A61396" s="8"/>
      <c r="B61396" s="8"/>
      <c r="C61396" s="99"/>
      <c r="D61396" s="8"/>
      <c r="E61396" s="8"/>
      <c r="F61396" s="8"/>
      <c r="G61396" s="8"/>
      <c r="H61396" s="8"/>
      <c r="I61396" s="102"/>
      <c r="J61396" s="8"/>
      <c r="K61396" s="8"/>
      <c r="L61396" s="8"/>
      <c r="M61396" s="8"/>
      <c r="N61396" s="8"/>
      <c r="O61396" s="8"/>
      <c r="P61396" s="8"/>
      <c r="Q61396" s="8"/>
      <c r="R61396" s="103"/>
      <c r="S61396" s="8"/>
      <c r="T61396" s="8"/>
      <c r="U61396" s="8"/>
      <c r="V61396" s="8"/>
      <c r="W61396" s="8"/>
      <c r="X61396" s="8"/>
      <c r="Y61396" s="8"/>
      <c r="Z61396" s="8"/>
      <c r="AA61396" s="8"/>
    </row>
    <row r="61397" spans="1:27" x14ac:dyDescent="0.25">
      <c r="A61397" s="8"/>
      <c r="B61397" s="8"/>
      <c r="C61397" s="99"/>
      <c r="D61397" s="8"/>
      <c r="E61397" s="8"/>
      <c r="F61397" s="8"/>
      <c r="G61397" s="8"/>
      <c r="H61397" s="8"/>
      <c r="I61397" s="102"/>
      <c r="J61397" s="8"/>
      <c r="K61397" s="8"/>
      <c r="L61397" s="8"/>
      <c r="M61397" s="8"/>
      <c r="N61397" s="8"/>
      <c r="O61397" s="8"/>
      <c r="P61397" s="8"/>
      <c r="Q61397" s="8"/>
      <c r="R61397" s="103"/>
      <c r="S61397" s="8"/>
      <c r="T61397" s="8"/>
      <c r="U61397" s="8"/>
      <c r="V61397" s="8"/>
      <c r="W61397" s="8"/>
      <c r="X61397" s="8"/>
      <c r="Y61397" s="8"/>
      <c r="Z61397" s="8"/>
      <c r="AA61397" s="8"/>
    </row>
    <row r="61398" spans="1:27" x14ac:dyDescent="0.25">
      <c r="A61398" s="8"/>
      <c r="B61398" s="8"/>
      <c r="C61398" s="99"/>
      <c r="D61398" s="8"/>
      <c r="E61398" s="8"/>
      <c r="F61398" s="8"/>
      <c r="G61398" s="8"/>
      <c r="H61398" s="8"/>
      <c r="I61398" s="102"/>
      <c r="J61398" s="8"/>
      <c r="K61398" s="8"/>
      <c r="L61398" s="8"/>
      <c r="M61398" s="8"/>
      <c r="N61398" s="8"/>
      <c r="O61398" s="8"/>
      <c r="P61398" s="8"/>
      <c r="Q61398" s="8"/>
      <c r="R61398" s="103"/>
      <c r="S61398" s="8"/>
      <c r="T61398" s="8"/>
      <c r="U61398" s="8"/>
      <c r="V61398" s="8"/>
      <c r="W61398" s="8"/>
      <c r="X61398" s="8"/>
      <c r="Y61398" s="8"/>
      <c r="Z61398" s="8"/>
      <c r="AA61398" s="8"/>
    </row>
    <row r="61399" spans="1:27" x14ac:dyDescent="0.25">
      <c r="A61399" s="8"/>
      <c r="B61399" s="8"/>
      <c r="C61399" s="99"/>
      <c r="D61399" s="8"/>
      <c r="E61399" s="8"/>
      <c r="F61399" s="8"/>
      <c r="G61399" s="8"/>
      <c r="H61399" s="8"/>
      <c r="I61399" s="102"/>
      <c r="J61399" s="8"/>
      <c r="K61399" s="8"/>
      <c r="L61399" s="8"/>
      <c r="M61399" s="8"/>
      <c r="N61399" s="8"/>
      <c r="O61399" s="8"/>
      <c r="P61399" s="8"/>
      <c r="Q61399" s="8"/>
      <c r="R61399" s="103"/>
      <c r="S61399" s="8"/>
      <c r="T61399" s="8"/>
      <c r="U61399" s="8"/>
      <c r="V61399" s="8"/>
      <c r="W61399" s="8"/>
      <c r="X61399" s="8"/>
      <c r="Y61399" s="8"/>
      <c r="Z61399" s="8"/>
      <c r="AA61399" s="8"/>
    </row>
    <row r="61400" spans="1:27" x14ac:dyDescent="0.25">
      <c r="A61400" s="8"/>
      <c r="B61400" s="8"/>
      <c r="C61400" s="99"/>
      <c r="D61400" s="8"/>
      <c r="E61400" s="8"/>
      <c r="F61400" s="8"/>
      <c r="G61400" s="8"/>
      <c r="H61400" s="8"/>
      <c r="I61400" s="102"/>
      <c r="J61400" s="8"/>
      <c r="K61400" s="8"/>
      <c r="L61400" s="8"/>
      <c r="M61400" s="8"/>
      <c r="N61400" s="8"/>
      <c r="O61400" s="8"/>
      <c r="P61400" s="8"/>
      <c r="Q61400" s="8"/>
      <c r="R61400" s="103"/>
      <c r="S61400" s="8"/>
      <c r="T61400" s="8"/>
      <c r="U61400" s="8"/>
      <c r="V61400" s="8"/>
      <c r="W61400" s="8"/>
      <c r="X61400" s="8"/>
      <c r="Y61400" s="8"/>
      <c r="Z61400" s="8"/>
      <c r="AA61400" s="8"/>
    </row>
    <row r="61401" spans="1:27" x14ac:dyDescent="0.25">
      <c r="A61401" s="8"/>
      <c r="B61401" s="8"/>
      <c r="C61401" s="99"/>
      <c r="D61401" s="8"/>
      <c r="E61401" s="8"/>
      <c r="F61401" s="8"/>
      <c r="G61401" s="8"/>
      <c r="H61401" s="8"/>
      <c r="I61401" s="102"/>
      <c r="J61401" s="8"/>
      <c r="K61401" s="8"/>
      <c r="L61401" s="8"/>
      <c r="M61401" s="8"/>
      <c r="N61401" s="8"/>
      <c r="O61401" s="8"/>
      <c r="P61401" s="8"/>
      <c r="Q61401" s="8"/>
      <c r="R61401" s="103"/>
      <c r="S61401" s="8"/>
      <c r="T61401" s="8"/>
      <c r="U61401" s="8"/>
      <c r="V61401" s="8"/>
      <c r="W61401" s="8"/>
      <c r="X61401" s="8"/>
      <c r="Y61401" s="8"/>
      <c r="Z61401" s="8"/>
      <c r="AA61401" s="8"/>
    </row>
    <row r="61402" spans="1:27" x14ac:dyDescent="0.25">
      <c r="A61402" s="8"/>
      <c r="B61402" s="8"/>
      <c r="C61402" s="99"/>
      <c r="D61402" s="8"/>
      <c r="E61402" s="8"/>
      <c r="F61402" s="8"/>
      <c r="G61402" s="8"/>
      <c r="H61402" s="8"/>
      <c r="I61402" s="102"/>
      <c r="J61402" s="8"/>
      <c r="K61402" s="8"/>
      <c r="L61402" s="8"/>
      <c r="M61402" s="8"/>
      <c r="N61402" s="8"/>
      <c r="O61402" s="8"/>
      <c r="P61402" s="8"/>
      <c r="Q61402" s="8"/>
      <c r="R61402" s="103"/>
      <c r="S61402" s="8"/>
      <c r="T61402" s="8"/>
      <c r="U61402" s="8"/>
      <c r="V61402" s="8"/>
      <c r="W61402" s="8"/>
      <c r="X61402" s="8"/>
      <c r="Y61402" s="8"/>
      <c r="Z61402" s="8"/>
      <c r="AA61402" s="8"/>
    </row>
    <row r="61403" spans="1:27" x14ac:dyDescent="0.25">
      <c r="A61403" s="8"/>
      <c r="B61403" s="8"/>
      <c r="C61403" s="99"/>
      <c r="D61403" s="8"/>
      <c r="E61403" s="8"/>
      <c r="F61403" s="8"/>
      <c r="G61403" s="8"/>
      <c r="H61403" s="8"/>
      <c r="I61403" s="102"/>
      <c r="J61403" s="8"/>
      <c r="K61403" s="8"/>
      <c r="L61403" s="8"/>
      <c r="M61403" s="8"/>
      <c r="N61403" s="8"/>
      <c r="O61403" s="8"/>
      <c r="P61403" s="8"/>
      <c r="Q61403" s="8"/>
      <c r="R61403" s="103"/>
      <c r="S61403" s="8"/>
      <c r="T61403" s="8"/>
      <c r="U61403" s="8"/>
      <c r="V61403" s="8"/>
      <c r="W61403" s="8"/>
      <c r="X61403" s="8"/>
      <c r="Y61403" s="8"/>
      <c r="Z61403" s="8"/>
      <c r="AA61403" s="8"/>
    </row>
    <row r="61404" spans="1:27" x14ac:dyDescent="0.25">
      <c r="A61404" s="8"/>
      <c r="B61404" s="8"/>
      <c r="C61404" s="99"/>
      <c r="D61404" s="8"/>
      <c r="E61404" s="8"/>
      <c r="F61404" s="8"/>
      <c r="G61404" s="8"/>
      <c r="H61404" s="8"/>
      <c r="I61404" s="102"/>
      <c r="J61404" s="8"/>
      <c r="K61404" s="8"/>
      <c r="L61404" s="8"/>
      <c r="M61404" s="8"/>
      <c r="N61404" s="8"/>
      <c r="O61404" s="8"/>
      <c r="P61404" s="8"/>
      <c r="Q61404" s="8"/>
      <c r="R61404" s="103"/>
      <c r="S61404" s="8"/>
      <c r="T61404" s="8"/>
      <c r="U61404" s="8"/>
      <c r="V61404" s="8"/>
      <c r="W61404" s="8"/>
      <c r="X61404" s="8"/>
      <c r="Y61404" s="8"/>
      <c r="Z61404" s="8"/>
      <c r="AA61404" s="8"/>
    </row>
    <row r="61405" spans="1:27" x14ac:dyDescent="0.25">
      <c r="A61405" s="8"/>
      <c r="B61405" s="8"/>
      <c r="C61405" s="99"/>
      <c r="D61405" s="8"/>
      <c r="E61405" s="8"/>
      <c r="F61405" s="8"/>
      <c r="G61405" s="8"/>
      <c r="H61405" s="8"/>
      <c r="I61405" s="102"/>
      <c r="J61405" s="8"/>
      <c r="K61405" s="8"/>
      <c r="L61405" s="8"/>
      <c r="M61405" s="8"/>
      <c r="N61405" s="8"/>
      <c r="O61405" s="8"/>
      <c r="P61405" s="8"/>
      <c r="Q61405" s="8"/>
      <c r="R61405" s="103"/>
      <c r="S61405" s="8"/>
      <c r="T61405" s="8"/>
      <c r="U61405" s="8"/>
      <c r="V61405" s="8"/>
      <c r="W61405" s="8"/>
      <c r="X61405" s="8"/>
      <c r="Y61405" s="8"/>
      <c r="Z61405" s="8"/>
      <c r="AA61405" s="8"/>
    </row>
    <row r="61406" spans="1:27" x14ac:dyDescent="0.25">
      <c r="A61406" s="8"/>
      <c r="B61406" s="8"/>
      <c r="C61406" s="99"/>
      <c r="D61406" s="8"/>
      <c r="E61406" s="8"/>
      <c r="F61406" s="8"/>
      <c r="G61406" s="8"/>
      <c r="H61406" s="8"/>
      <c r="I61406" s="102"/>
      <c r="J61406" s="8"/>
      <c r="K61406" s="8"/>
      <c r="L61406" s="8"/>
      <c r="M61406" s="8"/>
      <c r="N61406" s="8"/>
      <c r="O61406" s="8"/>
      <c r="P61406" s="8"/>
      <c r="Q61406" s="8"/>
      <c r="R61406" s="103"/>
      <c r="S61406" s="8"/>
      <c r="T61406" s="8"/>
      <c r="U61406" s="8"/>
      <c r="V61406" s="8"/>
      <c r="W61406" s="8"/>
      <c r="X61406" s="8"/>
      <c r="Y61406" s="8"/>
      <c r="Z61406" s="8"/>
      <c r="AA61406" s="8"/>
    </row>
    <row r="61407" spans="1:27" x14ac:dyDescent="0.25">
      <c r="A61407" s="8"/>
      <c r="B61407" s="8"/>
      <c r="C61407" s="99"/>
      <c r="D61407" s="8"/>
      <c r="E61407" s="8"/>
      <c r="F61407" s="8"/>
      <c r="G61407" s="8"/>
      <c r="H61407" s="8"/>
      <c r="I61407" s="102"/>
      <c r="J61407" s="8"/>
      <c r="K61407" s="8"/>
      <c r="L61407" s="8"/>
      <c r="M61407" s="8"/>
      <c r="N61407" s="8"/>
      <c r="O61407" s="8"/>
      <c r="P61407" s="8"/>
      <c r="Q61407" s="8"/>
      <c r="R61407" s="103"/>
      <c r="S61407" s="8"/>
      <c r="T61407" s="8"/>
      <c r="U61407" s="8"/>
      <c r="V61407" s="8"/>
      <c r="W61407" s="8"/>
      <c r="X61407" s="8"/>
      <c r="Y61407" s="8"/>
      <c r="Z61407" s="8"/>
      <c r="AA61407" s="8"/>
    </row>
    <row r="61408" spans="1:27" x14ac:dyDescent="0.25">
      <c r="A61408" s="8"/>
      <c r="B61408" s="8"/>
      <c r="C61408" s="99"/>
      <c r="D61408" s="8"/>
      <c r="E61408" s="8"/>
      <c r="F61408" s="8"/>
      <c r="G61408" s="8"/>
      <c r="H61408" s="8"/>
      <c r="I61408" s="102"/>
      <c r="J61408" s="8"/>
      <c r="K61408" s="8"/>
      <c r="L61408" s="8"/>
      <c r="M61408" s="8"/>
      <c r="N61408" s="8"/>
      <c r="O61408" s="8"/>
      <c r="P61408" s="8"/>
      <c r="Q61408" s="8"/>
      <c r="R61408" s="103"/>
      <c r="S61408" s="8"/>
      <c r="T61408" s="8"/>
      <c r="U61408" s="8"/>
      <c r="V61408" s="8"/>
      <c r="W61408" s="8"/>
      <c r="X61408" s="8"/>
      <c r="Y61408" s="8"/>
      <c r="Z61408" s="8"/>
      <c r="AA61408" s="8"/>
    </row>
    <row r="61409" spans="1:27" x14ac:dyDescent="0.25">
      <c r="A61409" s="8"/>
      <c r="B61409" s="8"/>
      <c r="C61409" s="99"/>
      <c r="D61409" s="8"/>
      <c r="E61409" s="8"/>
      <c r="F61409" s="8"/>
      <c r="G61409" s="8"/>
      <c r="H61409" s="8"/>
      <c r="I61409" s="102"/>
      <c r="J61409" s="8"/>
      <c r="K61409" s="8"/>
      <c r="L61409" s="8"/>
      <c r="M61409" s="8"/>
      <c r="N61409" s="8"/>
      <c r="O61409" s="8"/>
      <c r="P61409" s="8"/>
      <c r="Q61409" s="8"/>
      <c r="R61409" s="103"/>
      <c r="S61409" s="8"/>
      <c r="T61409" s="8"/>
      <c r="U61409" s="8"/>
      <c r="V61409" s="8"/>
      <c r="W61409" s="8"/>
      <c r="X61409" s="8"/>
      <c r="Y61409" s="8"/>
      <c r="Z61409" s="8"/>
      <c r="AA61409" s="8"/>
    </row>
    <row r="61410" spans="1:27" x14ac:dyDescent="0.25">
      <c r="A61410" s="8"/>
      <c r="B61410" s="8"/>
      <c r="C61410" s="99"/>
      <c r="D61410" s="8"/>
      <c r="E61410" s="8"/>
      <c r="F61410" s="8"/>
      <c r="G61410" s="8"/>
      <c r="H61410" s="8"/>
      <c r="I61410" s="102"/>
      <c r="J61410" s="8"/>
      <c r="K61410" s="8"/>
      <c r="L61410" s="8"/>
      <c r="M61410" s="8"/>
      <c r="N61410" s="8"/>
      <c r="O61410" s="8"/>
      <c r="P61410" s="8"/>
      <c r="Q61410" s="8"/>
      <c r="R61410" s="103"/>
      <c r="S61410" s="8"/>
      <c r="T61410" s="8"/>
      <c r="U61410" s="8"/>
      <c r="V61410" s="8"/>
      <c r="W61410" s="8"/>
      <c r="X61410" s="8"/>
      <c r="Y61410" s="8"/>
      <c r="Z61410" s="8"/>
      <c r="AA61410" s="8"/>
    </row>
    <row r="61411" spans="1:27" x14ac:dyDescent="0.25">
      <c r="A61411" s="8"/>
      <c r="B61411" s="8"/>
      <c r="C61411" s="99"/>
      <c r="D61411" s="8"/>
      <c r="E61411" s="8"/>
      <c r="F61411" s="8"/>
      <c r="G61411" s="8"/>
      <c r="H61411" s="8"/>
      <c r="I61411" s="102"/>
      <c r="J61411" s="8"/>
      <c r="K61411" s="8"/>
      <c r="L61411" s="8"/>
      <c r="M61411" s="8"/>
      <c r="N61411" s="8"/>
      <c r="O61411" s="8"/>
      <c r="P61411" s="8"/>
      <c r="Q61411" s="8"/>
      <c r="R61411" s="103"/>
      <c r="S61411" s="8"/>
      <c r="T61411" s="8"/>
      <c r="U61411" s="8"/>
      <c r="V61411" s="8"/>
      <c r="W61411" s="8"/>
      <c r="X61411" s="8"/>
      <c r="Y61411" s="8"/>
      <c r="Z61411" s="8"/>
      <c r="AA61411" s="8"/>
    </row>
    <row r="61412" spans="1:27" x14ac:dyDescent="0.25">
      <c r="A61412" s="8"/>
      <c r="B61412" s="8"/>
      <c r="C61412" s="99"/>
      <c r="D61412" s="8"/>
      <c r="E61412" s="8"/>
      <c r="F61412" s="8"/>
      <c r="G61412" s="8"/>
      <c r="H61412" s="8"/>
      <c r="I61412" s="102"/>
      <c r="J61412" s="8"/>
      <c r="K61412" s="8"/>
      <c r="L61412" s="8"/>
      <c r="M61412" s="8"/>
      <c r="N61412" s="8"/>
      <c r="O61412" s="8"/>
      <c r="P61412" s="8"/>
      <c r="Q61412" s="8"/>
      <c r="R61412" s="103"/>
      <c r="S61412" s="8"/>
      <c r="T61412" s="8"/>
      <c r="U61412" s="8"/>
      <c r="V61412" s="8"/>
      <c r="W61412" s="8"/>
      <c r="X61412" s="8"/>
      <c r="Y61412" s="8"/>
      <c r="Z61412" s="8"/>
      <c r="AA61412" s="8"/>
    </row>
    <row r="61413" spans="1:27" x14ac:dyDescent="0.25">
      <c r="A61413" s="8"/>
      <c r="B61413" s="8"/>
      <c r="C61413" s="99"/>
      <c r="D61413" s="8"/>
      <c r="E61413" s="8"/>
      <c r="F61413" s="8"/>
      <c r="G61413" s="8"/>
      <c r="H61413" s="8"/>
      <c r="I61413" s="102"/>
      <c r="J61413" s="8"/>
      <c r="K61413" s="8"/>
      <c r="L61413" s="8"/>
      <c r="M61413" s="8"/>
      <c r="N61413" s="8"/>
      <c r="O61413" s="8"/>
      <c r="P61413" s="8"/>
      <c r="Q61413" s="8"/>
      <c r="R61413" s="103"/>
      <c r="S61413" s="8"/>
      <c r="T61413" s="8"/>
      <c r="U61413" s="8"/>
      <c r="V61413" s="8"/>
      <c r="W61413" s="8"/>
      <c r="X61413" s="8"/>
      <c r="Y61413" s="8"/>
      <c r="Z61413" s="8"/>
      <c r="AA61413" s="8"/>
    </row>
    <row r="61414" spans="1:27" x14ac:dyDescent="0.25">
      <c r="A61414" s="8"/>
      <c r="B61414" s="8"/>
      <c r="C61414" s="99"/>
      <c r="D61414" s="8"/>
      <c r="E61414" s="8"/>
      <c r="F61414" s="8"/>
      <c r="G61414" s="8"/>
      <c r="H61414" s="8"/>
      <c r="I61414" s="102"/>
      <c r="J61414" s="8"/>
      <c r="K61414" s="8"/>
      <c r="L61414" s="8"/>
      <c r="M61414" s="8"/>
      <c r="N61414" s="8"/>
      <c r="O61414" s="8"/>
      <c r="P61414" s="8"/>
      <c r="Q61414" s="8"/>
      <c r="R61414" s="103"/>
      <c r="S61414" s="8"/>
      <c r="T61414" s="8"/>
      <c r="U61414" s="8"/>
      <c r="V61414" s="8"/>
      <c r="W61414" s="8"/>
      <c r="X61414" s="8"/>
      <c r="Y61414" s="8"/>
      <c r="Z61414" s="8"/>
      <c r="AA61414" s="8"/>
    </row>
    <row r="61415" spans="1:27" x14ac:dyDescent="0.25">
      <c r="A61415" s="8"/>
      <c r="B61415" s="8"/>
      <c r="C61415" s="99"/>
      <c r="D61415" s="8"/>
      <c r="E61415" s="8"/>
      <c r="F61415" s="8"/>
      <c r="G61415" s="8"/>
      <c r="H61415" s="8"/>
      <c r="I61415" s="102"/>
      <c r="J61415" s="8"/>
      <c r="K61415" s="8"/>
      <c r="L61415" s="8"/>
      <c r="M61415" s="8"/>
      <c r="N61415" s="8"/>
      <c r="O61415" s="8"/>
      <c r="P61415" s="8"/>
      <c r="Q61415" s="8"/>
      <c r="R61415" s="103"/>
      <c r="S61415" s="8"/>
      <c r="T61415" s="8"/>
      <c r="U61415" s="8"/>
      <c r="V61415" s="8"/>
      <c r="W61415" s="8"/>
      <c r="X61415" s="8"/>
      <c r="Y61415" s="8"/>
      <c r="Z61415" s="8"/>
      <c r="AA61415" s="8"/>
    </row>
    <row r="61416" spans="1:27" x14ac:dyDescent="0.25">
      <c r="A61416" s="8"/>
      <c r="B61416" s="8"/>
      <c r="C61416" s="99"/>
      <c r="D61416" s="8"/>
      <c r="E61416" s="8"/>
      <c r="F61416" s="8"/>
      <c r="G61416" s="8"/>
      <c r="H61416" s="8"/>
      <c r="I61416" s="102"/>
      <c r="J61416" s="8"/>
      <c r="K61416" s="8"/>
      <c r="L61416" s="8"/>
      <c r="M61416" s="8"/>
      <c r="N61416" s="8"/>
      <c r="O61416" s="8"/>
      <c r="P61416" s="8"/>
      <c r="Q61416" s="8"/>
      <c r="R61416" s="103"/>
      <c r="S61416" s="8"/>
      <c r="T61416" s="8"/>
      <c r="U61416" s="8"/>
      <c r="V61416" s="8"/>
      <c r="W61416" s="8"/>
      <c r="X61416" s="8"/>
      <c r="Y61416" s="8"/>
      <c r="Z61416" s="8"/>
      <c r="AA61416" s="8"/>
    </row>
    <row r="61417" spans="1:27" x14ac:dyDescent="0.25">
      <c r="A61417" s="8"/>
      <c r="B61417" s="8"/>
      <c r="C61417" s="99"/>
      <c r="D61417" s="8"/>
      <c r="E61417" s="8"/>
      <c r="F61417" s="8"/>
      <c r="G61417" s="8"/>
      <c r="H61417" s="8"/>
      <c r="I61417" s="102"/>
      <c r="J61417" s="8"/>
      <c r="K61417" s="8"/>
      <c r="L61417" s="8"/>
      <c r="M61417" s="8"/>
      <c r="N61417" s="8"/>
      <c r="O61417" s="8"/>
      <c r="P61417" s="8"/>
      <c r="Q61417" s="8"/>
      <c r="R61417" s="103"/>
      <c r="S61417" s="8"/>
      <c r="T61417" s="8"/>
      <c r="U61417" s="8"/>
      <c r="V61417" s="8"/>
      <c r="W61417" s="8"/>
      <c r="X61417" s="8"/>
      <c r="Y61417" s="8"/>
      <c r="Z61417" s="8"/>
      <c r="AA61417" s="8"/>
    </row>
    <row r="61418" spans="1:27" x14ac:dyDescent="0.25">
      <c r="A61418" s="8"/>
      <c r="B61418" s="8"/>
      <c r="C61418" s="99"/>
      <c r="D61418" s="8"/>
      <c r="E61418" s="8"/>
      <c r="F61418" s="8"/>
      <c r="G61418" s="8"/>
      <c r="H61418" s="8"/>
      <c r="I61418" s="102"/>
      <c r="J61418" s="8"/>
      <c r="K61418" s="8"/>
      <c r="L61418" s="8"/>
      <c r="M61418" s="8"/>
      <c r="N61418" s="8"/>
      <c r="O61418" s="8"/>
      <c r="P61418" s="8"/>
      <c r="Q61418" s="8"/>
      <c r="R61418" s="103"/>
      <c r="S61418" s="8"/>
      <c r="T61418" s="8"/>
      <c r="U61418" s="8"/>
      <c r="V61418" s="8"/>
      <c r="W61418" s="8"/>
      <c r="X61418" s="8"/>
      <c r="Y61418" s="8"/>
      <c r="Z61418" s="8"/>
      <c r="AA61418" s="8"/>
    </row>
    <row r="61419" spans="1:27" x14ac:dyDescent="0.25">
      <c r="A61419" s="8"/>
      <c r="B61419" s="8"/>
      <c r="C61419" s="99"/>
      <c r="D61419" s="8"/>
      <c r="E61419" s="8"/>
      <c r="F61419" s="8"/>
      <c r="G61419" s="8"/>
      <c r="H61419" s="8"/>
      <c r="I61419" s="102"/>
      <c r="J61419" s="8"/>
      <c r="K61419" s="8"/>
      <c r="L61419" s="8"/>
      <c r="M61419" s="8"/>
      <c r="N61419" s="8"/>
      <c r="O61419" s="8"/>
      <c r="P61419" s="8"/>
      <c r="Q61419" s="8"/>
      <c r="R61419" s="103"/>
      <c r="S61419" s="8"/>
      <c r="T61419" s="8"/>
      <c r="U61419" s="8"/>
      <c r="V61419" s="8"/>
      <c r="W61419" s="8"/>
      <c r="X61419" s="8"/>
      <c r="Y61419" s="8"/>
      <c r="Z61419" s="8"/>
      <c r="AA61419" s="8"/>
    </row>
    <row r="61420" spans="1:27" x14ac:dyDescent="0.25">
      <c r="A61420" s="8"/>
      <c r="B61420" s="8"/>
      <c r="C61420" s="99"/>
      <c r="D61420" s="8"/>
      <c r="E61420" s="8"/>
      <c r="F61420" s="8"/>
      <c r="G61420" s="8"/>
      <c r="H61420" s="8"/>
      <c r="I61420" s="102"/>
      <c r="J61420" s="8"/>
      <c r="K61420" s="8"/>
      <c r="L61420" s="8"/>
      <c r="M61420" s="8"/>
      <c r="N61420" s="8"/>
      <c r="O61420" s="8"/>
      <c r="P61420" s="8"/>
      <c r="Q61420" s="8"/>
      <c r="R61420" s="103"/>
      <c r="S61420" s="8"/>
      <c r="T61420" s="8"/>
      <c r="U61420" s="8"/>
      <c r="V61420" s="8"/>
      <c r="W61420" s="8"/>
      <c r="X61420" s="8"/>
      <c r="Y61420" s="8"/>
      <c r="Z61420" s="8"/>
      <c r="AA61420" s="8"/>
    </row>
    <row r="61421" spans="1:27" x14ac:dyDescent="0.25">
      <c r="A61421" s="8"/>
      <c r="B61421" s="8"/>
      <c r="C61421" s="99"/>
      <c r="D61421" s="8"/>
      <c r="E61421" s="8"/>
      <c r="F61421" s="8"/>
      <c r="G61421" s="8"/>
      <c r="H61421" s="8"/>
      <c r="I61421" s="102"/>
      <c r="J61421" s="8"/>
      <c r="K61421" s="8"/>
      <c r="L61421" s="8"/>
      <c r="M61421" s="8"/>
      <c r="N61421" s="8"/>
      <c r="O61421" s="8"/>
      <c r="P61421" s="8"/>
      <c r="Q61421" s="8"/>
      <c r="R61421" s="103"/>
      <c r="S61421" s="8"/>
      <c r="T61421" s="8"/>
      <c r="U61421" s="8"/>
      <c r="V61421" s="8"/>
      <c r="W61421" s="8"/>
      <c r="X61421" s="8"/>
      <c r="Y61421" s="8"/>
      <c r="Z61421" s="8"/>
      <c r="AA61421" s="8"/>
    </row>
    <row r="61422" spans="1:27" x14ac:dyDescent="0.25">
      <c r="A61422" s="8"/>
      <c r="B61422" s="8"/>
      <c r="C61422" s="99"/>
      <c r="D61422" s="8"/>
      <c r="E61422" s="8"/>
      <c r="F61422" s="8"/>
      <c r="G61422" s="8"/>
      <c r="H61422" s="8"/>
      <c r="I61422" s="102"/>
      <c r="J61422" s="8"/>
      <c r="K61422" s="8"/>
      <c r="L61422" s="8"/>
      <c r="M61422" s="8"/>
      <c r="N61422" s="8"/>
      <c r="O61422" s="8"/>
      <c r="P61422" s="8"/>
      <c r="Q61422" s="8"/>
      <c r="R61422" s="103"/>
      <c r="S61422" s="8"/>
      <c r="T61422" s="8"/>
      <c r="U61422" s="8"/>
      <c r="V61422" s="8"/>
      <c r="W61422" s="8"/>
      <c r="X61422" s="8"/>
      <c r="Y61422" s="8"/>
      <c r="Z61422" s="8"/>
      <c r="AA61422" s="8"/>
    </row>
    <row r="61423" spans="1:27" x14ac:dyDescent="0.25">
      <c r="A61423" s="8"/>
      <c r="B61423" s="8"/>
      <c r="C61423" s="99"/>
      <c r="D61423" s="8"/>
      <c r="E61423" s="8"/>
      <c r="F61423" s="8"/>
      <c r="G61423" s="8"/>
      <c r="H61423" s="8"/>
      <c r="I61423" s="102"/>
      <c r="J61423" s="8"/>
      <c r="K61423" s="8"/>
      <c r="L61423" s="8"/>
      <c r="M61423" s="8"/>
      <c r="N61423" s="8"/>
      <c r="O61423" s="8"/>
      <c r="P61423" s="8"/>
      <c r="Q61423" s="8"/>
      <c r="R61423" s="103"/>
      <c r="S61423" s="8"/>
      <c r="T61423" s="8"/>
      <c r="U61423" s="8"/>
      <c r="V61423" s="8"/>
      <c r="W61423" s="8"/>
      <c r="X61423" s="8"/>
      <c r="Y61423" s="8"/>
      <c r="Z61423" s="8"/>
      <c r="AA61423" s="8"/>
    </row>
    <row r="61424" spans="1:27" x14ac:dyDescent="0.25">
      <c r="A61424" s="8"/>
      <c r="B61424" s="8"/>
      <c r="C61424" s="99"/>
      <c r="D61424" s="8"/>
      <c r="E61424" s="8"/>
      <c r="F61424" s="8"/>
      <c r="G61424" s="8"/>
      <c r="H61424" s="8"/>
      <c r="I61424" s="102"/>
      <c r="J61424" s="8"/>
      <c r="K61424" s="8"/>
      <c r="L61424" s="8"/>
      <c r="M61424" s="8"/>
      <c r="N61424" s="8"/>
      <c r="O61424" s="8"/>
      <c r="P61424" s="8"/>
      <c r="Q61424" s="8"/>
      <c r="R61424" s="103"/>
      <c r="S61424" s="8"/>
      <c r="T61424" s="8"/>
      <c r="U61424" s="8"/>
      <c r="V61424" s="8"/>
      <c r="W61424" s="8"/>
      <c r="X61424" s="8"/>
      <c r="Y61424" s="8"/>
      <c r="Z61424" s="8"/>
      <c r="AA61424" s="8"/>
    </row>
    <row r="61425" spans="1:27" x14ac:dyDescent="0.25">
      <c r="A61425" s="8"/>
      <c r="B61425" s="8"/>
      <c r="C61425" s="99"/>
      <c r="D61425" s="8"/>
      <c r="E61425" s="8"/>
      <c r="F61425" s="8"/>
      <c r="G61425" s="8"/>
      <c r="H61425" s="8"/>
      <c r="I61425" s="102"/>
      <c r="J61425" s="8"/>
      <c r="K61425" s="8"/>
      <c r="L61425" s="8"/>
      <c r="M61425" s="8"/>
      <c r="N61425" s="8"/>
      <c r="O61425" s="8"/>
      <c r="P61425" s="8"/>
      <c r="Q61425" s="8"/>
      <c r="R61425" s="103"/>
      <c r="S61425" s="8"/>
      <c r="T61425" s="8"/>
      <c r="U61425" s="8"/>
      <c r="V61425" s="8"/>
      <c r="W61425" s="8"/>
      <c r="X61425" s="8"/>
      <c r="Y61425" s="8"/>
      <c r="Z61425" s="8"/>
      <c r="AA61425" s="8"/>
    </row>
    <row r="61426" spans="1:27" x14ac:dyDescent="0.25">
      <c r="A61426" s="8"/>
      <c r="B61426" s="8"/>
      <c r="C61426" s="99"/>
      <c r="D61426" s="8"/>
      <c r="E61426" s="8"/>
      <c r="F61426" s="8"/>
      <c r="G61426" s="8"/>
      <c r="H61426" s="8"/>
      <c r="I61426" s="102"/>
      <c r="J61426" s="8"/>
      <c r="K61426" s="8"/>
      <c r="L61426" s="8"/>
      <c r="M61426" s="8"/>
      <c r="N61426" s="8"/>
      <c r="O61426" s="8"/>
      <c r="P61426" s="8"/>
      <c r="Q61426" s="8"/>
      <c r="R61426" s="103"/>
      <c r="S61426" s="8"/>
      <c r="T61426" s="8"/>
      <c r="U61426" s="8"/>
      <c r="V61426" s="8"/>
      <c r="W61426" s="8"/>
      <c r="X61426" s="8"/>
      <c r="Y61426" s="8"/>
      <c r="Z61426" s="8"/>
      <c r="AA61426" s="8"/>
    </row>
    <row r="61427" spans="1:27" x14ac:dyDescent="0.25">
      <c r="A61427" s="8"/>
      <c r="B61427" s="8"/>
      <c r="C61427" s="99"/>
      <c r="D61427" s="8"/>
      <c r="E61427" s="8"/>
      <c r="F61427" s="8"/>
      <c r="G61427" s="8"/>
      <c r="H61427" s="8"/>
      <c r="I61427" s="102"/>
      <c r="J61427" s="8"/>
      <c r="K61427" s="8"/>
      <c r="L61427" s="8"/>
      <c r="M61427" s="8"/>
      <c r="N61427" s="8"/>
      <c r="O61427" s="8"/>
      <c r="P61427" s="8"/>
      <c r="Q61427" s="8"/>
      <c r="R61427" s="103"/>
      <c r="S61427" s="8"/>
      <c r="T61427" s="8"/>
      <c r="U61427" s="8"/>
      <c r="V61427" s="8"/>
      <c r="W61427" s="8"/>
      <c r="X61427" s="8"/>
      <c r="Y61427" s="8"/>
      <c r="Z61427" s="8"/>
      <c r="AA61427" s="8"/>
    </row>
    <row r="61428" spans="1:27" x14ac:dyDescent="0.25">
      <c r="A61428" s="8"/>
      <c r="B61428" s="8"/>
      <c r="C61428" s="99"/>
      <c r="D61428" s="8"/>
      <c r="E61428" s="8"/>
      <c r="F61428" s="8"/>
      <c r="G61428" s="8"/>
      <c r="H61428" s="8"/>
      <c r="I61428" s="102"/>
      <c r="J61428" s="8"/>
      <c r="K61428" s="8"/>
      <c r="L61428" s="8"/>
      <c r="M61428" s="8"/>
      <c r="N61428" s="8"/>
      <c r="O61428" s="8"/>
      <c r="P61428" s="8"/>
      <c r="Q61428" s="8"/>
      <c r="R61428" s="103"/>
      <c r="S61428" s="8"/>
      <c r="T61428" s="8"/>
      <c r="U61428" s="8"/>
      <c r="V61428" s="8"/>
      <c r="W61428" s="8"/>
      <c r="X61428" s="8"/>
      <c r="Y61428" s="8"/>
      <c r="Z61428" s="8"/>
      <c r="AA61428" s="8"/>
    </row>
    <row r="61429" spans="1:27" x14ac:dyDescent="0.25">
      <c r="A61429" s="8"/>
      <c r="B61429" s="8"/>
      <c r="C61429" s="99"/>
      <c r="D61429" s="8"/>
      <c r="E61429" s="8"/>
      <c r="F61429" s="8"/>
      <c r="G61429" s="8"/>
      <c r="H61429" s="8"/>
      <c r="I61429" s="102"/>
      <c r="J61429" s="8"/>
      <c r="K61429" s="8"/>
      <c r="L61429" s="8"/>
      <c r="M61429" s="8"/>
      <c r="N61429" s="8"/>
      <c r="O61429" s="8"/>
      <c r="P61429" s="8"/>
      <c r="Q61429" s="8"/>
      <c r="R61429" s="103"/>
      <c r="S61429" s="8"/>
      <c r="T61429" s="8"/>
      <c r="U61429" s="8"/>
      <c r="V61429" s="8"/>
      <c r="W61429" s="8"/>
      <c r="X61429" s="8"/>
      <c r="Y61429" s="8"/>
      <c r="Z61429" s="8"/>
      <c r="AA61429" s="8"/>
    </row>
    <row r="61430" spans="1:27" x14ac:dyDescent="0.25">
      <c r="A61430" s="8"/>
      <c r="B61430" s="8"/>
      <c r="C61430" s="99"/>
      <c r="D61430" s="8"/>
      <c r="E61430" s="8"/>
      <c r="F61430" s="8"/>
      <c r="G61430" s="8"/>
      <c r="H61430" s="8"/>
      <c r="I61430" s="102"/>
      <c r="J61430" s="8"/>
      <c r="K61430" s="8"/>
      <c r="L61430" s="8"/>
      <c r="M61430" s="8"/>
      <c r="N61430" s="8"/>
      <c r="O61430" s="8"/>
      <c r="P61430" s="8"/>
      <c r="Q61430" s="8"/>
      <c r="R61430" s="103"/>
      <c r="S61430" s="8"/>
      <c r="T61430" s="8"/>
      <c r="U61430" s="8"/>
      <c r="V61430" s="8"/>
      <c r="W61430" s="8"/>
      <c r="X61430" s="8"/>
      <c r="Y61430" s="8"/>
      <c r="Z61430" s="8"/>
      <c r="AA61430" s="8"/>
    </row>
    <row r="61431" spans="1:27" x14ac:dyDescent="0.25">
      <c r="A61431" s="8"/>
      <c r="B61431" s="8"/>
      <c r="C61431" s="99"/>
      <c r="D61431" s="8"/>
      <c r="E61431" s="8"/>
      <c r="F61431" s="8"/>
      <c r="G61431" s="8"/>
      <c r="H61431" s="8"/>
      <c r="I61431" s="102"/>
      <c r="J61431" s="8"/>
      <c r="K61431" s="8"/>
      <c r="L61431" s="8"/>
      <c r="M61431" s="8"/>
      <c r="N61431" s="8"/>
      <c r="O61431" s="8"/>
      <c r="P61431" s="8"/>
      <c r="Q61431" s="8"/>
      <c r="R61431" s="103"/>
      <c r="S61431" s="8"/>
      <c r="T61431" s="8"/>
      <c r="U61431" s="8"/>
      <c r="V61431" s="8"/>
      <c r="W61431" s="8"/>
      <c r="X61431" s="8"/>
      <c r="Y61431" s="8"/>
      <c r="Z61431" s="8"/>
      <c r="AA61431" s="8"/>
    </row>
    <row r="61432" spans="1:27" x14ac:dyDescent="0.25">
      <c r="A61432" s="8"/>
      <c r="B61432" s="8"/>
      <c r="C61432" s="99"/>
      <c r="D61432" s="8"/>
      <c r="E61432" s="8"/>
      <c r="F61432" s="8"/>
      <c r="G61432" s="8"/>
      <c r="H61432" s="8"/>
      <c r="I61432" s="102"/>
      <c r="J61432" s="8"/>
      <c r="K61432" s="8"/>
      <c r="L61432" s="8"/>
      <c r="M61432" s="8"/>
      <c r="N61432" s="8"/>
      <c r="O61432" s="8"/>
      <c r="P61432" s="8"/>
      <c r="Q61432" s="8"/>
      <c r="R61432" s="103"/>
      <c r="S61432" s="8"/>
      <c r="T61432" s="8"/>
      <c r="U61432" s="8"/>
      <c r="V61432" s="8"/>
      <c r="W61432" s="8"/>
      <c r="X61432" s="8"/>
      <c r="Y61432" s="8"/>
      <c r="Z61432" s="8"/>
      <c r="AA61432" s="8"/>
    </row>
    <row r="61433" spans="1:27" x14ac:dyDescent="0.25">
      <c r="A61433" s="8"/>
      <c r="B61433" s="8"/>
      <c r="C61433" s="99"/>
      <c r="D61433" s="8"/>
      <c r="E61433" s="8"/>
      <c r="F61433" s="8"/>
      <c r="G61433" s="8"/>
      <c r="H61433" s="8"/>
      <c r="I61433" s="102"/>
      <c r="J61433" s="8"/>
      <c r="K61433" s="8"/>
      <c r="L61433" s="8"/>
      <c r="M61433" s="8"/>
      <c r="N61433" s="8"/>
      <c r="O61433" s="8"/>
      <c r="P61433" s="8"/>
      <c r="Q61433" s="8"/>
      <c r="R61433" s="103"/>
      <c r="S61433" s="8"/>
      <c r="T61433" s="8"/>
      <c r="U61433" s="8"/>
      <c r="V61433" s="8"/>
      <c r="W61433" s="8"/>
      <c r="X61433" s="8"/>
      <c r="Y61433" s="8"/>
      <c r="Z61433" s="8"/>
      <c r="AA61433" s="8"/>
    </row>
    <row r="61434" spans="1:27" x14ac:dyDescent="0.25">
      <c r="A61434" s="8"/>
      <c r="B61434" s="8"/>
      <c r="C61434" s="99"/>
      <c r="D61434" s="8"/>
      <c r="E61434" s="8"/>
      <c r="F61434" s="8"/>
      <c r="G61434" s="8"/>
      <c r="H61434" s="8"/>
      <c r="I61434" s="102"/>
      <c r="J61434" s="8"/>
      <c r="K61434" s="8"/>
      <c r="L61434" s="8"/>
      <c r="M61434" s="8"/>
      <c r="N61434" s="8"/>
      <c r="O61434" s="8"/>
      <c r="P61434" s="8"/>
      <c r="Q61434" s="8"/>
      <c r="R61434" s="103"/>
      <c r="S61434" s="8"/>
      <c r="T61434" s="8"/>
      <c r="U61434" s="8"/>
      <c r="V61434" s="8"/>
      <c r="W61434" s="8"/>
      <c r="X61434" s="8"/>
      <c r="Y61434" s="8"/>
      <c r="Z61434" s="8"/>
      <c r="AA61434" s="8"/>
    </row>
    <row r="61435" spans="1:27" x14ac:dyDescent="0.25">
      <c r="A61435" s="8"/>
      <c r="B61435" s="8"/>
      <c r="C61435" s="99"/>
      <c r="D61435" s="8"/>
      <c r="E61435" s="8"/>
      <c r="F61435" s="8"/>
      <c r="G61435" s="8"/>
      <c r="H61435" s="8"/>
      <c r="I61435" s="102"/>
      <c r="J61435" s="8"/>
      <c r="K61435" s="8"/>
      <c r="L61435" s="8"/>
      <c r="M61435" s="8"/>
      <c r="N61435" s="8"/>
      <c r="O61435" s="8"/>
      <c r="P61435" s="8"/>
      <c r="Q61435" s="8"/>
      <c r="R61435" s="103"/>
      <c r="S61435" s="8"/>
      <c r="T61435" s="8"/>
      <c r="U61435" s="8"/>
      <c r="V61435" s="8"/>
      <c r="W61435" s="8"/>
      <c r="X61435" s="8"/>
      <c r="Y61435" s="8"/>
      <c r="Z61435" s="8"/>
      <c r="AA61435" s="8"/>
    </row>
    <row r="61436" spans="1:27" x14ac:dyDescent="0.25">
      <c r="A61436" s="8"/>
      <c r="B61436" s="8"/>
      <c r="C61436" s="99"/>
      <c r="D61436" s="8"/>
      <c r="E61436" s="8"/>
      <c r="F61436" s="8"/>
      <c r="G61436" s="8"/>
      <c r="H61436" s="8"/>
      <c r="I61436" s="102"/>
      <c r="J61436" s="8"/>
      <c r="K61436" s="8"/>
      <c r="L61436" s="8"/>
      <c r="M61436" s="8"/>
      <c r="N61436" s="8"/>
      <c r="O61436" s="8"/>
      <c r="P61436" s="8"/>
      <c r="Q61436" s="8"/>
      <c r="R61436" s="103"/>
      <c r="S61436" s="8"/>
      <c r="T61436" s="8"/>
      <c r="U61436" s="8"/>
      <c r="V61436" s="8"/>
      <c r="W61436" s="8"/>
      <c r="X61436" s="8"/>
      <c r="Y61436" s="8"/>
      <c r="Z61436" s="8"/>
      <c r="AA61436" s="8"/>
    </row>
    <row r="61437" spans="1:27" x14ac:dyDescent="0.25">
      <c r="A61437" s="8"/>
      <c r="B61437" s="8"/>
      <c r="C61437" s="99"/>
      <c r="D61437" s="8"/>
      <c r="E61437" s="8"/>
      <c r="F61437" s="8"/>
      <c r="G61437" s="8"/>
      <c r="H61437" s="8"/>
      <c r="I61437" s="102"/>
      <c r="J61437" s="8"/>
      <c r="K61437" s="8"/>
      <c r="L61437" s="8"/>
      <c r="M61437" s="8"/>
      <c r="N61437" s="8"/>
      <c r="O61437" s="8"/>
      <c r="P61437" s="8"/>
      <c r="Q61437" s="8"/>
      <c r="R61437" s="103"/>
      <c r="S61437" s="8"/>
      <c r="T61437" s="8"/>
      <c r="U61437" s="8"/>
      <c r="V61437" s="8"/>
      <c r="W61437" s="8"/>
      <c r="X61437" s="8"/>
      <c r="Y61437" s="8"/>
      <c r="Z61437" s="8"/>
      <c r="AA61437" s="8"/>
    </row>
    <row r="61438" spans="1:27" x14ac:dyDescent="0.25">
      <c r="A61438" s="8"/>
      <c r="B61438" s="8"/>
      <c r="C61438" s="99"/>
      <c r="D61438" s="8"/>
      <c r="E61438" s="8"/>
      <c r="F61438" s="8"/>
      <c r="G61438" s="8"/>
      <c r="H61438" s="8"/>
      <c r="I61438" s="102"/>
      <c r="J61438" s="8"/>
      <c r="K61438" s="8"/>
      <c r="L61438" s="8"/>
      <c r="M61438" s="8"/>
      <c r="N61438" s="8"/>
      <c r="O61438" s="8"/>
      <c r="P61438" s="8"/>
      <c r="Q61438" s="8"/>
      <c r="R61438" s="103"/>
      <c r="S61438" s="8"/>
      <c r="T61438" s="8"/>
      <c r="U61438" s="8"/>
      <c r="V61438" s="8"/>
      <c r="W61438" s="8"/>
      <c r="X61438" s="8"/>
      <c r="Y61438" s="8"/>
      <c r="Z61438" s="8"/>
      <c r="AA61438" s="8"/>
    </row>
    <row r="61439" spans="1:27" x14ac:dyDescent="0.25">
      <c r="A61439" s="8"/>
      <c r="B61439" s="8"/>
      <c r="C61439" s="99"/>
      <c r="D61439" s="8"/>
      <c r="E61439" s="8"/>
      <c r="F61439" s="8"/>
      <c r="G61439" s="8"/>
      <c r="H61439" s="8"/>
      <c r="I61439" s="102"/>
      <c r="J61439" s="8"/>
      <c r="K61439" s="8"/>
      <c r="L61439" s="8"/>
      <c r="M61439" s="8"/>
      <c r="N61439" s="8"/>
      <c r="O61439" s="8"/>
      <c r="P61439" s="8"/>
      <c r="Q61439" s="8"/>
      <c r="R61439" s="103"/>
      <c r="S61439" s="8"/>
      <c r="T61439" s="8"/>
      <c r="U61439" s="8"/>
      <c r="V61439" s="8"/>
      <c r="W61439" s="8"/>
      <c r="X61439" s="8"/>
      <c r="Y61439" s="8"/>
      <c r="Z61439" s="8"/>
      <c r="AA61439" s="8"/>
    </row>
    <row r="61440" spans="1:27" x14ac:dyDescent="0.25">
      <c r="A61440" s="8"/>
      <c r="B61440" s="8"/>
      <c r="C61440" s="99"/>
      <c r="D61440" s="8"/>
      <c r="E61440" s="8"/>
      <c r="F61440" s="8"/>
      <c r="G61440" s="8"/>
      <c r="H61440" s="8"/>
      <c r="I61440" s="102"/>
      <c r="J61440" s="8"/>
      <c r="K61440" s="8"/>
      <c r="L61440" s="8"/>
      <c r="M61440" s="8"/>
      <c r="N61440" s="8"/>
      <c r="O61440" s="8"/>
      <c r="P61440" s="8"/>
      <c r="Q61440" s="8"/>
      <c r="R61440" s="103"/>
      <c r="S61440" s="8"/>
      <c r="T61440" s="8"/>
      <c r="U61440" s="8"/>
      <c r="V61440" s="8"/>
      <c r="W61440" s="8"/>
      <c r="X61440" s="8"/>
      <c r="Y61440" s="8"/>
      <c r="Z61440" s="8"/>
      <c r="AA61440" s="8"/>
    </row>
    <row r="61441" spans="1:27" x14ac:dyDescent="0.25">
      <c r="A61441" s="8"/>
      <c r="B61441" s="8"/>
      <c r="C61441" s="99"/>
      <c r="D61441" s="8"/>
      <c r="E61441" s="8"/>
      <c r="F61441" s="8"/>
      <c r="G61441" s="8"/>
      <c r="H61441" s="8"/>
      <c r="I61441" s="102"/>
      <c r="J61441" s="8"/>
      <c r="K61441" s="8"/>
      <c r="L61441" s="8"/>
      <c r="M61441" s="8"/>
      <c r="N61441" s="8"/>
      <c r="O61441" s="8"/>
      <c r="P61441" s="8"/>
      <c r="Q61441" s="8"/>
      <c r="R61441" s="103"/>
      <c r="S61441" s="8"/>
      <c r="T61441" s="8"/>
      <c r="U61441" s="8"/>
      <c r="V61441" s="8"/>
      <c r="W61441" s="8"/>
      <c r="X61441" s="8"/>
      <c r="Y61441" s="8"/>
      <c r="Z61441" s="8"/>
      <c r="AA61441" s="8"/>
    </row>
    <row r="61442" spans="1:27" x14ac:dyDescent="0.25">
      <c r="A61442" s="8"/>
      <c r="B61442" s="8"/>
      <c r="C61442" s="99"/>
      <c r="D61442" s="8"/>
      <c r="E61442" s="8"/>
      <c r="F61442" s="8"/>
      <c r="G61442" s="8"/>
      <c r="H61442" s="8"/>
      <c r="I61442" s="102"/>
      <c r="J61442" s="8"/>
      <c r="K61442" s="8"/>
      <c r="L61442" s="8"/>
      <c r="M61442" s="8"/>
      <c r="N61442" s="8"/>
      <c r="O61442" s="8"/>
      <c r="P61442" s="8"/>
      <c r="Q61442" s="8"/>
      <c r="R61442" s="103"/>
      <c r="S61442" s="8"/>
      <c r="T61442" s="8"/>
      <c r="U61442" s="8"/>
      <c r="V61442" s="8"/>
      <c r="W61442" s="8"/>
      <c r="X61442" s="8"/>
      <c r="Y61442" s="8"/>
      <c r="Z61442" s="8"/>
      <c r="AA61442" s="8"/>
    </row>
    <row r="61443" spans="1:27" x14ac:dyDescent="0.25">
      <c r="A61443" s="8"/>
      <c r="B61443" s="8"/>
      <c r="C61443" s="99"/>
      <c r="D61443" s="8"/>
      <c r="E61443" s="8"/>
      <c r="F61443" s="8"/>
      <c r="G61443" s="8"/>
      <c r="H61443" s="8"/>
      <c r="I61443" s="102"/>
      <c r="J61443" s="8"/>
      <c r="K61443" s="8"/>
      <c r="L61443" s="8"/>
      <c r="M61443" s="8"/>
      <c r="N61443" s="8"/>
      <c r="O61443" s="8"/>
      <c r="P61443" s="8"/>
      <c r="Q61443" s="8"/>
      <c r="R61443" s="103"/>
      <c r="S61443" s="8"/>
      <c r="T61443" s="8"/>
      <c r="U61443" s="8"/>
      <c r="V61443" s="8"/>
      <c r="W61443" s="8"/>
      <c r="X61443" s="8"/>
      <c r="Y61443" s="8"/>
      <c r="Z61443" s="8"/>
      <c r="AA61443" s="8"/>
    </row>
    <row r="61444" spans="1:27" x14ac:dyDescent="0.25">
      <c r="A61444" s="8"/>
      <c r="B61444" s="8"/>
      <c r="C61444" s="99"/>
      <c r="D61444" s="8"/>
      <c r="E61444" s="8"/>
      <c r="F61444" s="8"/>
      <c r="G61444" s="8"/>
      <c r="H61444" s="8"/>
      <c r="I61444" s="102"/>
      <c r="J61444" s="8"/>
      <c r="K61444" s="8"/>
      <c r="L61444" s="8"/>
      <c r="M61444" s="8"/>
      <c r="N61444" s="8"/>
      <c r="O61444" s="8"/>
      <c r="P61444" s="8"/>
      <c r="Q61444" s="8"/>
      <c r="R61444" s="103"/>
      <c r="S61444" s="8"/>
      <c r="T61444" s="8"/>
      <c r="U61444" s="8"/>
      <c r="V61444" s="8"/>
      <c r="W61444" s="8"/>
      <c r="X61444" s="8"/>
      <c r="Y61444" s="8"/>
      <c r="Z61444" s="8"/>
      <c r="AA61444" s="8"/>
    </row>
    <row r="61445" spans="1:27" x14ac:dyDescent="0.25">
      <c r="A61445" s="8"/>
      <c r="B61445" s="8"/>
      <c r="C61445" s="99"/>
      <c r="D61445" s="8"/>
      <c r="E61445" s="8"/>
      <c r="F61445" s="8"/>
      <c r="G61445" s="8"/>
      <c r="H61445" s="8"/>
      <c r="I61445" s="102"/>
      <c r="J61445" s="8"/>
      <c r="K61445" s="8"/>
      <c r="L61445" s="8"/>
      <c r="M61445" s="8"/>
      <c r="N61445" s="8"/>
      <c r="O61445" s="8"/>
      <c r="P61445" s="8"/>
      <c r="Q61445" s="8"/>
      <c r="R61445" s="103"/>
      <c r="S61445" s="8"/>
      <c r="T61445" s="8"/>
      <c r="U61445" s="8"/>
      <c r="V61445" s="8"/>
      <c r="W61445" s="8"/>
      <c r="X61445" s="8"/>
      <c r="Y61445" s="8"/>
      <c r="Z61445" s="8"/>
      <c r="AA61445" s="8"/>
    </row>
    <row r="61446" spans="1:27" x14ac:dyDescent="0.25">
      <c r="A61446" s="8"/>
      <c r="B61446" s="8"/>
      <c r="C61446" s="99"/>
      <c r="D61446" s="8"/>
      <c r="E61446" s="8"/>
      <c r="F61446" s="8"/>
      <c r="G61446" s="8"/>
      <c r="H61446" s="8"/>
      <c r="I61446" s="102"/>
      <c r="J61446" s="8"/>
      <c r="K61446" s="8"/>
      <c r="L61446" s="8"/>
      <c r="M61446" s="8"/>
      <c r="N61446" s="8"/>
      <c r="O61446" s="8"/>
      <c r="P61446" s="8"/>
      <c r="Q61446" s="8"/>
      <c r="R61446" s="103"/>
      <c r="S61446" s="8"/>
      <c r="T61446" s="8"/>
      <c r="U61446" s="8"/>
      <c r="V61446" s="8"/>
      <c r="W61446" s="8"/>
      <c r="X61446" s="8"/>
      <c r="Y61446" s="8"/>
      <c r="Z61446" s="8"/>
      <c r="AA61446" s="8"/>
    </row>
    <row r="61447" spans="1:27" x14ac:dyDescent="0.25">
      <c r="A61447" s="8"/>
      <c r="B61447" s="8"/>
      <c r="C61447" s="99"/>
      <c r="D61447" s="8"/>
      <c r="E61447" s="8"/>
      <c r="F61447" s="8"/>
      <c r="G61447" s="8"/>
      <c r="H61447" s="8"/>
      <c r="I61447" s="102"/>
      <c r="J61447" s="8"/>
      <c r="K61447" s="8"/>
      <c r="L61447" s="8"/>
      <c r="M61447" s="8"/>
      <c r="N61447" s="8"/>
      <c r="O61447" s="8"/>
      <c r="P61447" s="8"/>
      <c r="Q61447" s="8"/>
      <c r="R61447" s="103"/>
      <c r="S61447" s="8"/>
      <c r="T61447" s="8"/>
      <c r="U61447" s="8"/>
      <c r="V61447" s="8"/>
      <c r="W61447" s="8"/>
      <c r="X61447" s="8"/>
      <c r="Y61447" s="8"/>
      <c r="Z61447" s="8"/>
      <c r="AA61447" s="8"/>
    </row>
    <row r="61448" spans="1:27" x14ac:dyDescent="0.25">
      <c r="A61448" s="8"/>
      <c r="B61448" s="8"/>
      <c r="C61448" s="99"/>
      <c r="D61448" s="8"/>
      <c r="E61448" s="8"/>
      <c r="F61448" s="8"/>
      <c r="G61448" s="8"/>
      <c r="H61448" s="8"/>
      <c r="I61448" s="102"/>
      <c r="J61448" s="8"/>
      <c r="K61448" s="8"/>
      <c r="L61448" s="8"/>
      <c r="M61448" s="8"/>
      <c r="N61448" s="8"/>
      <c r="O61448" s="8"/>
      <c r="P61448" s="8"/>
      <c r="Q61448" s="8"/>
      <c r="R61448" s="103"/>
      <c r="S61448" s="8"/>
      <c r="T61448" s="8"/>
      <c r="U61448" s="8"/>
      <c r="V61448" s="8"/>
      <c r="W61448" s="8"/>
      <c r="X61448" s="8"/>
      <c r="Y61448" s="8"/>
      <c r="Z61448" s="8"/>
      <c r="AA61448" s="8"/>
    </row>
    <row r="61449" spans="1:27" x14ac:dyDescent="0.25">
      <c r="A61449" s="8"/>
      <c r="B61449" s="8"/>
      <c r="C61449" s="99"/>
      <c r="D61449" s="8"/>
      <c r="E61449" s="8"/>
      <c r="F61449" s="8"/>
      <c r="G61449" s="8"/>
      <c r="H61449" s="8"/>
      <c r="I61449" s="102"/>
      <c r="J61449" s="8"/>
      <c r="K61449" s="8"/>
      <c r="L61449" s="8"/>
      <c r="M61449" s="8"/>
      <c r="N61449" s="8"/>
      <c r="O61449" s="8"/>
      <c r="P61449" s="8"/>
      <c r="Q61449" s="8"/>
      <c r="R61449" s="103"/>
      <c r="S61449" s="8"/>
      <c r="T61449" s="8"/>
      <c r="U61449" s="8"/>
      <c r="V61449" s="8"/>
      <c r="W61449" s="8"/>
      <c r="X61449" s="8"/>
      <c r="Y61449" s="8"/>
      <c r="Z61449" s="8"/>
      <c r="AA61449" s="8"/>
    </row>
    <row r="61450" spans="1:27" x14ac:dyDescent="0.25">
      <c r="A61450" s="8"/>
      <c r="B61450" s="8"/>
      <c r="C61450" s="99"/>
      <c r="D61450" s="8"/>
      <c r="E61450" s="8"/>
      <c r="F61450" s="8"/>
      <c r="G61450" s="8"/>
      <c r="H61450" s="8"/>
      <c r="I61450" s="102"/>
      <c r="J61450" s="8"/>
      <c r="K61450" s="8"/>
      <c r="L61450" s="8"/>
      <c r="M61450" s="8"/>
      <c r="N61450" s="8"/>
      <c r="O61450" s="8"/>
      <c r="P61450" s="8"/>
      <c r="Q61450" s="8"/>
      <c r="R61450" s="103"/>
      <c r="S61450" s="8"/>
      <c r="T61450" s="8"/>
      <c r="U61450" s="8"/>
      <c r="V61450" s="8"/>
      <c r="W61450" s="8"/>
      <c r="X61450" s="8"/>
      <c r="Y61450" s="8"/>
      <c r="Z61450" s="8"/>
      <c r="AA61450" s="8"/>
    </row>
    <row r="61451" spans="1:27" x14ac:dyDescent="0.25">
      <c r="A61451" s="8"/>
      <c r="B61451" s="8"/>
      <c r="C61451" s="99"/>
      <c r="D61451" s="8"/>
      <c r="E61451" s="8"/>
      <c r="F61451" s="8"/>
      <c r="G61451" s="8"/>
      <c r="H61451" s="8"/>
      <c r="I61451" s="102"/>
      <c r="J61451" s="8"/>
      <c r="K61451" s="8"/>
      <c r="L61451" s="8"/>
      <c r="M61451" s="8"/>
      <c r="N61451" s="8"/>
      <c r="O61451" s="8"/>
      <c r="P61451" s="8"/>
      <c r="Q61451" s="8"/>
      <c r="R61451" s="103"/>
      <c r="S61451" s="8"/>
      <c r="T61451" s="8"/>
      <c r="U61451" s="8"/>
      <c r="V61451" s="8"/>
      <c r="W61451" s="8"/>
      <c r="X61451" s="8"/>
      <c r="Y61451" s="8"/>
      <c r="Z61451" s="8"/>
      <c r="AA61451" s="8"/>
    </row>
    <row r="61452" spans="1:27" x14ac:dyDescent="0.25">
      <c r="A61452" s="8"/>
      <c r="B61452" s="8"/>
      <c r="C61452" s="99"/>
      <c r="D61452" s="8"/>
      <c r="E61452" s="8"/>
      <c r="F61452" s="8"/>
      <c r="G61452" s="8"/>
      <c r="H61452" s="8"/>
      <c r="I61452" s="102"/>
      <c r="J61452" s="8"/>
      <c r="K61452" s="8"/>
      <c r="L61452" s="8"/>
      <c r="M61452" s="8"/>
      <c r="N61452" s="8"/>
      <c r="O61452" s="8"/>
      <c r="P61452" s="8"/>
      <c r="Q61452" s="8"/>
      <c r="R61452" s="103"/>
      <c r="S61452" s="8"/>
      <c r="T61452" s="8"/>
      <c r="U61452" s="8"/>
      <c r="V61452" s="8"/>
      <c r="W61452" s="8"/>
      <c r="X61452" s="8"/>
      <c r="Y61452" s="8"/>
      <c r="Z61452" s="8"/>
      <c r="AA61452" s="8"/>
    </row>
    <row r="61453" spans="1:27" x14ac:dyDescent="0.25">
      <c r="A61453" s="8"/>
      <c r="B61453" s="8"/>
      <c r="C61453" s="99"/>
      <c r="D61453" s="8"/>
      <c r="E61453" s="8"/>
      <c r="F61453" s="8"/>
      <c r="G61453" s="8"/>
      <c r="H61453" s="8"/>
      <c r="I61453" s="102"/>
      <c r="J61453" s="8"/>
      <c r="K61453" s="8"/>
      <c r="L61453" s="8"/>
      <c r="M61453" s="8"/>
      <c r="N61453" s="8"/>
      <c r="O61453" s="8"/>
      <c r="P61453" s="8"/>
      <c r="Q61453" s="8"/>
      <c r="R61453" s="103"/>
      <c r="S61453" s="8"/>
      <c r="T61453" s="8"/>
      <c r="U61453" s="8"/>
      <c r="V61453" s="8"/>
      <c r="W61453" s="8"/>
      <c r="X61453" s="8"/>
      <c r="Y61453" s="8"/>
      <c r="Z61453" s="8"/>
      <c r="AA61453" s="8"/>
    </row>
    <row r="61454" spans="1:27" x14ac:dyDescent="0.25">
      <c r="A61454" s="8"/>
      <c r="B61454" s="8"/>
      <c r="C61454" s="99"/>
      <c r="D61454" s="8"/>
      <c r="E61454" s="8"/>
      <c r="F61454" s="8"/>
      <c r="G61454" s="8"/>
      <c r="H61454" s="8"/>
      <c r="I61454" s="102"/>
      <c r="J61454" s="8"/>
      <c r="K61454" s="8"/>
      <c r="L61454" s="8"/>
      <c r="M61454" s="8"/>
      <c r="N61454" s="8"/>
      <c r="O61454" s="8"/>
      <c r="P61454" s="8"/>
      <c r="Q61454" s="8"/>
      <c r="R61454" s="103"/>
      <c r="S61454" s="8"/>
      <c r="T61454" s="8"/>
      <c r="U61454" s="8"/>
      <c r="V61454" s="8"/>
      <c r="W61454" s="8"/>
      <c r="X61454" s="8"/>
      <c r="Y61454" s="8"/>
      <c r="Z61454" s="8"/>
      <c r="AA61454" s="8"/>
    </row>
    <row r="61455" spans="1:27" x14ac:dyDescent="0.25">
      <c r="A61455" s="8"/>
      <c r="B61455" s="8"/>
      <c r="C61455" s="99"/>
      <c r="D61455" s="8"/>
      <c r="E61455" s="8"/>
      <c r="F61455" s="8"/>
      <c r="G61455" s="8"/>
      <c r="H61455" s="8"/>
      <c r="I61455" s="102"/>
      <c r="J61455" s="8"/>
      <c r="K61455" s="8"/>
      <c r="L61455" s="8"/>
      <c r="M61455" s="8"/>
      <c r="N61455" s="8"/>
      <c r="O61455" s="8"/>
      <c r="P61455" s="8"/>
      <c r="Q61455" s="8"/>
      <c r="R61455" s="103"/>
      <c r="S61455" s="8"/>
      <c r="T61455" s="8"/>
      <c r="U61455" s="8"/>
      <c r="V61455" s="8"/>
      <c r="W61455" s="8"/>
      <c r="X61455" s="8"/>
      <c r="Y61455" s="8"/>
      <c r="Z61455" s="8"/>
      <c r="AA61455" s="8"/>
    </row>
    <row r="61456" spans="1:27" x14ac:dyDescent="0.25">
      <c r="A61456" s="8"/>
      <c r="B61456" s="8"/>
      <c r="C61456" s="99"/>
      <c r="D61456" s="8"/>
      <c r="E61456" s="8"/>
      <c r="F61456" s="8"/>
      <c r="G61456" s="8"/>
      <c r="H61456" s="8"/>
      <c r="I61456" s="102"/>
      <c r="J61456" s="8"/>
      <c r="K61456" s="8"/>
      <c r="L61456" s="8"/>
      <c r="M61456" s="8"/>
      <c r="N61456" s="8"/>
      <c r="O61456" s="8"/>
      <c r="P61456" s="8"/>
      <c r="Q61456" s="8"/>
      <c r="R61456" s="103"/>
      <c r="S61456" s="8"/>
      <c r="T61456" s="8"/>
      <c r="U61456" s="8"/>
      <c r="V61456" s="8"/>
      <c r="W61456" s="8"/>
      <c r="X61456" s="8"/>
      <c r="Y61456" s="8"/>
      <c r="Z61456" s="8"/>
      <c r="AA61456" s="8"/>
    </row>
    <row r="61457" spans="1:27" x14ac:dyDescent="0.25">
      <c r="A61457" s="8"/>
      <c r="B61457" s="8"/>
      <c r="C61457" s="99"/>
      <c r="D61457" s="8"/>
      <c r="E61457" s="8"/>
      <c r="F61457" s="8"/>
      <c r="G61457" s="8"/>
      <c r="H61457" s="8"/>
      <c r="I61457" s="102"/>
      <c r="J61457" s="8"/>
      <c r="K61457" s="8"/>
      <c r="L61457" s="8"/>
      <c r="M61457" s="8"/>
      <c r="N61457" s="8"/>
      <c r="O61457" s="8"/>
      <c r="P61457" s="8"/>
      <c r="Q61457" s="8"/>
      <c r="R61457" s="103"/>
      <c r="S61457" s="8"/>
      <c r="T61457" s="8"/>
      <c r="U61457" s="8"/>
      <c r="V61457" s="8"/>
      <c r="W61457" s="8"/>
      <c r="X61457" s="8"/>
      <c r="Y61457" s="8"/>
      <c r="Z61457" s="8"/>
      <c r="AA61457" s="8"/>
    </row>
    <row r="61458" spans="1:27" x14ac:dyDescent="0.25">
      <c r="A61458" s="8"/>
      <c r="B61458" s="8"/>
      <c r="C61458" s="99"/>
      <c r="D61458" s="8"/>
      <c r="E61458" s="8"/>
      <c r="F61458" s="8"/>
      <c r="G61458" s="8"/>
      <c r="H61458" s="8"/>
      <c r="I61458" s="102"/>
      <c r="J61458" s="8"/>
      <c r="K61458" s="8"/>
      <c r="L61458" s="8"/>
      <c r="M61458" s="8"/>
      <c r="N61458" s="8"/>
      <c r="O61458" s="8"/>
      <c r="P61458" s="8"/>
      <c r="Q61458" s="8"/>
      <c r="R61458" s="103"/>
      <c r="S61458" s="8"/>
      <c r="T61458" s="8"/>
      <c r="U61458" s="8"/>
      <c r="V61458" s="8"/>
      <c r="W61458" s="8"/>
      <c r="X61458" s="8"/>
      <c r="Y61458" s="8"/>
      <c r="Z61458" s="8"/>
      <c r="AA61458" s="8"/>
    </row>
    <row r="61459" spans="1:27" x14ac:dyDescent="0.25">
      <c r="A61459" s="8"/>
      <c r="B61459" s="8"/>
      <c r="C61459" s="99"/>
      <c r="D61459" s="8"/>
      <c r="E61459" s="8"/>
      <c r="F61459" s="8"/>
      <c r="G61459" s="8"/>
      <c r="H61459" s="8"/>
      <c r="I61459" s="102"/>
      <c r="J61459" s="8"/>
      <c r="K61459" s="8"/>
      <c r="L61459" s="8"/>
      <c r="M61459" s="8"/>
      <c r="N61459" s="8"/>
      <c r="O61459" s="8"/>
      <c r="P61459" s="8"/>
      <c r="Q61459" s="8"/>
      <c r="R61459" s="103"/>
      <c r="S61459" s="8"/>
      <c r="T61459" s="8"/>
      <c r="U61459" s="8"/>
      <c r="V61459" s="8"/>
      <c r="W61459" s="8"/>
      <c r="X61459" s="8"/>
      <c r="Y61459" s="8"/>
      <c r="Z61459" s="8"/>
      <c r="AA61459" s="8"/>
    </row>
    <row r="61460" spans="1:27" x14ac:dyDescent="0.25">
      <c r="A61460" s="8"/>
      <c r="B61460" s="8"/>
      <c r="C61460" s="99"/>
      <c r="D61460" s="8"/>
      <c r="E61460" s="8"/>
      <c r="F61460" s="8"/>
      <c r="G61460" s="8"/>
      <c r="H61460" s="8"/>
      <c r="I61460" s="102"/>
      <c r="J61460" s="8"/>
      <c r="K61460" s="8"/>
      <c r="L61460" s="8"/>
      <c r="M61460" s="8"/>
      <c r="N61460" s="8"/>
      <c r="O61460" s="8"/>
      <c r="P61460" s="8"/>
      <c r="Q61460" s="8"/>
      <c r="R61460" s="103"/>
      <c r="S61460" s="8"/>
      <c r="T61460" s="8"/>
      <c r="U61460" s="8"/>
      <c r="V61460" s="8"/>
      <c r="W61460" s="8"/>
      <c r="X61460" s="8"/>
      <c r="Y61460" s="8"/>
      <c r="Z61460" s="8"/>
      <c r="AA61460" s="8"/>
    </row>
    <row r="61461" spans="1:27" x14ac:dyDescent="0.25">
      <c r="A61461" s="8"/>
      <c r="B61461" s="8"/>
      <c r="C61461" s="99"/>
      <c r="D61461" s="8"/>
      <c r="E61461" s="8"/>
      <c r="F61461" s="8"/>
      <c r="G61461" s="8"/>
      <c r="H61461" s="8"/>
      <c r="I61461" s="102"/>
      <c r="J61461" s="8"/>
      <c r="K61461" s="8"/>
      <c r="L61461" s="8"/>
      <c r="M61461" s="8"/>
      <c r="N61461" s="8"/>
      <c r="O61461" s="8"/>
      <c r="P61461" s="8"/>
      <c r="Q61461" s="8"/>
      <c r="R61461" s="103"/>
      <c r="S61461" s="8"/>
      <c r="T61461" s="8"/>
      <c r="U61461" s="8"/>
      <c r="V61461" s="8"/>
      <c r="W61461" s="8"/>
      <c r="X61461" s="8"/>
      <c r="Y61461" s="8"/>
      <c r="Z61461" s="8"/>
      <c r="AA61461" s="8"/>
    </row>
    <row r="61462" spans="1:27" x14ac:dyDescent="0.25">
      <c r="A61462" s="8"/>
      <c r="B61462" s="8"/>
      <c r="C61462" s="99"/>
      <c r="D61462" s="8"/>
      <c r="E61462" s="8"/>
      <c r="F61462" s="8"/>
      <c r="G61462" s="8"/>
      <c r="H61462" s="8"/>
      <c r="I61462" s="102"/>
      <c r="J61462" s="8"/>
      <c r="K61462" s="8"/>
      <c r="L61462" s="8"/>
      <c r="M61462" s="8"/>
      <c r="N61462" s="8"/>
      <c r="O61462" s="8"/>
      <c r="P61462" s="8"/>
      <c r="Q61462" s="8"/>
      <c r="R61462" s="103"/>
      <c r="S61462" s="8"/>
      <c r="T61462" s="8"/>
      <c r="U61462" s="8"/>
      <c r="V61462" s="8"/>
      <c r="W61462" s="8"/>
      <c r="X61462" s="8"/>
      <c r="Y61462" s="8"/>
      <c r="Z61462" s="8"/>
      <c r="AA61462" s="8"/>
    </row>
    <row r="61463" spans="1:27" x14ac:dyDescent="0.25">
      <c r="A61463" s="8"/>
      <c r="B61463" s="8"/>
      <c r="C61463" s="99"/>
      <c r="D61463" s="8"/>
      <c r="E61463" s="8"/>
      <c r="F61463" s="8"/>
      <c r="G61463" s="8"/>
      <c r="H61463" s="8"/>
      <c r="I61463" s="102"/>
      <c r="J61463" s="8"/>
      <c r="K61463" s="8"/>
      <c r="L61463" s="8"/>
      <c r="M61463" s="8"/>
      <c r="N61463" s="8"/>
      <c r="O61463" s="8"/>
      <c r="P61463" s="8"/>
      <c r="Q61463" s="8"/>
      <c r="R61463" s="103"/>
      <c r="S61463" s="8"/>
      <c r="T61463" s="8"/>
      <c r="U61463" s="8"/>
      <c r="V61463" s="8"/>
      <c r="W61463" s="8"/>
      <c r="X61463" s="8"/>
      <c r="Y61463" s="8"/>
      <c r="Z61463" s="8"/>
      <c r="AA61463" s="8"/>
    </row>
    <row r="61464" spans="1:27" x14ac:dyDescent="0.25">
      <c r="A61464" s="8"/>
      <c r="B61464" s="8"/>
      <c r="C61464" s="99"/>
      <c r="D61464" s="8"/>
      <c r="E61464" s="8"/>
      <c r="F61464" s="8"/>
      <c r="G61464" s="8"/>
      <c r="H61464" s="8"/>
      <c r="I61464" s="102"/>
      <c r="J61464" s="8"/>
      <c r="K61464" s="8"/>
      <c r="L61464" s="8"/>
      <c r="M61464" s="8"/>
      <c r="N61464" s="8"/>
      <c r="O61464" s="8"/>
      <c r="P61464" s="8"/>
      <c r="Q61464" s="8"/>
      <c r="R61464" s="103"/>
      <c r="S61464" s="8"/>
      <c r="T61464" s="8"/>
      <c r="U61464" s="8"/>
      <c r="V61464" s="8"/>
      <c r="W61464" s="8"/>
      <c r="X61464" s="8"/>
      <c r="Y61464" s="8"/>
      <c r="Z61464" s="8"/>
      <c r="AA61464" s="8"/>
    </row>
    <row r="61465" spans="1:27" x14ac:dyDescent="0.25">
      <c r="A61465" s="8"/>
      <c r="B61465" s="8"/>
      <c r="C61465" s="99"/>
      <c r="D61465" s="8"/>
      <c r="E61465" s="8"/>
      <c r="F61465" s="8"/>
      <c r="G61465" s="8"/>
      <c r="H61465" s="8"/>
      <c r="I61465" s="102"/>
      <c r="J61465" s="8"/>
      <c r="K61465" s="8"/>
      <c r="L61465" s="8"/>
      <c r="M61465" s="8"/>
      <c r="N61465" s="8"/>
      <c r="O61465" s="8"/>
      <c r="P61465" s="8"/>
      <c r="Q61465" s="8"/>
      <c r="R61465" s="103"/>
      <c r="S61465" s="8"/>
      <c r="T61465" s="8"/>
      <c r="U61465" s="8"/>
      <c r="V61465" s="8"/>
      <c r="W61465" s="8"/>
      <c r="X61465" s="8"/>
      <c r="Y61465" s="8"/>
      <c r="Z61465" s="8"/>
      <c r="AA61465" s="8"/>
    </row>
    <row r="61466" spans="1:27" x14ac:dyDescent="0.25">
      <c r="A61466" s="8"/>
      <c r="B61466" s="8"/>
      <c r="C61466" s="99"/>
      <c r="D61466" s="8"/>
      <c r="E61466" s="8"/>
      <c r="F61466" s="8"/>
      <c r="G61466" s="8"/>
      <c r="H61466" s="8"/>
      <c r="I61466" s="102"/>
      <c r="J61466" s="8"/>
      <c r="K61466" s="8"/>
      <c r="L61466" s="8"/>
      <c r="M61466" s="8"/>
      <c r="N61466" s="8"/>
      <c r="O61466" s="8"/>
      <c r="P61466" s="8"/>
      <c r="Q61466" s="8"/>
      <c r="R61466" s="103"/>
      <c r="S61466" s="8"/>
      <c r="T61466" s="8"/>
      <c r="U61466" s="8"/>
      <c r="V61466" s="8"/>
      <c r="W61466" s="8"/>
      <c r="X61466" s="8"/>
      <c r="Y61466" s="8"/>
      <c r="Z61466" s="8"/>
      <c r="AA61466" s="8"/>
    </row>
    <row r="61467" spans="1:27" x14ac:dyDescent="0.25">
      <c r="A61467" s="8"/>
      <c r="B61467" s="8"/>
      <c r="C61467" s="99"/>
      <c r="D61467" s="8"/>
      <c r="E61467" s="8"/>
      <c r="F61467" s="8"/>
      <c r="G61467" s="8"/>
      <c r="H61467" s="8"/>
      <c r="I61467" s="102"/>
      <c r="J61467" s="8"/>
      <c r="K61467" s="8"/>
      <c r="L61467" s="8"/>
      <c r="M61467" s="8"/>
      <c r="N61467" s="8"/>
      <c r="O61467" s="8"/>
      <c r="P61467" s="8"/>
      <c r="Q61467" s="8"/>
      <c r="R61467" s="103"/>
      <c r="S61467" s="8"/>
      <c r="T61467" s="8"/>
      <c r="U61467" s="8"/>
      <c r="V61467" s="8"/>
      <c r="W61467" s="8"/>
      <c r="X61467" s="8"/>
      <c r="Y61467" s="8"/>
      <c r="Z61467" s="8"/>
      <c r="AA61467" s="8"/>
    </row>
    <row r="61468" spans="1:27" x14ac:dyDescent="0.25">
      <c r="A61468" s="8"/>
      <c r="B61468" s="8"/>
      <c r="C61468" s="99"/>
      <c r="D61468" s="8"/>
      <c r="E61468" s="8"/>
      <c r="F61468" s="8"/>
      <c r="G61468" s="8"/>
      <c r="H61468" s="8"/>
      <c r="I61468" s="102"/>
      <c r="J61468" s="8"/>
      <c r="K61468" s="8"/>
      <c r="L61468" s="8"/>
      <c r="M61468" s="8"/>
      <c r="N61468" s="8"/>
      <c r="O61468" s="8"/>
      <c r="P61468" s="8"/>
      <c r="Q61468" s="8"/>
      <c r="R61468" s="103"/>
      <c r="S61468" s="8"/>
      <c r="T61468" s="8"/>
      <c r="U61468" s="8"/>
      <c r="V61468" s="8"/>
      <c r="W61468" s="8"/>
      <c r="X61468" s="8"/>
      <c r="Y61468" s="8"/>
      <c r="Z61468" s="8"/>
      <c r="AA61468" s="8"/>
    </row>
    <row r="61469" spans="1:27" x14ac:dyDescent="0.25">
      <c r="A61469" s="8"/>
      <c r="B61469" s="8"/>
      <c r="C61469" s="99"/>
      <c r="D61469" s="8"/>
      <c r="E61469" s="8"/>
      <c r="F61469" s="8"/>
      <c r="G61469" s="8"/>
      <c r="H61469" s="8"/>
      <c r="I61469" s="102"/>
      <c r="J61469" s="8"/>
      <c r="K61469" s="8"/>
      <c r="L61469" s="8"/>
      <c r="M61469" s="8"/>
      <c r="N61469" s="8"/>
      <c r="O61469" s="8"/>
      <c r="P61469" s="8"/>
      <c r="Q61469" s="8"/>
      <c r="R61469" s="103"/>
      <c r="S61469" s="8"/>
      <c r="T61469" s="8"/>
      <c r="U61469" s="8"/>
      <c r="V61469" s="8"/>
      <c r="W61469" s="8"/>
      <c r="X61469" s="8"/>
      <c r="Y61469" s="8"/>
      <c r="Z61469" s="8"/>
      <c r="AA61469" s="8"/>
    </row>
    <row r="61470" spans="1:27" x14ac:dyDescent="0.25">
      <c r="A61470" s="8"/>
      <c r="B61470" s="8"/>
      <c r="C61470" s="99"/>
      <c r="D61470" s="8"/>
      <c r="E61470" s="8"/>
      <c r="F61470" s="8"/>
      <c r="G61470" s="8"/>
      <c r="H61470" s="8"/>
      <c r="I61470" s="102"/>
      <c r="J61470" s="8"/>
      <c r="K61470" s="8"/>
      <c r="L61470" s="8"/>
      <c r="M61470" s="8"/>
      <c r="N61470" s="8"/>
      <c r="O61470" s="8"/>
      <c r="P61470" s="8"/>
      <c r="Q61470" s="8"/>
      <c r="R61470" s="103"/>
      <c r="S61470" s="8"/>
      <c r="T61470" s="8"/>
      <c r="U61470" s="8"/>
      <c r="V61470" s="8"/>
      <c r="W61470" s="8"/>
      <c r="X61470" s="8"/>
      <c r="Y61470" s="8"/>
      <c r="Z61470" s="8"/>
      <c r="AA61470" s="8"/>
    </row>
    <row r="61471" spans="1:27" x14ac:dyDescent="0.25">
      <c r="A61471" s="8"/>
      <c r="B61471" s="8"/>
      <c r="C61471" s="99"/>
      <c r="D61471" s="8"/>
      <c r="E61471" s="8"/>
      <c r="F61471" s="8"/>
      <c r="G61471" s="8"/>
      <c r="H61471" s="8"/>
      <c r="I61471" s="102"/>
      <c r="J61471" s="8"/>
      <c r="K61471" s="8"/>
      <c r="L61471" s="8"/>
      <c r="M61471" s="8"/>
      <c r="N61471" s="8"/>
      <c r="O61471" s="8"/>
      <c r="P61471" s="8"/>
      <c r="Q61471" s="8"/>
      <c r="R61471" s="103"/>
      <c r="S61471" s="8"/>
      <c r="T61471" s="8"/>
      <c r="U61471" s="8"/>
      <c r="V61471" s="8"/>
      <c r="W61471" s="8"/>
      <c r="X61471" s="8"/>
      <c r="Y61471" s="8"/>
      <c r="Z61471" s="8"/>
      <c r="AA61471" s="8"/>
    </row>
    <row r="61472" spans="1:27" x14ac:dyDescent="0.25">
      <c r="A61472" s="8"/>
      <c r="B61472" s="8"/>
      <c r="C61472" s="99"/>
      <c r="D61472" s="8"/>
      <c r="E61472" s="8"/>
      <c r="F61472" s="8"/>
      <c r="G61472" s="8"/>
      <c r="H61472" s="8"/>
      <c r="I61472" s="102"/>
      <c r="J61472" s="8"/>
      <c r="K61472" s="8"/>
      <c r="L61472" s="8"/>
      <c r="M61472" s="8"/>
      <c r="N61472" s="8"/>
      <c r="O61472" s="8"/>
      <c r="P61472" s="8"/>
      <c r="Q61472" s="8"/>
      <c r="R61472" s="103"/>
      <c r="S61472" s="8"/>
      <c r="T61472" s="8"/>
      <c r="U61472" s="8"/>
      <c r="V61472" s="8"/>
      <c r="W61472" s="8"/>
      <c r="X61472" s="8"/>
      <c r="Y61472" s="8"/>
      <c r="Z61472" s="8"/>
      <c r="AA61472" s="8"/>
    </row>
    <row r="61473" spans="1:27" x14ac:dyDescent="0.25">
      <c r="A61473" s="8"/>
      <c r="B61473" s="8"/>
      <c r="C61473" s="99"/>
      <c r="D61473" s="8"/>
      <c r="E61473" s="8"/>
      <c r="F61473" s="8"/>
      <c r="G61473" s="8"/>
      <c r="H61473" s="8"/>
      <c r="I61473" s="102"/>
      <c r="J61473" s="8"/>
      <c r="K61473" s="8"/>
      <c r="L61473" s="8"/>
      <c r="M61473" s="8"/>
      <c r="N61473" s="8"/>
      <c r="O61473" s="8"/>
      <c r="P61473" s="8"/>
      <c r="Q61473" s="8"/>
      <c r="R61473" s="103"/>
      <c r="S61473" s="8"/>
      <c r="T61473" s="8"/>
      <c r="U61473" s="8"/>
      <c r="V61473" s="8"/>
      <c r="W61473" s="8"/>
      <c r="X61473" s="8"/>
      <c r="Y61473" s="8"/>
      <c r="Z61473" s="8"/>
      <c r="AA61473" s="8"/>
    </row>
    <row r="61474" spans="1:27" x14ac:dyDescent="0.25">
      <c r="A61474" s="8"/>
      <c r="B61474" s="8"/>
      <c r="C61474" s="99"/>
      <c r="D61474" s="8"/>
      <c r="E61474" s="8"/>
      <c r="F61474" s="8"/>
      <c r="G61474" s="8"/>
      <c r="H61474" s="8"/>
      <c r="I61474" s="102"/>
      <c r="J61474" s="8"/>
      <c r="K61474" s="8"/>
      <c r="L61474" s="8"/>
      <c r="M61474" s="8"/>
      <c r="N61474" s="8"/>
      <c r="O61474" s="8"/>
      <c r="P61474" s="8"/>
      <c r="Q61474" s="8"/>
      <c r="R61474" s="103"/>
      <c r="S61474" s="8"/>
      <c r="T61474" s="8"/>
      <c r="U61474" s="8"/>
      <c r="V61474" s="8"/>
      <c r="W61474" s="8"/>
      <c r="X61474" s="8"/>
      <c r="Y61474" s="8"/>
      <c r="Z61474" s="8"/>
      <c r="AA61474" s="8"/>
    </row>
    <row r="61475" spans="1:27" x14ac:dyDescent="0.25">
      <c r="A61475" s="8"/>
      <c r="B61475" s="8"/>
      <c r="C61475" s="99"/>
      <c r="D61475" s="8"/>
      <c r="E61475" s="8"/>
      <c r="F61475" s="8"/>
      <c r="G61475" s="8"/>
      <c r="H61475" s="8"/>
      <c r="I61475" s="102"/>
      <c r="J61475" s="8"/>
      <c r="K61475" s="8"/>
      <c r="L61475" s="8"/>
      <c r="M61475" s="8"/>
      <c r="N61475" s="8"/>
      <c r="O61475" s="8"/>
      <c r="P61475" s="8"/>
      <c r="Q61475" s="8"/>
      <c r="R61475" s="103"/>
      <c r="S61475" s="8"/>
      <c r="T61475" s="8"/>
      <c r="U61475" s="8"/>
      <c r="V61475" s="8"/>
      <c r="W61475" s="8"/>
      <c r="X61475" s="8"/>
      <c r="Y61475" s="8"/>
      <c r="Z61475" s="8"/>
      <c r="AA61475" s="8"/>
    </row>
    <row r="61476" spans="1:27" x14ac:dyDescent="0.25">
      <c r="A61476" s="8"/>
      <c r="B61476" s="8"/>
      <c r="C61476" s="99"/>
      <c r="D61476" s="8"/>
      <c r="E61476" s="8"/>
      <c r="F61476" s="8"/>
      <c r="G61476" s="8"/>
      <c r="H61476" s="8"/>
      <c r="I61476" s="102"/>
      <c r="J61476" s="8"/>
      <c r="K61476" s="8"/>
      <c r="L61476" s="8"/>
      <c r="M61476" s="8"/>
      <c r="N61476" s="8"/>
      <c r="O61476" s="8"/>
      <c r="P61476" s="8"/>
      <c r="Q61476" s="8"/>
      <c r="R61476" s="103"/>
      <c r="S61476" s="8"/>
      <c r="T61476" s="8"/>
      <c r="U61476" s="8"/>
      <c r="V61476" s="8"/>
      <c r="W61476" s="8"/>
      <c r="X61476" s="8"/>
      <c r="Y61476" s="8"/>
      <c r="Z61476" s="8"/>
      <c r="AA61476" s="8"/>
    </row>
    <row r="61477" spans="1:27" x14ac:dyDescent="0.25">
      <c r="A61477" s="8"/>
      <c r="B61477" s="8"/>
      <c r="C61477" s="99"/>
      <c r="D61477" s="8"/>
      <c r="E61477" s="8"/>
      <c r="F61477" s="8"/>
      <c r="G61477" s="8"/>
      <c r="H61477" s="8"/>
      <c r="I61477" s="102"/>
      <c r="J61477" s="8"/>
      <c r="K61477" s="8"/>
      <c r="L61477" s="8"/>
      <c r="M61477" s="8"/>
      <c r="N61477" s="8"/>
      <c r="O61477" s="8"/>
      <c r="P61477" s="8"/>
      <c r="Q61477" s="8"/>
      <c r="R61477" s="103"/>
      <c r="S61477" s="8"/>
      <c r="T61477" s="8"/>
      <c r="U61477" s="8"/>
      <c r="V61477" s="8"/>
      <c r="W61477" s="8"/>
      <c r="X61477" s="8"/>
      <c r="Y61477" s="8"/>
      <c r="Z61477" s="8"/>
      <c r="AA61477" s="8"/>
    </row>
    <row r="61478" spans="1:27" x14ac:dyDescent="0.25">
      <c r="A61478" s="8"/>
      <c r="B61478" s="8"/>
      <c r="C61478" s="99"/>
      <c r="D61478" s="8"/>
      <c r="E61478" s="8"/>
      <c r="F61478" s="8"/>
      <c r="G61478" s="8"/>
      <c r="H61478" s="8"/>
      <c r="I61478" s="102"/>
      <c r="J61478" s="8"/>
      <c r="K61478" s="8"/>
      <c r="L61478" s="8"/>
      <c r="M61478" s="8"/>
      <c r="N61478" s="8"/>
      <c r="O61478" s="8"/>
      <c r="P61478" s="8"/>
      <c r="Q61478" s="8"/>
      <c r="R61478" s="103"/>
      <c r="S61478" s="8"/>
      <c r="T61478" s="8"/>
      <c r="U61478" s="8"/>
      <c r="V61478" s="8"/>
      <c r="W61478" s="8"/>
      <c r="X61478" s="8"/>
      <c r="Y61478" s="8"/>
      <c r="Z61478" s="8"/>
      <c r="AA61478" s="8"/>
    </row>
    <row r="61479" spans="1:27" x14ac:dyDescent="0.25">
      <c r="A61479" s="8"/>
      <c r="B61479" s="8"/>
      <c r="C61479" s="99"/>
      <c r="D61479" s="8"/>
      <c r="E61479" s="8"/>
      <c r="F61479" s="8"/>
      <c r="G61479" s="8"/>
      <c r="H61479" s="8"/>
      <c r="I61479" s="102"/>
      <c r="J61479" s="8"/>
      <c r="K61479" s="8"/>
      <c r="L61479" s="8"/>
      <c r="M61479" s="8"/>
      <c r="N61479" s="8"/>
      <c r="O61479" s="8"/>
      <c r="P61479" s="8"/>
      <c r="Q61479" s="8"/>
      <c r="R61479" s="103"/>
      <c r="S61479" s="8"/>
      <c r="T61479" s="8"/>
      <c r="U61479" s="8"/>
      <c r="V61479" s="8"/>
      <c r="W61479" s="8"/>
      <c r="X61479" s="8"/>
      <c r="Y61479" s="8"/>
      <c r="Z61479" s="8"/>
      <c r="AA61479" s="8"/>
    </row>
    <row r="61480" spans="1:27" x14ac:dyDescent="0.25">
      <c r="A61480" s="8"/>
      <c r="B61480" s="8"/>
      <c r="C61480" s="99"/>
      <c r="D61480" s="8"/>
      <c r="E61480" s="8"/>
      <c r="F61480" s="8"/>
      <c r="G61480" s="8"/>
      <c r="H61480" s="8"/>
      <c r="I61480" s="102"/>
      <c r="J61480" s="8"/>
      <c r="K61480" s="8"/>
      <c r="L61480" s="8"/>
      <c r="M61480" s="8"/>
      <c r="N61480" s="8"/>
      <c r="O61480" s="8"/>
      <c r="P61480" s="8"/>
      <c r="Q61480" s="8"/>
      <c r="R61480" s="103"/>
      <c r="S61480" s="8"/>
      <c r="T61480" s="8"/>
      <c r="U61480" s="8"/>
      <c r="V61480" s="8"/>
      <c r="W61480" s="8"/>
      <c r="X61480" s="8"/>
      <c r="Y61480" s="8"/>
      <c r="Z61480" s="8"/>
      <c r="AA61480" s="8"/>
    </row>
    <row r="61481" spans="1:27" x14ac:dyDescent="0.25">
      <c r="A61481" s="8"/>
      <c r="B61481" s="8"/>
      <c r="C61481" s="99"/>
      <c r="D61481" s="8"/>
      <c r="E61481" s="8"/>
      <c r="F61481" s="8"/>
      <c r="G61481" s="8"/>
      <c r="H61481" s="8"/>
      <c r="I61481" s="102"/>
      <c r="J61481" s="8"/>
      <c r="K61481" s="8"/>
      <c r="L61481" s="8"/>
      <c r="M61481" s="8"/>
      <c r="N61481" s="8"/>
      <c r="O61481" s="8"/>
      <c r="P61481" s="8"/>
      <c r="Q61481" s="8"/>
      <c r="R61481" s="103"/>
      <c r="S61481" s="8"/>
      <c r="T61481" s="8"/>
      <c r="U61481" s="8"/>
      <c r="V61481" s="8"/>
      <c r="W61481" s="8"/>
      <c r="X61481" s="8"/>
      <c r="Y61481" s="8"/>
      <c r="Z61481" s="8"/>
      <c r="AA61481" s="8"/>
    </row>
    <row r="61482" spans="1:27" x14ac:dyDescent="0.25">
      <c r="A61482" s="8"/>
      <c r="B61482" s="8"/>
      <c r="C61482" s="99"/>
      <c r="D61482" s="8"/>
      <c r="E61482" s="8"/>
      <c r="F61482" s="8"/>
      <c r="G61482" s="8"/>
      <c r="H61482" s="8"/>
      <c r="I61482" s="102"/>
      <c r="J61482" s="8"/>
      <c r="K61482" s="8"/>
      <c r="L61482" s="8"/>
      <c r="M61482" s="8"/>
      <c r="N61482" s="8"/>
      <c r="O61482" s="8"/>
      <c r="P61482" s="8"/>
      <c r="Q61482" s="8"/>
      <c r="R61482" s="103"/>
      <c r="S61482" s="8"/>
      <c r="T61482" s="8"/>
      <c r="U61482" s="8"/>
      <c r="V61482" s="8"/>
      <c r="W61482" s="8"/>
      <c r="X61482" s="8"/>
      <c r="Y61482" s="8"/>
      <c r="Z61482" s="8"/>
      <c r="AA61482" s="8"/>
    </row>
    <row r="61483" spans="1:27" x14ac:dyDescent="0.25">
      <c r="A61483" s="8"/>
      <c r="B61483" s="8"/>
      <c r="C61483" s="99"/>
      <c r="D61483" s="8"/>
      <c r="E61483" s="8"/>
      <c r="F61483" s="8"/>
      <c r="G61483" s="8"/>
      <c r="H61483" s="8"/>
      <c r="I61483" s="102"/>
      <c r="J61483" s="8"/>
      <c r="K61483" s="8"/>
      <c r="L61483" s="8"/>
      <c r="M61483" s="8"/>
      <c r="N61483" s="8"/>
      <c r="O61483" s="8"/>
      <c r="P61483" s="8"/>
      <c r="Q61483" s="8"/>
      <c r="R61483" s="103"/>
      <c r="S61483" s="8"/>
      <c r="T61483" s="8"/>
      <c r="U61483" s="8"/>
      <c r="V61483" s="8"/>
      <c r="W61483" s="8"/>
      <c r="X61483" s="8"/>
      <c r="Y61483" s="8"/>
      <c r="Z61483" s="8"/>
      <c r="AA61483" s="8"/>
    </row>
    <row r="61484" spans="1:27" x14ac:dyDescent="0.25">
      <c r="A61484" s="8"/>
      <c r="B61484" s="8"/>
      <c r="C61484" s="99"/>
      <c r="D61484" s="8"/>
      <c r="E61484" s="8"/>
      <c r="F61484" s="8"/>
      <c r="G61484" s="8"/>
      <c r="H61484" s="8"/>
      <c r="I61484" s="102"/>
      <c r="J61484" s="8"/>
      <c r="K61484" s="8"/>
      <c r="L61484" s="8"/>
      <c r="M61484" s="8"/>
      <c r="N61484" s="8"/>
      <c r="O61484" s="8"/>
      <c r="P61484" s="8"/>
      <c r="Q61484" s="8"/>
      <c r="R61484" s="103"/>
      <c r="S61484" s="8"/>
      <c r="T61484" s="8"/>
      <c r="U61484" s="8"/>
      <c r="V61484" s="8"/>
      <c r="W61484" s="8"/>
      <c r="X61484" s="8"/>
      <c r="Y61484" s="8"/>
      <c r="Z61484" s="8"/>
      <c r="AA61484" s="8"/>
    </row>
    <row r="61485" spans="1:27" x14ac:dyDescent="0.25">
      <c r="A61485" s="8"/>
      <c r="B61485" s="8"/>
      <c r="C61485" s="99"/>
      <c r="D61485" s="8"/>
      <c r="E61485" s="8"/>
      <c r="F61485" s="8"/>
      <c r="G61485" s="8"/>
      <c r="H61485" s="8"/>
      <c r="I61485" s="102"/>
      <c r="J61485" s="8"/>
      <c r="K61485" s="8"/>
      <c r="L61485" s="8"/>
      <c r="M61485" s="8"/>
      <c r="N61485" s="8"/>
      <c r="O61485" s="8"/>
      <c r="P61485" s="8"/>
      <c r="Q61485" s="8"/>
      <c r="R61485" s="103"/>
      <c r="S61485" s="8"/>
      <c r="T61485" s="8"/>
      <c r="U61485" s="8"/>
      <c r="V61485" s="8"/>
      <c r="W61485" s="8"/>
      <c r="X61485" s="8"/>
      <c r="Y61485" s="8"/>
      <c r="Z61485" s="8"/>
      <c r="AA61485" s="8"/>
    </row>
    <row r="61486" spans="1:27" x14ac:dyDescent="0.25">
      <c r="A61486" s="8"/>
      <c r="B61486" s="8"/>
      <c r="C61486" s="99"/>
      <c r="D61486" s="8"/>
      <c r="E61486" s="8"/>
      <c r="F61486" s="8"/>
      <c r="G61486" s="8"/>
      <c r="H61486" s="8"/>
      <c r="I61486" s="102"/>
      <c r="J61486" s="8"/>
      <c r="K61486" s="8"/>
      <c r="L61486" s="8"/>
      <c r="M61486" s="8"/>
      <c r="N61486" s="8"/>
      <c r="O61486" s="8"/>
      <c r="P61486" s="8"/>
      <c r="Q61486" s="8"/>
      <c r="R61486" s="103"/>
      <c r="S61486" s="8"/>
      <c r="T61486" s="8"/>
      <c r="U61486" s="8"/>
      <c r="V61486" s="8"/>
      <c r="W61486" s="8"/>
      <c r="X61486" s="8"/>
      <c r="Y61486" s="8"/>
      <c r="Z61486" s="8"/>
      <c r="AA61486" s="8"/>
    </row>
    <row r="61487" spans="1:27" x14ac:dyDescent="0.25">
      <c r="A61487" s="8"/>
      <c r="B61487" s="8"/>
      <c r="C61487" s="99"/>
      <c r="D61487" s="8"/>
      <c r="E61487" s="8"/>
      <c r="F61487" s="8"/>
      <c r="G61487" s="8"/>
      <c r="H61487" s="8"/>
      <c r="I61487" s="102"/>
      <c r="J61487" s="8"/>
      <c r="K61487" s="8"/>
      <c r="L61487" s="8"/>
      <c r="M61487" s="8"/>
      <c r="N61487" s="8"/>
      <c r="O61487" s="8"/>
      <c r="P61487" s="8"/>
      <c r="Q61487" s="8"/>
      <c r="R61487" s="103"/>
      <c r="S61487" s="8"/>
      <c r="T61487" s="8"/>
      <c r="U61487" s="8"/>
      <c r="V61487" s="8"/>
      <c r="W61487" s="8"/>
      <c r="X61487" s="8"/>
      <c r="Y61487" s="8"/>
      <c r="Z61487" s="8"/>
      <c r="AA61487" s="8"/>
    </row>
    <row r="61488" spans="1:27" x14ac:dyDescent="0.25">
      <c r="A61488" s="8"/>
      <c r="B61488" s="8"/>
      <c r="C61488" s="99"/>
      <c r="D61488" s="8"/>
      <c r="E61488" s="8"/>
      <c r="F61488" s="8"/>
      <c r="G61488" s="8"/>
      <c r="H61488" s="8"/>
      <c r="I61488" s="102"/>
      <c r="J61488" s="8"/>
      <c r="K61488" s="8"/>
      <c r="L61488" s="8"/>
      <c r="M61488" s="8"/>
      <c r="N61488" s="8"/>
      <c r="O61488" s="8"/>
      <c r="P61488" s="8"/>
      <c r="Q61488" s="8"/>
      <c r="R61488" s="103"/>
      <c r="S61488" s="8"/>
      <c r="T61488" s="8"/>
      <c r="U61488" s="8"/>
      <c r="V61488" s="8"/>
      <c r="W61488" s="8"/>
      <c r="X61488" s="8"/>
      <c r="Y61488" s="8"/>
      <c r="Z61488" s="8"/>
      <c r="AA61488" s="8"/>
    </row>
    <row r="61489" spans="1:27" x14ac:dyDescent="0.25">
      <c r="A61489" s="8"/>
      <c r="B61489" s="8"/>
      <c r="C61489" s="99"/>
      <c r="D61489" s="8"/>
      <c r="E61489" s="8"/>
      <c r="F61489" s="8"/>
      <c r="G61489" s="8"/>
      <c r="H61489" s="8"/>
      <c r="I61489" s="102"/>
      <c r="J61489" s="8"/>
      <c r="K61489" s="8"/>
      <c r="L61489" s="8"/>
      <c r="M61489" s="8"/>
      <c r="N61489" s="8"/>
      <c r="O61489" s="8"/>
      <c r="P61489" s="8"/>
      <c r="Q61489" s="8"/>
      <c r="R61489" s="103"/>
      <c r="S61489" s="8"/>
      <c r="T61489" s="8"/>
      <c r="U61489" s="8"/>
      <c r="V61489" s="8"/>
      <c r="W61489" s="8"/>
      <c r="X61489" s="8"/>
      <c r="Y61489" s="8"/>
      <c r="Z61489" s="8"/>
      <c r="AA61489" s="8"/>
    </row>
    <row r="61490" spans="1:27" x14ac:dyDescent="0.25">
      <c r="A61490" s="8"/>
      <c r="B61490" s="8"/>
      <c r="C61490" s="99"/>
      <c r="D61490" s="8"/>
      <c r="E61490" s="8"/>
      <c r="F61490" s="8"/>
      <c r="G61490" s="8"/>
      <c r="H61490" s="8"/>
      <c r="I61490" s="102"/>
      <c r="J61490" s="8"/>
      <c r="K61490" s="8"/>
      <c r="L61490" s="8"/>
      <c r="M61490" s="8"/>
      <c r="N61490" s="8"/>
      <c r="O61490" s="8"/>
      <c r="P61490" s="8"/>
      <c r="Q61490" s="8"/>
      <c r="R61490" s="103"/>
      <c r="S61490" s="8"/>
      <c r="T61490" s="8"/>
      <c r="U61490" s="8"/>
      <c r="V61490" s="8"/>
      <c r="W61490" s="8"/>
      <c r="X61490" s="8"/>
      <c r="Y61490" s="8"/>
      <c r="Z61490" s="8"/>
      <c r="AA61490" s="8"/>
    </row>
    <row r="61491" spans="1:27" x14ac:dyDescent="0.25">
      <c r="A61491" s="8"/>
      <c r="B61491" s="8"/>
      <c r="C61491" s="99"/>
      <c r="D61491" s="8"/>
      <c r="E61491" s="8"/>
      <c r="F61491" s="8"/>
      <c r="G61491" s="8"/>
      <c r="H61491" s="8"/>
      <c r="I61491" s="102"/>
      <c r="J61491" s="8"/>
      <c r="K61491" s="8"/>
      <c r="L61491" s="8"/>
      <c r="M61491" s="8"/>
      <c r="N61491" s="8"/>
      <c r="O61491" s="8"/>
      <c r="P61491" s="8"/>
      <c r="Q61491" s="8"/>
      <c r="R61491" s="103"/>
      <c r="S61491" s="8"/>
      <c r="T61491" s="8"/>
      <c r="U61491" s="8"/>
      <c r="V61491" s="8"/>
      <c r="W61491" s="8"/>
      <c r="X61491" s="8"/>
      <c r="Y61491" s="8"/>
      <c r="Z61491" s="8"/>
      <c r="AA61491" s="8"/>
    </row>
    <row r="61492" spans="1:27" x14ac:dyDescent="0.25">
      <c r="A61492" s="8"/>
      <c r="B61492" s="8"/>
      <c r="C61492" s="99"/>
      <c r="D61492" s="8"/>
      <c r="E61492" s="8"/>
      <c r="F61492" s="8"/>
      <c r="G61492" s="8"/>
      <c r="H61492" s="8"/>
      <c r="I61492" s="102"/>
      <c r="J61492" s="8"/>
      <c r="K61492" s="8"/>
      <c r="L61492" s="8"/>
      <c r="M61492" s="8"/>
      <c r="N61492" s="8"/>
      <c r="O61492" s="8"/>
      <c r="P61492" s="8"/>
      <c r="Q61492" s="8"/>
      <c r="R61492" s="103"/>
      <c r="S61492" s="8"/>
      <c r="T61492" s="8"/>
      <c r="U61492" s="8"/>
      <c r="V61492" s="8"/>
      <c r="W61492" s="8"/>
      <c r="X61492" s="8"/>
      <c r="Y61492" s="8"/>
      <c r="Z61492" s="8"/>
      <c r="AA61492" s="8"/>
    </row>
    <row r="61493" spans="1:27" x14ac:dyDescent="0.25">
      <c r="A61493" s="8"/>
      <c r="B61493" s="8"/>
      <c r="C61493" s="99"/>
      <c r="D61493" s="8"/>
      <c r="E61493" s="8"/>
      <c r="F61493" s="8"/>
      <c r="G61493" s="8"/>
      <c r="H61493" s="8"/>
      <c r="I61493" s="102"/>
      <c r="J61493" s="8"/>
      <c r="K61493" s="8"/>
      <c r="L61493" s="8"/>
      <c r="M61493" s="8"/>
      <c r="N61493" s="8"/>
      <c r="O61493" s="8"/>
      <c r="P61493" s="8"/>
      <c r="Q61493" s="8"/>
      <c r="R61493" s="103"/>
      <c r="S61493" s="8"/>
      <c r="T61493" s="8"/>
      <c r="U61493" s="8"/>
      <c r="V61493" s="8"/>
      <c r="W61493" s="8"/>
      <c r="X61493" s="8"/>
      <c r="Y61493" s="8"/>
      <c r="Z61493" s="8"/>
      <c r="AA61493" s="8"/>
    </row>
    <row r="61494" spans="1:27" x14ac:dyDescent="0.25">
      <c r="A61494" s="8"/>
      <c r="B61494" s="8"/>
      <c r="C61494" s="99"/>
      <c r="D61494" s="8"/>
      <c r="E61494" s="8"/>
      <c r="F61494" s="8"/>
      <c r="G61494" s="8"/>
      <c r="H61494" s="8"/>
      <c r="I61494" s="102"/>
      <c r="J61494" s="8"/>
      <c r="K61494" s="8"/>
      <c r="L61494" s="8"/>
      <c r="M61494" s="8"/>
      <c r="N61494" s="8"/>
      <c r="O61494" s="8"/>
      <c r="P61494" s="8"/>
      <c r="Q61494" s="8"/>
      <c r="R61494" s="103"/>
      <c r="S61494" s="8"/>
      <c r="T61494" s="8"/>
      <c r="U61494" s="8"/>
      <c r="V61494" s="8"/>
      <c r="W61494" s="8"/>
      <c r="X61494" s="8"/>
      <c r="Y61494" s="8"/>
      <c r="Z61494" s="8"/>
      <c r="AA61494" s="8"/>
    </row>
    <row r="61495" spans="1:27" x14ac:dyDescent="0.25">
      <c r="A61495" s="8"/>
      <c r="B61495" s="8"/>
      <c r="C61495" s="99"/>
      <c r="D61495" s="8"/>
      <c r="E61495" s="8"/>
      <c r="F61495" s="8"/>
      <c r="G61495" s="8"/>
      <c r="H61495" s="8"/>
      <c r="I61495" s="102"/>
      <c r="J61495" s="8"/>
      <c r="K61495" s="8"/>
      <c r="L61495" s="8"/>
      <c r="M61495" s="8"/>
      <c r="N61495" s="8"/>
      <c r="O61495" s="8"/>
      <c r="P61495" s="8"/>
      <c r="Q61495" s="8"/>
      <c r="R61495" s="103"/>
      <c r="S61495" s="8"/>
      <c r="T61495" s="8"/>
      <c r="U61495" s="8"/>
      <c r="V61495" s="8"/>
      <c r="W61495" s="8"/>
      <c r="X61495" s="8"/>
      <c r="Y61495" s="8"/>
      <c r="Z61495" s="8"/>
      <c r="AA61495" s="8"/>
    </row>
    <row r="61496" spans="1:27" x14ac:dyDescent="0.25">
      <c r="A61496" s="8"/>
      <c r="B61496" s="8"/>
      <c r="C61496" s="99"/>
      <c r="D61496" s="8"/>
      <c r="E61496" s="8"/>
      <c r="F61496" s="8"/>
      <c r="G61496" s="8"/>
      <c r="H61496" s="8"/>
      <c r="I61496" s="102"/>
      <c r="J61496" s="8"/>
      <c r="K61496" s="8"/>
      <c r="L61496" s="8"/>
      <c r="M61496" s="8"/>
      <c r="N61496" s="8"/>
      <c r="O61496" s="8"/>
      <c r="P61496" s="8"/>
      <c r="Q61496" s="8"/>
      <c r="R61496" s="103"/>
      <c r="S61496" s="8"/>
      <c r="T61496" s="8"/>
      <c r="U61496" s="8"/>
      <c r="V61496" s="8"/>
      <c r="W61496" s="8"/>
      <c r="X61496" s="8"/>
      <c r="Y61496" s="8"/>
      <c r="Z61496" s="8"/>
      <c r="AA61496" s="8"/>
    </row>
    <row r="61497" spans="1:27" x14ac:dyDescent="0.25">
      <c r="A61497" s="8"/>
      <c r="B61497" s="8"/>
      <c r="C61497" s="99"/>
      <c r="D61497" s="8"/>
      <c r="E61497" s="8"/>
      <c r="F61497" s="8"/>
      <c r="G61497" s="8"/>
      <c r="H61497" s="8"/>
      <c r="I61497" s="102"/>
      <c r="J61497" s="8"/>
      <c r="K61497" s="8"/>
      <c r="L61497" s="8"/>
      <c r="M61497" s="8"/>
      <c r="N61497" s="8"/>
      <c r="O61497" s="8"/>
      <c r="P61497" s="8"/>
      <c r="Q61497" s="8"/>
      <c r="R61497" s="103"/>
      <c r="S61497" s="8"/>
      <c r="T61497" s="8"/>
      <c r="U61497" s="8"/>
      <c r="V61497" s="8"/>
      <c r="W61497" s="8"/>
      <c r="X61497" s="8"/>
      <c r="Y61497" s="8"/>
      <c r="Z61497" s="8"/>
      <c r="AA61497" s="8"/>
    </row>
    <row r="61498" spans="1:27" x14ac:dyDescent="0.25">
      <c r="A61498" s="8"/>
      <c r="B61498" s="8"/>
      <c r="C61498" s="99"/>
      <c r="D61498" s="8"/>
      <c r="E61498" s="8"/>
      <c r="F61498" s="8"/>
      <c r="G61498" s="8"/>
      <c r="H61498" s="8"/>
      <c r="I61498" s="102"/>
      <c r="J61498" s="8"/>
      <c r="K61498" s="8"/>
      <c r="L61498" s="8"/>
      <c r="M61498" s="8"/>
      <c r="N61498" s="8"/>
      <c r="O61498" s="8"/>
      <c r="P61498" s="8"/>
      <c r="Q61498" s="8"/>
      <c r="R61498" s="103"/>
      <c r="S61498" s="8"/>
      <c r="T61498" s="8"/>
      <c r="U61498" s="8"/>
      <c r="V61498" s="8"/>
      <c r="W61498" s="8"/>
      <c r="X61498" s="8"/>
      <c r="Y61498" s="8"/>
      <c r="Z61498" s="8"/>
      <c r="AA61498" s="8"/>
    </row>
    <row r="61499" spans="1:27" x14ac:dyDescent="0.25">
      <c r="A61499" s="8"/>
      <c r="B61499" s="8"/>
      <c r="C61499" s="99"/>
      <c r="D61499" s="8"/>
      <c r="E61499" s="8"/>
      <c r="F61499" s="8"/>
      <c r="G61499" s="8"/>
      <c r="H61499" s="8"/>
      <c r="I61499" s="102"/>
      <c r="J61499" s="8"/>
      <c r="K61499" s="8"/>
      <c r="L61499" s="8"/>
      <c r="M61499" s="8"/>
      <c r="N61499" s="8"/>
      <c r="O61499" s="8"/>
      <c r="P61499" s="8"/>
      <c r="Q61499" s="8"/>
      <c r="R61499" s="103"/>
      <c r="S61499" s="8"/>
      <c r="T61499" s="8"/>
      <c r="U61499" s="8"/>
      <c r="V61499" s="8"/>
      <c r="W61499" s="8"/>
      <c r="X61499" s="8"/>
      <c r="Y61499" s="8"/>
      <c r="Z61499" s="8"/>
      <c r="AA61499" s="8"/>
    </row>
    <row r="61500" spans="1:27" x14ac:dyDescent="0.25">
      <c r="A61500" s="8"/>
      <c r="B61500" s="8"/>
      <c r="C61500" s="99"/>
      <c r="D61500" s="8"/>
      <c r="E61500" s="8"/>
      <c r="F61500" s="8"/>
      <c r="G61500" s="8"/>
      <c r="H61500" s="8"/>
      <c r="I61500" s="102"/>
      <c r="J61500" s="8"/>
      <c r="K61500" s="8"/>
      <c r="L61500" s="8"/>
      <c r="M61500" s="8"/>
      <c r="N61500" s="8"/>
      <c r="O61500" s="8"/>
      <c r="P61500" s="8"/>
      <c r="Q61500" s="8"/>
      <c r="R61500" s="103"/>
      <c r="S61500" s="8"/>
      <c r="T61500" s="8"/>
      <c r="U61500" s="8"/>
      <c r="V61500" s="8"/>
      <c r="W61500" s="8"/>
      <c r="X61500" s="8"/>
      <c r="Y61500" s="8"/>
      <c r="Z61500" s="8"/>
      <c r="AA61500" s="8"/>
    </row>
    <row r="61501" spans="1:27" x14ac:dyDescent="0.25">
      <c r="A61501" s="8"/>
      <c r="B61501" s="8"/>
      <c r="C61501" s="99"/>
      <c r="D61501" s="8"/>
      <c r="E61501" s="8"/>
      <c r="F61501" s="8"/>
      <c r="G61501" s="8"/>
      <c r="H61501" s="8"/>
      <c r="I61501" s="102"/>
      <c r="J61501" s="8"/>
      <c r="K61501" s="8"/>
      <c r="L61501" s="8"/>
      <c r="M61501" s="8"/>
      <c r="N61501" s="8"/>
      <c r="O61501" s="8"/>
      <c r="P61501" s="8"/>
      <c r="Q61501" s="8"/>
      <c r="R61501" s="103"/>
      <c r="S61501" s="8"/>
      <c r="T61501" s="8"/>
      <c r="U61501" s="8"/>
      <c r="V61501" s="8"/>
      <c r="W61501" s="8"/>
      <c r="X61501" s="8"/>
      <c r="Y61501" s="8"/>
      <c r="Z61501" s="8"/>
      <c r="AA61501" s="8"/>
    </row>
    <row r="61502" spans="1:27" x14ac:dyDescent="0.25">
      <c r="A61502" s="8"/>
      <c r="B61502" s="8"/>
      <c r="C61502" s="99"/>
      <c r="D61502" s="8"/>
      <c r="E61502" s="8"/>
      <c r="F61502" s="8"/>
      <c r="G61502" s="8"/>
      <c r="H61502" s="8"/>
      <c r="I61502" s="102"/>
      <c r="J61502" s="8"/>
      <c r="K61502" s="8"/>
      <c r="L61502" s="8"/>
      <c r="M61502" s="8"/>
      <c r="N61502" s="8"/>
      <c r="O61502" s="8"/>
      <c r="P61502" s="8"/>
      <c r="Q61502" s="8"/>
      <c r="R61502" s="103"/>
      <c r="S61502" s="8"/>
      <c r="T61502" s="8"/>
      <c r="U61502" s="8"/>
      <c r="V61502" s="8"/>
      <c r="W61502" s="8"/>
      <c r="X61502" s="8"/>
      <c r="Y61502" s="8"/>
      <c r="Z61502" s="8"/>
      <c r="AA61502" s="8"/>
    </row>
    <row r="61503" spans="1:27" x14ac:dyDescent="0.25">
      <c r="A61503" s="8"/>
      <c r="B61503" s="8"/>
      <c r="C61503" s="99"/>
      <c r="D61503" s="8"/>
      <c r="E61503" s="8"/>
      <c r="F61503" s="8"/>
      <c r="G61503" s="8"/>
      <c r="H61503" s="8"/>
      <c r="I61503" s="102"/>
      <c r="J61503" s="8"/>
      <c r="K61503" s="8"/>
      <c r="L61503" s="8"/>
      <c r="M61503" s="8"/>
      <c r="N61503" s="8"/>
      <c r="O61503" s="8"/>
      <c r="P61503" s="8"/>
      <c r="Q61503" s="8"/>
      <c r="R61503" s="103"/>
      <c r="S61503" s="8"/>
      <c r="T61503" s="8"/>
      <c r="U61503" s="8"/>
      <c r="V61503" s="8"/>
      <c r="W61503" s="8"/>
      <c r="X61503" s="8"/>
      <c r="Y61503" s="8"/>
      <c r="Z61503" s="8"/>
      <c r="AA61503" s="8"/>
    </row>
    <row r="61504" spans="1:27" x14ac:dyDescent="0.25">
      <c r="A61504" s="8"/>
      <c r="B61504" s="8"/>
      <c r="C61504" s="99"/>
      <c r="D61504" s="8"/>
      <c r="E61504" s="8"/>
      <c r="F61504" s="8"/>
      <c r="G61504" s="8"/>
      <c r="H61504" s="8"/>
      <c r="I61504" s="102"/>
      <c r="J61504" s="8"/>
      <c r="K61504" s="8"/>
      <c r="L61504" s="8"/>
      <c r="M61504" s="8"/>
      <c r="N61504" s="8"/>
      <c r="O61504" s="8"/>
      <c r="P61504" s="8"/>
      <c r="Q61504" s="8"/>
      <c r="R61504" s="103"/>
      <c r="S61504" s="8"/>
      <c r="T61504" s="8"/>
      <c r="U61504" s="8"/>
      <c r="V61504" s="8"/>
      <c r="W61504" s="8"/>
      <c r="X61504" s="8"/>
      <c r="Y61504" s="8"/>
      <c r="Z61504" s="8"/>
      <c r="AA61504" s="8"/>
    </row>
    <row r="61505" spans="1:27" x14ac:dyDescent="0.25">
      <c r="A61505" s="8"/>
      <c r="B61505" s="8"/>
      <c r="C61505" s="99"/>
      <c r="D61505" s="8"/>
      <c r="E61505" s="8"/>
      <c r="F61505" s="8"/>
      <c r="G61505" s="8"/>
      <c r="H61505" s="8"/>
      <c r="I61505" s="102"/>
      <c r="J61505" s="8"/>
      <c r="K61505" s="8"/>
      <c r="L61505" s="8"/>
      <c r="M61505" s="8"/>
      <c r="N61505" s="8"/>
      <c r="O61505" s="8"/>
      <c r="P61505" s="8"/>
      <c r="Q61505" s="8"/>
      <c r="R61505" s="103"/>
      <c r="S61505" s="8"/>
      <c r="T61505" s="8"/>
      <c r="U61505" s="8"/>
      <c r="V61505" s="8"/>
      <c r="W61505" s="8"/>
      <c r="X61505" s="8"/>
      <c r="Y61505" s="8"/>
      <c r="Z61505" s="8"/>
      <c r="AA61505" s="8"/>
    </row>
    <row r="61506" spans="1:27" x14ac:dyDescent="0.25">
      <c r="A61506" s="8"/>
      <c r="B61506" s="8"/>
      <c r="C61506" s="99"/>
      <c r="D61506" s="8"/>
      <c r="E61506" s="8"/>
      <c r="F61506" s="8"/>
      <c r="G61506" s="8"/>
      <c r="H61506" s="8"/>
      <c r="I61506" s="102"/>
      <c r="J61506" s="8"/>
      <c r="K61506" s="8"/>
      <c r="L61506" s="8"/>
      <c r="M61506" s="8"/>
      <c r="N61506" s="8"/>
      <c r="O61506" s="8"/>
      <c r="P61506" s="8"/>
      <c r="Q61506" s="8"/>
      <c r="R61506" s="103"/>
      <c r="S61506" s="8"/>
      <c r="T61506" s="8"/>
      <c r="U61506" s="8"/>
      <c r="V61506" s="8"/>
      <c r="W61506" s="8"/>
      <c r="X61506" s="8"/>
      <c r="Y61506" s="8"/>
      <c r="Z61506" s="8"/>
      <c r="AA61506" s="8"/>
    </row>
    <row r="61507" spans="1:27" x14ac:dyDescent="0.25">
      <c r="A61507" s="8"/>
      <c r="B61507" s="8"/>
      <c r="C61507" s="99"/>
      <c r="D61507" s="8"/>
      <c r="E61507" s="8"/>
      <c r="F61507" s="8"/>
      <c r="G61507" s="8"/>
      <c r="H61507" s="8"/>
      <c r="I61507" s="102"/>
      <c r="J61507" s="8"/>
      <c r="K61507" s="8"/>
      <c r="L61507" s="8"/>
      <c r="M61507" s="8"/>
      <c r="N61507" s="8"/>
      <c r="O61507" s="8"/>
      <c r="P61507" s="8"/>
      <c r="Q61507" s="8"/>
      <c r="R61507" s="103"/>
      <c r="S61507" s="8"/>
      <c r="T61507" s="8"/>
      <c r="U61507" s="8"/>
      <c r="V61507" s="8"/>
      <c r="W61507" s="8"/>
      <c r="X61507" s="8"/>
      <c r="Y61507" s="8"/>
      <c r="Z61507" s="8"/>
      <c r="AA61507" s="8"/>
    </row>
    <row r="61508" spans="1:27" x14ac:dyDescent="0.25">
      <c r="A61508" s="8"/>
      <c r="B61508" s="8"/>
      <c r="C61508" s="99"/>
      <c r="D61508" s="8"/>
      <c r="E61508" s="8"/>
      <c r="F61508" s="8"/>
      <c r="G61508" s="8"/>
      <c r="H61508" s="8"/>
      <c r="I61508" s="102"/>
      <c r="J61508" s="8"/>
      <c r="K61508" s="8"/>
      <c r="L61508" s="8"/>
      <c r="M61508" s="8"/>
      <c r="N61508" s="8"/>
      <c r="O61508" s="8"/>
      <c r="P61508" s="8"/>
      <c r="Q61508" s="8"/>
      <c r="R61508" s="103"/>
      <c r="S61508" s="8"/>
      <c r="T61508" s="8"/>
      <c r="U61508" s="8"/>
      <c r="V61508" s="8"/>
      <c r="W61508" s="8"/>
      <c r="X61508" s="8"/>
      <c r="Y61508" s="8"/>
      <c r="Z61508" s="8"/>
      <c r="AA61508" s="8"/>
    </row>
    <row r="61509" spans="1:27" x14ac:dyDescent="0.25">
      <c r="A61509" s="8"/>
      <c r="B61509" s="8"/>
      <c r="C61509" s="99"/>
      <c r="D61509" s="8"/>
      <c r="E61509" s="8"/>
      <c r="F61509" s="8"/>
      <c r="G61509" s="8"/>
      <c r="H61509" s="8"/>
      <c r="I61509" s="102"/>
      <c r="J61509" s="8"/>
      <c r="K61509" s="8"/>
      <c r="L61509" s="8"/>
      <c r="M61509" s="8"/>
      <c r="N61509" s="8"/>
      <c r="O61509" s="8"/>
      <c r="P61509" s="8"/>
      <c r="Q61509" s="8"/>
      <c r="R61509" s="103"/>
      <c r="S61509" s="8"/>
      <c r="T61509" s="8"/>
      <c r="U61509" s="8"/>
      <c r="V61509" s="8"/>
      <c r="W61509" s="8"/>
      <c r="X61509" s="8"/>
      <c r="Y61509" s="8"/>
      <c r="Z61509" s="8"/>
      <c r="AA61509" s="8"/>
    </row>
    <row r="61510" spans="1:27" x14ac:dyDescent="0.25">
      <c r="A61510" s="8"/>
      <c r="B61510" s="8"/>
      <c r="C61510" s="99"/>
      <c r="D61510" s="8"/>
      <c r="E61510" s="8"/>
      <c r="F61510" s="8"/>
      <c r="G61510" s="8"/>
      <c r="H61510" s="8"/>
      <c r="I61510" s="102"/>
      <c r="J61510" s="8"/>
      <c r="K61510" s="8"/>
      <c r="L61510" s="8"/>
      <c r="M61510" s="8"/>
      <c r="N61510" s="8"/>
      <c r="O61510" s="8"/>
      <c r="P61510" s="8"/>
      <c r="Q61510" s="8"/>
      <c r="R61510" s="103"/>
      <c r="S61510" s="8"/>
      <c r="T61510" s="8"/>
      <c r="U61510" s="8"/>
      <c r="V61510" s="8"/>
      <c r="W61510" s="8"/>
      <c r="X61510" s="8"/>
      <c r="Y61510" s="8"/>
      <c r="Z61510" s="8"/>
      <c r="AA61510" s="8"/>
    </row>
    <row r="61511" spans="1:27" x14ac:dyDescent="0.25">
      <c r="A61511" s="8"/>
      <c r="B61511" s="8"/>
      <c r="C61511" s="99"/>
      <c r="D61511" s="8"/>
      <c r="E61511" s="8"/>
      <c r="F61511" s="8"/>
      <c r="G61511" s="8"/>
      <c r="H61511" s="8"/>
      <c r="I61511" s="102"/>
      <c r="J61511" s="8"/>
      <c r="K61511" s="8"/>
      <c r="L61511" s="8"/>
      <c r="M61511" s="8"/>
      <c r="N61511" s="8"/>
      <c r="O61511" s="8"/>
      <c r="P61511" s="8"/>
      <c r="Q61511" s="8"/>
      <c r="R61511" s="103"/>
      <c r="S61511" s="8"/>
      <c r="T61511" s="8"/>
      <c r="U61511" s="8"/>
      <c r="V61511" s="8"/>
      <c r="W61511" s="8"/>
      <c r="X61511" s="8"/>
      <c r="Y61511" s="8"/>
      <c r="Z61511" s="8"/>
      <c r="AA61511" s="8"/>
    </row>
    <row r="61512" spans="1:27" x14ac:dyDescent="0.25">
      <c r="A61512" s="8"/>
      <c r="B61512" s="8"/>
      <c r="C61512" s="99"/>
      <c r="D61512" s="8"/>
      <c r="E61512" s="8"/>
      <c r="F61512" s="8"/>
      <c r="G61512" s="8"/>
      <c r="H61512" s="8"/>
      <c r="I61512" s="102"/>
      <c r="J61512" s="8"/>
      <c r="K61512" s="8"/>
      <c r="L61512" s="8"/>
      <c r="M61512" s="8"/>
      <c r="N61512" s="8"/>
      <c r="O61512" s="8"/>
      <c r="P61512" s="8"/>
      <c r="Q61512" s="8"/>
      <c r="R61512" s="103"/>
      <c r="S61512" s="8"/>
      <c r="T61512" s="8"/>
      <c r="U61512" s="8"/>
      <c r="V61512" s="8"/>
      <c r="W61512" s="8"/>
      <c r="X61512" s="8"/>
      <c r="Y61512" s="8"/>
      <c r="Z61512" s="8"/>
      <c r="AA61512" s="8"/>
    </row>
    <row r="61513" spans="1:27" x14ac:dyDescent="0.25">
      <c r="A61513" s="8"/>
      <c r="B61513" s="8"/>
      <c r="C61513" s="99"/>
      <c r="D61513" s="8"/>
      <c r="E61513" s="8"/>
      <c r="F61513" s="8"/>
      <c r="G61513" s="8"/>
      <c r="H61513" s="8"/>
      <c r="I61513" s="102"/>
      <c r="J61513" s="8"/>
      <c r="K61513" s="8"/>
      <c r="L61513" s="8"/>
      <c r="M61513" s="8"/>
      <c r="N61513" s="8"/>
      <c r="O61513" s="8"/>
      <c r="P61513" s="8"/>
      <c r="Q61513" s="8"/>
      <c r="R61513" s="103"/>
      <c r="S61513" s="8"/>
      <c r="T61513" s="8"/>
      <c r="U61513" s="8"/>
      <c r="V61513" s="8"/>
      <c r="W61513" s="8"/>
      <c r="X61513" s="8"/>
      <c r="Y61513" s="8"/>
      <c r="Z61513" s="8"/>
      <c r="AA61513" s="8"/>
    </row>
    <row r="61514" spans="1:27" x14ac:dyDescent="0.25">
      <c r="A61514" s="8"/>
      <c r="B61514" s="8"/>
      <c r="C61514" s="99"/>
      <c r="D61514" s="8"/>
      <c r="E61514" s="8"/>
      <c r="F61514" s="8"/>
      <c r="G61514" s="8"/>
      <c r="H61514" s="8"/>
      <c r="I61514" s="102"/>
      <c r="J61514" s="8"/>
      <c r="K61514" s="8"/>
      <c r="L61514" s="8"/>
      <c r="M61514" s="8"/>
      <c r="N61514" s="8"/>
      <c r="O61514" s="8"/>
      <c r="P61514" s="8"/>
      <c r="Q61514" s="8"/>
      <c r="R61514" s="103"/>
      <c r="S61514" s="8"/>
      <c r="T61514" s="8"/>
      <c r="U61514" s="8"/>
      <c r="V61514" s="8"/>
      <c r="W61514" s="8"/>
      <c r="X61514" s="8"/>
      <c r="Y61514" s="8"/>
      <c r="Z61514" s="8"/>
      <c r="AA61514" s="8"/>
    </row>
    <row r="61515" spans="1:27" x14ac:dyDescent="0.25">
      <c r="A61515" s="8"/>
      <c r="B61515" s="8"/>
      <c r="C61515" s="99"/>
      <c r="D61515" s="8"/>
      <c r="E61515" s="8"/>
      <c r="F61515" s="8"/>
      <c r="G61515" s="8"/>
      <c r="H61515" s="8"/>
      <c r="I61515" s="102"/>
      <c r="J61515" s="8"/>
      <c r="K61515" s="8"/>
      <c r="L61515" s="8"/>
      <c r="M61515" s="8"/>
      <c r="N61515" s="8"/>
      <c r="O61515" s="8"/>
      <c r="P61515" s="8"/>
      <c r="Q61515" s="8"/>
      <c r="R61515" s="103"/>
      <c r="S61515" s="8"/>
      <c r="T61515" s="8"/>
      <c r="U61515" s="8"/>
      <c r="V61515" s="8"/>
      <c r="W61515" s="8"/>
      <c r="X61515" s="8"/>
      <c r="Y61515" s="8"/>
      <c r="Z61515" s="8"/>
      <c r="AA61515" s="8"/>
    </row>
    <row r="61516" spans="1:27" x14ac:dyDescent="0.25">
      <c r="A61516" s="8"/>
      <c r="B61516" s="8"/>
      <c r="C61516" s="99"/>
      <c r="D61516" s="8"/>
      <c r="E61516" s="8"/>
      <c r="F61516" s="8"/>
      <c r="G61516" s="8"/>
      <c r="H61516" s="8"/>
      <c r="I61516" s="102"/>
      <c r="J61516" s="8"/>
      <c r="K61516" s="8"/>
      <c r="L61516" s="8"/>
      <c r="M61516" s="8"/>
      <c r="N61516" s="8"/>
      <c r="O61516" s="8"/>
      <c r="P61516" s="8"/>
      <c r="Q61516" s="8"/>
      <c r="R61516" s="103"/>
      <c r="S61516" s="8"/>
      <c r="T61516" s="8"/>
      <c r="U61516" s="8"/>
      <c r="V61516" s="8"/>
      <c r="W61516" s="8"/>
      <c r="X61516" s="8"/>
      <c r="Y61516" s="8"/>
      <c r="Z61516" s="8"/>
      <c r="AA61516" s="8"/>
    </row>
    <row r="61517" spans="1:27" x14ac:dyDescent="0.25">
      <c r="A61517" s="8"/>
      <c r="B61517" s="8"/>
      <c r="C61517" s="99"/>
      <c r="D61517" s="8"/>
      <c r="E61517" s="8"/>
      <c r="F61517" s="8"/>
      <c r="G61517" s="8"/>
      <c r="H61517" s="8"/>
      <c r="I61517" s="102"/>
      <c r="J61517" s="8"/>
      <c r="K61517" s="8"/>
      <c r="L61517" s="8"/>
      <c r="M61517" s="8"/>
      <c r="N61517" s="8"/>
      <c r="O61517" s="8"/>
      <c r="P61517" s="8"/>
      <c r="Q61517" s="8"/>
      <c r="R61517" s="103"/>
      <c r="S61517" s="8"/>
      <c r="T61517" s="8"/>
      <c r="U61517" s="8"/>
      <c r="V61517" s="8"/>
      <c r="W61517" s="8"/>
      <c r="X61517" s="8"/>
      <c r="Y61517" s="8"/>
      <c r="Z61517" s="8"/>
      <c r="AA61517" s="8"/>
    </row>
    <row r="61518" spans="1:27" x14ac:dyDescent="0.25">
      <c r="A61518" s="8"/>
      <c r="B61518" s="8"/>
      <c r="C61518" s="99"/>
      <c r="D61518" s="8"/>
      <c r="E61518" s="8"/>
      <c r="F61518" s="8"/>
      <c r="G61518" s="8"/>
      <c r="H61518" s="8"/>
      <c r="I61518" s="102"/>
      <c r="J61518" s="8"/>
      <c r="K61518" s="8"/>
      <c r="L61518" s="8"/>
      <c r="M61518" s="8"/>
      <c r="N61518" s="8"/>
      <c r="O61518" s="8"/>
      <c r="P61518" s="8"/>
      <c r="Q61518" s="8"/>
      <c r="R61518" s="103"/>
      <c r="S61518" s="8"/>
      <c r="T61518" s="8"/>
      <c r="U61518" s="8"/>
      <c r="V61518" s="8"/>
      <c r="W61518" s="8"/>
      <c r="X61518" s="8"/>
      <c r="Y61518" s="8"/>
      <c r="Z61518" s="8"/>
      <c r="AA61518" s="8"/>
    </row>
    <row r="61519" spans="1:27" x14ac:dyDescent="0.25">
      <c r="A61519" s="8"/>
      <c r="B61519" s="8"/>
      <c r="C61519" s="99"/>
      <c r="D61519" s="8"/>
      <c r="E61519" s="8"/>
      <c r="F61519" s="8"/>
      <c r="G61519" s="8"/>
      <c r="H61519" s="8"/>
      <c r="I61519" s="102"/>
      <c r="J61519" s="8"/>
      <c r="K61519" s="8"/>
      <c r="L61519" s="8"/>
      <c r="M61519" s="8"/>
      <c r="N61519" s="8"/>
      <c r="O61519" s="8"/>
      <c r="P61519" s="8"/>
      <c r="Q61519" s="8"/>
      <c r="R61519" s="103"/>
      <c r="S61519" s="8"/>
      <c r="T61519" s="8"/>
      <c r="U61519" s="8"/>
      <c r="V61519" s="8"/>
      <c r="W61519" s="8"/>
      <c r="X61519" s="8"/>
      <c r="Y61519" s="8"/>
      <c r="Z61519" s="8"/>
      <c r="AA61519" s="8"/>
    </row>
    <row r="61520" spans="1:27" x14ac:dyDescent="0.25">
      <c r="A61520" s="8"/>
      <c r="B61520" s="8"/>
      <c r="C61520" s="99"/>
      <c r="D61520" s="8"/>
      <c r="E61520" s="8"/>
      <c r="F61520" s="8"/>
      <c r="G61520" s="8"/>
      <c r="H61520" s="8"/>
      <c r="I61520" s="102"/>
      <c r="J61520" s="8"/>
      <c r="K61520" s="8"/>
      <c r="L61520" s="8"/>
      <c r="M61520" s="8"/>
      <c r="N61520" s="8"/>
      <c r="O61520" s="8"/>
      <c r="P61520" s="8"/>
      <c r="Q61520" s="8"/>
      <c r="R61520" s="103"/>
      <c r="S61520" s="8"/>
      <c r="T61520" s="8"/>
      <c r="U61520" s="8"/>
      <c r="V61520" s="8"/>
      <c r="W61520" s="8"/>
      <c r="X61520" s="8"/>
      <c r="Y61520" s="8"/>
      <c r="Z61520" s="8"/>
      <c r="AA61520" s="8"/>
    </row>
    <row r="61521" spans="1:27" x14ac:dyDescent="0.25">
      <c r="A61521" s="8"/>
      <c r="B61521" s="8"/>
      <c r="C61521" s="99"/>
      <c r="D61521" s="8"/>
      <c r="E61521" s="8"/>
      <c r="F61521" s="8"/>
      <c r="G61521" s="8"/>
      <c r="H61521" s="8"/>
      <c r="I61521" s="102"/>
      <c r="J61521" s="8"/>
      <c r="K61521" s="8"/>
      <c r="L61521" s="8"/>
      <c r="M61521" s="8"/>
      <c r="N61521" s="8"/>
      <c r="O61521" s="8"/>
      <c r="P61521" s="8"/>
      <c r="Q61521" s="8"/>
      <c r="R61521" s="103"/>
      <c r="S61521" s="8"/>
      <c r="T61521" s="8"/>
      <c r="U61521" s="8"/>
      <c r="V61521" s="8"/>
      <c r="W61521" s="8"/>
      <c r="X61521" s="8"/>
      <c r="Y61521" s="8"/>
      <c r="Z61521" s="8"/>
      <c r="AA61521" s="8"/>
    </row>
    <row r="61522" spans="1:27" x14ac:dyDescent="0.25">
      <c r="A61522" s="8"/>
      <c r="B61522" s="8"/>
      <c r="C61522" s="99"/>
      <c r="D61522" s="8"/>
      <c r="E61522" s="8"/>
      <c r="F61522" s="8"/>
      <c r="G61522" s="8"/>
      <c r="H61522" s="8"/>
      <c r="I61522" s="102"/>
      <c r="J61522" s="8"/>
      <c r="K61522" s="8"/>
      <c r="L61522" s="8"/>
      <c r="M61522" s="8"/>
      <c r="N61522" s="8"/>
      <c r="O61522" s="8"/>
      <c r="P61522" s="8"/>
      <c r="Q61522" s="8"/>
      <c r="R61522" s="103"/>
      <c r="S61522" s="8"/>
      <c r="T61522" s="8"/>
      <c r="U61522" s="8"/>
      <c r="V61522" s="8"/>
      <c r="W61522" s="8"/>
      <c r="X61522" s="8"/>
      <c r="Y61522" s="8"/>
      <c r="Z61522" s="8"/>
      <c r="AA61522" s="8"/>
    </row>
    <row r="61523" spans="1:27" x14ac:dyDescent="0.25">
      <c r="A61523" s="8"/>
      <c r="B61523" s="8"/>
      <c r="C61523" s="99"/>
      <c r="D61523" s="8"/>
      <c r="E61523" s="8"/>
      <c r="F61523" s="8"/>
      <c r="G61523" s="8"/>
      <c r="H61523" s="8"/>
      <c r="I61523" s="102"/>
      <c r="J61523" s="8"/>
      <c r="K61523" s="8"/>
      <c r="L61523" s="8"/>
      <c r="M61523" s="8"/>
      <c r="N61523" s="8"/>
      <c r="O61523" s="8"/>
      <c r="P61523" s="8"/>
      <c r="Q61523" s="8"/>
      <c r="R61523" s="103"/>
      <c r="S61523" s="8"/>
      <c r="T61523" s="8"/>
      <c r="U61523" s="8"/>
      <c r="V61523" s="8"/>
      <c r="W61523" s="8"/>
      <c r="X61523" s="8"/>
      <c r="Y61523" s="8"/>
      <c r="Z61523" s="8"/>
      <c r="AA61523" s="8"/>
    </row>
    <row r="61524" spans="1:27" x14ac:dyDescent="0.25">
      <c r="A61524" s="8"/>
      <c r="B61524" s="8"/>
      <c r="C61524" s="99"/>
      <c r="D61524" s="8"/>
      <c r="E61524" s="8"/>
      <c r="F61524" s="8"/>
      <c r="G61524" s="8"/>
      <c r="H61524" s="8"/>
      <c r="I61524" s="102"/>
      <c r="J61524" s="8"/>
      <c r="K61524" s="8"/>
      <c r="L61524" s="8"/>
      <c r="M61524" s="8"/>
      <c r="N61524" s="8"/>
      <c r="O61524" s="8"/>
      <c r="P61524" s="8"/>
      <c r="Q61524" s="8"/>
      <c r="R61524" s="103"/>
      <c r="S61524" s="8"/>
      <c r="T61524" s="8"/>
      <c r="U61524" s="8"/>
      <c r="V61524" s="8"/>
      <c r="W61524" s="8"/>
      <c r="X61524" s="8"/>
      <c r="Y61524" s="8"/>
      <c r="Z61524" s="8"/>
      <c r="AA61524" s="8"/>
    </row>
    <row r="61525" spans="1:27" x14ac:dyDescent="0.25">
      <c r="A61525" s="8"/>
      <c r="B61525" s="8"/>
      <c r="C61525" s="99"/>
      <c r="D61525" s="8"/>
      <c r="E61525" s="8"/>
      <c r="F61525" s="8"/>
      <c r="G61525" s="8"/>
      <c r="H61525" s="8"/>
      <c r="I61525" s="102"/>
      <c r="J61525" s="8"/>
      <c r="K61525" s="8"/>
      <c r="L61525" s="8"/>
      <c r="M61525" s="8"/>
      <c r="N61525" s="8"/>
      <c r="O61525" s="8"/>
      <c r="P61525" s="8"/>
      <c r="Q61525" s="8"/>
      <c r="R61525" s="103"/>
      <c r="S61525" s="8"/>
      <c r="T61525" s="8"/>
      <c r="U61525" s="8"/>
      <c r="V61525" s="8"/>
      <c r="W61525" s="8"/>
      <c r="X61525" s="8"/>
      <c r="Y61525" s="8"/>
      <c r="Z61525" s="8"/>
      <c r="AA61525" s="8"/>
    </row>
    <row r="61526" spans="1:27" x14ac:dyDescent="0.25">
      <c r="A61526" s="8"/>
      <c r="B61526" s="8"/>
      <c r="C61526" s="99"/>
      <c r="D61526" s="8"/>
      <c r="E61526" s="8"/>
      <c r="F61526" s="8"/>
      <c r="G61526" s="8"/>
      <c r="H61526" s="8"/>
      <c r="I61526" s="102"/>
      <c r="J61526" s="8"/>
      <c r="K61526" s="8"/>
      <c r="L61526" s="8"/>
      <c r="M61526" s="8"/>
      <c r="N61526" s="8"/>
      <c r="O61526" s="8"/>
      <c r="P61526" s="8"/>
      <c r="Q61526" s="8"/>
      <c r="R61526" s="103"/>
      <c r="S61526" s="8"/>
      <c r="T61526" s="8"/>
      <c r="U61526" s="8"/>
      <c r="V61526" s="8"/>
      <c r="W61526" s="8"/>
      <c r="X61526" s="8"/>
      <c r="Y61526" s="8"/>
      <c r="Z61526" s="8"/>
      <c r="AA61526" s="8"/>
    </row>
    <row r="61527" spans="1:27" x14ac:dyDescent="0.25">
      <c r="A61527" s="8"/>
      <c r="B61527" s="8"/>
      <c r="C61527" s="99"/>
      <c r="D61527" s="8"/>
      <c r="E61527" s="8"/>
      <c r="F61527" s="8"/>
      <c r="G61527" s="8"/>
      <c r="H61527" s="8"/>
      <c r="I61527" s="102"/>
      <c r="J61527" s="8"/>
      <c r="K61527" s="8"/>
      <c r="L61527" s="8"/>
      <c r="M61527" s="8"/>
      <c r="N61527" s="8"/>
      <c r="O61527" s="8"/>
      <c r="P61527" s="8"/>
      <c r="Q61527" s="8"/>
      <c r="R61527" s="103"/>
      <c r="S61527" s="8"/>
      <c r="T61527" s="8"/>
      <c r="U61527" s="8"/>
      <c r="V61527" s="8"/>
      <c r="W61527" s="8"/>
      <c r="X61527" s="8"/>
      <c r="Y61527" s="8"/>
      <c r="Z61527" s="8"/>
      <c r="AA61527" s="8"/>
    </row>
    <row r="61528" spans="1:27" x14ac:dyDescent="0.25">
      <c r="A61528" s="8"/>
      <c r="B61528" s="8"/>
      <c r="C61528" s="99"/>
      <c r="D61528" s="8"/>
      <c r="E61528" s="8"/>
      <c r="F61528" s="8"/>
      <c r="G61528" s="8"/>
      <c r="H61528" s="8"/>
      <c r="I61528" s="102"/>
      <c r="J61528" s="8"/>
      <c r="K61528" s="8"/>
      <c r="L61528" s="8"/>
      <c r="M61528" s="8"/>
      <c r="N61528" s="8"/>
      <c r="O61528" s="8"/>
      <c r="P61528" s="8"/>
      <c r="Q61528" s="8"/>
      <c r="R61528" s="103"/>
      <c r="S61528" s="8"/>
      <c r="T61528" s="8"/>
      <c r="U61528" s="8"/>
      <c r="V61528" s="8"/>
      <c r="W61528" s="8"/>
      <c r="X61528" s="8"/>
      <c r="Y61528" s="8"/>
      <c r="Z61528" s="8"/>
      <c r="AA61528" s="8"/>
    </row>
    <row r="61529" spans="1:27" x14ac:dyDescent="0.25">
      <c r="A61529" s="8"/>
      <c r="B61529" s="8"/>
      <c r="C61529" s="99"/>
      <c r="D61529" s="8"/>
      <c r="E61529" s="8"/>
      <c r="F61529" s="8"/>
      <c r="G61529" s="8"/>
      <c r="H61529" s="8"/>
      <c r="I61529" s="102"/>
      <c r="J61529" s="8"/>
      <c r="K61529" s="8"/>
      <c r="L61529" s="8"/>
      <c r="M61529" s="8"/>
      <c r="N61529" s="8"/>
      <c r="O61529" s="8"/>
      <c r="P61529" s="8"/>
      <c r="Q61529" s="8"/>
      <c r="R61529" s="103"/>
      <c r="S61529" s="8"/>
      <c r="T61529" s="8"/>
      <c r="U61529" s="8"/>
      <c r="V61529" s="8"/>
      <c r="W61529" s="8"/>
      <c r="X61529" s="8"/>
      <c r="Y61529" s="8"/>
      <c r="Z61529" s="8"/>
      <c r="AA61529" s="8"/>
    </row>
    <row r="61530" spans="1:27" x14ac:dyDescent="0.25">
      <c r="A61530" s="8"/>
      <c r="B61530" s="8"/>
      <c r="C61530" s="99"/>
      <c r="D61530" s="8"/>
      <c r="E61530" s="8"/>
      <c r="F61530" s="8"/>
      <c r="G61530" s="8"/>
      <c r="H61530" s="8"/>
      <c r="I61530" s="102"/>
      <c r="J61530" s="8"/>
      <c r="K61530" s="8"/>
      <c r="L61530" s="8"/>
      <c r="M61530" s="8"/>
      <c r="N61530" s="8"/>
      <c r="O61530" s="8"/>
      <c r="P61530" s="8"/>
      <c r="Q61530" s="8"/>
      <c r="R61530" s="103"/>
      <c r="S61530" s="8"/>
      <c r="T61530" s="8"/>
      <c r="U61530" s="8"/>
      <c r="V61530" s="8"/>
      <c r="W61530" s="8"/>
      <c r="X61530" s="8"/>
      <c r="Y61530" s="8"/>
      <c r="Z61530" s="8"/>
      <c r="AA61530" s="8"/>
    </row>
    <row r="61531" spans="1:27" x14ac:dyDescent="0.25">
      <c r="A61531" s="8"/>
      <c r="B61531" s="8"/>
      <c r="C61531" s="99"/>
      <c r="D61531" s="8"/>
      <c r="E61531" s="8"/>
      <c r="F61531" s="8"/>
      <c r="G61531" s="8"/>
      <c r="H61531" s="8"/>
      <c r="I61531" s="102"/>
      <c r="J61531" s="8"/>
      <c r="K61531" s="8"/>
      <c r="L61531" s="8"/>
      <c r="M61531" s="8"/>
      <c r="N61531" s="8"/>
      <c r="O61531" s="8"/>
      <c r="P61531" s="8"/>
      <c r="Q61531" s="8"/>
      <c r="R61531" s="103"/>
      <c r="S61531" s="8"/>
      <c r="T61531" s="8"/>
      <c r="U61531" s="8"/>
      <c r="V61531" s="8"/>
      <c r="W61531" s="8"/>
      <c r="X61531" s="8"/>
      <c r="Y61531" s="8"/>
      <c r="Z61531" s="8"/>
      <c r="AA61531" s="8"/>
    </row>
    <row r="61532" spans="1:27" x14ac:dyDescent="0.25">
      <c r="A61532" s="8"/>
      <c r="B61532" s="8"/>
      <c r="C61532" s="99"/>
      <c r="D61532" s="8"/>
      <c r="E61532" s="8"/>
      <c r="F61532" s="8"/>
      <c r="G61532" s="8"/>
      <c r="H61532" s="8"/>
      <c r="I61532" s="102"/>
      <c r="J61532" s="8"/>
      <c r="K61532" s="8"/>
      <c r="L61532" s="8"/>
      <c r="M61532" s="8"/>
      <c r="N61532" s="8"/>
      <c r="O61532" s="8"/>
      <c r="P61532" s="8"/>
      <c r="Q61532" s="8"/>
      <c r="R61532" s="103"/>
      <c r="S61532" s="8"/>
      <c r="T61532" s="8"/>
      <c r="U61532" s="8"/>
      <c r="V61532" s="8"/>
      <c r="W61532" s="8"/>
      <c r="X61532" s="8"/>
      <c r="Y61532" s="8"/>
      <c r="Z61532" s="8"/>
      <c r="AA61532" s="8"/>
    </row>
    <row r="61533" spans="1:27" x14ac:dyDescent="0.25">
      <c r="A61533" s="8"/>
      <c r="B61533" s="8"/>
      <c r="C61533" s="99"/>
      <c r="D61533" s="8"/>
      <c r="E61533" s="8"/>
      <c r="F61533" s="8"/>
      <c r="G61533" s="8"/>
      <c r="H61533" s="8"/>
      <c r="I61533" s="102"/>
      <c r="J61533" s="8"/>
      <c r="K61533" s="8"/>
      <c r="L61533" s="8"/>
      <c r="M61533" s="8"/>
      <c r="N61533" s="8"/>
      <c r="O61533" s="8"/>
      <c r="P61533" s="8"/>
      <c r="Q61533" s="8"/>
      <c r="R61533" s="103"/>
      <c r="S61533" s="8"/>
      <c r="T61533" s="8"/>
      <c r="U61533" s="8"/>
      <c r="V61533" s="8"/>
      <c r="W61533" s="8"/>
      <c r="X61533" s="8"/>
      <c r="Y61533" s="8"/>
      <c r="Z61533" s="8"/>
      <c r="AA61533" s="8"/>
    </row>
    <row r="61534" spans="1:27" x14ac:dyDescent="0.25">
      <c r="A61534" s="8"/>
      <c r="B61534" s="8"/>
      <c r="C61534" s="99"/>
      <c r="D61534" s="8"/>
      <c r="E61534" s="8"/>
      <c r="F61534" s="8"/>
      <c r="G61534" s="8"/>
      <c r="H61534" s="8"/>
      <c r="I61534" s="102"/>
      <c r="J61534" s="8"/>
      <c r="K61534" s="8"/>
      <c r="L61534" s="8"/>
      <c r="M61534" s="8"/>
      <c r="N61534" s="8"/>
      <c r="O61534" s="8"/>
      <c r="P61534" s="8"/>
      <c r="Q61534" s="8"/>
      <c r="R61534" s="103"/>
      <c r="S61534" s="8"/>
      <c r="T61534" s="8"/>
      <c r="U61534" s="8"/>
      <c r="V61534" s="8"/>
      <c r="W61534" s="8"/>
      <c r="X61534" s="8"/>
      <c r="Y61534" s="8"/>
      <c r="Z61534" s="8"/>
      <c r="AA61534" s="8"/>
    </row>
    <row r="61535" spans="1:27" x14ac:dyDescent="0.25">
      <c r="A61535" s="8"/>
      <c r="B61535" s="8"/>
      <c r="C61535" s="99"/>
      <c r="D61535" s="8"/>
      <c r="E61535" s="8"/>
      <c r="F61535" s="8"/>
      <c r="G61535" s="8"/>
      <c r="H61535" s="8"/>
      <c r="I61535" s="102"/>
      <c r="J61535" s="8"/>
      <c r="K61535" s="8"/>
      <c r="L61535" s="8"/>
      <c r="M61535" s="8"/>
      <c r="N61535" s="8"/>
      <c r="O61535" s="8"/>
      <c r="P61535" s="8"/>
      <c r="Q61535" s="8"/>
      <c r="R61535" s="103"/>
      <c r="S61535" s="8"/>
      <c r="T61535" s="8"/>
      <c r="U61535" s="8"/>
      <c r="V61535" s="8"/>
      <c r="W61535" s="8"/>
      <c r="X61535" s="8"/>
      <c r="Y61535" s="8"/>
      <c r="Z61535" s="8"/>
      <c r="AA61535" s="8"/>
    </row>
    <row r="61536" spans="1:27" x14ac:dyDescent="0.25">
      <c r="A61536" s="8"/>
      <c r="B61536" s="8"/>
      <c r="C61536" s="99"/>
      <c r="D61536" s="8"/>
      <c r="E61536" s="8"/>
      <c r="F61536" s="8"/>
      <c r="G61536" s="8"/>
      <c r="H61536" s="8"/>
      <c r="I61536" s="102"/>
      <c r="J61536" s="8"/>
      <c r="K61536" s="8"/>
      <c r="L61536" s="8"/>
      <c r="M61536" s="8"/>
      <c r="N61536" s="8"/>
      <c r="O61536" s="8"/>
      <c r="P61536" s="8"/>
      <c r="Q61536" s="8"/>
      <c r="R61536" s="103"/>
      <c r="S61536" s="8"/>
      <c r="T61536" s="8"/>
      <c r="U61536" s="8"/>
      <c r="V61536" s="8"/>
      <c r="W61536" s="8"/>
      <c r="X61536" s="8"/>
      <c r="Y61536" s="8"/>
      <c r="Z61536" s="8"/>
      <c r="AA61536" s="8"/>
    </row>
    <row r="61537" spans="1:27" x14ac:dyDescent="0.25">
      <c r="A61537" s="8"/>
      <c r="B61537" s="8"/>
      <c r="C61537" s="99"/>
      <c r="D61537" s="8"/>
      <c r="E61537" s="8"/>
      <c r="F61537" s="8"/>
      <c r="G61537" s="8"/>
      <c r="H61537" s="8"/>
      <c r="I61537" s="102"/>
      <c r="J61537" s="8"/>
      <c r="K61537" s="8"/>
      <c r="L61537" s="8"/>
      <c r="M61537" s="8"/>
      <c r="N61537" s="8"/>
      <c r="O61537" s="8"/>
      <c r="P61537" s="8"/>
      <c r="Q61537" s="8"/>
      <c r="R61537" s="103"/>
      <c r="S61537" s="8"/>
      <c r="T61537" s="8"/>
      <c r="U61537" s="8"/>
      <c r="V61537" s="8"/>
      <c r="W61537" s="8"/>
      <c r="X61537" s="8"/>
      <c r="Y61537" s="8"/>
      <c r="Z61537" s="8"/>
      <c r="AA61537" s="8"/>
    </row>
    <row r="61538" spans="1:27" x14ac:dyDescent="0.25">
      <c r="A61538" s="8"/>
      <c r="B61538" s="8"/>
      <c r="C61538" s="99"/>
      <c r="D61538" s="8"/>
      <c r="E61538" s="8"/>
      <c r="F61538" s="8"/>
      <c r="G61538" s="8"/>
      <c r="H61538" s="8"/>
      <c r="I61538" s="102"/>
      <c r="J61538" s="8"/>
      <c r="K61538" s="8"/>
      <c r="L61538" s="8"/>
      <c r="M61538" s="8"/>
      <c r="N61538" s="8"/>
      <c r="O61538" s="8"/>
      <c r="P61538" s="8"/>
      <c r="Q61538" s="8"/>
      <c r="R61538" s="103"/>
      <c r="S61538" s="8"/>
      <c r="T61538" s="8"/>
      <c r="U61538" s="8"/>
      <c r="V61538" s="8"/>
      <c r="W61538" s="8"/>
      <c r="X61538" s="8"/>
      <c r="Y61538" s="8"/>
      <c r="Z61538" s="8"/>
      <c r="AA61538" s="8"/>
    </row>
    <row r="61539" spans="1:27" x14ac:dyDescent="0.25">
      <c r="A61539" s="8"/>
      <c r="B61539" s="8"/>
      <c r="C61539" s="99"/>
      <c r="D61539" s="8"/>
      <c r="E61539" s="8"/>
      <c r="F61539" s="8"/>
      <c r="G61539" s="8"/>
      <c r="H61539" s="8"/>
      <c r="I61539" s="102"/>
      <c r="J61539" s="8"/>
      <c r="K61539" s="8"/>
      <c r="L61539" s="8"/>
      <c r="M61539" s="8"/>
      <c r="N61539" s="8"/>
      <c r="O61539" s="8"/>
      <c r="P61539" s="8"/>
      <c r="Q61539" s="8"/>
      <c r="R61539" s="103"/>
      <c r="S61539" s="8"/>
      <c r="T61539" s="8"/>
      <c r="U61539" s="8"/>
      <c r="V61539" s="8"/>
      <c r="W61539" s="8"/>
      <c r="X61539" s="8"/>
      <c r="Y61539" s="8"/>
      <c r="Z61539" s="8"/>
      <c r="AA61539" s="8"/>
    </row>
    <row r="61540" spans="1:27" x14ac:dyDescent="0.25">
      <c r="A61540" s="8"/>
      <c r="B61540" s="8"/>
      <c r="C61540" s="99"/>
      <c r="D61540" s="8"/>
      <c r="E61540" s="8"/>
      <c r="F61540" s="8"/>
      <c r="G61540" s="8"/>
      <c r="H61540" s="8"/>
      <c r="I61540" s="102"/>
      <c r="J61540" s="8"/>
      <c r="K61540" s="8"/>
      <c r="L61540" s="8"/>
      <c r="M61540" s="8"/>
      <c r="N61540" s="8"/>
      <c r="O61540" s="8"/>
      <c r="P61540" s="8"/>
      <c r="Q61540" s="8"/>
      <c r="R61540" s="103"/>
      <c r="S61540" s="8"/>
      <c r="T61540" s="8"/>
      <c r="U61540" s="8"/>
      <c r="V61540" s="8"/>
      <c r="W61540" s="8"/>
      <c r="X61540" s="8"/>
      <c r="Y61540" s="8"/>
      <c r="Z61540" s="8"/>
      <c r="AA61540" s="8"/>
    </row>
    <row r="61541" spans="1:27" x14ac:dyDescent="0.25">
      <c r="A61541" s="8"/>
      <c r="B61541" s="8"/>
      <c r="C61541" s="99"/>
      <c r="D61541" s="8"/>
      <c r="E61541" s="8"/>
      <c r="F61541" s="8"/>
      <c r="G61541" s="8"/>
      <c r="H61541" s="8"/>
      <c r="I61541" s="102"/>
      <c r="J61541" s="8"/>
      <c r="K61541" s="8"/>
      <c r="L61541" s="8"/>
      <c r="M61541" s="8"/>
      <c r="N61541" s="8"/>
      <c r="O61541" s="8"/>
      <c r="P61541" s="8"/>
      <c r="Q61541" s="8"/>
      <c r="R61541" s="103"/>
      <c r="S61541" s="8"/>
      <c r="T61541" s="8"/>
      <c r="U61541" s="8"/>
      <c r="V61541" s="8"/>
      <c r="W61541" s="8"/>
      <c r="X61541" s="8"/>
      <c r="Y61541" s="8"/>
      <c r="Z61541" s="8"/>
      <c r="AA61541" s="8"/>
    </row>
    <row r="61542" spans="1:27" x14ac:dyDescent="0.25">
      <c r="A61542" s="8"/>
      <c r="B61542" s="8"/>
      <c r="C61542" s="99"/>
      <c r="D61542" s="8"/>
      <c r="E61542" s="8"/>
      <c r="F61542" s="8"/>
      <c r="G61542" s="8"/>
      <c r="H61542" s="8"/>
      <c r="I61542" s="102"/>
      <c r="J61542" s="8"/>
      <c r="K61542" s="8"/>
      <c r="L61542" s="8"/>
      <c r="M61542" s="8"/>
      <c r="N61542" s="8"/>
      <c r="O61542" s="8"/>
      <c r="P61542" s="8"/>
      <c r="Q61542" s="8"/>
      <c r="R61542" s="103"/>
      <c r="S61542" s="8"/>
      <c r="T61542" s="8"/>
      <c r="U61542" s="8"/>
      <c r="V61542" s="8"/>
      <c r="W61542" s="8"/>
      <c r="X61542" s="8"/>
      <c r="Y61542" s="8"/>
      <c r="Z61542" s="8"/>
      <c r="AA61542" s="8"/>
    </row>
    <row r="61543" spans="1:27" x14ac:dyDescent="0.25">
      <c r="A61543" s="8"/>
      <c r="B61543" s="8"/>
      <c r="C61543" s="99"/>
      <c r="D61543" s="8"/>
      <c r="E61543" s="8"/>
      <c r="F61543" s="8"/>
      <c r="G61543" s="8"/>
      <c r="H61543" s="8"/>
      <c r="I61543" s="102"/>
      <c r="J61543" s="8"/>
      <c r="K61543" s="8"/>
      <c r="L61543" s="8"/>
      <c r="M61543" s="8"/>
      <c r="N61543" s="8"/>
      <c r="O61543" s="8"/>
      <c r="P61543" s="8"/>
      <c r="Q61543" s="8"/>
      <c r="R61543" s="103"/>
      <c r="S61543" s="8"/>
      <c r="T61543" s="8"/>
      <c r="U61543" s="8"/>
      <c r="V61543" s="8"/>
      <c r="W61543" s="8"/>
      <c r="X61543" s="8"/>
      <c r="Y61543" s="8"/>
      <c r="Z61543" s="8"/>
      <c r="AA61543" s="8"/>
    </row>
    <row r="61544" spans="1:27" x14ac:dyDescent="0.25">
      <c r="A61544" s="8"/>
      <c r="B61544" s="8"/>
      <c r="C61544" s="99"/>
      <c r="D61544" s="8"/>
      <c r="E61544" s="8"/>
      <c r="F61544" s="8"/>
      <c r="G61544" s="8"/>
      <c r="H61544" s="8"/>
      <c r="I61544" s="102"/>
      <c r="J61544" s="8"/>
      <c r="K61544" s="8"/>
      <c r="L61544" s="8"/>
      <c r="M61544" s="8"/>
      <c r="N61544" s="8"/>
      <c r="O61544" s="8"/>
      <c r="P61544" s="8"/>
      <c r="Q61544" s="8"/>
      <c r="R61544" s="103"/>
      <c r="S61544" s="8"/>
      <c r="T61544" s="8"/>
      <c r="U61544" s="8"/>
      <c r="V61544" s="8"/>
      <c r="W61544" s="8"/>
      <c r="X61544" s="8"/>
      <c r="Y61544" s="8"/>
      <c r="Z61544" s="8"/>
      <c r="AA61544" s="8"/>
    </row>
    <row r="61545" spans="1:27" x14ac:dyDescent="0.25">
      <c r="A61545" s="8"/>
      <c r="B61545" s="8"/>
      <c r="C61545" s="99"/>
      <c r="D61545" s="8"/>
      <c r="E61545" s="8"/>
      <c r="F61545" s="8"/>
      <c r="G61545" s="8"/>
      <c r="H61545" s="8"/>
      <c r="I61545" s="102"/>
      <c r="J61545" s="8"/>
      <c r="K61545" s="8"/>
      <c r="L61545" s="8"/>
      <c r="M61545" s="8"/>
      <c r="N61545" s="8"/>
      <c r="O61545" s="8"/>
      <c r="P61545" s="8"/>
      <c r="Q61545" s="8"/>
      <c r="R61545" s="103"/>
      <c r="S61545" s="8"/>
      <c r="T61545" s="8"/>
      <c r="U61545" s="8"/>
      <c r="V61545" s="8"/>
      <c r="W61545" s="8"/>
      <c r="X61545" s="8"/>
      <c r="Y61545" s="8"/>
      <c r="Z61545" s="8"/>
      <c r="AA61545" s="8"/>
    </row>
    <row r="61546" spans="1:27" x14ac:dyDescent="0.25">
      <c r="A61546" s="8"/>
      <c r="B61546" s="8"/>
      <c r="C61546" s="99"/>
      <c r="D61546" s="8"/>
      <c r="E61546" s="8"/>
      <c r="F61546" s="8"/>
      <c r="G61546" s="8"/>
      <c r="H61546" s="8"/>
      <c r="I61546" s="102"/>
      <c r="J61546" s="8"/>
      <c r="K61546" s="8"/>
      <c r="L61546" s="8"/>
      <c r="M61546" s="8"/>
      <c r="N61546" s="8"/>
      <c r="O61546" s="8"/>
      <c r="P61546" s="8"/>
      <c r="Q61546" s="8"/>
      <c r="R61546" s="103"/>
      <c r="S61546" s="8"/>
      <c r="T61546" s="8"/>
      <c r="U61546" s="8"/>
      <c r="V61546" s="8"/>
      <c r="W61546" s="8"/>
      <c r="X61546" s="8"/>
      <c r="Y61546" s="8"/>
      <c r="Z61546" s="8"/>
      <c r="AA61546" s="8"/>
    </row>
    <row r="61547" spans="1:27" x14ac:dyDescent="0.25">
      <c r="A61547" s="8"/>
      <c r="B61547" s="8"/>
      <c r="C61547" s="99"/>
      <c r="D61547" s="8"/>
      <c r="E61547" s="8"/>
      <c r="F61547" s="8"/>
      <c r="G61547" s="8"/>
      <c r="H61547" s="8"/>
      <c r="I61547" s="102"/>
      <c r="J61547" s="8"/>
      <c r="K61547" s="8"/>
      <c r="L61547" s="8"/>
      <c r="M61547" s="8"/>
      <c r="N61547" s="8"/>
      <c r="O61547" s="8"/>
      <c r="P61547" s="8"/>
      <c r="Q61547" s="8"/>
      <c r="R61547" s="103"/>
      <c r="S61547" s="8"/>
      <c r="T61547" s="8"/>
      <c r="U61547" s="8"/>
      <c r="V61547" s="8"/>
      <c r="W61547" s="8"/>
      <c r="X61547" s="8"/>
      <c r="Y61547" s="8"/>
      <c r="Z61547" s="8"/>
      <c r="AA61547" s="8"/>
    </row>
    <row r="61548" spans="1:27" x14ac:dyDescent="0.25">
      <c r="A61548" s="8"/>
      <c r="B61548" s="8"/>
      <c r="C61548" s="99"/>
      <c r="D61548" s="8"/>
      <c r="E61548" s="8"/>
      <c r="F61548" s="8"/>
      <c r="G61548" s="8"/>
      <c r="H61548" s="8"/>
      <c r="I61548" s="102"/>
      <c r="J61548" s="8"/>
      <c r="K61548" s="8"/>
      <c r="L61548" s="8"/>
      <c r="M61548" s="8"/>
      <c r="N61548" s="8"/>
      <c r="O61548" s="8"/>
      <c r="P61548" s="8"/>
      <c r="Q61548" s="8"/>
      <c r="R61548" s="103"/>
      <c r="S61548" s="8"/>
      <c r="T61548" s="8"/>
      <c r="U61548" s="8"/>
      <c r="V61548" s="8"/>
      <c r="W61548" s="8"/>
      <c r="X61548" s="8"/>
      <c r="Y61548" s="8"/>
      <c r="Z61548" s="8"/>
      <c r="AA61548" s="8"/>
    </row>
    <row r="61549" spans="1:27" x14ac:dyDescent="0.25">
      <c r="A61549" s="8"/>
      <c r="B61549" s="8"/>
      <c r="C61549" s="99"/>
      <c r="D61549" s="8"/>
      <c r="E61549" s="8"/>
      <c r="F61549" s="8"/>
      <c r="G61549" s="8"/>
      <c r="H61549" s="8"/>
      <c r="I61549" s="102"/>
      <c r="J61549" s="8"/>
      <c r="K61549" s="8"/>
      <c r="L61549" s="8"/>
      <c r="M61549" s="8"/>
      <c r="N61549" s="8"/>
      <c r="O61549" s="8"/>
      <c r="P61549" s="8"/>
      <c r="Q61549" s="8"/>
      <c r="R61549" s="103"/>
      <c r="S61549" s="8"/>
      <c r="T61549" s="8"/>
      <c r="U61549" s="8"/>
      <c r="V61549" s="8"/>
      <c r="W61549" s="8"/>
      <c r="X61549" s="8"/>
      <c r="Y61549" s="8"/>
      <c r="Z61549" s="8"/>
      <c r="AA61549" s="8"/>
    </row>
    <row r="61550" spans="1:27" x14ac:dyDescent="0.25">
      <c r="A61550" s="8"/>
      <c r="B61550" s="8"/>
      <c r="C61550" s="99"/>
      <c r="D61550" s="8"/>
      <c r="E61550" s="8"/>
      <c r="F61550" s="8"/>
      <c r="G61550" s="8"/>
      <c r="H61550" s="8"/>
      <c r="I61550" s="102"/>
      <c r="J61550" s="8"/>
      <c r="K61550" s="8"/>
      <c r="L61550" s="8"/>
      <c r="M61550" s="8"/>
      <c r="N61550" s="8"/>
      <c r="O61550" s="8"/>
      <c r="P61550" s="8"/>
      <c r="Q61550" s="8"/>
      <c r="R61550" s="103"/>
      <c r="S61550" s="8"/>
      <c r="T61550" s="8"/>
      <c r="U61550" s="8"/>
      <c r="V61550" s="8"/>
      <c r="W61550" s="8"/>
      <c r="X61550" s="8"/>
      <c r="Y61550" s="8"/>
      <c r="Z61550" s="8"/>
      <c r="AA61550" s="8"/>
    </row>
    <row r="61551" spans="1:27" x14ac:dyDescent="0.25">
      <c r="A61551" s="8"/>
      <c r="B61551" s="8"/>
      <c r="C61551" s="99"/>
      <c r="D61551" s="8"/>
      <c r="E61551" s="8"/>
      <c r="F61551" s="8"/>
      <c r="G61551" s="8"/>
      <c r="H61551" s="8"/>
      <c r="I61551" s="102"/>
      <c r="J61551" s="8"/>
      <c r="K61551" s="8"/>
      <c r="L61551" s="8"/>
      <c r="M61551" s="8"/>
      <c r="N61551" s="8"/>
      <c r="O61551" s="8"/>
      <c r="P61551" s="8"/>
      <c r="Q61551" s="8"/>
      <c r="R61551" s="103"/>
      <c r="S61551" s="8"/>
      <c r="T61551" s="8"/>
      <c r="U61551" s="8"/>
      <c r="V61551" s="8"/>
      <c r="W61551" s="8"/>
      <c r="X61551" s="8"/>
      <c r="Y61551" s="8"/>
      <c r="Z61551" s="8"/>
      <c r="AA61551" s="8"/>
    </row>
    <row r="61552" spans="1:27" x14ac:dyDescent="0.25">
      <c r="A61552" s="8"/>
      <c r="B61552" s="8"/>
      <c r="C61552" s="99"/>
      <c r="D61552" s="8"/>
      <c r="E61552" s="8"/>
      <c r="F61552" s="8"/>
      <c r="G61552" s="8"/>
      <c r="H61552" s="8"/>
      <c r="I61552" s="102"/>
      <c r="J61552" s="8"/>
      <c r="K61552" s="8"/>
      <c r="L61552" s="8"/>
      <c r="M61552" s="8"/>
      <c r="N61552" s="8"/>
      <c r="O61552" s="8"/>
      <c r="P61552" s="8"/>
      <c r="Q61552" s="8"/>
      <c r="R61552" s="103"/>
      <c r="S61552" s="8"/>
      <c r="T61552" s="8"/>
      <c r="U61552" s="8"/>
      <c r="V61552" s="8"/>
      <c r="W61552" s="8"/>
      <c r="X61552" s="8"/>
      <c r="Y61552" s="8"/>
      <c r="Z61552" s="8"/>
      <c r="AA61552" s="8"/>
    </row>
    <row r="61553" spans="1:27" x14ac:dyDescent="0.25">
      <c r="A61553" s="8"/>
      <c r="B61553" s="8"/>
      <c r="C61553" s="99"/>
      <c r="D61553" s="8"/>
      <c r="E61553" s="8"/>
      <c r="F61553" s="8"/>
      <c r="G61553" s="8"/>
      <c r="H61553" s="8"/>
      <c r="I61553" s="102"/>
      <c r="J61553" s="8"/>
      <c r="K61553" s="8"/>
      <c r="L61553" s="8"/>
      <c r="M61553" s="8"/>
      <c r="N61553" s="8"/>
      <c r="O61553" s="8"/>
      <c r="P61553" s="8"/>
      <c r="Q61553" s="8"/>
      <c r="R61553" s="103"/>
      <c r="S61553" s="8"/>
      <c r="T61553" s="8"/>
      <c r="U61553" s="8"/>
      <c r="V61553" s="8"/>
      <c r="W61553" s="8"/>
      <c r="X61553" s="8"/>
      <c r="Y61553" s="8"/>
      <c r="Z61553" s="8"/>
      <c r="AA61553" s="8"/>
    </row>
    <row r="61554" spans="1:27" x14ac:dyDescent="0.25">
      <c r="A61554" s="8"/>
      <c r="B61554" s="8"/>
      <c r="C61554" s="99"/>
      <c r="D61554" s="8"/>
      <c r="E61554" s="8"/>
      <c r="F61554" s="8"/>
      <c r="G61554" s="8"/>
      <c r="H61554" s="8"/>
      <c r="I61554" s="102"/>
      <c r="J61554" s="8"/>
      <c r="K61554" s="8"/>
      <c r="L61554" s="8"/>
      <c r="M61554" s="8"/>
      <c r="N61554" s="8"/>
      <c r="O61554" s="8"/>
      <c r="P61554" s="8"/>
      <c r="Q61554" s="8"/>
      <c r="R61554" s="103"/>
      <c r="S61554" s="8"/>
      <c r="T61554" s="8"/>
      <c r="U61554" s="8"/>
      <c r="V61554" s="8"/>
      <c r="W61554" s="8"/>
      <c r="X61554" s="8"/>
      <c r="Y61554" s="8"/>
      <c r="Z61554" s="8"/>
      <c r="AA61554" s="8"/>
    </row>
    <row r="61555" spans="1:27" x14ac:dyDescent="0.25">
      <c r="A61555" s="8"/>
      <c r="B61555" s="8"/>
      <c r="C61555" s="99"/>
      <c r="D61555" s="8"/>
      <c r="E61555" s="8"/>
      <c r="F61555" s="8"/>
      <c r="G61555" s="8"/>
      <c r="H61555" s="8"/>
      <c r="I61555" s="102"/>
      <c r="J61555" s="8"/>
      <c r="K61555" s="8"/>
      <c r="L61555" s="8"/>
      <c r="M61555" s="8"/>
      <c r="N61555" s="8"/>
      <c r="O61555" s="8"/>
      <c r="P61555" s="8"/>
      <c r="Q61555" s="8"/>
      <c r="R61555" s="103"/>
      <c r="S61555" s="8"/>
      <c r="T61555" s="8"/>
      <c r="U61555" s="8"/>
      <c r="V61555" s="8"/>
      <c r="W61555" s="8"/>
      <c r="X61555" s="8"/>
      <c r="Y61555" s="8"/>
      <c r="Z61555" s="8"/>
      <c r="AA61555" s="8"/>
    </row>
    <row r="61556" spans="1:27" x14ac:dyDescent="0.25">
      <c r="A61556" s="8"/>
      <c r="B61556" s="8"/>
      <c r="C61556" s="99"/>
      <c r="D61556" s="8"/>
      <c r="E61556" s="8"/>
      <c r="F61556" s="8"/>
      <c r="G61556" s="8"/>
      <c r="H61556" s="8"/>
      <c r="I61556" s="102"/>
      <c r="J61556" s="8"/>
      <c r="K61556" s="8"/>
      <c r="L61556" s="8"/>
      <c r="M61556" s="8"/>
      <c r="N61556" s="8"/>
      <c r="O61556" s="8"/>
      <c r="P61556" s="8"/>
      <c r="Q61556" s="8"/>
      <c r="R61556" s="103"/>
      <c r="S61556" s="8"/>
      <c r="T61556" s="8"/>
      <c r="U61556" s="8"/>
      <c r="V61556" s="8"/>
      <c r="W61556" s="8"/>
      <c r="X61556" s="8"/>
      <c r="Y61556" s="8"/>
      <c r="Z61556" s="8"/>
      <c r="AA61556" s="8"/>
    </row>
    <row r="61557" spans="1:27" x14ac:dyDescent="0.25">
      <c r="A61557" s="8"/>
      <c r="B61557" s="8"/>
      <c r="C61557" s="99"/>
      <c r="D61557" s="8"/>
      <c r="E61557" s="8"/>
      <c r="F61557" s="8"/>
      <c r="G61557" s="8"/>
      <c r="H61557" s="8"/>
      <c r="I61557" s="102"/>
      <c r="J61557" s="8"/>
      <c r="K61557" s="8"/>
      <c r="L61557" s="8"/>
      <c r="M61557" s="8"/>
      <c r="N61557" s="8"/>
      <c r="O61557" s="8"/>
      <c r="P61557" s="8"/>
      <c r="Q61557" s="8"/>
      <c r="R61557" s="103"/>
      <c r="S61557" s="8"/>
      <c r="T61557" s="8"/>
      <c r="U61557" s="8"/>
      <c r="V61557" s="8"/>
      <c r="W61557" s="8"/>
      <c r="X61557" s="8"/>
      <c r="Y61557" s="8"/>
      <c r="Z61557" s="8"/>
      <c r="AA61557" s="8"/>
    </row>
    <row r="61558" spans="1:27" x14ac:dyDescent="0.25">
      <c r="A61558" s="8"/>
      <c r="B61558" s="8"/>
      <c r="C61558" s="99"/>
      <c r="D61558" s="8"/>
      <c r="E61558" s="8"/>
      <c r="F61558" s="8"/>
      <c r="G61558" s="8"/>
      <c r="H61558" s="8"/>
      <c r="I61558" s="102"/>
      <c r="J61558" s="8"/>
      <c r="K61558" s="8"/>
      <c r="L61558" s="8"/>
      <c r="M61558" s="8"/>
      <c r="N61558" s="8"/>
      <c r="O61558" s="8"/>
      <c r="P61558" s="8"/>
      <c r="Q61558" s="8"/>
      <c r="R61558" s="103"/>
      <c r="S61558" s="8"/>
      <c r="T61558" s="8"/>
      <c r="U61558" s="8"/>
      <c r="V61558" s="8"/>
      <c r="W61558" s="8"/>
      <c r="X61558" s="8"/>
      <c r="Y61558" s="8"/>
      <c r="Z61558" s="8"/>
      <c r="AA61558" s="8"/>
    </row>
    <row r="61559" spans="1:27" x14ac:dyDescent="0.25">
      <c r="A61559" s="8"/>
      <c r="B61559" s="8"/>
      <c r="C61559" s="99"/>
      <c r="D61559" s="8"/>
      <c r="E61559" s="8"/>
      <c r="F61559" s="8"/>
      <c r="G61559" s="8"/>
      <c r="H61559" s="8"/>
      <c r="I61559" s="102"/>
      <c r="J61559" s="8"/>
      <c r="K61559" s="8"/>
      <c r="L61559" s="8"/>
      <c r="M61559" s="8"/>
      <c r="N61559" s="8"/>
      <c r="O61559" s="8"/>
      <c r="P61559" s="8"/>
      <c r="Q61559" s="8"/>
      <c r="R61559" s="103"/>
      <c r="S61559" s="8"/>
      <c r="T61559" s="8"/>
      <c r="U61559" s="8"/>
      <c r="V61559" s="8"/>
      <c r="W61559" s="8"/>
      <c r="X61559" s="8"/>
      <c r="Y61559" s="8"/>
      <c r="Z61559" s="8"/>
      <c r="AA61559" s="8"/>
    </row>
    <row r="61560" spans="1:27" x14ac:dyDescent="0.25">
      <c r="A61560" s="8"/>
      <c r="B61560" s="8"/>
      <c r="C61560" s="99"/>
      <c r="D61560" s="8"/>
      <c r="E61560" s="8"/>
      <c r="F61560" s="8"/>
      <c r="G61560" s="8"/>
      <c r="H61560" s="8"/>
      <c r="I61560" s="102"/>
      <c r="J61560" s="8"/>
      <c r="K61560" s="8"/>
      <c r="L61560" s="8"/>
      <c r="M61560" s="8"/>
      <c r="N61560" s="8"/>
      <c r="O61560" s="8"/>
      <c r="P61560" s="8"/>
      <c r="Q61560" s="8"/>
      <c r="R61560" s="103"/>
      <c r="S61560" s="8"/>
      <c r="T61560" s="8"/>
      <c r="U61560" s="8"/>
      <c r="V61560" s="8"/>
      <c r="W61560" s="8"/>
      <c r="X61560" s="8"/>
      <c r="Y61560" s="8"/>
      <c r="Z61560" s="8"/>
      <c r="AA61560" s="8"/>
    </row>
    <row r="61561" spans="1:27" x14ac:dyDescent="0.25">
      <c r="A61561" s="8"/>
      <c r="B61561" s="8"/>
      <c r="C61561" s="99"/>
      <c r="D61561" s="8"/>
      <c r="E61561" s="8"/>
      <c r="F61561" s="8"/>
      <c r="G61561" s="8"/>
      <c r="H61561" s="8"/>
      <c r="I61561" s="102"/>
      <c r="J61561" s="8"/>
      <c r="K61561" s="8"/>
      <c r="L61561" s="8"/>
      <c r="M61561" s="8"/>
      <c r="N61561" s="8"/>
      <c r="O61561" s="8"/>
      <c r="P61561" s="8"/>
      <c r="Q61561" s="8"/>
      <c r="R61561" s="103"/>
      <c r="S61561" s="8"/>
      <c r="T61561" s="8"/>
      <c r="U61561" s="8"/>
      <c r="V61561" s="8"/>
      <c r="W61561" s="8"/>
      <c r="X61561" s="8"/>
      <c r="Y61561" s="8"/>
      <c r="Z61561" s="8"/>
      <c r="AA61561" s="8"/>
    </row>
    <row r="61562" spans="1:27" x14ac:dyDescent="0.25">
      <c r="A61562" s="8"/>
      <c r="B61562" s="8"/>
      <c r="C61562" s="99"/>
      <c r="D61562" s="8"/>
      <c r="E61562" s="8"/>
      <c r="F61562" s="8"/>
      <c r="G61562" s="8"/>
      <c r="H61562" s="8"/>
      <c r="I61562" s="102"/>
      <c r="J61562" s="8"/>
      <c r="K61562" s="8"/>
      <c r="L61562" s="8"/>
      <c r="M61562" s="8"/>
      <c r="N61562" s="8"/>
      <c r="O61562" s="8"/>
      <c r="P61562" s="8"/>
      <c r="Q61562" s="8"/>
      <c r="R61562" s="103"/>
      <c r="S61562" s="8"/>
      <c r="T61562" s="8"/>
      <c r="U61562" s="8"/>
      <c r="V61562" s="8"/>
      <c r="W61562" s="8"/>
      <c r="X61562" s="8"/>
      <c r="Y61562" s="8"/>
      <c r="Z61562" s="8"/>
      <c r="AA61562" s="8"/>
    </row>
    <row r="61563" spans="1:27" x14ac:dyDescent="0.25">
      <c r="A61563" s="8"/>
      <c r="B61563" s="8"/>
      <c r="C61563" s="99"/>
      <c r="D61563" s="8"/>
      <c r="E61563" s="8"/>
      <c r="F61563" s="8"/>
      <c r="G61563" s="8"/>
      <c r="H61563" s="8"/>
      <c r="I61563" s="102"/>
      <c r="J61563" s="8"/>
      <c r="K61563" s="8"/>
      <c r="L61563" s="8"/>
      <c r="M61563" s="8"/>
      <c r="N61563" s="8"/>
      <c r="O61563" s="8"/>
      <c r="P61563" s="8"/>
      <c r="Q61563" s="8"/>
      <c r="R61563" s="103"/>
      <c r="S61563" s="8"/>
      <c r="T61563" s="8"/>
      <c r="U61563" s="8"/>
      <c r="V61563" s="8"/>
      <c r="W61563" s="8"/>
      <c r="X61563" s="8"/>
      <c r="Y61563" s="8"/>
      <c r="Z61563" s="8"/>
      <c r="AA61563" s="8"/>
    </row>
    <row r="61564" spans="1:27" x14ac:dyDescent="0.25">
      <c r="A61564" s="8"/>
      <c r="B61564" s="8"/>
      <c r="C61564" s="99"/>
      <c r="D61564" s="8"/>
      <c r="E61564" s="8"/>
      <c r="F61564" s="8"/>
      <c r="G61564" s="8"/>
      <c r="H61564" s="8"/>
      <c r="I61564" s="102"/>
      <c r="J61564" s="8"/>
      <c r="K61564" s="8"/>
      <c r="L61564" s="8"/>
      <c r="M61564" s="8"/>
      <c r="N61564" s="8"/>
      <c r="O61564" s="8"/>
      <c r="P61564" s="8"/>
      <c r="Q61564" s="8"/>
      <c r="R61564" s="103"/>
      <c r="S61564" s="8"/>
      <c r="T61564" s="8"/>
      <c r="U61564" s="8"/>
      <c r="V61564" s="8"/>
      <c r="W61564" s="8"/>
      <c r="X61564" s="8"/>
      <c r="Y61564" s="8"/>
      <c r="Z61564" s="8"/>
      <c r="AA61564" s="8"/>
    </row>
    <row r="61565" spans="1:27" x14ac:dyDescent="0.25">
      <c r="A61565" s="8"/>
      <c r="B61565" s="8"/>
      <c r="C61565" s="99"/>
      <c r="D61565" s="8"/>
      <c r="E61565" s="8"/>
      <c r="F61565" s="8"/>
      <c r="G61565" s="8"/>
      <c r="H61565" s="8"/>
      <c r="I61565" s="102"/>
      <c r="J61565" s="8"/>
      <c r="K61565" s="8"/>
      <c r="L61565" s="8"/>
      <c r="M61565" s="8"/>
      <c r="N61565" s="8"/>
      <c r="O61565" s="8"/>
      <c r="P61565" s="8"/>
      <c r="Q61565" s="8"/>
      <c r="R61565" s="103"/>
      <c r="S61565" s="8"/>
      <c r="T61565" s="8"/>
      <c r="U61565" s="8"/>
      <c r="V61565" s="8"/>
      <c r="W61565" s="8"/>
      <c r="X61565" s="8"/>
      <c r="Y61565" s="8"/>
      <c r="Z61565" s="8"/>
      <c r="AA61565" s="8"/>
    </row>
    <row r="61566" spans="1:27" x14ac:dyDescent="0.25">
      <c r="A61566" s="8"/>
      <c r="B61566" s="8"/>
      <c r="C61566" s="99"/>
      <c r="D61566" s="8"/>
      <c r="E61566" s="8"/>
      <c r="F61566" s="8"/>
      <c r="G61566" s="8"/>
      <c r="H61566" s="8"/>
      <c r="I61566" s="102"/>
      <c r="J61566" s="8"/>
      <c r="K61566" s="8"/>
      <c r="L61566" s="8"/>
      <c r="M61566" s="8"/>
      <c r="N61566" s="8"/>
      <c r="O61566" s="8"/>
      <c r="P61566" s="8"/>
      <c r="Q61566" s="8"/>
      <c r="R61566" s="103"/>
      <c r="S61566" s="8"/>
      <c r="T61566" s="8"/>
      <c r="U61566" s="8"/>
      <c r="V61566" s="8"/>
      <c r="W61566" s="8"/>
      <c r="X61566" s="8"/>
      <c r="Y61566" s="8"/>
      <c r="Z61566" s="8"/>
      <c r="AA61566" s="8"/>
    </row>
    <row r="61567" spans="1:27" x14ac:dyDescent="0.25">
      <c r="A61567" s="8"/>
      <c r="B61567" s="8"/>
      <c r="C61567" s="99"/>
      <c r="D61567" s="8"/>
      <c r="E61567" s="8"/>
      <c r="F61567" s="8"/>
      <c r="G61567" s="8"/>
      <c r="H61567" s="8"/>
      <c r="I61567" s="102"/>
      <c r="J61567" s="8"/>
      <c r="K61567" s="8"/>
      <c r="L61567" s="8"/>
      <c r="M61567" s="8"/>
      <c r="N61567" s="8"/>
      <c r="O61567" s="8"/>
      <c r="P61567" s="8"/>
      <c r="Q61567" s="8"/>
      <c r="R61567" s="103"/>
      <c r="S61567" s="8"/>
      <c r="T61567" s="8"/>
      <c r="U61567" s="8"/>
      <c r="V61567" s="8"/>
      <c r="W61567" s="8"/>
      <c r="X61567" s="8"/>
      <c r="Y61567" s="8"/>
      <c r="Z61567" s="8"/>
      <c r="AA61567" s="8"/>
    </row>
    <row r="61568" spans="1:27" x14ac:dyDescent="0.25">
      <c r="A61568" s="8"/>
      <c r="B61568" s="8"/>
      <c r="C61568" s="99"/>
      <c r="D61568" s="8"/>
      <c r="E61568" s="8"/>
      <c r="F61568" s="8"/>
      <c r="G61568" s="8"/>
      <c r="H61568" s="8"/>
      <c r="I61568" s="102"/>
      <c r="J61568" s="8"/>
      <c r="K61568" s="8"/>
      <c r="L61568" s="8"/>
      <c r="M61568" s="8"/>
      <c r="N61568" s="8"/>
      <c r="O61568" s="8"/>
      <c r="P61568" s="8"/>
      <c r="Q61568" s="8"/>
      <c r="R61568" s="103"/>
      <c r="S61568" s="8"/>
      <c r="T61568" s="8"/>
      <c r="U61568" s="8"/>
      <c r="V61568" s="8"/>
      <c r="W61568" s="8"/>
      <c r="X61568" s="8"/>
      <c r="Y61568" s="8"/>
      <c r="Z61568" s="8"/>
      <c r="AA61568" s="8"/>
    </row>
    <row r="61569" spans="1:27" x14ac:dyDescent="0.25">
      <c r="A61569" s="8"/>
      <c r="B61569" s="8"/>
      <c r="C61569" s="99"/>
      <c r="D61569" s="8"/>
      <c r="E61569" s="8"/>
      <c r="F61569" s="8"/>
      <c r="G61569" s="8"/>
      <c r="H61569" s="8"/>
      <c r="I61569" s="102"/>
      <c r="J61569" s="8"/>
      <c r="K61569" s="8"/>
      <c r="L61569" s="8"/>
      <c r="M61569" s="8"/>
      <c r="N61569" s="8"/>
      <c r="O61569" s="8"/>
      <c r="P61569" s="8"/>
      <c r="Q61569" s="8"/>
      <c r="R61569" s="103"/>
      <c r="S61569" s="8"/>
      <c r="T61569" s="8"/>
      <c r="U61569" s="8"/>
      <c r="V61569" s="8"/>
      <c r="W61569" s="8"/>
      <c r="X61569" s="8"/>
      <c r="Y61569" s="8"/>
      <c r="Z61569" s="8"/>
      <c r="AA61569" s="8"/>
    </row>
    <row r="61570" spans="1:27" x14ac:dyDescent="0.25">
      <c r="A61570" s="8"/>
      <c r="B61570" s="8"/>
      <c r="C61570" s="99"/>
      <c r="D61570" s="8"/>
      <c r="E61570" s="8"/>
      <c r="F61570" s="8"/>
      <c r="G61570" s="8"/>
      <c r="H61570" s="8"/>
      <c r="I61570" s="102"/>
      <c r="J61570" s="8"/>
      <c r="K61570" s="8"/>
      <c r="L61570" s="8"/>
      <c r="M61570" s="8"/>
      <c r="N61570" s="8"/>
      <c r="O61570" s="8"/>
      <c r="P61570" s="8"/>
      <c r="Q61570" s="8"/>
      <c r="R61570" s="103"/>
      <c r="S61570" s="8"/>
      <c r="T61570" s="8"/>
      <c r="U61570" s="8"/>
      <c r="V61570" s="8"/>
      <c r="W61570" s="8"/>
      <c r="X61570" s="8"/>
      <c r="Y61570" s="8"/>
      <c r="Z61570" s="8"/>
      <c r="AA61570" s="8"/>
    </row>
    <row r="61571" spans="1:27" x14ac:dyDescent="0.25">
      <c r="A61571" s="8"/>
      <c r="B61571" s="8"/>
      <c r="C61571" s="99"/>
      <c r="D61571" s="8"/>
      <c r="E61571" s="8"/>
      <c r="F61571" s="8"/>
      <c r="G61571" s="8"/>
      <c r="H61571" s="8"/>
      <c r="I61571" s="102"/>
      <c r="J61571" s="8"/>
      <c r="K61571" s="8"/>
      <c r="L61571" s="8"/>
      <c r="M61571" s="8"/>
      <c r="N61571" s="8"/>
      <c r="O61571" s="8"/>
      <c r="P61571" s="8"/>
      <c r="Q61571" s="8"/>
      <c r="R61571" s="103"/>
      <c r="S61571" s="8"/>
      <c r="T61571" s="8"/>
      <c r="U61571" s="8"/>
      <c r="V61571" s="8"/>
      <c r="W61571" s="8"/>
      <c r="X61571" s="8"/>
      <c r="Y61571" s="8"/>
      <c r="Z61571" s="8"/>
      <c r="AA61571" s="8"/>
    </row>
    <row r="61572" spans="1:27" x14ac:dyDescent="0.25">
      <c r="A61572" s="8"/>
      <c r="B61572" s="8"/>
      <c r="C61572" s="99"/>
      <c r="D61572" s="8"/>
      <c r="E61572" s="8"/>
      <c r="F61572" s="8"/>
      <c r="G61572" s="8"/>
      <c r="H61572" s="8"/>
      <c r="I61572" s="102"/>
      <c r="J61572" s="8"/>
      <c r="K61572" s="8"/>
      <c r="L61572" s="8"/>
      <c r="M61572" s="8"/>
      <c r="N61572" s="8"/>
      <c r="O61572" s="8"/>
      <c r="P61572" s="8"/>
      <c r="Q61572" s="8"/>
      <c r="R61572" s="103"/>
      <c r="S61572" s="8"/>
      <c r="T61572" s="8"/>
      <c r="U61572" s="8"/>
      <c r="V61572" s="8"/>
      <c r="W61572" s="8"/>
      <c r="X61572" s="8"/>
      <c r="Y61572" s="8"/>
      <c r="Z61572" s="8"/>
      <c r="AA61572" s="8"/>
    </row>
    <row r="61573" spans="1:27" x14ac:dyDescent="0.25">
      <c r="A61573" s="8"/>
      <c r="B61573" s="8"/>
      <c r="C61573" s="99"/>
      <c r="D61573" s="8"/>
      <c r="E61573" s="8"/>
      <c r="F61573" s="8"/>
      <c r="G61573" s="8"/>
      <c r="H61573" s="8"/>
      <c r="I61573" s="102"/>
      <c r="J61573" s="8"/>
      <c r="K61573" s="8"/>
      <c r="L61573" s="8"/>
      <c r="M61573" s="8"/>
      <c r="N61573" s="8"/>
      <c r="O61573" s="8"/>
      <c r="P61573" s="8"/>
      <c r="Q61573" s="8"/>
      <c r="R61573" s="103"/>
      <c r="S61573" s="8"/>
      <c r="T61573" s="8"/>
      <c r="U61573" s="8"/>
      <c r="V61573" s="8"/>
      <c r="W61573" s="8"/>
      <c r="X61573" s="8"/>
      <c r="Y61573" s="8"/>
      <c r="Z61573" s="8"/>
      <c r="AA61573" s="8"/>
    </row>
    <row r="61574" spans="1:27" x14ac:dyDescent="0.25">
      <c r="A61574" s="8"/>
      <c r="B61574" s="8"/>
      <c r="C61574" s="99"/>
      <c r="D61574" s="8"/>
      <c r="E61574" s="8"/>
      <c r="F61574" s="8"/>
      <c r="G61574" s="8"/>
      <c r="H61574" s="8"/>
      <c r="I61574" s="102"/>
      <c r="J61574" s="8"/>
      <c r="K61574" s="8"/>
      <c r="L61574" s="8"/>
      <c r="M61574" s="8"/>
      <c r="N61574" s="8"/>
      <c r="O61574" s="8"/>
      <c r="P61574" s="8"/>
      <c r="Q61574" s="8"/>
      <c r="R61574" s="103"/>
      <c r="S61574" s="8"/>
      <c r="T61574" s="8"/>
      <c r="U61574" s="8"/>
      <c r="V61574" s="8"/>
      <c r="W61574" s="8"/>
      <c r="X61574" s="8"/>
      <c r="Y61574" s="8"/>
      <c r="Z61574" s="8"/>
      <c r="AA61574" s="8"/>
    </row>
    <row r="61575" spans="1:27" x14ac:dyDescent="0.25">
      <c r="A61575" s="8"/>
      <c r="B61575" s="8"/>
      <c r="C61575" s="99"/>
      <c r="D61575" s="8"/>
      <c r="E61575" s="8"/>
      <c r="F61575" s="8"/>
      <c r="G61575" s="8"/>
      <c r="H61575" s="8"/>
      <c r="I61575" s="102"/>
      <c r="J61575" s="8"/>
      <c r="K61575" s="8"/>
      <c r="L61575" s="8"/>
      <c r="M61575" s="8"/>
      <c r="N61575" s="8"/>
      <c r="O61575" s="8"/>
      <c r="P61575" s="8"/>
      <c r="Q61575" s="8"/>
      <c r="R61575" s="103"/>
      <c r="S61575" s="8"/>
      <c r="T61575" s="8"/>
      <c r="U61575" s="8"/>
      <c r="V61575" s="8"/>
      <c r="W61575" s="8"/>
      <c r="X61575" s="8"/>
      <c r="Y61575" s="8"/>
      <c r="Z61575" s="8"/>
      <c r="AA61575" s="8"/>
    </row>
    <row r="61576" spans="1:27" x14ac:dyDescent="0.25">
      <c r="A61576" s="8"/>
      <c r="B61576" s="8"/>
      <c r="C61576" s="99"/>
      <c r="D61576" s="8"/>
      <c r="E61576" s="8"/>
      <c r="F61576" s="8"/>
      <c r="G61576" s="8"/>
      <c r="H61576" s="8"/>
      <c r="I61576" s="102"/>
      <c r="J61576" s="8"/>
      <c r="K61576" s="8"/>
      <c r="L61576" s="8"/>
      <c r="M61576" s="8"/>
      <c r="N61576" s="8"/>
      <c r="O61576" s="8"/>
      <c r="P61576" s="8"/>
      <c r="Q61576" s="8"/>
      <c r="R61576" s="103"/>
      <c r="S61576" s="8"/>
      <c r="T61576" s="8"/>
      <c r="U61576" s="8"/>
      <c r="V61576" s="8"/>
      <c r="W61576" s="8"/>
      <c r="X61576" s="8"/>
      <c r="Y61576" s="8"/>
      <c r="Z61576" s="8"/>
      <c r="AA61576" s="8"/>
    </row>
    <row r="61577" spans="1:27" x14ac:dyDescent="0.25">
      <c r="A61577" s="8"/>
      <c r="B61577" s="8"/>
      <c r="C61577" s="99"/>
      <c r="D61577" s="8"/>
      <c r="E61577" s="8"/>
      <c r="F61577" s="8"/>
      <c r="G61577" s="8"/>
      <c r="H61577" s="8"/>
      <c r="I61577" s="102"/>
      <c r="J61577" s="8"/>
      <c r="K61577" s="8"/>
      <c r="L61577" s="8"/>
      <c r="M61577" s="8"/>
      <c r="N61577" s="8"/>
      <c r="O61577" s="8"/>
      <c r="P61577" s="8"/>
      <c r="Q61577" s="8"/>
      <c r="R61577" s="103"/>
      <c r="S61577" s="8"/>
      <c r="T61577" s="8"/>
      <c r="U61577" s="8"/>
      <c r="V61577" s="8"/>
      <c r="W61577" s="8"/>
      <c r="X61577" s="8"/>
      <c r="Y61577" s="8"/>
      <c r="Z61577" s="8"/>
      <c r="AA61577" s="8"/>
    </row>
    <row r="61578" spans="1:27" x14ac:dyDescent="0.25">
      <c r="A61578" s="8"/>
      <c r="B61578" s="8"/>
      <c r="C61578" s="99"/>
      <c r="D61578" s="8"/>
      <c r="E61578" s="8"/>
      <c r="F61578" s="8"/>
      <c r="G61578" s="8"/>
      <c r="H61578" s="8"/>
      <c r="I61578" s="102"/>
      <c r="J61578" s="8"/>
      <c r="K61578" s="8"/>
      <c r="L61578" s="8"/>
      <c r="M61578" s="8"/>
      <c r="N61578" s="8"/>
      <c r="O61578" s="8"/>
      <c r="P61578" s="8"/>
      <c r="Q61578" s="8"/>
      <c r="R61578" s="103"/>
      <c r="S61578" s="8"/>
      <c r="T61578" s="8"/>
      <c r="U61578" s="8"/>
      <c r="V61578" s="8"/>
      <c r="W61578" s="8"/>
      <c r="X61578" s="8"/>
      <c r="Y61578" s="8"/>
      <c r="Z61578" s="8"/>
      <c r="AA61578" s="8"/>
    </row>
    <row r="61579" spans="1:27" x14ac:dyDescent="0.25">
      <c r="A61579" s="8"/>
      <c r="B61579" s="8"/>
      <c r="C61579" s="99"/>
      <c r="D61579" s="8"/>
      <c r="E61579" s="8"/>
      <c r="F61579" s="8"/>
      <c r="G61579" s="8"/>
      <c r="H61579" s="8"/>
      <c r="I61579" s="102"/>
      <c r="J61579" s="8"/>
      <c r="K61579" s="8"/>
      <c r="L61579" s="8"/>
      <c r="M61579" s="8"/>
      <c r="N61579" s="8"/>
      <c r="O61579" s="8"/>
      <c r="P61579" s="8"/>
      <c r="Q61579" s="8"/>
      <c r="R61579" s="103"/>
      <c r="S61579" s="8"/>
      <c r="T61579" s="8"/>
      <c r="U61579" s="8"/>
      <c r="V61579" s="8"/>
      <c r="W61579" s="8"/>
      <c r="X61579" s="8"/>
      <c r="Y61579" s="8"/>
      <c r="Z61579" s="8"/>
      <c r="AA61579" s="8"/>
    </row>
    <row r="61580" spans="1:27" x14ac:dyDescent="0.25">
      <c r="A61580" s="8"/>
      <c r="B61580" s="8"/>
      <c r="C61580" s="99"/>
      <c r="D61580" s="8"/>
      <c r="E61580" s="8"/>
      <c r="F61580" s="8"/>
      <c r="G61580" s="8"/>
      <c r="H61580" s="8"/>
      <c r="I61580" s="102"/>
      <c r="J61580" s="8"/>
      <c r="K61580" s="8"/>
      <c r="L61580" s="8"/>
      <c r="M61580" s="8"/>
      <c r="N61580" s="8"/>
      <c r="O61580" s="8"/>
      <c r="P61580" s="8"/>
      <c r="Q61580" s="8"/>
      <c r="R61580" s="103"/>
      <c r="S61580" s="8"/>
      <c r="T61580" s="8"/>
      <c r="U61580" s="8"/>
      <c r="V61580" s="8"/>
      <c r="W61580" s="8"/>
      <c r="X61580" s="8"/>
      <c r="Y61580" s="8"/>
      <c r="Z61580" s="8"/>
      <c r="AA61580" s="8"/>
    </row>
    <row r="61581" spans="1:27" x14ac:dyDescent="0.25">
      <c r="A61581" s="8"/>
      <c r="B61581" s="8"/>
      <c r="C61581" s="99"/>
      <c r="D61581" s="8"/>
      <c r="E61581" s="8"/>
      <c r="F61581" s="8"/>
      <c r="G61581" s="8"/>
      <c r="H61581" s="8"/>
      <c r="I61581" s="102"/>
      <c r="J61581" s="8"/>
      <c r="K61581" s="8"/>
      <c r="L61581" s="8"/>
      <c r="M61581" s="8"/>
      <c r="N61581" s="8"/>
      <c r="O61581" s="8"/>
      <c r="P61581" s="8"/>
      <c r="Q61581" s="8"/>
      <c r="R61581" s="103"/>
      <c r="S61581" s="8"/>
      <c r="T61581" s="8"/>
      <c r="U61581" s="8"/>
      <c r="V61581" s="8"/>
      <c r="W61581" s="8"/>
      <c r="X61581" s="8"/>
      <c r="Y61581" s="8"/>
      <c r="Z61581" s="8"/>
      <c r="AA61581" s="8"/>
    </row>
    <row r="61582" spans="1:27" x14ac:dyDescent="0.25">
      <c r="A61582" s="8"/>
      <c r="B61582" s="8"/>
      <c r="C61582" s="99"/>
      <c r="D61582" s="8"/>
      <c r="E61582" s="8"/>
      <c r="F61582" s="8"/>
      <c r="G61582" s="8"/>
      <c r="H61582" s="8"/>
      <c r="I61582" s="102"/>
      <c r="J61582" s="8"/>
      <c r="K61582" s="8"/>
      <c r="L61582" s="8"/>
      <c r="M61582" s="8"/>
      <c r="N61582" s="8"/>
      <c r="O61582" s="8"/>
      <c r="P61582" s="8"/>
      <c r="Q61582" s="8"/>
      <c r="R61582" s="103"/>
      <c r="S61582" s="8"/>
      <c r="T61582" s="8"/>
      <c r="U61582" s="8"/>
      <c r="V61582" s="8"/>
      <c r="W61582" s="8"/>
      <c r="X61582" s="8"/>
      <c r="Y61582" s="8"/>
      <c r="Z61582" s="8"/>
      <c r="AA61582" s="8"/>
    </row>
    <row r="61583" spans="1:27" x14ac:dyDescent="0.25">
      <c r="A61583" s="8"/>
      <c r="B61583" s="8"/>
      <c r="C61583" s="99"/>
      <c r="D61583" s="8"/>
      <c r="E61583" s="8"/>
      <c r="F61583" s="8"/>
      <c r="G61583" s="8"/>
      <c r="H61583" s="8"/>
      <c r="I61583" s="102"/>
      <c r="J61583" s="8"/>
      <c r="K61583" s="8"/>
      <c r="L61583" s="8"/>
      <c r="M61583" s="8"/>
      <c r="N61583" s="8"/>
      <c r="O61583" s="8"/>
      <c r="P61583" s="8"/>
      <c r="Q61583" s="8"/>
      <c r="R61583" s="103"/>
      <c r="S61583" s="8"/>
      <c r="T61583" s="8"/>
      <c r="U61583" s="8"/>
      <c r="V61583" s="8"/>
      <c r="W61583" s="8"/>
      <c r="X61583" s="8"/>
      <c r="Y61583" s="8"/>
      <c r="Z61583" s="8"/>
      <c r="AA61583" s="8"/>
    </row>
    <row r="61584" spans="1:27" x14ac:dyDescent="0.25">
      <c r="A61584" s="8"/>
      <c r="B61584" s="8"/>
      <c r="C61584" s="99"/>
      <c r="D61584" s="8"/>
      <c r="E61584" s="8"/>
      <c r="F61584" s="8"/>
      <c r="G61584" s="8"/>
      <c r="H61584" s="8"/>
      <c r="I61584" s="102"/>
      <c r="J61584" s="8"/>
      <c r="K61584" s="8"/>
      <c r="L61584" s="8"/>
      <c r="M61584" s="8"/>
      <c r="N61584" s="8"/>
      <c r="O61584" s="8"/>
      <c r="P61584" s="8"/>
      <c r="Q61584" s="8"/>
      <c r="R61584" s="103"/>
      <c r="S61584" s="8"/>
      <c r="T61584" s="8"/>
      <c r="U61584" s="8"/>
      <c r="V61584" s="8"/>
      <c r="W61584" s="8"/>
      <c r="X61584" s="8"/>
      <c r="Y61584" s="8"/>
      <c r="Z61584" s="8"/>
      <c r="AA61584" s="8"/>
    </row>
    <row r="61585" spans="1:27" x14ac:dyDescent="0.25">
      <c r="A61585" s="8"/>
      <c r="B61585" s="8"/>
      <c r="C61585" s="99"/>
      <c r="D61585" s="8"/>
      <c r="E61585" s="8"/>
      <c r="F61585" s="8"/>
      <c r="G61585" s="8"/>
      <c r="H61585" s="8"/>
      <c r="I61585" s="102"/>
      <c r="J61585" s="8"/>
      <c r="K61585" s="8"/>
      <c r="L61585" s="8"/>
      <c r="M61585" s="8"/>
      <c r="N61585" s="8"/>
      <c r="O61585" s="8"/>
      <c r="P61585" s="8"/>
      <c r="Q61585" s="8"/>
      <c r="R61585" s="103"/>
      <c r="S61585" s="8"/>
      <c r="T61585" s="8"/>
      <c r="U61585" s="8"/>
      <c r="V61585" s="8"/>
      <c r="W61585" s="8"/>
      <c r="X61585" s="8"/>
      <c r="Y61585" s="8"/>
      <c r="Z61585" s="8"/>
      <c r="AA61585" s="8"/>
    </row>
    <row r="61586" spans="1:27" x14ac:dyDescent="0.25">
      <c r="A61586" s="8"/>
      <c r="B61586" s="8"/>
      <c r="C61586" s="99"/>
      <c r="D61586" s="8"/>
      <c r="E61586" s="8"/>
      <c r="F61586" s="8"/>
      <c r="G61586" s="8"/>
      <c r="H61586" s="8"/>
      <c r="I61586" s="102"/>
      <c r="J61586" s="8"/>
      <c r="K61586" s="8"/>
      <c r="L61586" s="8"/>
      <c r="M61586" s="8"/>
      <c r="N61586" s="8"/>
      <c r="O61586" s="8"/>
      <c r="P61586" s="8"/>
      <c r="Q61586" s="8"/>
      <c r="R61586" s="103"/>
      <c r="S61586" s="8"/>
      <c r="T61586" s="8"/>
      <c r="U61586" s="8"/>
      <c r="V61586" s="8"/>
      <c r="W61586" s="8"/>
      <c r="X61586" s="8"/>
      <c r="Y61586" s="8"/>
      <c r="Z61586" s="8"/>
      <c r="AA61586" s="8"/>
    </row>
    <row r="61587" spans="1:27" x14ac:dyDescent="0.25">
      <c r="A61587" s="8"/>
      <c r="B61587" s="8"/>
      <c r="C61587" s="99"/>
      <c r="D61587" s="8"/>
      <c r="E61587" s="8"/>
      <c r="F61587" s="8"/>
      <c r="G61587" s="8"/>
      <c r="H61587" s="8"/>
      <c r="I61587" s="102"/>
      <c r="J61587" s="8"/>
      <c r="K61587" s="8"/>
      <c r="L61587" s="8"/>
      <c r="M61587" s="8"/>
      <c r="N61587" s="8"/>
      <c r="O61587" s="8"/>
      <c r="P61587" s="8"/>
      <c r="Q61587" s="8"/>
      <c r="R61587" s="103"/>
      <c r="S61587" s="8"/>
      <c r="T61587" s="8"/>
      <c r="U61587" s="8"/>
      <c r="V61587" s="8"/>
      <c r="W61587" s="8"/>
      <c r="X61587" s="8"/>
      <c r="Y61587" s="8"/>
      <c r="Z61587" s="8"/>
      <c r="AA61587" s="8"/>
    </row>
    <row r="61588" spans="1:27" x14ac:dyDescent="0.25">
      <c r="A61588" s="8"/>
      <c r="B61588" s="8"/>
      <c r="C61588" s="99"/>
      <c r="D61588" s="8"/>
      <c r="E61588" s="8"/>
      <c r="F61588" s="8"/>
      <c r="G61588" s="8"/>
      <c r="H61588" s="8"/>
      <c r="I61588" s="102"/>
      <c r="J61588" s="8"/>
      <c r="K61588" s="8"/>
      <c r="L61588" s="8"/>
      <c r="M61588" s="8"/>
      <c r="N61588" s="8"/>
      <c r="O61588" s="8"/>
      <c r="P61588" s="8"/>
      <c r="Q61588" s="8"/>
      <c r="R61588" s="103"/>
      <c r="S61588" s="8"/>
      <c r="T61588" s="8"/>
      <c r="U61588" s="8"/>
      <c r="V61588" s="8"/>
      <c r="W61588" s="8"/>
      <c r="X61588" s="8"/>
      <c r="Y61588" s="8"/>
      <c r="Z61588" s="8"/>
      <c r="AA61588" s="8"/>
    </row>
    <row r="61589" spans="1:27" x14ac:dyDescent="0.25">
      <c r="A61589" s="8"/>
      <c r="B61589" s="8"/>
      <c r="C61589" s="99"/>
      <c r="D61589" s="8"/>
      <c r="E61589" s="8"/>
      <c r="F61589" s="8"/>
      <c r="G61589" s="8"/>
      <c r="H61589" s="8"/>
      <c r="I61589" s="102"/>
      <c r="J61589" s="8"/>
      <c r="K61589" s="8"/>
      <c r="L61589" s="8"/>
      <c r="M61589" s="8"/>
      <c r="N61589" s="8"/>
      <c r="O61589" s="8"/>
      <c r="P61589" s="8"/>
      <c r="Q61589" s="8"/>
      <c r="R61589" s="103"/>
      <c r="S61589" s="8"/>
      <c r="T61589" s="8"/>
      <c r="U61589" s="8"/>
      <c r="V61589" s="8"/>
      <c r="W61589" s="8"/>
      <c r="X61589" s="8"/>
      <c r="Y61589" s="8"/>
      <c r="Z61589" s="8"/>
      <c r="AA61589" s="8"/>
    </row>
    <row r="61590" spans="1:27" x14ac:dyDescent="0.25">
      <c r="A61590" s="8"/>
      <c r="B61590" s="8"/>
      <c r="C61590" s="99"/>
      <c r="D61590" s="8"/>
      <c r="E61590" s="8"/>
      <c r="F61590" s="8"/>
      <c r="G61590" s="8"/>
      <c r="H61590" s="8"/>
      <c r="I61590" s="102"/>
      <c r="J61590" s="8"/>
      <c r="K61590" s="8"/>
      <c r="L61590" s="8"/>
      <c r="M61590" s="8"/>
      <c r="N61590" s="8"/>
      <c r="O61590" s="8"/>
      <c r="P61590" s="8"/>
      <c r="Q61590" s="8"/>
      <c r="R61590" s="103"/>
      <c r="S61590" s="8"/>
      <c r="T61590" s="8"/>
      <c r="U61590" s="8"/>
      <c r="V61590" s="8"/>
      <c r="W61590" s="8"/>
      <c r="X61590" s="8"/>
      <c r="Y61590" s="8"/>
      <c r="Z61590" s="8"/>
      <c r="AA61590" s="8"/>
    </row>
    <row r="61591" spans="1:27" x14ac:dyDescent="0.25">
      <c r="A61591" s="8"/>
      <c r="B61591" s="8"/>
      <c r="C61591" s="99"/>
      <c r="D61591" s="8"/>
      <c r="E61591" s="8"/>
      <c r="F61591" s="8"/>
      <c r="G61591" s="8"/>
      <c r="H61591" s="8"/>
      <c r="I61591" s="102"/>
      <c r="J61591" s="8"/>
      <c r="K61591" s="8"/>
      <c r="L61591" s="8"/>
      <c r="M61591" s="8"/>
      <c r="N61591" s="8"/>
      <c r="O61591" s="8"/>
      <c r="P61591" s="8"/>
      <c r="Q61591" s="8"/>
      <c r="R61591" s="103"/>
      <c r="S61591" s="8"/>
      <c r="T61591" s="8"/>
      <c r="U61591" s="8"/>
      <c r="V61591" s="8"/>
      <c r="W61591" s="8"/>
      <c r="X61591" s="8"/>
      <c r="Y61591" s="8"/>
      <c r="Z61591" s="8"/>
      <c r="AA61591" s="8"/>
    </row>
    <row r="61592" spans="1:27" x14ac:dyDescent="0.25">
      <c r="A61592" s="8"/>
      <c r="B61592" s="8"/>
      <c r="C61592" s="99"/>
      <c r="D61592" s="8"/>
      <c r="E61592" s="8"/>
      <c r="F61592" s="8"/>
      <c r="G61592" s="8"/>
      <c r="H61592" s="8"/>
      <c r="I61592" s="102"/>
      <c r="J61592" s="8"/>
      <c r="K61592" s="8"/>
      <c r="L61592" s="8"/>
      <c r="M61592" s="8"/>
      <c r="N61592" s="8"/>
      <c r="O61592" s="8"/>
      <c r="P61592" s="8"/>
      <c r="Q61592" s="8"/>
      <c r="R61592" s="103"/>
      <c r="S61592" s="8"/>
      <c r="T61592" s="8"/>
      <c r="U61592" s="8"/>
      <c r="V61592" s="8"/>
      <c r="W61592" s="8"/>
      <c r="X61592" s="8"/>
      <c r="Y61592" s="8"/>
      <c r="Z61592" s="8"/>
      <c r="AA61592" s="8"/>
    </row>
    <row r="61593" spans="1:27" x14ac:dyDescent="0.25">
      <c r="A61593" s="8"/>
      <c r="B61593" s="8"/>
      <c r="C61593" s="99"/>
      <c r="D61593" s="8"/>
      <c r="E61593" s="8"/>
      <c r="F61593" s="8"/>
      <c r="G61593" s="8"/>
      <c r="H61593" s="8"/>
      <c r="I61593" s="102"/>
      <c r="J61593" s="8"/>
      <c r="K61593" s="8"/>
      <c r="L61593" s="8"/>
      <c r="M61593" s="8"/>
      <c r="N61593" s="8"/>
      <c r="O61593" s="8"/>
      <c r="P61593" s="8"/>
      <c r="Q61593" s="8"/>
      <c r="R61593" s="103"/>
      <c r="S61593" s="8"/>
      <c r="T61593" s="8"/>
      <c r="U61593" s="8"/>
      <c r="V61593" s="8"/>
      <c r="W61593" s="8"/>
      <c r="X61593" s="8"/>
      <c r="Y61593" s="8"/>
      <c r="Z61593" s="8"/>
      <c r="AA61593" s="8"/>
    </row>
    <row r="61594" spans="1:27" x14ac:dyDescent="0.25">
      <c r="A61594" s="8"/>
      <c r="B61594" s="8"/>
      <c r="C61594" s="99"/>
      <c r="D61594" s="8"/>
      <c r="E61594" s="8"/>
      <c r="F61594" s="8"/>
      <c r="G61594" s="8"/>
      <c r="H61594" s="8"/>
      <c r="I61594" s="102"/>
      <c r="J61594" s="8"/>
      <c r="K61594" s="8"/>
      <c r="L61594" s="8"/>
      <c r="M61594" s="8"/>
      <c r="N61594" s="8"/>
      <c r="O61594" s="8"/>
      <c r="P61594" s="8"/>
      <c r="Q61594" s="8"/>
      <c r="R61594" s="103"/>
      <c r="S61594" s="8"/>
      <c r="T61594" s="8"/>
      <c r="U61594" s="8"/>
      <c r="V61594" s="8"/>
      <c r="W61594" s="8"/>
      <c r="X61594" s="8"/>
      <c r="Y61594" s="8"/>
      <c r="Z61594" s="8"/>
      <c r="AA61594" s="8"/>
    </row>
    <row r="61595" spans="1:27" x14ac:dyDescent="0.25">
      <c r="A61595" s="8"/>
      <c r="B61595" s="8"/>
      <c r="C61595" s="99"/>
      <c r="D61595" s="8"/>
      <c r="E61595" s="8"/>
      <c r="F61595" s="8"/>
      <c r="G61595" s="8"/>
      <c r="H61595" s="8"/>
      <c r="I61595" s="102"/>
      <c r="J61595" s="8"/>
      <c r="K61595" s="8"/>
      <c r="L61595" s="8"/>
      <c r="M61595" s="8"/>
      <c r="N61595" s="8"/>
      <c r="O61595" s="8"/>
      <c r="P61595" s="8"/>
      <c r="Q61595" s="8"/>
      <c r="R61595" s="103"/>
      <c r="S61595" s="8"/>
      <c r="T61595" s="8"/>
      <c r="U61595" s="8"/>
      <c r="V61595" s="8"/>
      <c r="W61595" s="8"/>
      <c r="X61595" s="8"/>
      <c r="Y61595" s="8"/>
      <c r="Z61595" s="8"/>
      <c r="AA61595" s="8"/>
    </row>
    <row r="61596" spans="1:27" x14ac:dyDescent="0.25">
      <c r="A61596" s="8"/>
      <c r="B61596" s="8"/>
      <c r="C61596" s="99"/>
      <c r="D61596" s="8"/>
      <c r="E61596" s="8"/>
      <c r="F61596" s="8"/>
      <c r="G61596" s="8"/>
      <c r="H61596" s="8"/>
      <c r="I61596" s="102"/>
      <c r="J61596" s="8"/>
      <c r="K61596" s="8"/>
      <c r="L61596" s="8"/>
      <c r="M61596" s="8"/>
      <c r="N61596" s="8"/>
      <c r="O61596" s="8"/>
      <c r="P61596" s="8"/>
      <c r="Q61596" s="8"/>
      <c r="R61596" s="103"/>
      <c r="S61596" s="8"/>
      <c r="T61596" s="8"/>
      <c r="U61596" s="8"/>
      <c r="V61596" s="8"/>
      <c r="W61596" s="8"/>
      <c r="X61596" s="8"/>
      <c r="Y61596" s="8"/>
      <c r="Z61596" s="8"/>
      <c r="AA61596" s="8"/>
    </row>
    <row r="61597" spans="1:27" x14ac:dyDescent="0.25">
      <c r="A61597" s="8"/>
      <c r="B61597" s="8"/>
      <c r="C61597" s="99"/>
      <c r="D61597" s="8"/>
      <c r="E61597" s="8"/>
      <c r="F61597" s="8"/>
      <c r="G61597" s="8"/>
      <c r="H61597" s="8"/>
      <c r="I61597" s="102"/>
      <c r="J61597" s="8"/>
      <c r="K61597" s="8"/>
      <c r="L61597" s="8"/>
      <c r="M61597" s="8"/>
      <c r="N61597" s="8"/>
      <c r="O61597" s="8"/>
      <c r="P61597" s="8"/>
      <c r="Q61597" s="8"/>
      <c r="R61597" s="103"/>
      <c r="S61597" s="8"/>
      <c r="T61597" s="8"/>
      <c r="U61597" s="8"/>
      <c r="V61597" s="8"/>
      <c r="W61597" s="8"/>
      <c r="X61597" s="8"/>
      <c r="Y61597" s="8"/>
      <c r="Z61597" s="8"/>
      <c r="AA61597" s="8"/>
    </row>
    <row r="61598" spans="1:27" x14ac:dyDescent="0.25">
      <c r="A61598" s="8"/>
      <c r="B61598" s="8"/>
      <c r="C61598" s="99"/>
      <c r="D61598" s="8"/>
      <c r="E61598" s="8"/>
      <c r="F61598" s="8"/>
      <c r="G61598" s="8"/>
      <c r="H61598" s="8"/>
      <c r="I61598" s="102"/>
      <c r="J61598" s="8"/>
      <c r="K61598" s="8"/>
      <c r="L61598" s="8"/>
      <c r="M61598" s="8"/>
      <c r="N61598" s="8"/>
      <c r="O61598" s="8"/>
      <c r="P61598" s="8"/>
      <c r="Q61598" s="8"/>
      <c r="R61598" s="103"/>
      <c r="S61598" s="8"/>
      <c r="T61598" s="8"/>
      <c r="U61598" s="8"/>
      <c r="V61598" s="8"/>
      <c r="W61598" s="8"/>
      <c r="X61598" s="8"/>
      <c r="Y61598" s="8"/>
      <c r="Z61598" s="8"/>
      <c r="AA61598" s="8"/>
    </row>
    <row r="61599" spans="1:27" x14ac:dyDescent="0.25">
      <c r="A61599" s="8"/>
      <c r="B61599" s="8"/>
      <c r="C61599" s="99"/>
      <c r="D61599" s="8"/>
      <c r="E61599" s="8"/>
      <c r="F61599" s="8"/>
      <c r="G61599" s="8"/>
      <c r="H61599" s="8"/>
      <c r="I61599" s="102"/>
      <c r="J61599" s="8"/>
      <c r="K61599" s="8"/>
      <c r="L61599" s="8"/>
      <c r="M61599" s="8"/>
      <c r="N61599" s="8"/>
      <c r="O61599" s="8"/>
      <c r="P61599" s="8"/>
      <c r="Q61599" s="8"/>
      <c r="R61599" s="103"/>
      <c r="S61599" s="8"/>
      <c r="T61599" s="8"/>
      <c r="U61599" s="8"/>
      <c r="V61599" s="8"/>
      <c r="W61599" s="8"/>
      <c r="X61599" s="8"/>
      <c r="Y61599" s="8"/>
      <c r="Z61599" s="8"/>
      <c r="AA61599" s="8"/>
    </row>
    <row r="61600" spans="1:27" x14ac:dyDescent="0.25">
      <c r="A61600" s="8"/>
      <c r="B61600" s="8"/>
      <c r="C61600" s="99"/>
      <c r="D61600" s="8"/>
      <c r="E61600" s="8"/>
      <c r="F61600" s="8"/>
      <c r="G61600" s="8"/>
      <c r="H61600" s="8"/>
      <c r="I61600" s="102"/>
      <c r="J61600" s="8"/>
      <c r="K61600" s="8"/>
      <c r="L61600" s="8"/>
      <c r="M61600" s="8"/>
      <c r="N61600" s="8"/>
      <c r="O61600" s="8"/>
      <c r="P61600" s="8"/>
      <c r="Q61600" s="8"/>
      <c r="R61600" s="103"/>
      <c r="S61600" s="8"/>
      <c r="T61600" s="8"/>
      <c r="U61600" s="8"/>
      <c r="V61600" s="8"/>
      <c r="W61600" s="8"/>
      <c r="X61600" s="8"/>
      <c r="Y61600" s="8"/>
      <c r="Z61600" s="8"/>
      <c r="AA61600" s="8"/>
    </row>
    <row r="61601" spans="1:27" x14ac:dyDescent="0.25">
      <c r="A61601" s="8"/>
      <c r="B61601" s="8"/>
      <c r="C61601" s="99"/>
      <c r="D61601" s="8"/>
      <c r="E61601" s="8"/>
      <c r="F61601" s="8"/>
      <c r="G61601" s="8"/>
      <c r="H61601" s="8"/>
      <c r="I61601" s="102"/>
      <c r="J61601" s="8"/>
      <c r="K61601" s="8"/>
      <c r="L61601" s="8"/>
      <c r="M61601" s="8"/>
      <c r="N61601" s="8"/>
      <c r="O61601" s="8"/>
      <c r="P61601" s="8"/>
      <c r="Q61601" s="8"/>
      <c r="R61601" s="103"/>
      <c r="S61601" s="8"/>
      <c r="T61601" s="8"/>
      <c r="U61601" s="8"/>
      <c r="V61601" s="8"/>
      <c r="W61601" s="8"/>
      <c r="X61601" s="8"/>
      <c r="Y61601" s="8"/>
      <c r="Z61601" s="8"/>
      <c r="AA61601" s="8"/>
    </row>
    <row r="61602" spans="1:27" x14ac:dyDescent="0.25">
      <c r="A61602" s="8"/>
      <c r="B61602" s="8"/>
      <c r="C61602" s="99"/>
      <c r="D61602" s="8"/>
      <c r="E61602" s="8"/>
      <c r="F61602" s="8"/>
      <c r="G61602" s="8"/>
      <c r="H61602" s="8"/>
      <c r="I61602" s="102"/>
      <c r="J61602" s="8"/>
      <c r="K61602" s="8"/>
      <c r="L61602" s="8"/>
      <c r="M61602" s="8"/>
      <c r="N61602" s="8"/>
      <c r="O61602" s="8"/>
      <c r="P61602" s="8"/>
      <c r="Q61602" s="8"/>
      <c r="R61602" s="103"/>
      <c r="S61602" s="8"/>
      <c r="T61602" s="8"/>
      <c r="U61602" s="8"/>
      <c r="V61602" s="8"/>
      <c r="W61602" s="8"/>
      <c r="X61602" s="8"/>
      <c r="Y61602" s="8"/>
      <c r="Z61602" s="8"/>
      <c r="AA61602" s="8"/>
    </row>
    <row r="61603" spans="1:27" x14ac:dyDescent="0.25">
      <c r="A61603" s="8"/>
      <c r="B61603" s="8"/>
      <c r="C61603" s="99"/>
      <c r="D61603" s="8"/>
      <c r="E61603" s="8"/>
      <c r="F61603" s="8"/>
      <c r="G61603" s="8"/>
      <c r="H61603" s="8"/>
      <c r="I61603" s="102"/>
      <c r="J61603" s="8"/>
      <c r="K61603" s="8"/>
      <c r="L61603" s="8"/>
      <c r="M61603" s="8"/>
      <c r="N61603" s="8"/>
      <c r="O61603" s="8"/>
      <c r="P61603" s="8"/>
      <c r="Q61603" s="8"/>
      <c r="R61603" s="103"/>
      <c r="S61603" s="8"/>
      <c r="T61603" s="8"/>
      <c r="U61603" s="8"/>
      <c r="V61603" s="8"/>
      <c r="W61603" s="8"/>
      <c r="X61603" s="8"/>
      <c r="Y61603" s="8"/>
      <c r="Z61603" s="8"/>
      <c r="AA61603" s="8"/>
    </row>
    <row r="61604" spans="1:27" x14ac:dyDescent="0.25">
      <c r="A61604" s="8"/>
      <c r="B61604" s="8"/>
      <c r="C61604" s="99"/>
      <c r="D61604" s="8"/>
      <c r="E61604" s="8"/>
      <c r="F61604" s="8"/>
      <c r="G61604" s="8"/>
      <c r="H61604" s="8"/>
      <c r="I61604" s="102"/>
      <c r="J61604" s="8"/>
      <c r="K61604" s="8"/>
      <c r="L61604" s="8"/>
      <c r="M61604" s="8"/>
      <c r="N61604" s="8"/>
      <c r="O61604" s="8"/>
      <c r="P61604" s="8"/>
      <c r="Q61604" s="8"/>
      <c r="R61604" s="103"/>
      <c r="S61604" s="8"/>
      <c r="T61604" s="8"/>
      <c r="U61604" s="8"/>
      <c r="V61604" s="8"/>
      <c r="W61604" s="8"/>
      <c r="X61604" s="8"/>
      <c r="Y61604" s="8"/>
      <c r="Z61604" s="8"/>
      <c r="AA61604" s="8"/>
    </row>
    <row r="61605" spans="1:27" x14ac:dyDescent="0.25">
      <c r="A61605" s="8"/>
      <c r="B61605" s="8"/>
      <c r="C61605" s="99"/>
      <c r="D61605" s="8"/>
      <c r="E61605" s="8"/>
      <c r="F61605" s="8"/>
      <c r="G61605" s="8"/>
      <c r="H61605" s="8"/>
      <c r="I61605" s="102"/>
      <c r="J61605" s="8"/>
      <c r="K61605" s="8"/>
      <c r="L61605" s="8"/>
      <c r="M61605" s="8"/>
      <c r="N61605" s="8"/>
      <c r="O61605" s="8"/>
      <c r="P61605" s="8"/>
      <c r="Q61605" s="8"/>
      <c r="R61605" s="103"/>
      <c r="S61605" s="8"/>
      <c r="T61605" s="8"/>
      <c r="U61605" s="8"/>
      <c r="V61605" s="8"/>
      <c r="W61605" s="8"/>
      <c r="X61605" s="8"/>
      <c r="Y61605" s="8"/>
      <c r="Z61605" s="8"/>
      <c r="AA61605" s="8"/>
    </row>
    <row r="61606" spans="1:27" x14ac:dyDescent="0.25">
      <c r="A61606" s="8"/>
      <c r="B61606" s="8"/>
      <c r="C61606" s="99"/>
      <c r="D61606" s="8"/>
      <c r="E61606" s="8"/>
      <c r="F61606" s="8"/>
      <c r="G61606" s="8"/>
      <c r="H61606" s="8"/>
      <c r="I61606" s="102"/>
      <c r="J61606" s="8"/>
      <c r="K61606" s="8"/>
      <c r="L61606" s="8"/>
      <c r="M61606" s="8"/>
      <c r="N61606" s="8"/>
      <c r="O61606" s="8"/>
      <c r="P61606" s="8"/>
      <c r="Q61606" s="8"/>
      <c r="R61606" s="103"/>
      <c r="S61606" s="8"/>
      <c r="T61606" s="8"/>
      <c r="U61606" s="8"/>
      <c r="V61606" s="8"/>
      <c r="W61606" s="8"/>
      <c r="X61606" s="8"/>
      <c r="Y61606" s="8"/>
      <c r="Z61606" s="8"/>
      <c r="AA61606" s="8"/>
    </row>
    <row r="61607" spans="1:27" x14ac:dyDescent="0.25">
      <c r="A61607" s="8"/>
      <c r="B61607" s="8"/>
      <c r="C61607" s="99"/>
      <c r="D61607" s="8"/>
      <c r="E61607" s="8"/>
      <c r="F61607" s="8"/>
      <c r="G61607" s="8"/>
      <c r="H61607" s="8"/>
      <c r="I61607" s="102"/>
      <c r="J61607" s="8"/>
      <c r="K61607" s="8"/>
      <c r="L61607" s="8"/>
      <c r="M61607" s="8"/>
      <c r="N61607" s="8"/>
      <c r="O61607" s="8"/>
      <c r="P61607" s="8"/>
      <c r="Q61607" s="8"/>
      <c r="R61607" s="103"/>
      <c r="S61607" s="8"/>
      <c r="T61607" s="8"/>
      <c r="U61607" s="8"/>
      <c r="V61607" s="8"/>
      <c r="W61607" s="8"/>
      <c r="X61607" s="8"/>
      <c r="Y61607" s="8"/>
      <c r="Z61607" s="8"/>
      <c r="AA61607" s="8"/>
    </row>
    <row r="61608" spans="1:27" x14ac:dyDescent="0.25">
      <c r="A61608" s="8"/>
      <c r="B61608" s="8"/>
      <c r="C61608" s="99"/>
      <c r="D61608" s="8"/>
      <c r="E61608" s="8"/>
      <c r="F61608" s="8"/>
      <c r="G61608" s="8"/>
      <c r="H61608" s="8"/>
      <c r="I61608" s="102"/>
      <c r="J61608" s="8"/>
      <c r="K61608" s="8"/>
      <c r="L61608" s="8"/>
      <c r="M61608" s="8"/>
      <c r="N61608" s="8"/>
      <c r="O61608" s="8"/>
      <c r="P61608" s="8"/>
      <c r="Q61608" s="8"/>
      <c r="R61608" s="103"/>
      <c r="S61608" s="8"/>
      <c r="T61608" s="8"/>
      <c r="U61608" s="8"/>
      <c r="V61608" s="8"/>
      <c r="W61608" s="8"/>
      <c r="X61608" s="8"/>
      <c r="Y61608" s="8"/>
      <c r="Z61608" s="8"/>
      <c r="AA61608" s="8"/>
    </row>
    <row r="61609" spans="1:27" x14ac:dyDescent="0.25">
      <c r="A61609" s="8"/>
      <c r="B61609" s="8"/>
      <c r="C61609" s="99"/>
      <c r="D61609" s="8"/>
      <c r="E61609" s="8"/>
      <c r="F61609" s="8"/>
      <c r="G61609" s="8"/>
      <c r="H61609" s="8"/>
      <c r="I61609" s="102"/>
      <c r="J61609" s="8"/>
      <c r="K61609" s="8"/>
      <c r="L61609" s="8"/>
      <c r="M61609" s="8"/>
      <c r="N61609" s="8"/>
      <c r="O61609" s="8"/>
      <c r="P61609" s="8"/>
      <c r="Q61609" s="8"/>
      <c r="R61609" s="103"/>
      <c r="S61609" s="8"/>
      <c r="T61609" s="8"/>
      <c r="U61609" s="8"/>
      <c r="V61609" s="8"/>
      <c r="W61609" s="8"/>
      <c r="X61609" s="8"/>
      <c r="Y61609" s="8"/>
      <c r="Z61609" s="8"/>
      <c r="AA61609" s="8"/>
    </row>
    <row r="61610" spans="1:27" x14ac:dyDescent="0.25">
      <c r="A61610" s="8"/>
      <c r="B61610" s="8"/>
      <c r="C61610" s="99"/>
      <c r="D61610" s="8"/>
      <c r="E61610" s="8"/>
      <c r="F61610" s="8"/>
      <c r="G61610" s="8"/>
      <c r="H61610" s="8"/>
      <c r="I61610" s="102"/>
      <c r="J61610" s="8"/>
      <c r="K61610" s="8"/>
      <c r="L61610" s="8"/>
      <c r="M61610" s="8"/>
      <c r="N61610" s="8"/>
      <c r="O61610" s="8"/>
      <c r="P61610" s="8"/>
      <c r="Q61610" s="8"/>
      <c r="R61610" s="103"/>
      <c r="S61610" s="8"/>
      <c r="T61610" s="8"/>
      <c r="U61610" s="8"/>
      <c r="V61610" s="8"/>
      <c r="W61610" s="8"/>
      <c r="X61610" s="8"/>
      <c r="Y61610" s="8"/>
      <c r="Z61610" s="8"/>
      <c r="AA61610" s="8"/>
    </row>
    <row r="61611" spans="1:27" x14ac:dyDescent="0.25">
      <c r="A61611" s="8"/>
      <c r="B61611" s="8"/>
      <c r="C61611" s="99"/>
      <c r="D61611" s="8"/>
      <c r="E61611" s="8"/>
      <c r="F61611" s="8"/>
      <c r="G61611" s="8"/>
      <c r="H61611" s="8"/>
      <c r="I61611" s="102"/>
      <c r="J61611" s="8"/>
      <c r="K61611" s="8"/>
      <c r="L61611" s="8"/>
      <c r="M61611" s="8"/>
      <c r="N61611" s="8"/>
      <c r="O61611" s="8"/>
      <c r="P61611" s="8"/>
      <c r="Q61611" s="8"/>
      <c r="R61611" s="103"/>
      <c r="S61611" s="8"/>
      <c r="T61611" s="8"/>
      <c r="U61611" s="8"/>
      <c r="V61611" s="8"/>
      <c r="W61611" s="8"/>
      <c r="X61611" s="8"/>
      <c r="Y61611" s="8"/>
      <c r="Z61611" s="8"/>
      <c r="AA61611" s="8"/>
    </row>
    <row r="61612" spans="1:27" x14ac:dyDescent="0.25">
      <c r="A61612" s="8"/>
      <c r="B61612" s="8"/>
      <c r="C61612" s="99"/>
      <c r="D61612" s="8"/>
      <c r="E61612" s="8"/>
      <c r="F61612" s="8"/>
      <c r="G61612" s="8"/>
      <c r="H61612" s="8"/>
      <c r="I61612" s="102"/>
      <c r="J61612" s="8"/>
      <c r="K61612" s="8"/>
      <c r="L61612" s="8"/>
      <c r="M61612" s="8"/>
      <c r="N61612" s="8"/>
      <c r="O61612" s="8"/>
      <c r="P61612" s="8"/>
      <c r="Q61612" s="8"/>
      <c r="R61612" s="103"/>
      <c r="S61612" s="8"/>
      <c r="T61612" s="8"/>
      <c r="U61612" s="8"/>
      <c r="V61612" s="8"/>
      <c r="W61612" s="8"/>
      <c r="X61612" s="8"/>
      <c r="Y61612" s="8"/>
      <c r="Z61612" s="8"/>
      <c r="AA61612" s="8"/>
    </row>
    <row r="61613" spans="1:27" x14ac:dyDescent="0.25">
      <c r="A61613" s="8"/>
      <c r="B61613" s="8"/>
      <c r="C61613" s="99"/>
      <c r="D61613" s="8"/>
      <c r="E61613" s="8"/>
      <c r="F61613" s="8"/>
      <c r="G61613" s="8"/>
      <c r="H61613" s="8"/>
      <c r="I61613" s="102"/>
      <c r="J61613" s="8"/>
      <c r="K61613" s="8"/>
      <c r="L61613" s="8"/>
      <c r="M61613" s="8"/>
      <c r="N61613" s="8"/>
      <c r="O61613" s="8"/>
      <c r="P61613" s="8"/>
      <c r="Q61613" s="8"/>
      <c r="R61613" s="103"/>
      <c r="S61613" s="8"/>
      <c r="T61613" s="8"/>
      <c r="U61613" s="8"/>
      <c r="V61613" s="8"/>
      <c r="W61613" s="8"/>
      <c r="X61613" s="8"/>
      <c r="Y61613" s="8"/>
      <c r="Z61613" s="8"/>
      <c r="AA61613" s="8"/>
    </row>
    <row r="61614" spans="1:27" x14ac:dyDescent="0.25">
      <c r="A61614" s="8"/>
      <c r="B61614" s="8"/>
      <c r="C61614" s="99"/>
      <c r="D61614" s="8"/>
      <c r="E61614" s="8"/>
      <c r="F61614" s="8"/>
      <c r="G61614" s="8"/>
      <c r="H61614" s="8"/>
      <c r="I61614" s="102"/>
      <c r="J61614" s="8"/>
      <c r="K61614" s="8"/>
      <c r="L61614" s="8"/>
      <c r="M61614" s="8"/>
      <c r="N61614" s="8"/>
      <c r="O61614" s="8"/>
      <c r="P61614" s="8"/>
      <c r="Q61614" s="8"/>
      <c r="R61614" s="103"/>
      <c r="S61614" s="8"/>
      <c r="T61614" s="8"/>
      <c r="U61614" s="8"/>
      <c r="V61614" s="8"/>
      <c r="W61614" s="8"/>
      <c r="X61614" s="8"/>
      <c r="Y61614" s="8"/>
      <c r="Z61614" s="8"/>
      <c r="AA61614" s="8"/>
    </row>
    <row r="61615" spans="1:27" x14ac:dyDescent="0.25">
      <c r="A61615" s="8"/>
      <c r="B61615" s="8"/>
      <c r="C61615" s="99"/>
      <c r="D61615" s="8"/>
      <c r="E61615" s="8"/>
      <c r="F61615" s="8"/>
      <c r="G61615" s="8"/>
      <c r="H61615" s="8"/>
      <c r="I61615" s="102"/>
      <c r="J61615" s="8"/>
      <c r="K61615" s="8"/>
      <c r="L61615" s="8"/>
      <c r="M61615" s="8"/>
      <c r="N61615" s="8"/>
      <c r="O61615" s="8"/>
      <c r="P61615" s="8"/>
      <c r="Q61615" s="8"/>
      <c r="R61615" s="103"/>
      <c r="S61615" s="8"/>
      <c r="T61615" s="8"/>
      <c r="U61615" s="8"/>
      <c r="V61615" s="8"/>
      <c r="W61615" s="8"/>
      <c r="X61615" s="8"/>
      <c r="Y61615" s="8"/>
      <c r="Z61615" s="8"/>
      <c r="AA61615" s="8"/>
    </row>
    <row r="61616" spans="1:27" x14ac:dyDescent="0.25">
      <c r="A61616" s="8"/>
      <c r="B61616" s="8"/>
      <c r="C61616" s="99"/>
      <c r="D61616" s="8"/>
      <c r="E61616" s="8"/>
      <c r="F61616" s="8"/>
      <c r="G61616" s="8"/>
      <c r="H61616" s="8"/>
      <c r="I61616" s="102"/>
      <c r="J61616" s="8"/>
      <c r="K61616" s="8"/>
      <c r="L61616" s="8"/>
      <c r="M61616" s="8"/>
      <c r="N61616" s="8"/>
      <c r="O61616" s="8"/>
      <c r="P61616" s="8"/>
      <c r="Q61616" s="8"/>
      <c r="R61616" s="103"/>
      <c r="S61616" s="8"/>
      <c r="T61616" s="8"/>
      <c r="U61616" s="8"/>
      <c r="V61616" s="8"/>
      <c r="W61616" s="8"/>
      <c r="X61616" s="8"/>
      <c r="Y61616" s="8"/>
      <c r="Z61616" s="8"/>
      <c r="AA61616" s="8"/>
    </row>
    <row r="61617" spans="1:27" x14ac:dyDescent="0.25">
      <c r="A61617" s="8"/>
      <c r="B61617" s="8"/>
      <c r="C61617" s="99"/>
      <c r="D61617" s="8"/>
      <c r="E61617" s="8"/>
      <c r="F61617" s="8"/>
      <c r="G61617" s="8"/>
      <c r="H61617" s="8"/>
      <c r="I61617" s="102"/>
      <c r="J61617" s="8"/>
      <c r="K61617" s="8"/>
      <c r="L61617" s="8"/>
      <c r="M61617" s="8"/>
      <c r="N61617" s="8"/>
      <c r="O61617" s="8"/>
      <c r="P61617" s="8"/>
      <c r="Q61617" s="8"/>
      <c r="R61617" s="103"/>
      <c r="S61617" s="8"/>
      <c r="T61617" s="8"/>
      <c r="U61617" s="8"/>
      <c r="V61617" s="8"/>
      <c r="W61617" s="8"/>
      <c r="X61617" s="8"/>
      <c r="Y61617" s="8"/>
      <c r="Z61617" s="8"/>
      <c r="AA61617" s="8"/>
    </row>
    <row r="61618" spans="1:27" x14ac:dyDescent="0.25">
      <c r="A61618" s="8"/>
      <c r="B61618" s="8"/>
      <c r="C61618" s="99"/>
      <c r="D61618" s="8"/>
      <c r="E61618" s="8"/>
      <c r="F61618" s="8"/>
      <c r="G61618" s="8"/>
      <c r="H61618" s="8"/>
      <c r="I61618" s="102"/>
      <c r="J61618" s="8"/>
      <c r="K61618" s="8"/>
      <c r="L61618" s="8"/>
      <c r="M61618" s="8"/>
      <c r="N61618" s="8"/>
      <c r="O61618" s="8"/>
      <c r="P61618" s="8"/>
      <c r="Q61618" s="8"/>
      <c r="R61618" s="103"/>
      <c r="S61618" s="8"/>
      <c r="T61618" s="8"/>
      <c r="U61618" s="8"/>
      <c r="V61618" s="8"/>
      <c r="W61618" s="8"/>
      <c r="X61618" s="8"/>
      <c r="Y61618" s="8"/>
      <c r="Z61618" s="8"/>
      <c r="AA61618" s="8"/>
    </row>
    <row r="61619" spans="1:27" x14ac:dyDescent="0.25">
      <c r="A61619" s="8"/>
      <c r="B61619" s="8"/>
      <c r="C61619" s="99"/>
      <c r="D61619" s="8"/>
      <c r="E61619" s="8"/>
      <c r="F61619" s="8"/>
      <c r="G61619" s="8"/>
      <c r="H61619" s="8"/>
      <c r="I61619" s="102"/>
      <c r="J61619" s="8"/>
      <c r="K61619" s="8"/>
      <c r="L61619" s="8"/>
      <c r="M61619" s="8"/>
      <c r="N61619" s="8"/>
      <c r="O61619" s="8"/>
      <c r="P61619" s="8"/>
      <c r="Q61619" s="8"/>
      <c r="R61619" s="103"/>
      <c r="S61619" s="8"/>
      <c r="T61619" s="8"/>
      <c r="U61619" s="8"/>
      <c r="V61619" s="8"/>
      <c r="W61619" s="8"/>
      <c r="X61619" s="8"/>
      <c r="Y61619" s="8"/>
      <c r="Z61619" s="8"/>
      <c r="AA61619" s="8"/>
    </row>
    <row r="61620" spans="1:27" x14ac:dyDescent="0.25">
      <c r="A61620" s="8"/>
      <c r="B61620" s="8"/>
      <c r="C61620" s="99"/>
      <c r="D61620" s="8"/>
      <c r="E61620" s="8"/>
      <c r="F61620" s="8"/>
      <c r="G61620" s="8"/>
      <c r="H61620" s="8"/>
      <c r="I61620" s="102"/>
      <c r="J61620" s="8"/>
      <c r="K61620" s="8"/>
      <c r="L61620" s="8"/>
      <c r="M61620" s="8"/>
      <c r="N61620" s="8"/>
      <c r="O61620" s="8"/>
      <c r="P61620" s="8"/>
      <c r="Q61620" s="8"/>
      <c r="R61620" s="103"/>
      <c r="S61620" s="8"/>
      <c r="T61620" s="8"/>
      <c r="U61620" s="8"/>
      <c r="V61620" s="8"/>
      <c r="W61620" s="8"/>
      <c r="X61620" s="8"/>
      <c r="Y61620" s="8"/>
      <c r="Z61620" s="8"/>
      <c r="AA61620" s="8"/>
    </row>
    <row r="61621" spans="1:27" x14ac:dyDescent="0.25">
      <c r="A61621" s="8"/>
      <c r="B61621" s="8"/>
      <c r="C61621" s="99"/>
      <c r="D61621" s="8"/>
      <c r="E61621" s="8"/>
      <c r="F61621" s="8"/>
      <c r="G61621" s="8"/>
      <c r="H61621" s="8"/>
      <c r="I61621" s="102"/>
      <c r="J61621" s="8"/>
      <c r="K61621" s="8"/>
      <c r="L61621" s="8"/>
      <c r="M61621" s="8"/>
      <c r="N61621" s="8"/>
      <c r="O61621" s="8"/>
      <c r="P61621" s="8"/>
      <c r="Q61621" s="8"/>
      <c r="R61621" s="103"/>
      <c r="S61621" s="8"/>
      <c r="T61621" s="8"/>
      <c r="U61621" s="8"/>
      <c r="V61621" s="8"/>
      <c r="W61621" s="8"/>
      <c r="X61621" s="8"/>
      <c r="Y61621" s="8"/>
      <c r="Z61621" s="8"/>
      <c r="AA61621" s="8"/>
    </row>
    <row r="61622" spans="1:27" x14ac:dyDescent="0.25">
      <c r="A61622" s="8"/>
      <c r="B61622" s="8"/>
      <c r="C61622" s="99"/>
      <c r="D61622" s="8"/>
      <c r="E61622" s="8"/>
      <c r="F61622" s="8"/>
      <c r="G61622" s="8"/>
      <c r="H61622" s="8"/>
      <c r="I61622" s="102"/>
      <c r="J61622" s="8"/>
      <c r="K61622" s="8"/>
      <c r="L61622" s="8"/>
      <c r="M61622" s="8"/>
      <c r="N61622" s="8"/>
      <c r="O61622" s="8"/>
      <c r="P61622" s="8"/>
      <c r="Q61622" s="8"/>
      <c r="R61622" s="103"/>
      <c r="S61622" s="8"/>
      <c r="T61622" s="8"/>
      <c r="U61622" s="8"/>
      <c r="V61622" s="8"/>
      <c r="W61622" s="8"/>
      <c r="X61622" s="8"/>
      <c r="Y61622" s="8"/>
      <c r="Z61622" s="8"/>
      <c r="AA61622" s="8"/>
    </row>
    <row r="61623" spans="1:27" x14ac:dyDescent="0.25">
      <c r="A61623" s="8"/>
      <c r="B61623" s="8"/>
      <c r="C61623" s="99"/>
      <c r="D61623" s="8"/>
      <c r="E61623" s="8"/>
      <c r="F61623" s="8"/>
      <c r="G61623" s="8"/>
      <c r="H61623" s="8"/>
      <c r="I61623" s="102"/>
      <c r="J61623" s="8"/>
      <c r="K61623" s="8"/>
      <c r="L61623" s="8"/>
      <c r="M61623" s="8"/>
      <c r="N61623" s="8"/>
      <c r="O61623" s="8"/>
      <c r="P61623" s="8"/>
      <c r="Q61623" s="8"/>
      <c r="R61623" s="103"/>
      <c r="S61623" s="8"/>
      <c r="T61623" s="8"/>
      <c r="U61623" s="8"/>
      <c r="V61623" s="8"/>
      <c r="W61623" s="8"/>
      <c r="X61623" s="8"/>
      <c r="Y61623" s="8"/>
      <c r="Z61623" s="8"/>
      <c r="AA61623" s="8"/>
    </row>
    <row r="61624" spans="1:27" x14ac:dyDescent="0.25">
      <c r="A61624" s="8"/>
      <c r="B61624" s="8"/>
      <c r="C61624" s="99"/>
      <c r="D61624" s="8"/>
      <c r="E61624" s="8"/>
      <c r="F61624" s="8"/>
      <c r="G61624" s="8"/>
      <c r="H61624" s="8"/>
      <c r="I61624" s="102"/>
      <c r="J61624" s="8"/>
      <c r="K61624" s="8"/>
      <c r="L61624" s="8"/>
      <c r="M61624" s="8"/>
      <c r="N61624" s="8"/>
      <c r="O61624" s="8"/>
      <c r="P61624" s="8"/>
      <c r="Q61624" s="8"/>
      <c r="R61624" s="103"/>
      <c r="S61624" s="8"/>
      <c r="T61624" s="8"/>
      <c r="U61624" s="8"/>
      <c r="V61624" s="8"/>
      <c r="W61624" s="8"/>
      <c r="X61624" s="8"/>
      <c r="Y61624" s="8"/>
      <c r="Z61624" s="8"/>
      <c r="AA61624" s="8"/>
    </row>
    <row r="61625" spans="1:27" x14ac:dyDescent="0.25">
      <c r="A61625" s="8"/>
      <c r="B61625" s="8"/>
      <c r="C61625" s="99"/>
      <c r="D61625" s="8"/>
      <c r="E61625" s="8"/>
      <c r="F61625" s="8"/>
      <c r="G61625" s="8"/>
      <c r="H61625" s="8"/>
      <c r="I61625" s="102"/>
      <c r="J61625" s="8"/>
      <c r="K61625" s="8"/>
      <c r="L61625" s="8"/>
      <c r="M61625" s="8"/>
      <c r="N61625" s="8"/>
      <c r="O61625" s="8"/>
      <c r="P61625" s="8"/>
      <c r="Q61625" s="8"/>
      <c r="R61625" s="103"/>
      <c r="S61625" s="8"/>
      <c r="T61625" s="8"/>
      <c r="U61625" s="8"/>
      <c r="V61625" s="8"/>
      <c r="W61625" s="8"/>
      <c r="X61625" s="8"/>
      <c r="Y61625" s="8"/>
      <c r="Z61625" s="8"/>
      <c r="AA61625" s="8"/>
    </row>
    <row r="61626" spans="1:27" x14ac:dyDescent="0.25">
      <c r="A61626" s="8"/>
      <c r="B61626" s="8"/>
      <c r="C61626" s="99"/>
      <c r="D61626" s="8"/>
      <c r="E61626" s="8"/>
      <c r="F61626" s="8"/>
      <c r="G61626" s="8"/>
      <c r="H61626" s="8"/>
      <c r="I61626" s="102"/>
      <c r="J61626" s="8"/>
      <c r="K61626" s="8"/>
      <c r="L61626" s="8"/>
      <c r="M61626" s="8"/>
      <c r="N61626" s="8"/>
      <c r="O61626" s="8"/>
      <c r="P61626" s="8"/>
      <c r="Q61626" s="8"/>
      <c r="R61626" s="103"/>
      <c r="S61626" s="8"/>
      <c r="T61626" s="8"/>
      <c r="U61626" s="8"/>
      <c r="V61626" s="8"/>
      <c r="W61626" s="8"/>
      <c r="X61626" s="8"/>
      <c r="Y61626" s="8"/>
      <c r="Z61626" s="8"/>
      <c r="AA61626" s="8"/>
    </row>
    <row r="61627" spans="1:27" x14ac:dyDescent="0.25">
      <c r="A61627" s="8"/>
      <c r="B61627" s="8"/>
      <c r="C61627" s="99"/>
      <c r="D61627" s="8"/>
      <c r="E61627" s="8"/>
      <c r="F61627" s="8"/>
      <c r="G61627" s="8"/>
      <c r="H61627" s="8"/>
      <c r="I61627" s="102"/>
      <c r="J61627" s="8"/>
      <c r="K61627" s="8"/>
      <c r="L61627" s="8"/>
      <c r="M61627" s="8"/>
      <c r="N61627" s="8"/>
      <c r="O61627" s="8"/>
      <c r="P61627" s="8"/>
      <c r="Q61627" s="8"/>
      <c r="R61627" s="103"/>
      <c r="S61627" s="8"/>
      <c r="T61627" s="8"/>
      <c r="U61627" s="8"/>
      <c r="V61627" s="8"/>
      <c r="W61627" s="8"/>
      <c r="X61627" s="8"/>
      <c r="Y61627" s="8"/>
      <c r="Z61627" s="8"/>
      <c r="AA61627" s="8"/>
    </row>
    <row r="61628" spans="1:27" x14ac:dyDescent="0.25">
      <c r="A61628" s="8"/>
      <c r="B61628" s="8"/>
      <c r="C61628" s="99"/>
      <c r="D61628" s="8"/>
      <c r="E61628" s="8"/>
      <c r="F61628" s="8"/>
      <c r="G61628" s="8"/>
      <c r="H61628" s="8"/>
      <c r="I61628" s="102"/>
      <c r="J61628" s="8"/>
      <c r="K61628" s="8"/>
      <c r="L61628" s="8"/>
      <c r="M61628" s="8"/>
      <c r="N61628" s="8"/>
      <c r="O61628" s="8"/>
      <c r="P61628" s="8"/>
      <c r="Q61628" s="8"/>
      <c r="R61628" s="103"/>
      <c r="S61628" s="8"/>
      <c r="T61628" s="8"/>
      <c r="U61628" s="8"/>
      <c r="V61628" s="8"/>
      <c r="W61628" s="8"/>
      <c r="X61628" s="8"/>
      <c r="Y61628" s="8"/>
      <c r="Z61628" s="8"/>
      <c r="AA61628" s="8"/>
    </row>
    <row r="61629" spans="1:27" x14ac:dyDescent="0.25">
      <c r="A61629" s="8"/>
      <c r="B61629" s="8"/>
      <c r="C61629" s="99"/>
      <c r="D61629" s="8"/>
      <c r="E61629" s="8"/>
      <c r="F61629" s="8"/>
      <c r="G61629" s="8"/>
      <c r="H61629" s="8"/>
      <c r="I61629" s="102"/>
      <c r="J61629" s="8"/>
      <c r="K61629" s="8"/>
      <c r="L61629" s="8"/>
      <c r="M61629" s="8"/>
      <c r="N61629" s="8"/>
      <c r="O61629" s="8"/>
      <c r="P61629" s="8"/>
      <c r="Q61629" s="8"/>
      <c r="R61629" s="103"/>
      <c r="S61629" s="8"/>
      <c r="T61629" s="8"/>
      <c r="U61629" s="8"/>
      <c r="V61629" s="8"/>
      <c r="W61629" s="8"/>
      <c r="X61629" s="8"/>
      <c r="Y61629" s="8"/>
      <c r="Z61629" s="8"/>
      <c r="AA61629" s="8"/>
    </row>
    <row r="61630" spans="1:27" x14ac:dyDescent="0.25">
      <c r="A61630" s="8"/>
      <c r="B61630" s="8"/>
      <c r="C61630" s="99"/>
      <c r="D61630" s="8"/>
      <c r="E61630" s="8"/>
      <c r="F61630" s="8"/>
      <c r="G61630" s="8"/>
      <c r="H61630" s="8"/>
      <c r="I61630" s="102"/>
      <c r="J61630" s="8"/>
      <c r="K61630" s="8"/>
      <c r="L61630" s="8"/>
      <c r="M61630" s="8"/>
      <c r="N61630" s="8"/>
      <c r="O61630" s="8"/>
      <c r="P61630" s="8"/>
      <c r="Q61630" s="8"/>
      <c r="R61630" s="103"/>
      <c r="S61630" s="8"/>
      <c r="T61630" s="8"/>
      <c r="U61630" s="8"/>
      <c r="V61630" s="8"/>
      <c r="W61630" s="8"/>
      <c r="X61630" s="8"/>
      <c r="Y61630" s="8"/>
      <c r="Z61630" s="8"/>
      <c r="AA61630" s="8"/>
    </row>
    <row r="61631" spans="1:27" x14ac:dyDescent="0.25">
      <c r="A61631" s="8"/>
      <c r="B61631" s="8"/>
      <c r="C61631" s="99"/>
      <c r="D61631" s="8"/>
      <c r="E61631" s="8"/>
      <c r="F61631" s="8"/>
      <c r="G61631" s="8"/>
      <c r="H61631" s="8"/>
      <c r="I61631" s="102"/>
      <c r="J61631" s="8"/>
      <c r="K61631" s="8"/>
      <c r="L61631" s="8"/>
      <c r="M61631" s="8"/>
      <c r="N61631" s="8"/>
      <c r="O61631" s="8"/>
      <c r="P61631" s="8"/>
      <c r="Q61631" s="8"/>
      <c r="R61631" s="103"/>
      <c r="S61631" s="8"/>
      <c r="T61631" s="8"/>
      <c r="U61631" s="8"/>
      <c r="V61631" s="8"/>
      <c r="W61631" s="8"/>
      <c r="X61631" s="8"/>
      <c r="Y61631" s="8"/>
      <c r="Z61631" s="8"/>
      <c r="AA61631" s="8"/>
    </row>
    <row r="61632" spans="1:27" x14ac:dyDescent="0.25">
      <c r="A61632" s="8"/>
      <c r="B61632" s="8"/>
      <c r="C61632" s="99"/>
      <c r="D61632" s="8"/>
      <c r="E61632" s="8"/>
      <c r="F61632" s="8"/>
      <c r="G61632" s="8"/>
      <c r="H61632" s="8"/>
      <c r="I61632" s="102"/>
      <c r="J61632" s="8"/>
      <c r="K61632" s="8"/>
      <c r="L61632" s="8"/>
      <c r="M61632" s="8"/>
      <c r="N61632" s="8"/>
      <c r="O61632" s="8"/>
      <c r="P61632" s="8"/>
      <c r="Q61632" s="8"/>
      <c r="R61632" s="103"/>
      <c r="S61632" s="8"/>
      <c r="T61632" s="8"/>
      <c r="U61632" s="8"/>
      <c r="V61632" s="8"/>
      <c r="W61632" s="8"/>
      <c r="X61632" s="8"/>
      <c r="Y61632" s="8"/>
      <c r="Z61632" s="8"/>
      <c r="AA61632" s="8"/>
    </row>
    <row r="61633" spans="1:27" x14ac:dyDescent="0.25">
      <c r="A61633" s="8"/>
      <c r="B61633" s="8"/>
      <c r="C61633" s="99"/>
      <c r="D61633" s="8"/>
      <c r="E61633" s="8"/>
      <c r="F61633" s="8"/>
      <c r="G61633" s="8"/>
      <c r="H61633" s="8"/>
      <c r="I61633" s="102"/>
      <c r="J61633" s="8"/>
      <c r="K61633" s="8"/>
      <c r="L61633" s="8"/>
      <c r="M61633" s="8"/>
      <c r="N61633" s="8"/>
      <c r="O61633" s="8"/>
      <c r="P61633" s="8"/>
      <c r="Q61633" s="8"/>
      <c r="R61633" s="103"/>
      <c r="S61633" s="8"/>
      <c r="T61633" s="8"/>
      <c r="U61633" s="8"/>
      <c r="V61633" s="8"/>
      <c r="W61633" s="8"/>
      <c r="X61633" s="8"/>
      <c r="Y61633" s="8"/>
      <c r="Z61633" s="8"/>
      <c r="AA61633" s="8"/>
    </row>
    <row r="61634" spans="1:27" x14ac:dyDescent="0.25">
      <c r="A61634" s="8"/>
      <c r="B61634" s="8"/>
      <c r="C61634" s="99"/>
      <c r="D61634" s="8"/>
      <c r="E61634" s="8"/>
      <c r="F61634" s="8"/>
      <c r="G61634" s="8"/>
      <c r="H61634" s="8"/>
      <c r="I61634" s="102"/>
      <c r="J61634" s="8"/>
      <c r="K61634" s="8"/>
      <c r="L61634" s="8"/>
      <c r="M61634" s="8"/>
      <c r="N61634" s="8"/>
      <c r="O61634" s="8"/>
      <c r="P61634" s="8"/>
      <c r="Q61634" s="8"/>
      <c r="R61634" s="103"/>
      <c r="S61634" s="8"/>
      <c r="T61634" s="8"/>
      <c r="U61634" s="8"/>
      <c r="V61634" s="8"/>
      <c r="W61634" s="8"/>
      <c r="X61634" s="8"/>
      <c r="Y61634" s="8"/>
      <c r="Z61634" s="8"/>
      <c r="AA61634" s="8"/>
    </row>
    <row r="61635" spans="1:27" x14ac:dyDescent="0.25">
      <c r="A61635" s="8"/>
      <c r="B61635" s="8"/>
      <c r="C61635" s="99"/>
      <c r="D61635" s="8"/>
      <c r="E61635" s="8"/>
      <c r="F61635" s="8"/>
      <c r="G61635" s="8"/>
      <c r="H61635" s="8"/>
      <c r="I61635" s="102"/>
      <c r="J61635" s="8"/>
      <c r="K61635" s="8"/>
      <c r="L61635" s="8"/>
      <c r="M61635" s="8"/>
      <c r="N61635" s="8"/>
      <c r="O61635" s="8"/>
      <c r="P61635" s="8"/>
      <c r="Q61635" s="8"/>
      <c r="R61635" s="103"/>
      <c r="S61635" s="8"/>
      <c r="T61635" s="8"/>
      <c r="U61635" s="8"/>
      <c r="V61635" s="8"/>
      <c r="W61635" s="8"/>
      <c r="X61635" s="8"/>
      <c r="Y61635" s="8"/>
      <c r="Z61635" s="8"/>
      <c r="AA61635" s="8"/>
    </row>
    <row r="61636" spans="1:27" x14ac:dyDescent="0.25">
      <c r="A61636" s="8"/>
      <c r="B61636" s="8"/>
      <c r="C61636" s="99"/>
      <c r="D61636" s="8"/>
      <c r="E61636" s="8"/>
      <c r="F61636" s="8"/>
      <c r="G61636" s="8"/>
      <c r="H61636" s="8"/>
      <c r="I61636" s="102"/>
      <c r="J61636" s="8"/>
      <c r="K61636" s="8"/>
      <c r="L61636" s="8"/>
      <c r="M61636" s="8"/>
      <c r="N61636" s="8"/>
      <c r="O61636" s="8"/>
      <c r="P61636" s="8"/>
      <c r="Q61636" s="8"/>
      <c r="R61636" s="103"/>
      <c r="S61636" s="8"/>
      <c r="T61636" s="8"/>
      <c r="U61636" s="8"/>
      <c r="V61636" s="8"/>
      <c r="W61636" s="8"/>
      <c r="X61636" s="8"/>
      <c r="Y61636" s="8"/>
      <c r="Z61636" s="8"/>
      <c r="AA61636" s="8"/>
    </row>
    <row r="61637" spans="1:27" x14ac:dyDescent="0.25">
      <c r="A61637" s="8"/>
      <c r="B61637" s="8"/>
      <c r="C61637" s="99"/>
      <c r="D61637" s="8"/>
      <c r="E61637" s="8"/>
      <c r="F61637" s="8"/>
      <c r="G61637" s="8"/>
      <c r="H61637" s="8"/>
      <c r="I61637" s="102"/>
      <c r="J61637" s="8"/>
      <c r="K61637" s="8"/>
      <c r="L61637" s="8"/>
      <c r="M61637" s="8"/>
      <c r="N61637" s="8"/>
      <c r="O61637" s="8"/>
      <c r="P61637" s="8"/>
      <c r="Q61637" s="8"/>
      <c r="R61637" s="103"/>
      <c r="S61637" s="8"/>
      <c r="T61637" s="8"/>
      <c r="U61637" s="8"/>
      <c r="V61637" s="8"/>
      <c r="W61637" s="8"/>
      <c r="X61637" s="8"/>
      <c r="Y61637" s="8"/>
      <c r="Z61637" s="8"/>
      <c r="AA61637" s="8"/>
    </row>
    <row r="61638" spans="1:27" x14ac:dyDescent="0.25">
      <c r="A61638" s="8"/>
      <c r="B61638" s="8"/>
      <c r="C61638" s="99"/>
      <c r="D61638" s="8"/>
      <c r="E61638" s="8"/>
      <c r="F61638" s="8"/>
      <c r="G61638" s="8"/>
      <c r="H61638" s="8"/>
      <c r="I61638" s="102"/>
      <c r="J61638" s="8"/>
      <c r="K61638" s="8"/>
      <c r="L61638" s="8"/>
      <c r="M61638" s="8"/>
      <c r="N61638" s="8"/>
      <c r="O61638" s="8"/>
      <c r="P61638" s="8"/>
      <c r="Q61638" s="8"/>
      <c r="R61638" s="103"/>
      <c r="S61638" s="8"/>
      <c r="T61638" s="8"/>
      <c r="U61638" s="8"/>
      <c r="V61638" s="8"/>
      <c r="W61638" s="8"/>
      <c r="X61638" s="8"/>
      <c r="Y61638" s="8"/>
      <c r="Z61638" s="8"/>
      <c r="AA61638" s="8"/>
    </row>
    <row r="61639" spans="1:27" x14ac:dyDescent="0.25">
      <c r="A61639" s="8"/>
      <c r="B61639" s="8"/>
      <c r="C61639" s="99"/>
      <c r="D61639" s="8"/>
      <c r="E61639" s="8"/>
      <c r="F61639" s="8"/>
      <c r="G61639" s="8"/>
      <c r="H61639" s="8"/>
      <c r="I61639" s="102"/>
      <c r="J61639" s="8"/>
      <c r="K61639" s="8"/>
      <c r="L61639" s="8"/>
      <c r="M61639" s="8"/>
      <c r="N61639" s="8"/>
      <c r="O61639" s="8"/>
      <c r="P61639" s="8"/>
      <c r="Q61639" s="8"/>
      <c r="R61639" s="103"/>
      <c r="S61639" s="8"/>
      <c r="T61639" s="8"/>
      <c r="U61639" s="8"/>
      <c r="V61639" s="8"/>
      <c r="W61639" s="8"/>
      <c r="X61639" s="8"/>
      <c r="Y61639" s="8"/>
      <c r="Z61639" s="8"/>
      <c r="AA61639" s="8"/>
    </row>
    <row r="61640" spans="1:27" x14ac:dyDescent="0.25">
      <c r="A61640" s="8"/>
      <c r="B61640" s="8"/>
      <c r="C61640" s="99"/>
      <c r="D61640" s="8"/>
      <c r="E61640" s="8"/>
      <c r="F61640" s="8"/>
      <c r="G61640" s="8"/>
      <c r="H61640" s="8"/>
      <c r="I61640" s="102"/>
      <c r="J61640" s="8"/>
      <c r="K61640" s="8"/>
      <c r="L61640" s="8"/>
      <c r="M61640" s="8"/>
      <c r="N61640" s="8"/>
      <c r="O61640" s="8"/>
      <c r="P61640" s="8"/>
      <c r="Q61640" s="8"/>
      <c r="R61640" s="103"/>
      <c r="S61640" s="8"/>
      <c r="T61640" s="8"/>
      <c r="U61640" s="8"/>
      <c r="V61640" s="8"/>
      <c r="W61640" s="8"/>
      <c r="X61640" s="8"/>
      <c r="Y61640" s="8"/>
      <c r="Z61640" s="8"/>
      <c r="AA61640" s="8"/>
    </row>
    <row r="61641" spans="1:27" x14ac:dyDescent="0.25">
      <c r="A61641" s="8"/>
      <c r="B61641" s="8"/>
      <c r="C61641" s="99"/>
      <c r="D61641" s="8"/>
      <c r="E61641" s="8"/>
      <c r="F61641" s="8"/>
      <c r="G61641" s="8"/>
      <c r="H61641" s="8"/>
      <c r="I61641" s="102"/>
      <c r="J61641" s="8"/>
      <c r="K61641" s="8"/>
      <c r="L61641" s="8"/>
      <c r="M61641" s="8"/>
      <c r="N61641" s="8"/>
      <c r="O61641" s="8"/>
      <c r="P61641" s="8"/>
      <c r="Q61641" s="8"/>
      <c r="R61641" s="103"/>
      <c r="S61641" s="8"/>
      <c r="T61641" s="8"/>
      <c r="U61641" s="8"/>
      <c r="V61641" s="8"/>
      <c r="W61641" s="8"/>
      <c r="X61641" s="8"/>
      <c r="Y61641" s="8"/>
      <c r="Z61641" s="8"/>
      <c r="AA61641" s="8"/>
    </row>
    <row r="61642" spans="1:27" x14ac:dyDescent="0.25">
      <c r="A61642" s="8"/>
      <c r="B61642" s="8"/>
      <c r="C61642" s="99"/>
      <c r="D61642" s="8"/>
      <c r="E61642" s="8"/>
      <c r="F61642" s="8"/>
      <c r="G61642" s="8"/>
      <c r="H61642" s="8"/>
      <c r="I61642" s="102"/>
      <c r="J61642" s="8"/>
      <c r="K61642" s="8"/>
      <c r="L61642" s="8"/>
      <c r="M61642" s="8"/>
      <c r="N61642" s="8"/>
      <c r="O61642" s="8"/>
      <c r="P61642" s="8"/>
      <c r="Q61642" s="8"/>
      <c r="R61642" s="103"/>
      <c r="S61642" s="8"/>
      <c r="T61642" s="8"/>
      <c r="U61642" s="8"/>
      <c r="V61642" s="8"/>
      <c r="W61642" s="8"/>
      <c r="X61642" s="8"/>
      <c r="Y61642" s="8"/>
      <c r="Z61642" s="8"/>
      <c r="AA61642" s="8"/>
    </row>
    <row r="61643" spans="1:27" x14ac:dyDescent="0.25">
      <c r="A61643" s="8"/>
      <c r="B61643" s="8"/>
      <c r="C61643" s="99"/>
      <c r="D61643" s="8"/>
      <c r="E61643" s="8"/>
      <c r="F61643" s="8"/>
      <c r="G61643" s="8"/>
      <c r="H61643" s="8"/>
      <c r="I61643" s="102"/>
      <c r="J61643" s="8"/>
      <c r="K61643" s="8"/>
      <c r="L61643" s="8"/>
      <c r="M61643" s="8"/>
      <c r="N61643" s="8"/>
      <c r="O61643" s="8"/>
      <c r="P61643" s="8"/>
      <c r="Q61643" s="8"/>
      <c r="R61643" s="103"/>
      <c r="S61643" s="8"/>
      <c r="T61643" s="8"/>
      <c r="U61643" s="8"/>
      <c r="V61643" s="8"/>
      <c r="W61643" s="8"/>
      <c r="X61643" s="8"/>
      <c r="Y61643" s="8"/>
      <c r="Z61643" s="8"/>
      <c r="AA61643" s="8"/>
    </row>
    <row r="61644" spans="1:27" x14ac:dyDescent="0.25">
      <c r="A61644" s="8"/>
      <c r="B61644" s="8"/>
      <c r="C61644" s="99"/>
      <c r="D61644" s="8"/>
      <c r="E61644" s="8"/>
      <c r="F61644" s="8"/>
      <c r="G61644" s="8"/>
      <c r="H61644" s="8"/>
      <c r="I61644" s="102"/>
      <c r="J61644" s="8"/>
      <c r="K61644" s="8"/>
      <c r="L61644" s="8"/>
      <c r="M61644" s="8"/>
      <c r="N61644" s="8"/>
      <c r="O61644" s="8"/>
      <c r="P61644" s="8"/>
      <c r="Q61644" s="8"/>
      <c r="R61644" s="103"/>
      <c r="S61644" s="8"/>
      <c r="T61644" s="8"/>
      <c r="U61644" s="8"/>
      <c r="V61644" s="8"/>
      <c r="W61644" s="8"/>
      <c r="X61644" s="8"/>
      <c r="Y61644" s="8"/>
      <c r="Z61644" s="8"/>
      <c r="AA61644" s="8"/>
    </row>
    <row r="61645" spans="1:27" x14ac:dyDescent="0.25">
      <c r="A61645" s="8"/>
      <c r="B61645" s="8"/>
      <c r="C61645" s="99"/>
      <c r="D61645" s="8"/>
      <c r="E61645" s="8"/>
      <c r="F61645" s="8"/>
      <c r="G61645" s="8"/>
      <c r="H61645" s="8"/>
      <c r="I61645" s="102"/>
      <c r="J61645" s="8"/>
      <c r="K61645" s="8"/>
      <c r="L61645" s="8"/>
      <c r="M61645" s="8"/>
      <c r="N61645" s="8"/>
      <c r="O61645" s="8"/>
      <c r="P61645" s="8"/>
      <c r="Q61645" s="8"/>
      <c r="R61645" s="103"/>
      <c r="S61645" s="8"/>
      <c r="T61645" s="8"/>
      <c r="U61645" s="8"/>
      <c r="V61645" s="8"/>
      <c r="W61645" s="8"/>
      <c r="X61645" s="8"/>
      <c r="Y61645" s="8"/>
      <c r="Z61645" s="8"/>
      <c r="AA61645" s="8"/>
    </row>
    <row r="61646" spans="1:27" x14ac:dyDescent="0.25">
      <c r="A61646" s="8"/>
      <c r="B61646" s="8"/>
      <c r="C61646" s="99"/>
      <c r="D61646" s="8"/>
      <c r="E61646" s="8"/>
      <c r="F61646" s="8"/>
      <c r="G61646" s="8"/>
      <c r="H61646" s="8"/>
      <c r="I61646" s="102"/>
      <c r="J61646" s="8"/>
      <c r="K61646" s="8"/>
      <c r="L61646" s="8"/>
      <c r="M61646" s="8"/>
      <c r="N61646" s="8"/>
      <c r="O61646" s="8"/>
      <c r="P61646" s="8"/>
      <c r="Q61646" s="8"/>
      <c r="R61646" s="103"/>
      <c r="S61646" s="8"/>
      <c r="T61646" s="8"/>
      <c r="U61646" s="8"/>
      <c r="V61646" s="8"/>
      <c r="W61646" s="8"/>
      <c r="X61646" s="8"/>
      <c r="Y61646" s="8"/>
      <c r="Z61646" s="8"/>
      <c r="AA61646" s="8"/>
    </row>
    <row r="61647" spans="1:27" x14ac:dyDescent="0.25">
      <c r="A61647" s="8"/>
      <c r="B61647" s="8"/>
      <c r="C61647" s="99"/>
      <c r="D61647" s="8"/>
      <c r="E61647" s="8"/>
      <c r="F61647" s="8"/>
      <c r="G61647" s="8"/>
      <c r="H61647" s="8"/>
      <c r="I61647" s="102"/>
      <c r="J61647" s="8"/>
      <c r="K61647" s="8"/>
      <c r="L61647" s="8"/>
      <c r="M61647" s="8"/>
      <c r="N61647" s="8"/>
      <c r="O61647" s="8"/>
      <c r="P61647" s="8"/>
      <c r="Q61647" s="8"/>
      <c r="R61647" s="103"/>
      <c r="S61647" s="8"/>
      <c r="T61647" s="8"/>
      <c r="U61647" s="8"/>
      <c r="V61647" s="8"/>
      <c r="W61647" s="8"/>
      <c r="X61647" s="8"/>
      <c r="Y61647" s="8"/>
      <c r="Z61647" s="8"/>
      <c r="AA61647" s="8"/>
    </row>
    <row r="61648" spans="1:27" x14ac:dyDescent="0.25">
      <c r="A61648" s="8"/>
      <c r="B61648" s="8"/>
      <c r="C61648" s="99"/>
      <c r="D61648" s="8"/>
      <c r="E61648" s="8"/>
      <c r="F61648" s="8"/>
      <c r="G61648" s="8"/>
      <c r="H61648" s="8"/>
      <c r="I61648" s="102"/>
      <c r="J61648" s="8"/>
      <c r="K61648" s="8"/>
      <c r="L61648" s="8"/>
      <c r="M61648" s="8"/>
      <c r="N61648" s="8"/>
      <c r="O61648" s="8"/>
      <c r="P61648" s="8"/>
      <c r="Q61648" s="8"/>
      <c r="R61648" s="103"/>
      <c r="S61648" s="8"/>
      <c r="T61648" s="8"/>
      <c r="U61648" s="8"/>
      <c r="V61648" s="8"/>
      <c r="W61648" s="8"/>
      <c r="X61648" s="8"/>
      <c r="Y61648" s="8"/>
      <c r="Z61648" s="8"/>
      <c r="AA61648" s="8"/>
    </row>
    <row r="61649" spans="1:27" x14ac:dyDescent="0.25">
      <c r="A61649" s="8"/>
      <c r="B61649" s="8"/>
      <c r="C61649" s="99"/>
      <c r="D61649" s="8"/>
      <c r="E61649" s="8"/>
      <c r="F61649" s="8"/>
      <c r="G61649" s="8"/>
      <c r="H61649" s="8"/>
      <c r="I61649" s="102"/>
      <c r="J61649" s="8"/>
      <c r="K61649" s="8"/>
      <c r="L61649" s="8"/>
      <c r="M61649" s="8"/>
      <c r="N61649" s="8"/>
      <c r="O61649" s="8"/>
      <c r="P61649" s="8"/>
      <c r="Q61649" s="8"/>
      <c r="R61649" s="103"/>
      <c r="S61649" s="8"/>
      <c r="T61649" s="8"/>
      <c r="U61649" s="8"/>
      <c r="V61649" s="8"/>
      <c r="W61649" s="8"/>
      <c r="X61649" s="8"/>
      <c r="Y61649" s="8"/>
      <c r="Z61649" s="8"/>
      <c r="AA61649" s="8"/>
    </row>
    <row r="61650" spans="1:27" x14ac:dyDescent="0.25">
      <c r="A61650" s="8"/>
      <c r="B61650" s="8"/>
      <c r="C61650" s="99"/>
      <c r="D61650" s="8"/>
      <c r="E61650" s="8"/>
      <c r="F61650" s="8"/>
      <c r="G61650" s="8"/>
      <c r="H61650" s="8"/>
      <c r="I61650" s="102"/>
      <c r="J61650" s="8"/>
      <c r="K61650" s="8"/>
      <c r="L61650" s="8"/>
      <c r="M61650" s="8"/>
      <c r="N61650" s="8"/>
      <c r="O61650" s="8"/>
      <c r="P61650" s="8"/>
      <c r="Q61650" s="8"/>
      <c r="R61650" s="103"/>
      <c r="S61650" s="8"/>
      <c r="T61650" s="8"/>
      <c r="U61650" s="8"/>
      <c r="V61650" s="8"/>
      <c r="W61650" s="8"/>
      <c r="X61650" s="8"/>
      <c r="Y61650" s="8"/>
      <c r="Z61650" s="8"/>
      <c r="AA61650" s="8"/>
    </row>
    <row r="61651" spans="1:27" x14ac:dyDescent="0.25">
      <c r="A61651" s="8"/>
      <c r="B61651" s="8"/>
      <c r="C61651" s="99"/>
      <c r="D61651" s="8"/>
      <c r="E61651" s="8"/>
      <c r="F61651" s="8"/>
      <c r="G61651" s="8"/>
      <c r="H61651" s="8"/>
      <c r="I61651" s="102"/>
      <c r="J61651" s="8"/>
      <c r="K61651" s="8"/>
      <c r="L61651" s="8"/>
      <c r="M61651" s="8"/>
      <c r="N61651" s="8"/>
      <c r="O61651" s="8"/>
      <c r="P61651" s="8"/>
      <c r="Q61651" s="8"/>
      <c r="R61651" s="103"/>
      <c r="S61651" s="8"/>
      <c r="T61651" s="8"/>
      <c r="U61651" s="8"/>
      <c r="V61651" s="8"/>
      <c r="W61651" s="8"/>
      <c r="X61651" s="8"/>
      <c r="Y61651" s="8"/>
      <c r="Z61651" s="8"/>
      <c r="AA61651" s="8"/>
    </row>
    <row r="61652" spans="1:27" x14ac:dyDescent="0.25">
      <c r="A61652" s="8"/>
      <c r="B61652" s="8"/>
      <c r="C61652" s="99"/>
      <c r="D61652" s="8"/>
      <c r="E61652" s="8"/>
      <c r="F61652" s="8"/>
      <c r="G61652" s="8"/>
      <c r="H61652" s="8"/>
      <c r="I61652" s="102"/>
      <c r="J61652" s="8"/>
      <c r="K61652" s="8"/>
      <c r="L61652" s="8"/>
      <c r="M61652" s="8"/>
      <c r="N61652" s="8"/>
      <c r="O61652" s="8"/>
      <c r="P61652" s="8"/>
      <c r="Q61652" s="8"/>
      <c r="R61652" s="103"/>
      <c r="S61652" s="8"/>
      <c r="T61652" s="8"/>
      <c r="U61652" s="8"/>
      <c r="V61652" s="8"/>
      <c r="W61652" s="8"/>
      <c r="X61652" s="8"/>
      <c r="Y61652" s="8"/>
      <c r="Z61652" s="8"/>
      <c r="AA61652" s="8"/>
    </row>
    <row r="61653" spans="1:27" x14ac:dyDescent="0.25">
      <c r="A61653" s="8"/>
      <c r="B61653" s="8"/>
      <c r="C61653" s="99"/>
      <c r="D61653" s="8"/>
      <c r="E61653" s="8"/>
      <c r="F61653" s="8"/>
      <c r="G61653" s="8"/>
      <c r="H61653" s="8"/>
      <c r="I61653" s="102"/>
      <c r="J61653" s="8"/>
      <c r="K61653" s="8"/>
      <c r="L61653" s="8"/>
      <c r="M61653" s="8"/>
      <c r="N61653" s="8"/>
      <c r="O61653" s="8"/>
      <c r="P61653" s="8"/>
      <c r="Q61653" s="8"/>
      <c r="R61653" s="103"/>
      <c r="S61653" s="8"/>
      <c r="T61653" s="8"/>
      <c r="U61653" s="8"/>
      <c r="V61653" s="8"/>
      <c r="W61653" s="8"/>
      <c r="X61653" s="8"/>
      <c r="Y61653" s="8"/>
      <c r="Z61653" s="8"/>
      <c r="AA61653" s="8"/>
    </row>
    <row r="61654" spans="1:27" x14ac:dyDescent="0.25">
      <c r="A61654" s="8"/>
      <c r="B61654" s="8"/>
      <c r="C61654" s="99"/>
      <c r="D61654" s="8"/>
      <c r="E61654" s="8"/>
      <c r="F61654" s="8"/>
      <c r="G61654" s="8"/>
      <c r="H61654" s="8"/>
      <c r="I61654" s="102"/>
      <c r="J61654" s="8"/>
      <c r="K61654" s="8"/>
      <c r="L61654" s="8"/>
      <c r="M61654" s="8"/>
      <c r="N61654" s="8"/>
      <c r="O61654" s="8"/>
      <c r="P61654" s="8"/>
      <c r="Q61654" s="8"/>
      <c r="R61654" s="103"/>
      <c r="S61654" s="8"/>
      <c r="T61654" s="8"/>
      <c r="U61654" s="8"/>
      <c r="V61654" s="8"/>
      <c r="W61654" s="8"/>
      <c r="X61654" s="8"/>
      <c r="Y61654" s="8"/>
      <c r="Z61654" s="8"/>
      <c r="AA61654" s="8"/>
    </row>
    <row r="61655" spans="1:27" x14ac:dyDescent="0.25">
      <c r="A61655" s="8"/>
      <c r="B61655" s="8"/>
      <c r="C61655" s="99"/>
      <c r="D61655" s="8"/>
      <c r="E61655" s="8"/>
      <c r="F61655" s="8"/>
      <c r="G61655" s="8"/>
      <c r="H61655" s="8"/>
      <c r="I61655" s="102"/>
      <c r="J61655" s="8"/>
      <c r="K61655" s="8"/>
      <c r="L61655" s="8"/>
      <c r="M61655" s="8"/>
      <c r="N61655" s="8"/>
      <c r="O61655" s="8"/>
      <c r="P61655" s="8"/>
      <c r="Q61655" s="8"/>
      <c r="R61655" s="103"/>
      <c r="S61655" s="8"/>
      <c r="T61655" s="8"/>
      <c r="U61655" s="8"/>
      <c r="V61655" s="8"/>
      <c r="W61655" s="8"/>
      <c r="X61655" s="8"/>
      <c r="Y61655" s="8"/>
      <c r="Z61655" s="8"/>
      <c r="AA61655" s="8"/>
    </row>
    <row r="61656" spans="1:27" x14ac:dyDescent="0.25">
      <c r="A61656" s="8"/>
      <c r="B61656" s="8"/>
      <c r="C61656" s="99"/>
      <c r="D61656" s="8"/>
      <c r="E61656" s="8"/>
      <c r="F61656" s="8"/>
      <c r="G61656" s="8"/>
      <c r="H61656" s="8"/>
      <c r="I61656" s="102"/>
      <c r="J61656" s="8"/>
      <c r="K61656" s="8"/>
      <c r="L61656" s="8"/>
      <c r="M61656" s="8"/>
      <c r="N61656" s="8"/>
      <c r="O61656" s="8"/>
      <c r="P61656" s="8"/>
      <c r="Q61656" s="8"/>
      <c r="R61656" s="103"/>
      <c r="S61656" s="8"/>
      <c r="T61656" s="8"/>
      <c r="U61656" s="8"/>
      <c r="V61656" s="8"/>
      <c r="W61656" s="8"/>
      <c r="X61656" s="8"/>
      <c r="Y61656" s="8"/>
      <c r="Z61656" s="8"/>
      <c r="AA61656" s="8"/>
    </row>
    <row r="61657" spans="1:27" x14ac:dyDescent="0.25">
      <c r="A61657" s="8"/>
      <c r="B61657" s="8"/>
      <c r="C61657" s="99"/>
      <c r="D61657" s="8"/>
      <c r="E61657" s="8"/>
      <c r="F61657" s="8"/>
      <c r="G61657" s="8"/>
      <c r="H61657" s="8"/>
      <c r="I61657" s="102"/>
      <c r="J61657" s="8"/>
      <c r="K61657" s="8"/>
      <c r="L61657" s="8"/>
      <c r="M61657" s="8"/>
      <c r="N61657" s="8"/>
      <c r="O61657" s="8"/>
      <c r="P61657" s="8"/>
      <c r="Q61657" s="8"/>
      <c r="R61657" s="103"/>
      <c r="S61657" s="8"/>
      <c r="T61657" s="8"/>
      <c r="U61657" s="8"/>
      <c r="V61657" s="8"/>
      <c r="W61657" s="8"/>
      <c r="X61657" s="8"/>
      <c r="Y61657" s="8"/>
      <c r="Z61657" s="8"/>
      <c r="AA61657" s="8"/>
    </row>
    <row r="61658" spans="1:27" x14ac:dyDescent="0.25">
      <c r="A61658" s="8"/>
      <c r="B61658" s="8"/>
      <c r="C61658" s="99"/>
      <c r="D61658" s="8"/>
      <c r="E61658" s="8"/>
      <c r="F61658" s="8"/>
      <c r="G61658" s="8"/>
      <c r="H61658" s="8"/>
      <c r="I61658" s="102"/>
      <c r="J61658" s="8"/>
      <c r="K61658" s="8"/>
      <c r="L61658" s="8"/>
      <c r="M61658" s="8"/>
      <c r="N61658" s="8"/>
      <c r="O61658" s="8"/>
      <c r="P61658" s="8"/>
      <c r="Q61658" s="8"/>
      <c r="R61658" s="103"/>
      <c r="S61658" s="8"/>
      <c r="T61658" s="8"/>
      <c r="U61658" s="8"/>
      <c r="V61658" s="8"/>
      <c r="W61658" s="8"/>
      <c r="X61658" s="8"/>
      <c r="Y61658" s="8"/>
      <c r="Z61658" s="8"/>
      <c r="AA61658" s="8"/>
    </row>
    <row r="61659" spans="1:27" x14ac:dyDescent="0.25">
      <c r="A61659" s="8"/>
      <c r="B61659" s="8"/>
      <c r="C61659" s="99"/>
      <c r="D61659" s="8"/>
      <c r="E61659" s="8"/>
      <c r="F61659" s="8"/>
      <c r="G61659" s="8"/>
      <c r="H61659" s="8"/>
      <c r="I61659" s="102"/>
      <c r="J61659" s="8"/>
      <c r="K61659" s="8"/>
      <c r="L61659" s="8"/>
      <c r="M61659" s="8"/>
      <c r="N61659" s="8"/>
      <c r="O61659" s="8"/>
      <c r="P61659" s="8"/>
      <c r="Q61659" s="8"/>
      <c r="R61659" s="103"/>
      <c r="S61659" s="8"/>
      <c r="T61659" s="8"/>
      <c r="U61659" s="8"/>
      <c r="V61659" s="8"/>
      <c r="W61659" s="8"/>
      <c r="X61659" s="8"/>
      <c r="Y61659" s="8"/>
      <c r="Z61659" s="8"/>
      <c r="AA61659" s="8"/>
    </row>
    <row r="61660" spans="1:27" x14ac:dyDescent="0.25">
      <c r="A61660" s="8"/>
      <c r="B61660" s="8"/>
      <c r="C61660" s="99"/>
      <c r="D61660" s="8"/>
      <c r="E61660" s="8"/>
      <c r="F61660" s="8"/>
      <c r="G61660" s="8"/>
      <c r="H61660" s="8"/>
      <c r="I61660" s="102"/>
      <c r="J61660" s="8"/>
      <c r="K61660" s="8"/>
      <c r="L61660" s="8"/>
      <c r="M61660" s="8"/>
      <c r="N61660" s="8"/>
      <c r="O61660" s="8"/>
      <c r="P61660" s="8"/>
      <c r="Q61660" s="8"/>
      <c r="R61660" s="103"/>
      <c r="S61660" s="8"/>
      <c r="T61660" s="8"/>
      <c r="U61660" s="8"/>
      <c r="V61660" s="8"/>
      <c r="W61660" s="8"/>
      <c r="X61660" s="8"/>
      <c r="Y61660" s="8"/>
      <c r="Z61660" s="8"/>
      <c r="AA61660" s="8"/>
    </row>
    <row r="61661" spans="1:27" x14ac:dyDescent="0.25">
      <c r="A61661" s="8"/>
      <c r="B61661" s="8"/>
      <c r="C61661" s="99"/>
      <c r="D61661" s="8"/>
      <c r="E61661" s="8"/>
      <c r="F61661" s="8"/>
      <c r="G61661" s="8"/>
      <c r="H61661" s="8"/>
      <c r="I61661" s="102"/>
      <c r="J61661" s="8"/>
      <c r="K61661" s="8"/>
      <c r="L61661" s="8"/>
      <c r="M61661" s="8"/>
      <c r="N61661" s="8"/>
      <c r="O61661" s="8"/>
      <c r="P61661" s="8"/>
      <c r="Q61661" s="8"/>
      <c r="R61661" s="103"/>
      <c r="S61661" s="8"/>
      <c r="T61661" s="8"/>
      <c r="U61661" s="8"/>
      <c r="V61661" s="8"/>
      <c r="W61661" s="8"/>
      <c r="X61661" s="8"/>
      <c r="Y61661" s="8"/>
      <c r="Z61661" s="8"/>
      <c r="AA61661" s="8"/>
    </row>
    <row r="61662" spans="1:27" x14ac:dyDescent="0.25">
      <c r="A61662" s="8"/>
      <c r="B61662" s="8"/>
      <c r="C61662" s="99"/>
      <c r="D61662" s="8"/>
      <c r="E61662" s="8"/>
      <c r="F61662" s="8"/>
      <c r="G61662" s="8"/>
      <c r="H61662" s="8"/>
      <c r="I61662" s="102"/>
      <c r="J61662" s="8"/>
      <c r="K61662" s="8"/>
      <c r="L61662" s="8"/>
      <c r="M61662" s="8"/>
      <c r="N61662" s="8"/>
      <c r="O61662" s="8"/>
      <c r="P61662" s="8"/>
      <c r="Q61662" s="8"/>
      <c r="R61662" s="103"/>
      <c r="S61662" s="8"/>
      <c r="T61662" s="8"/>
      <c r="U61662" s="8"/>
      <c r="V61662" s="8"/>
      <c r="W61662" s="8"/>
      <c r="X61662" s="8"/>
      <c r="Y61662" s="8"/>
      <c r="Z61662" s="8"/>
      <c r="AA61662" s="8"/>
    </row>
    <row r="61663" spans="1:27" x14ac:dyDescent="0.25">
      <c r="A61663" s="8"/>
      <c r="B61663" s="8"/>
      <c r="C61663" s="99"/>
      <c r="D61663" s="8"/>
      <c r="E61663" s="8"/>
      <c r="F61663" s="8"/>
      <c r="G61663" s="8"/>
      <c r="H61663" s="8"/>
      <c r="I61663" s="102"/>
      <c r="J61663" s="8"/>
      <c r="K61663" s="8"/>
      <c r="L61663" s="8"/>
      <c r="M61663" s="8"/>
      <c r="N61663" s="8"/>
      <c r="O61663" s="8"/>
      <c r="P61663" s="8"/>
      <c r="Q61663" s="8"/>
      <c r="R61663" s="103"/>
      <c r="S61663" s="8"/>
      <c r="T61663" s="8"/>
      <c r="U61663" s="8"/>
      <c r="V61663" s="8"/>
      <c r="W61663" s="8"/>
      <c r="X61663" s="8"/>
      <c r="Y61663" s="8"/>
      <c r="Z61663" s="8"/>
      <c r="AA61663" s="8"/>
    </row>
    <row r="61664" spans="1:27" x14ac:dyDescent="0.25">
      <c r="A61664" s="8"/>
      <c r="B61664" s="8"/>
      <c r="C61664" s="99"/>
      <c r="D61664" s="8"/>
      <c r="E61664" s="8"/>
      <c r="F61664" s="8"/>
      <c r="G61664" s="8"/>
      <c r="H61664" s="8"/>
      <c r="I61664" s="102"/>
      <c r="J61664" s="8"/>
      <c r="K61664" s="8"/>
      <c r="L61664" s="8"/>
      <c r="M61664" s="8"/>
      <c r="N61664" s="8"/>
      <c r="O61664" s="8"/>
      <c r="P61664" s="8"/>
      <c r="Q61664" s="8"/>
      <c r="R61664" s="103"/>
      <c r="S61664" s="8"/>
      <c r="T61664" s="8"/>
      <c r="U61664" s="8"/>
      <c r="V61664" s="8"/>
      <c r="W61664" s="8"/>
      <c r="X61664" s="8"/>
      <c r="Y61664" s="8"/>
      <c r="Z61664" s="8"/>
      <c r="AA61664" s="8"/>
    </row>
    <row r="61665" spans="1:27" x14ac:dyDescent="0.25">
      <c r="A61665" s="8"/>
      <c r="B61665" s="8"/>
      <c r="C61665" s="99"/>
      <c r="D61665" s="8"/>
      <c r="E61665" s="8"/>
      <c r="F61665" s="8"/>
      <c r="G61665" s="8"/>
      <c r="H61665" s="8"/>
      <c r="I61665" s="102"/>
      <c r="J61665" s="8"/>
      <c r="K61665" s="8"/>
      <c r="L61665" s="8"/>
      <c r="M61665" s="8"/>
      <c r="N61665" s="8"/>
      <c r="O61665" s="8"/>
      <c r="P61665" s="8"/>
      <c r="Q61665" s="8"/>
      <c r="R61665" s="103"/>
      <c r="S61665" s="8"/>
      <c r="T61665" s="8"/>
      <c r="U61665" s="8"/>
      <c r="V61665" s="8"/>
      <c r="W61665" s="8"/>
      <c r="X61665" s="8"/>
      <c r="Y61665" s="8"/>
      <c r="Z61665" s="8"/>
      <c r="AA61665" s="8"/>
    </row>
    <row r="61666" spans="1:27" x14ac:dyDescent="0.25">
      <c r="A61666" s="8"/>
      <c r="B61666" s="8"/>
      <c r="C61666" s="99"/>
      <c r="D61666" s="8"/>
      <c r="E61666" s="8"/>
      <c r="F61666" s="8"/>
      <c r="G61666" s="8"/>
      <c r="H61666" s="8"/>
      <c r="I61666" s="102"/>
      <c r="J61666" s="8"/>
      <c r="K61666" s="8"/>
      <c r="L61666" s="8"/>
      <c r="M61666" s="8"/>
      <c r="N61666" s="8"/>
      <c r="O61666" s="8"/>
      <c r="P61666" s="8"/>
      <c r="Q61666" s="8"/>
      <c r="R61666" s="103"/>
      <c r="S61666" s="8"/>
      <c r="T61666" s="8"/>
      <c r="U61666" s="8"/>
      <c r="V61666" s="8"/>
      <c r="W61666" s="8"/>
      <c r="X61666" s="8"/>
      <c r="Y61666" s="8"/>
      <c r="Z61666" s="8"/>
      <c r="AA61666" s="8"/>
    </row>
    <row r="61667" spans="1:27" x14ac:dyDescent="0.25">
      <c r="A61667" s="8"/>
      <c r="B61667" s="8"/>
      <c r="C61667" s="99"/>
      <c r="D61667" s="8"/>
      <c r="E61667" s="8"/>
      <c r="F61667" s="8"/>
      <c r="G61667" s="8"/>
      <c r="H61667" s="8"/>
      <c r="I61667" s="102"/>
      <c r="J61667" s="8"/>
      <c r="K61667" s="8"/>
      <c r="L61667" s="8"/>
      <c r="M61667" s="8"/>
      <c r="N61667" s="8"/>
      <c r="O61667" s="8"/>
      <c r="P61667" s="8"/>
      <c r="Q61667" s="8"/>
      <c r="R61667" s="103"/>
      <c r="S61667" s="8"/>
      <c r="T61667" s="8"/>
      <c r="U61667" s="8"/>
      <c r="V61667" s="8"/>
      <c r="W61667" s="8"/>
      <c r="X61667" s="8"/>
      <c r="Y61667" s="8"/>
      <c r="Z61667" s="8"/>
      <c r="AA61667" s="8"/>
    </row>
    <row r="61668" spans="1:27" x14ac:dyDescent="0.25">
      <c r="A61668" s="8"/>
      <c r="B61668" s="8"/>
      <c r="C61668" s="99"/>
      <c r="D61668" s="8"/>
      <c r="E61668" s="8"/>
      <c r="F61668" s="8"/>
      <c r="G61668" s="8"/>
      <c r="H61668" s="8"/>
      <c r="I61668" s="102"/>
      <c r="J61668" s="8"/>
      <c r="K61668" s="8"/>
      <c r="L61668" s="8"/>
      <c r="M61668" s="8"/>
      <c r="N61668" s="8"/>
      <c r="O61668" s="8"/>
      <c r="P61668" s="8"/>
      <c r="Q61668" s="8"/>
      <c r="R61668" s="103"/>
      <c r="S61668" s="8"/>
      <c r="T61668" s="8"/>
      <c r="U61668" s="8"/>
      <c r="V61668" s="8"/>
      <c r="W61668" s="8"/>
      <c r="X61668" s="8"/>
      <c r="Y61668" s="8"/>
      <c r="Z61668" s="8"/>
      <c r="AA61668" s="8"/>
    </row>
    <row r="61669" spans="1:27" x14ac:dyDescent="0.25">
      <c r="A61669" s="8"/>
      <c r="B61669" s="8"/>
      <c r="C61669" s="99"/>
      <c r="D61669" s="8"/>
      <c r="E61669" s="8"/>
      <c r="F61669" s="8"/>
      <c r="G61669" s="8"/>
      <c r="H61669" s="8"/>
      <c r="I61669" s="102"/>
      <c r="J61669" s="8"/>
      <c r="K61669" s="8"/>
      <c r="L61669" s="8"/>
      <c r="M61669" s="8"/>
      <c r="N61669" s="8"/>
      <c r="O61669" s="8"/>
      <c r="P61669" s="8"/>
      <c r="Q61669" s="8"/>
      <c r="R61669" s="103"/>
      <c r="S61669" s="8"/>
      <c r="T61669" s="8"/>
      <c r="U61669" s="8"/>
      <c r="V61669" s="8"/>
      <c r="W61669" s="8"/>
      <c r="X61669" s="8"/>
      <c r="Y61669" s="8"/>
      <c r="Z61669" s="8"/>
      <c r="AA61669" s="8"/>
    </row>
    <row r="61670" spans="1:27" x14ac:dyDescent="0.25">
      <c r="A61670" s="8"/>
      <c r="B61670" s="8"/>
      <c r="C61670" s="99"/>
      <c r="D61670" s="8"/>
      <c r="E61670" s="8"/>
      <c r="F61670" s="8"/>
      <c r="G61670" s="8"/>
      <c r="H61670" s="8"/>
      <c r="I61670" s="102"/>
      <c r="J61670" s="8"/>
      <c r="K61670" s="8"/>
      <c r="L61670" s="8"/>
      <c r="M61670" s="8"/>
      <c r="N61670" s="8"/>
      <c r="O61670" s="8"/>
      <c r="P61670" s="8"/>
      <c r="Q61670" s="8"/>
      <c r="R61670" s="103"/>
      <c r="S61670" s="8"/>
      <c r="T61670" s="8"/>
      <c r="U61670" s="8"/>
      <c r="V61670" s="8"/>
      <c r="W61670" s="8"/>
      <c r="X61670" s="8"/>
      <c r="Y61670" s="8"/>
      <c r="Z61670" s="8"/>
      <c r="AA61670" s="8"/>
    </row>
    <row r="61671" spans="1:27" x14ac:dyDescent="0.25">
      <c r="A61671" s="8"/>
      <c r="B61671" s="8"/>
      <c r="C61671" s="99"/>
      <c r="D61671" s="8"/>
      <c r="E61671" s="8"/>
      <c r="F61671" s="8"/>
      <c r="G61671" s="8"/>
      <c r="H61671" s="8"/>
      <c r="I61671" s="102"/>
      <c r="J61671" s="8"/>
      <c r="K61671" s="8"/>
      <c r="L61671" s="8"/>
      <c r="M61671" s="8"/>
      <c r="N61671" s="8"/>
      <c r="O61671" s="8"/>
      <c r="P61671" s="8"/>
      <c r="Q61671" s="8"/>
      <c r="R61671" s="103"/>
      <c r="S61671" s="8"/>
      <c r="T61671" s="8"/>
      <c r="U61671" s="8"/>
      <c r="V61671" s="8"/>
      <c r="W61671" s="8"/>
      <c r="X61671" s="8"/>
      <c r="Y61671" s="8"/>
      <c r="Z61671" s="8"/>
      <c r="AA61671" s="8"/>
    </row>
    <row r="61672" spans="1:27" x14ac:dyDescent="0.25">
      <c r="A61672" s="8"/>
      <c r="B61672" s="8"/>
      <c r="C61672" s="99"/>
      <c r="D61672" s="8"/>
      <c r="E61672" s="8"/>
      <c r="F61672" s="8"/>
      <c r="G61672" s="8"/>
      <c r="H61672" s="8"/>
      <c r="I61672" s="102"/>
      <c r="J61672" s="8"/>
      <c r="K61672" s="8"/>
      <c r="L61672" s="8"/>
      <c r="M61672" s="8"/>
      <c r="N61672" s="8"/>
      <c r="O61672" s="8"/>
      <c r="P61672" s="8"/>
      <c r="Q61672" s="8"/>
      <c r="R61672" s="103"/>
      <c r="S61672" s="8"/>
      <c r="T61672" s="8"/>
      <c r="U61672" s="8"/>
      <c r="V61672" s="8"/>
      <c r="W61672" s="8"/>
      <c r="X61672" s="8"/>
      <c r="Y61672" s="8"/>
      <c r="Z61672" s="8"/>
      <c r="AA61672" s="8"/>
    </row>
    <row r="61673" spans="1:27" x14ac:dyDescent="0.25">
      <c r="A61673" s="8"/>
      <c r="B61673" s="8"/>
      <c r="C61673" s="99"/>
      <c r="D61673" s="8"/>
      <c r="E61673" s="8"/>
      <c r="F61673" s="8"/>
      <c r="G61673" s="8"/>
      <c r="H61673" s="8"/>
      <c r="I61673" s="102"/>
      <c r="J61673" s="8"/>
      <c r="K61673" s="8"/>
      <c r="L61673" s="8"/>
      <c r="M61673" s="8"/>
      <c r="N61673" s="8"/>
      <c r="O61673" s="8"/>
      <c r="P61673" s="8"/>
      <c r="Q61673" s="8"/>
      <c r="R61673" s="103"/>
      <c r="S61673" s="8"/>
      <c r="T61673" s="8"/>
      <c r="U61673" s="8"/>
      <c r="V61673" s="8"/>
      <c r="W61673" s="8"/>
      <c r="X61673" s="8"/>
      <c r="Y61673" s="8"/>
      <c r="Z61673" s="8"/>
      <c r="AA61673" s="8"/>
    </row>
    <row r="61674" spans="1:27" x14ac:dyDescent="0.25">
      <c r="A61674" s="8"/>
      <c r="B61674" s="8"/>
      <c r="C61674" s="99"/>
      <c r="D61674" s="8"/>
      <c r="E61674" s="8"/>
      <c r="F61674" s="8"/>
      <c r="G61674" s="8"/>
      <c r="H61674" s="8"/>
      <c r="I61674" s="102"/>
      <c r="J61674" s="8"/>
      <c r="K61674" s="8"/>
      <c r="L61674" s="8"/>
      <c r="M61674" s="8"/>
      <c r="N61674" s="8"/>
      <c r="O61674" s="8"/>
      <c r="P61674" s="8"/>
      <c r="Q61674" s="8"/>
      <c r="R61674" s="103"/>
      <c r="S61674" s="8"/>
      <c r="T61674" s="8"/>
      <c r="U61674" s="8"/>
      <c r="V61674" s="8"/>
      <c r="W61674" s="8"/>
      <c r="X61674" s="8"/>
      <c r="Y61674" s="8"/>
      <c r="Z61674" s="8"/>
      <c r="AA61674" s="8"/>
    </row>
    <row r="61675" spans="1:27" x14ac:dyDescent="0.25">
      <c r="A61675" s="8"/>
      <c r="B61675" s="8"/>
      <c r="C61675" s="99"/>
      <c r="D61675" s="8"/>
      <c r="E61675" s="8"/>
      <c r="F61675" s="8"/>
      <c r="G61675" s="8"/>
      <c r="H61675" s="8"/>
      <c r="I61675" s="102"/>
      <c r="J61675" s="8"/>
      <c r="K61675" s="8"/>
      <c r="L61675" s="8"/>
      <c r="M61675" s="8"/>
      <c r="N61675" s="8"/>
      <c r="O61675" s="8"/>
      <c r="P61675" s="8"/>
      <c r="Q61675" s="8"/>
      <c r="R61675" s="103"/>
      <c r="S61675" s="8"/>
      <c r="T61675" s="8"/>
      <c r="U61675" s="8"/>
      <c r="V61675" s="8"/>
      <c r="W61675" s="8"/>
      <c r="X61675" s="8"/>
      <c r="Y61675" s="8"/>
      <c r="Z61675" s="8"/>
      <c r="AA61675" s="8"/>
    </row>
    <row r="61676" spans="1:27" x14ac:dyDescent="0.25">
      <c r="A61676" s="8"/>
      <c r="B61676" s="8"/>
      <c r="C61676" s="99"/>
      <c r="D61676" s="8"/>
      <c r="E61676" s="8"/>
      <c r="F61676" s="8"/>
      <c r="G61676" s="8"/>
      <c r="H61676" s="8"/>
      <c r="I61676" s="102"/>
      <c r="J61676" s="8"/>
      <c r="K61676" s="8"/>
      <c r="L61676" s="8"/>
      <c r="M61676" s="8"/>
      <c r="N61676" s="8"/>
      <c r="O61676" s="8"/>
      <c r="P61676" s="8"/>
      <c r="Q61676" s="8"/>
      <c r="R61676" s="103"/>
      <c r="S61676" s="8"/>
      <c r="T61676" s="8"/>
      <c r="U61676" s="8"/>
      <c r="V61676" s="8"/>
      <c r="W61676" s="8"/>
      <c r="X61676" s="8"/>
      <c r="Y61676" s="8"/>
      <c r="Z61676" s="8"/>
      <c r="AA61676" s="8"/>
    </row>
    <row r="61677" spans="1:27" x14ac:dyDescent="0.25">
      <c r="A61677" s="8"/>
      <c r="B61677" s="8"/>
      <c r="C61677" s="99"/>
      <c r="D61677" s="8"/>
      <c r="E61677" s="8"/>
      <c r="F61677" s="8"/>
      <c r="G61677" s="8"/>
      <c r="H61677" s="8"/>
      <c r="I61677" s="102"/>
      <c r="J61677" s="8"/>
      <c r="K61677" s="8"/>
      <c r="L61677" s="8"/>
      <c r="M61677" s="8"/>
      <c r="N61677" s="8"/>
      <c r="O61677" s="8"/>
      <c r="P61677" s="8"/>
      <c r="Q61677" s="8"/>
      <c r="R61677" s="103"/>
      <c r="S61677" s="8"/>
      <c r="T61677" s="8"/>
      <c r="U61677" s="8"/>
      <c r="V61677" s="8"/>
      <c r="W61677" s="8"/>
      <c r="X61677" s="8"/>
      <c r="Y61677" s="8"/>
      <c r="Z61677" s="8"/>
      <c r="AA61677" s="8"/>
    </row>
    <row r="61678" spans="1:27" x14ac:dyDescent="0.25">
      <c r="A61678" s="8"/>
      <c r="B61678" s="8"/>
      <c r="C61678" s="99"/>
      <c r="D61678" s="8"/>
      <c r="E61678" s="8"/>
      <c r="F61678" s="8"/>
      <c r="G61678" s="8"/>
      <c r="H61678" s="8"/>
      <c r="I61678" s="102"/>
      <c r="J61678" s="8"/>
      <c r="K61678" s="8"/>
      <c r="L61678" s="8"/>
      <c r="M61678" s="8"/>
      <c r="N61678" s="8"/>
      <c r="O61678" s="8"/>
      <c r="P61678" s="8"/>
      <c r="Q61678" s="8"/>
      <c r="R61678" s="103"/>
      <c r="S61678" s="8"/>
      <c r="T61678" s="8"/>
      <c r="U61678" s="8"/>
      <c r="V61678" s="8"/>
      <c r="W61678" s="8"/>
      <c r="X61678" s="8"/>
      <c r="Y61678" s="8"/>
      <c r="Z61678" s="8"/>
      <c r="AA61678" s="8"/>
    </row>
    <row r="61679" spans="1:27" x14ac:dyDescent="0.25">
      <c r="A61679" s="8"/>
      <c r="B61679" s="8"/>
      <c r="C61679" s="99"/>
      <c r="D61679" s="8"/>
      <c r="E61679" s="8"/>
      <c r="F61679" s="8"/>
      <c r="G61679" s="8"/>
      <c r="H61679" s="8"/>
      <c r="I61679" s="102"/>
      <c r="J61679" s="8"/>
      <c r="K61679" s="8"/>
      <c r="L61679" s="8"/>
      <c r="M61679" s="8"/>
      <c r="N61679" s="8"/>
      <c r="O61679" s="8"/>
      <c r="P61679" s="8"/>
      <c r="Q61679" s="8"/>
      <c r="R61679" s="103"/>
      <c r="S61679" s="8"/>
      <c r="T61679" s="8"/>
      <c r="U61679" s="8"/>
      <c r="V61679" s="8"/>
      <c r="W61679" s="8"/>
      <c r="X61679" s="8"/>
      <c r="Y61679" s="8"/>
      <c r="Z61679" s="8"/>
      <c r="AA61679" s="8"/>
    </row>
    <row r="61680" spans="1:27" x14ac:dyDescent="0.25">
      <c r="A61680" s="8"/>
      <c r="B61680" s="8"/>
      <c r="C61680" s="99"/>
      <c r="D61680" s="8"/>
      <c r="E61680" s="8"/>
      <c r="F61680" s="8"/>
      <c r="G61680" s="8"/>
      <c r="H61680" s="8"/>
      <c r="I61680" s="102"/>
      <c r="J61680" s="8"/>
      <c r="K61680" s="8"/>
      <c r="L61680" s="8"/>
      <c r="M61680" s="8"/>
      <c r="N61680" s="8"/>
      <c r="O61680" s="8"/>
      <c r="P61680" s="8"/>
      <c r="Q61680" s="8"/>
      <c r="R61680" s="103"/>
      <c r="S61680" s="8"/>
      <c r="T61680" s="8"/>
      <c r="U61680" s="8"/>
      <c r="V61680" s="8"/>
      <c r="W61680" s="8"/>
      <c r="X61680" s="8"/>
      <c r="Y61680" s="8"/>
      <c r="Z61680" s="8"/>
      <c r="AA61680" s="8"/>
    </row>
    <row r="61681" spans="1:27" x14ac:dyDescent="0.25">
      <c r="A61681" s="8"/>
      <c r="B61681" s="8"/>
      <c r="C61681" s="99"/>
      <c r="D61681" s="8"/>
      <c r="E61681" s="8"/>
      <c r="F61681" s="8"/>
      <c r="G61681" s="8"/>
      <c r="H61681" s="8"/>
      <c r="I61681" s="102"/>
      <c r="J61681" s="8"/>
      <c r="K61681" s="8"/>
      <c r="L61681" s="8"/>
      <c r="M61681" s="8"/>
      <c r="N61681" s="8"/>
      <c r="O61681" s="8"/>
      <c r="P61681" s="8"/>
      <c r="Q61681" s="8"/>
      <c r="R61681" s="103"/>
      <c r="S61681" s="8"/>
      <c r="T61681" s="8"/>
      <c r="U61681" s="8"/>
      <c r="V61681" s="8"/>
      <c r="W61681" s="8"/>
      <c r="X61681" s="8"/>
      <c r="Y61681" s="8"/>
      <c r="Z61681" s="8"/>
      <c r="AA61681" s="8"/>
    </row>
    <row r="61682" spans="1:27" x14ac:dyDescent="0.25">
      <c r="A61682" s="8"/>
      <c r="B61682" s="8"/>
      <c r="C61682" s="99"/>
      <c r="D61682" s="8"/>
      <c r="E61682" s="8"/>
      <c r="F61682" s="8"/>
      <c r="G61682" s="8"/>
      <c r="H61682" s="8"/>
      <c r="I61682" s="102"/>
      <c r="J61682" s="8"/>
      <c r="K61682" s="8"/>
      <c r="L61682" s="8"/>
      <c r="M61682" s="8"/>
      <c r="N61682" s="8"/>
      <c r="O61682" s="8"/>
      <c r="P61682" s="8"/>
      <c r="Q61682" s="8"/>
      <c r="R61682" s="103"/>
      <c r="S61682" s="8"/>
      <c r="T61682" s="8"/>
      <c r="U61682" s="8"/>
      <c r="V61682" s="8"/>
      <c r="W61682" s="8"/>
      <c r="X61682" s="8"/>
      <c r="Y61682" s="8"/>
      <c r="Z61682" s="8"/>
      <c r="AA61682" s="8"/>
    </row>
    <row r="61683" spans="1:27" x14ac:dyDescent="0.25">
      <c r="A61683" s="8"/>
      <c r="B61683" s="8"/>
      <c r="C61683" s="99"/>
      <c r="D61683" s="8"/>
      <c r="E61683" s="8"/>
      <c r="F61683" s="8"/>
      <c r="G61683" s="8"/>
      <c r="H61683" s="8"/>
      <c r="I61683" s="102"/>
      <c r="J61683" s="8"/>
      <c r="K61683" s="8"/>
      <c r="L61683" s="8"/>
      <c r="M61683" s="8"/>
      <c r="N61683" s="8"/>
      <c r="O61683" s="8"/>
      <c r="P61683" s="8"/>
      <c r="Q61683" s="8"/>
      <c r="R61683" s="103"/>
      <c r="S61683" s="8"/>
      <c r="T61683" s="8"/>
      <c r="U61683" s="8"/>
      <c r="V61683" s="8"/>
      <c r="W61683" s="8"/>
      <c r="X61683" s="8"/>
      <c r="Y61683" s="8"/>
      <c r="Z61683" s="8"/>
      <c r="AA61683" s="8"/>
    </row>
    <row r="61684" spans="1:27" x14ac:dyDescent="0.25">
      <c r="A61684" s="8"/>
      <c r="B61684" s="8"/>
      <c r="C61684" s="99"/>
      <c r="D61684" s="8"/>
      <c r="E61684" s="8"/>
      <c r="F61684" s="8"/>
      <c r="G61684" s="8"/>
      <c r="H61684" s="8"/>
      <c r="I61684" s="102"/>
      <c r="J61684" s="8"/>
      <c r="K61684" s="8"/>
      <c r="L61684" s="8"/>
      <c r="M61684" s="8"/>
      <c r="N61684" s="8"/>
      <c r="O61684" s="8"/>
      <c r="P61684" s="8"/>
      <c r="Q61684" s="8"/>
      <c r="R61684" s="103"/>
      <c r="S61684" s="8"/>
      <c r="T61684" s="8"/>
      <c r="U61684" s="8"/>
      <c r="V61684" s="8"/>
      <c r="W61684" s="8"/>
      <c r="X61684" s="8"/>
      <c r="Y61684" s="8"/>
      <c r="Z61684" s="8"/>
      <c r="AA61684" s="8"/>
    </row>
    <row r="61685" spans="1:27" x14ac:dyDescent="0.25">
      <c r="A61685" s="8"/>
      <c r="B61685" s="8"/>
      <c r="C61685" s="99"/>
      <c r="D61685" s="8"/>
      <c r="E61685" s="8"/>
      <c r="F61685" s="8"/>
      <c r="G61685" s="8"/>
      <c r="H61685" s="8"/>
      <c r="I61685" s="102"/>
      <c r="J61685" s="8"/>
      <c r="K61685" s="8"/>
      <c r="L61685" s="8"/>
      <c r="M61685" s="8"/>
      <c r="N61685" s="8"/>
      <c r="O61685" s="8"/>
      <c r="P61685" s="8"/>
      <c r="Q61685" s="8"/>
      <c r="R61685" s="103"/>
      <c r="S61685" s="8"/>
      <c r="T61685" s="8"/>
      <c r="U61685" s="8"/>
      <c r="V61685" s="8"/>
      <c r="W61685" s="8"/>
      <c r="X61685" s="8"/>
      <c r="Y61685" s="8"/>
      <c r="Z61685" s="8"/>
      <c r="AA61685" s="8"/>
    </row>
    <row r="61686" spans="1:27" x14ac:dyDescent="0.25">
      <c r="A61686" s="8"/>
      <c r="B61686" s="8"/>
      <c r="C61686" s="99"/>
      <c r="D61686" s="8"/>
      <c r="E61686" s="8"/>
      <c r="F61686" s="8"/>
      <c r="G61686" s="8"/>
      <c r="H61686" s="8"/>
      <c r="I61686" s="102"/>
      <c r="J61686" s="8"/>
      <c r="K61686" s="8"/>
      <c r="L61686" s="8"/>
      <c r="M61686" s="8"/>
      <c r="N61686" s="8"/>
      <c r="O61686" s="8"/>
      <c r="P61686" s="8"/>
      <c r="Q61686" s="8"/>
      <c r="R61686" s="103"/>
      <c r="S61686" s="8"/>
      <c r="T61686" s="8"/>
      <c r="U61686" s="8"/>
      <c r="V61686" s="8"/>
      <c r="W61686" s="8"/>
      <c r="X61686" s="8"/>
      <c r="Y61686" s="8"/>
      <c r="Z61686" s="8"/>
      <c r="AA61686" s="8"/>
    </row>
    <row r="61687" spans="1:27" x14ac:dyDescent="0.25">
      <c r="A61687" s="8"/>
      <c r="B61687" s="8"/>
      <c r="C61687" s="99"/>
      <c r="D61687" s="8"/>
      <c r="E61687" s="8"/>
      <c r="F61687" s="8"/>
      <c r="G61687" s="8"/>
      <c r="H61687" s="8"/>
      <c r="I61687" s="102"/>
      <c r="J61687" s="8"/>
      <c r="K61687" s="8"/>
      <c r="L61687" s="8"/>
      <c r="M61687" s="8"/>
      <c r="N61687" s="8"/>
      <c r="O61687" s="8"/>
      <c r="P61687" s="8"/>
      <c r="Q61687" s="8"/>
      <c r="R61687" s="103"/>
      <c r="S61687" s="8"/>
      <c r="T61687" s="8"/>
      <c r="U61687" s="8"/>
      <c r="V61687" s="8"/>
      <c r="W61687" s="8"/>
      <c r="X61687" s="8"/>
      <c r="Y61687" s="8"/>
      <c r="Z61687" s="8"/>
      <c r="AA61687" s="8"/>
    </row>
    <row r="61688" spans="1:27" x14ac:dyDescent="0.25">
      <c r="A61688" s="8"/>
      <c r="B61688" s="8"/>
      <c r="C61688" s="99"/>
      <c r="D61688" s="8"/>
      <c r="E61688" s="8"/>
      <c r="F61688" s="8"/>
      <c r="G61688" s="8"/>
      <c r="H61688" s="8"/>
      <c r="I61688" s="102"/>
      <c r="J61688" s="8"/>
      <c r="K61688" s="8"/>
      <c r="L61688" s="8"/>
      <c r="M61688" s="8"/>
      <c r="N61688" s="8"/>
      <c r="O61688" s="8"/>
      <c r="P61688" s="8"/>
      <c r="Q61688" s="8"/>
      <c r="R61688" s="103"/>
      <c r="S61688" s="8"/>
      <c r="T61688" s="8"/>
      <c r="U61688" s="8"/>
      <c r="V61688" s="8"/>
      <c r="W61688" s="8"/>
      <c r="X61688" s="8"/>
      <c r="Y61688" s="8"/>
      <c r="Z61688" s="8"/>
      <c r="AA61688" s="8"/>
    </row>
    <row r="61689" spans="1:27" x14ac:dyDescent="0.25">
      <c r="A61689" s="8"/>
      <c r="B61689" s="8"/>
      <c r="C61689" s="99"/>
      <c r="D61689" s="8"/>
      <c r="E61689" s="8"/>
      <c r="F61689" s="8"/>
      <c r="G61689" s="8"/>
      <c r="H61689" s="8"/>
      <c r="I61689" s="102"/>
      <c r="J61689" s="8"/>
      <c r="K61689" s="8"/>
      <c r="L61689" s="8"/>
      <c r="M61689" s="8"/>
      <c r="N61689" s="8"/>
      <c r="O61689" s="8"/>
      <c r="P61689" s="8"/>
      <c r="Q61689" s="8"/>
      <c r="R61689" s="103"/>
      <c r="S61689" s="8"/>
      <c r="T61689" s="8"/>
      <c r="U61689" s="8"/>
      <c r="V61689" s="8"/>
      <c r="W61689" s="8"/>
      <c r="X61689" s="8"/>
      <c r="Y61689" s="8"/>
      <c r="Z61689" s="8"/>
      <c r="AA61689" s="8"/>
    </row>
    <row r="61690" spans="1:27" x14ac:dyDescent="0.25">
      <c r="A61690" s="8"/>
      <c r="B61690" s="8"/>
      <c r="C61690" s="99"/>
      <c r="D61690" s="8"/>
      <c r="E61690" s="8"/>
      <c r="F61690" s="8"/>
      <c r="G61690" s="8"/>
      <c r="H61690" s="8"/>
      <c r="I61690" s="102"/>
      <c r="J61690" s="8"/>
      <c r="K61690" s="8"/>
      <c r="L61690" s="8"/>
      <c r="M61690" s="8"/>
      <c r="N61690" s="8"/>
      <c r="O61690" s="8"/>
      <c r="P61690" s="8"/>
      <c r="Q61690" s="8"/>
      <c r="R61690" s="103"/>
      <c r="S61690" s="8"/>
      <c r="T61690" s="8"/>
      <c r="U61690" s="8"/>
      <c r="V61690" s="8"/>
      <c r="W61690" s="8"/>
      <c r="X61690" s="8"/>
      <c r="Y61690" s="8"/>
      <c r="Z61690" s="8"/>
      <c r="AA61690" s="8"/>
    </row>
    <row r="61691" spans="1:27" x14ac:dyDescent="0.25">
      <c r="A61691" s="8"/>
      <c r="B61691" s="8"/>
      <c r="C61691" s="99"/>
      <c r="D61691" s="8"/>
      <c r="E61691" s="8"/>
      <c r="F61691" s="8"/>
      <c r="G61691" s="8"/>
      <c r="H61691" s="8"/>
      <c r="I61691" s="102"/>
      <c r="J61691" s="8"/>
      <c r="K61691" s="8"/>
      <c r="L61691" s="8"/>
      <c r="M61691" s="8"/>
      <c r="N61691" s="8"/>
      <c r="O61691" s="8"/>
      <c r="P61691" s="8"/>
      <c r="Q61691" s="8"/>
      <c r="R61691" s="103"/>
      <c r="S61691" s="8"/>
      <c r="T61691" s="8"/>
      <c r="U61691" s="8"/>
      <c r="V61691" s="8"/>
      <c r="W61691" s="8"/>
      <c r="X61691" s="8"/>
      <c r="Y61691" s="8"/>
      <c r="Z61691" s="8"/>
      <c r="AA61691" s="8"/>
    </row>
    <row r="61692" spans="1:27" x14ac:dyDescent="0.25">
      <c r="A61692" s="8"/>
      <c r="B61692" s="8"/>
      <c r="C61692" s="99"/>
      <c r="D61692" s="8"/>
      <c r="E61692" s="8"/>
      <c r="F61692" s="8"/>
      <c r="G61692" s="8"/>
      <c r="H61692" s="8"/>
      <c r="I61692" s="102"/>
      <c r="J61692" s="8"/>
      <c r="K61692" s="8"/>
      <c r="L61692" s="8"/>
      <c r="M61692" s="8"/>
      <c r="N61692" s="8"/>
      <c r="O61692" s="8"/>
      <c r="P61692" s="8"/>
      <c r="Q61692" s="8"/>
      <c r="R61692" s="103"/>
      <c r="S61692" s="8"/>
      <c r="T61692" s="8"/>
      <c r="U61692" s="8"/>
      <c r="V61692" s="8"/>
      <c r="W61692" s="8"/>
      <c r="X61692" s="8"/>
      <c r="Y61692" s="8"/>
      <c r="Z61692" s="8"/>
      <c r="AA61692" s="8"/>
    </row>
    <row r="61693" spans="1:27" x14ac:dyDescent="0.25">
      <c r="A61693" s="8"/>
      <c r="B61693" s="8"/>
      <c r="C61693" s="99"/>
      <c r="D61693" s="8"/>
      <c r="E61693" s="8"/>
      <c r="F61693" s="8"/>
      <c r="G61693" s="8"/>
      <c r="H61693" s="8"/>
      <c r="I61693" s="102"/>
      <c r="J61693" s="8"/>
      <c r="K61693" s="8"/>
      <c r="L61693" s="8"/>
      <c r="M61693" s="8"/>
      <c r="N61693" s="8"/>
      <c r="O61693" s="8"/>
      <c r="P61693" s="8"/>
      <c r="Q61693" s="8"/>
      <c r="R61693" s="103"/>
      <c r="S61693" s="8"/>
      <c r="T61693" s="8"/>
      <c r="U61693" s="8"/>
      <c r="V61693" s="8"/>
      <c r="W61693" s="8"/>
      <c r="X61693" s="8"/>
      <c r="Y61693" s="8"/>
      <c r="Z61693" s="8"/>
      <c r="AA61693" s="8"/>
    </row>
    <row r="61694" spans="1:27" x14ac:dyDescent="0.25">
      <c r="A61694" s="8"/>
      <c r="B61694" s="8"/>
      <c r="C61694" s="99"/>
      <c r="D61694" s="8"/>
      <c r="E61694" s="8"/>
      <c r="F61694" s="8"/>
      <c r="G61694" s="8"/>
      <c r="H61694" s="8"/>
      <c r="I61694" s="102"/>
      <c r="J61694" s="8"/>
      <c r="K61694" s="8"/>
      <c r="L61694" s="8"/>
      <c r="M61694" s="8"/>
      <c r="N61694" s="8"/>
      <c r="O61694" s="8"/>
      <c r="P61694" s="8"/>
      <c r="Q61694" s="8"/>
      <c r="R61694" s="103"/>
      <c r="S61694" s="8"/>
      <c r="T61694" s="8"/>
      <c r="U61694" s="8"/>
      <c r="V61694" s="8"/>
      <c r="W61694" s="8"/>
      <c r="X61694" s="8"/>
      <c r="Y61694" s="8"/>
      <c r="Z61694" s="8"/>
      <c r="AA61694" s="8"/>
    </row>
    <row r="61695" spans="1:27" x14ac:dyDescent="0.25">
      <c r="A61695" s="8"/>
      <c r="B61695" s="8"/>
      <c r="C61695" s="99"/>
      <c r="D61695" s="8"/>
      <c r="E61695" s="8"/>
      <c r="F61695" s="8"/>
      <c r="G61695" s="8"/>
      <c r="H61695" s="8"/>
      <c r="I61695" s="102"/>
      <c r="J61695" s="8"/>
      <c r="K61695" s="8"/>
      <c r="L61695" s="8"/>
      <c r="M61695" s="8"/>
      <c r="N61695" s="8"/>
      <c r="O61695" s="8"/>
      <c r="P61695" s="8"/>
      <c r="Q61695" s="8"/>
      <c r="R61695" s="103"/>
      <c r="S61695" s="8"/>
      <c r="T61695" s="8"/>
      <c r="U61695" s="8"/>
      <c r="V61695" s="8"/>
      <c r="W61695" s="8"/>
      <c r="X61695" s="8"/>
      <c r="Y61695" s="8"/>
      <c r="Z61695" s="8"/>
      <c r="AA61695" s="8"/>
    </row>
    <row r="61696" spans="1:27" x14ac:dyDescent="0.25">
      <c r="A61696" s="8"/>
      <c r="B61696" s="8"/>
      <c r="C61696" s="99"/>
      <c r="D61696" s="8"/>
      <c r="E61696" s="8"/>
      <c r="F61696" s="8"/>
      <c r="G61696" s="8"/>
      <c r="H61696" s="8"/>
      <c r="I61696" s="102"/>
      <c r="J61696" s="8"/>
      <c r="K61696" s="8"/>
      <c r="L61696" s="8"/>
      <c r="M61696" s="8"/>
      <c r="N61696" s="8"/>
      <c r="O61696" s="8"/>
      <c r="P61696" s="8"/>
      <c r="Q61696" s="8"/>
      <c r="R61696" s="103"/>
      <c r="S61696" s="8"/>
      <c r="T61696" s="8"/>
      <c r="U61696" s="8"/>
      <c r="V61696" s="8"/>
      <c r="W61696" s="8"/>
      <c r="X61696" s="8"/>
      <c r="Y61696" s="8"/>
      <c r="Z61696" s="8"/>
      <c r="AA61696" s="8"/>
    </row>
    <row r="61697" spans="1:27" x14ac:dyDescent="0.25">
      <c r="A61697" s="8"/>
      <c r="B61697" s="8"/>
      <c r="C61697" s="99"/>
      <c r="D61697" s="8"/>
      <c r="E61697" s="8"/>
      <c r="F61697" s="8"/>
      <c r="G61697" s="8"/>
      <c r="H61697" s="8"/>
      <c r="I61697" s="102"/>
      <c r="J61697" s="8"/>
      <c r="K61697" s="8"/>
      <c r="L61697" s="8"/>
      <c r="M61697" s="8"/>
      <c r="N61697" s="8"/>
      <c r="O61697" s="8"/>
      <c r="P61697" s="8"/>
      <c r="Q61697" s="8"/>
      <c r="R61697" s="103"/>
      <c r="S61697" s="8"/>
      <c r="T61697" s="8"/>
      <c r="U61697" s="8"/>
      <c r="V61697" s="8"/>
      <c r="W61697" s="8"/>
      <c r="X61697" s="8"/>
      <c r="Y61697" s="8"/>
      <c r="Z61697" s="8"/>
      <c r="AA61697" s="8"/>
    </row>
    <row r="61698" spans="1:27" x14ac:dyDescent="0.25">
      <c r="A61698" s="8"/>
      <c r="B61698" s="8"/>
      <c r="C61698" s="99"/>
      <c r="D61698" s="8"/>
      <c r="E61698" s="8"/>
      <c r="F61698" s="8"/>
      <c r="G61698" s="8"/>
      <c r="H61698" s="8"/>
      <c r="I61698" s="102"/>
      <c r="J61698" s="8"/>
      <c r="K61698" s="8"/>
      <c r="L61698" s="8"/>
      <c r="M61698" s="8"/>
      <c r="N61698" s="8"/>
      <c r="O61698" s="8"/>
      <c r="P61698" s="8"/>
      <c r="Q61698" s="8"/>
      <c r="R61698" s="103"/>
      <c r="S61698" s="8"/>
      <c r="T61698" s="8"/>
      <c r="U61698" s="8"/>
      <c r="V61698" s="8"/>
      <c r="W61698" s="8"/>
      <c r="X61698" s="8"/>
      <c r="Y61698" s="8"/>
      <c r="Z61698" s="8"/>
      <c r="AA61698" s="8"/>
    </row>
    <row r="61699" spans="1:27" x14ac:dyDescent="0.25">
      <c r="A61699" s="8"/>
      <c r="B61699" s="8"/>
      <c r="C61699" s="99"/>
      <c r="D61699" s="8"/>
      <c r="E61699" s="8"/>
      <c r="F61699" s="8"/>
      <c r="G61699" s="8"/>
      <c r="H61699" s="8"/>
      <c r="I61699" s="102"/>
      <c r="J61699" s="8"/>
      <c r="K61699" s="8"/>
      <c r="L61699" s="8"/>
      <c r="M61699" s="8"/>
      <c r="N61699" s="8"/>
      <c r="O61699" s="8"/>
      <c r="P61699" s="8"/>
      <c r="Q61699" s="8"/>
      <c r="R61699" s="103"/>
      <c r="S61699" s="8"/>
      <c r="T61699" s="8"/>
      <c r="U61699" s="8"/>
      <c r="V61699" s="8"/>
      <c r="W61699" s="8"/>
      <c r="X61699" s="8"/>
      <c r="Y61699" s="8"/>
      <c r="Z61699" s="8"/>
      <c r="AA61699" s="8"/>
    </row>
    <row r="61700" spans="1:27" x14ac:dyDescent="0.25">
      <c r="A61700" s="8"/>
      <c r="B61700" s="8"/>
      <c r="C61700" s="99"/>
      <c r="D61700" s="8"/>
      <c r="E61700" s="8"/>
      <c r="F61700" s="8"/>
      <c r="G61700" s="8"/>
      <c r="H61700" s="8"/>
      <c r="I61700" s="102"/>
      <c r="J61700" s="8"/>
      <c r="K61700" s="8"/>
      <c r="L61700" s="8"/>
      <c r="M61700" s="8"/>
      <c r="N61700" s="8"/>
      <c r="O61700" s="8"/>
      <c r="P61700" s="8"/>
      <c r="Q61700" s="8"/>
      <c r="R61700" s="103"/>
      <c r="S61700" s="8"/>
      <c r="T61700" s="8"/>
      <c r="U61700" s="8"/>
      <c r="V61700" s="8"/>
      <c r="W61700" s="8"/>
      <c r="X61700" s="8"/>
      <c r="Y61700" s="8"/>
      <c r="Z61700" s="8"/>
      <c r="AA61700" s="8"/>
    </row>
    <row r="61701" spans="1:27" x14ac:dyDescent="0.25">
      <c r="A61701" s="8"/>
      <c r="B61701" s="8"/>
      <c r="C61701" s="99"/>
      <c r="D61701" s="8"/>
      <c r="E61701" s="8"/>
      <c r="F61701" s="8"/>
      <c r="G61701" s="8"/>
      <c r="H61701" s="8"/>
      <c r="I61701" s="102"/>
      <c r="J61701" s="8"/>
      <c r="K61701" s="8"/>
      <c r="L61701" s="8"/>
      <c r="M61701" s="8"/>
      <c r="N61701" s="8"/>
      <c r="O61701" s="8"/>
      <c r="P61701" s="8"/>
      <c r="Q61701" s="8"/>
      <c r="R61701" s="103"/>
      <c r="S61701" s="8"/>
      <c r="T61701" s="8"/>
      <c r="U61701" s="8"/>
      <c r="V61701" s="8"/>
      <c r="W61701" s="8"/>
      <c r="X61701" s="8"/>
      <c r="Y61701" s="8"/>
      <c r="Z61701" s="8"/>
      <c r="AA61701" s="8"/>
    </row>
    <row r="61702" spans="1:27" x14ac:dyDescent="0.25">
      <c r="A61702" s="8"/>
      <c r="B61702" s="8"/>
      <c r="C61702" s="99"/>
      <c r="D61702" s="8"/>
      <c r="E61702" s="8"/>
      <c r="F61702" s="8"/>
      <c r="G61702" s="8"/>
      <c r="H61702" s="8"/>
      <c r="I61702" s="102"/>
      <c r="J61702" s="8"/>
      <c r="K61702" s="8"/>
      <c r="L61702" s="8"/>
      <c r="M61702" s="8"/>
      <c r="N61702" s="8"/>
      <c r="O61702" s="8"/>
      <c r="P61702" s="8"/>
      <c r="Q61702" s="8"/>
      <c r="R61702" s="103"/>
      <c r="S61702" s="8"/>
      <c r="T61702" s="8"/>
      <c r="U61702" s="8"/>
      <c r="V61702" s="8"/>
      <c r="W61702" s="8"/>
      <c r="X61702" s="8"/>
      <c r="Y61702" s="8"/>
      <c r="Z61702" s="8"/>
      <c r="AA61702" s="8"/>
    </row>
    <row r="61703" spans="1:27" x14ac:dyDescent="0.25">
      <c r="A61703" s="8"/>
      <c r="B61703" s="8"/>
      <c r="C61703" s="99"/>
      <c r="D61703" s="8"/>
      <c r="E61703" s="8"/>
      <c r="F61703" s="8"/>
      <c r="G61703" s="8"/>
      <c r="H61703" s="8"/>
      <c r="I61703" s="102"/>
      <c r="J61703" s="8"/>
      <c r="K61703" s="8"/>
      <c r="L61703" s="8"/>
      <c r="M61703" s="8"/>
      <c r="N61703" s="8"/>
      <c r="O61703" s="8"/>
      <c r="P61703" s="8"/>
      <c r="Q61703" s="8"/>
      <c r="R61703" s="103"/>
      <c r="S61703" s="8"/>
      <c r="T61703" s="8"/>
      <c r="U61703" s="8"/>
      <c r="V61703" s="8"/>
      <c r="W61703" s="8"/>
      <c r="X61703" s="8"/>
      <c r="Y61703" s="8"/>
      <c r="Z61703" s="8"/>
      <c r="AA61703" s="8"/>
    </row>
    <row r="61704" spans="1:27" x14ac:dyDescent="0.25">
      <c r="A61704" s="8"/>
      <c r="B61704" s="8"/>
      <c r="C61704" s="99"/>
      <c r="D61704" s="8"/>
      <c r="E61704" s="8"/>
      <c r="F61704" s="8"/>
      <c r="G61704" s="8"/>
      <c r="H61704" s="8"/>
      <c r="I61704" s="102"/>
      <c r="J61704" s="8"/>
      <c r="K61704" s="8"/>
      <c r="L61704" s="8"/>
      <c r="M61704" s="8"/>
      <c r="N61704" s="8"/>
      <c r="O61704" s="8"/>
      <c r="P61704" s="8"/>
      <c r="Q61704" s="8"/>
      <c r="R61704" s="103"/>
      <c r="S61704" s="8"/>
      <c r="T61704" s="8"/>
      <c r="U61704" s="8"/>
      <c r="V61704" s="8"/>
      <c r="W61704" s="8"/>
      <c r="X61704" s="8"/>
      <c r="Y61704" s="8"/>
      <c r="Z61704" s="8"/>
      <c r="AA61704" s="8"/>
    </row>
    <row r="61705" spans="1:27" x14ac:dyDescent="0.25">
      <c r="A61705" s="8"/>
      <c r="B61705" s="8"/>
      <c r="C61705" s="99"/>
      <c r="D61705" s="8"/>
      <c r="E61705" s="8"/>
      <c r="F61705" s="8"/>
      <c r="G61705" s="8"/>
      <c r="H61705" s="8"/>
      <c r="I61705" s="102"/>
      <c r="J61705" s="8"/>
      <c r="K61705" s="8"/>
      <c r="L61705" s="8"/>
      <c r="M61705" s="8"/>
      <c r="N61705" s="8"/>
      <c r="O61705" s="8"/>
      <c r="P61705" s="8"/>
      <c r="Q61705" s="8"/>
      <c r="R61705" s="103"/>
      <c r="S61705" s="8"/>
      <c r="T61705" s="8"/>
      <c r="U61705" s="8"/>
      <c r="V61705" s="8"/>
      <c r="W61705" s="8"/>
      <c r="X61705" s="8"/>
      <c r="Y61705" s="8"/>
      <c r="Z61705" s="8"/>
      <c r="AA61705" s="8"/>
    </row>
    <row r="61706" spans="1:27" x14ac:dyDescent="0.25">
      <c r="A61706" s="8"/>
      <c r="B61706" s="8"/>
      <c r="C61706" s="99"/>
      <c r="D61706" s="8"/>
      <c r="E61706" s="8"/>
      <c r="F61706" s="8"/>
      <c r="G61706" s="8"/>
      <c r="H61706" s="8"/>
      <c r="I61706" s="102"/>
      <c r="J61706" s="8"/>
      <c r="K61706" s="8"/>
      <c r="L61706" s="8"/>
      <c r="M61706" s="8"/>
      <c r="N61706" s="8"/>
      <c r="O61706" s="8"/>
      <c r="P61706" s="8"/>
      <c r="Q61706" s="8"/>
      <c r="R61706" s="103"/>
      <c r="S61706" s="8"/>
      <c r="T61706" s="8"/>
      <c r="U61706" s="8"/>
      <c r="V61706" s="8"/>
      <c r="W61706" s="8"/>
      <c r="X61706" s="8"/>
      <c r="Y61706" s="8"/>
      <c r="Z61706" s="8"/>
      <c r="AA61706" s="8"/>
    </row>
    <row r="61707" spans="1:27" x14ac:dyDescent="0.25">
      <c r="A61707" s="8"/>
      <c r="B61707" s="8"/>
      <c r="C61707" s="99"/>
      <c r="D61707" s="8"/>
      <c r="E61707" s="8"/>
      <c r="F61707" s="8"/>
      <c r="G61707" s="8"/>
      <c r="H61707" s="8"/>
      <c r="I61707" s="102"/>
      <c r="J61707" s="8"/>
      <c r="K61707" s="8"/>
      <c r="L61707" s="8"/>
      <c r="M61707" s="8"/>
      <c r="N61707" s="8"/>
      <c r="O61707" s="8"/>
      <c r="P61707" s="8"/>
      <c r="Q61707" s="8"/>
      <c r="R61707" s="103"/>
      <c r="S61707" s="8"/>
      <c r="T61707" s="8"/>
      <c r="U61707" s="8"/>
      <c r="V61707" s="8"/>
      <c r="W61707" s="8"/>
      <c r="X61707" s="8"/>
      <c r="Y61707" s="8"/>
      <c r="Z61707" s="8"/>
      <c r="AA61707" s="8"/>
    </row>
    <row r="61708" spans="1:27" x14ac:dyDescent="0.25">
      <c r="A61708" s="8"/>
      <c r="B61708" s="8"/>
      <c r="C61708" s="99"/>
      <c r="D61708" s="8"/>
      <c r="E61708" s="8"/>
      <c r="F61708" s="8"/>
      <c r="G61708" s="8"/>
      <c r="H61708" s="8"/>
      <c r="I61708" s="102"/>
      <c r="J61708" s="8"/>
      <c r="K61708" s="8"/>
      <c r="L61708" s="8"/>
      <c r="M61708" s="8"/>
      <c r="N61708" s="8"/>
      <c r="O61708" s="8"/>
      <c r="P61708" s="8"/>
      <c r="Q61708" s="8"/>
      <c r="R61708" s="103"/>
      <c r="S61708" s="8"/>
      <c r="T61708" s="8"/>
      <c r="U61708" s="8"/>
      <c r="V61708" s="8"/>
      <c r="W61708" s="8"/>
      <c r="X61708" s="8"/>
      <c r="Y61708" s="8"/>
      <c r="Z61708" s="8"/>
      <c r="AA61708" s="8"/>
    </row>
    <row r="61709" spans="1:27" x14ac:dyDescent="0.25">
      <c r="A61709" s="8"/>
      <c r="B61709" s="8"/>
      <c r="C61709" s="99"/>
      <c r="D61709" s="8"/>
      <c r="E61709" s="8"/>
      <c r="F61709" s="8"/>
      <c r="G61709" s="8"/>
      <c r="H61709" s="8"/>
      <c r="I61709" s="102"/>
      <c r="J61709" s="8"/>
      <c r="K61709" s="8"/>
      <c r="L61709" s="8"/>
      <c r="M61709" s="8"/>
      <c r="N61709" s="8"/>
      <c r="O61709" s="8"/>
      <c r="P61709" s="8"/>
      <c r="Q61709" s="8"/>
      <c r="R61709" s="103"/>
      <c r="S61709" s="8"/>
      <c r="T61709" s="8"/>
      <c r="U61709" s="8"/>
      <c r="V61709" s="8"/>
      <c r="W61709" s="8"/>
      <c r="X61709" s="8"/>
      <c r="Y61709" s="8"/>
      <c r="Z61709" s="8"/>
      <c r="AA61709" s="8"/>
    </row>
    <row r="61710" spans="1:27" x14ac:dyDescent="0.25">
      <c r="A61710" s="8"/>
      <c r="B61710" s="8"/>
      <c r="C61710" s="99"/>
      <c r="D61710" s="8"/>
      <c r="E61710" s="8"/>
      <c r="F61710" s="8"/>
      <c r="G61710" s="8"/>
      <c r="H61710" s="8"/>
      <c r="I61710" s="102"/>
      <c r="J61710" s="8"/>
      <c r="K61710" s="8"/>
      <c r="L61710" s="8"/>
      <c r="M61710" s="8"/>
      <c r="N61710" s="8"/>
      <c r="O61710" s="8"/>
      <c r="P61710" s="8"/>
      <c r="Q61710" s="8"/>
      <c r="R61710" s="103"/>
      <c r="S61710" s="8"/>
      <c r="T61710" s="8"/>
      <c r="U61710" s="8"/>
      <c r="V61710" s="8"/>
      <c r="W61710" s="8"/>
      <c r="X61710" s="8"/>
      <c r="Y61710" s="8"/>
      <c r="Z61710" s="8"/>
      <c r="AA61710" s="8"/>
    </row>
    <row r="61711" spans="1:27" x14ac:dyDescent="0.25">
      <c r="A61711" s="8"/>
      <c r="B61711" s="8"/>
      <c r="C61711" s="99"/>
      <c r="D61711" s="8"/>
      <c r="E61711" s="8"/>
      <c r="F61711" s="8"/>
      <c r="G61711" s="8"/>
      <c r="H61711" s="8"/>
      <c r="I61711" s="102"/>
      <c r="J61711" s="8"/>
      <c r="K61711" s="8"/>
      <c r="L61711" s="8"/>
      <c r="M61711" s="8"/>
      <c r="N61711" s="8"/>
      <c r="O61711" s="8"/>
      <c r="P61711" s="8"/>
      <c r="Q61711" s="8"/>
      <c r="R61711" s="103"/>
      <c r="S61711" s="8"/>
      <c r="T61711" s="8"/>
      <c r="U61711" s="8"/>
      <c r="V61711" s="8"/>
      <c r="W61711" s="8"/>
      <c r="X61711" s="8"/>
      <c r="Y61711" s="8"/>
      <c r="Z61711" s="8"/>
      <c r="AA61711" s="8"/>
    </row>
    <row r="61712" spans="1:27" x14ac:dyDescent="0.25">
      <c r="A61712" s="8"/>
      <c r="B61712" s="8"/>
      <c r="C61712" s="99"/>
      <c r="D61712" s="8"/>
      <c r="E61712" s="8"/>
      <c r="F61712" s="8"/>
      <c r="G61712" s="8"/>
      <c r="H61712" s="8"/>
      <c r="I61712" s="102"/>
      <c r="J61712" s="8"/>
      <c r="K61712" s="8"/>
      <c r="L61712" s="8"/>
      <c r="M61712" s="8"/>
      <c r="N61712" s="8"/>
      <c r="O61712" s="8"/>
      <c r="P61712" s="8"/>
      <c r="Q61712" s="8"/>
      <c r="R61712" s="103"/>
      <c r="S61712" s="8"/>
      <c r="T61712" s="8"/>
      <c r="U61712" s="8"/>
      <c r="V61712" s="8"/>
      <c r="W61712" s="8"/>
      <c r="X61712" s="8"/>
      <c r="Y61712" s="8"/>
      <c r="Z61712" s="8"/>
      <c r="AA61712" s="8"/>
    </row>
    <row r="61713" spans="1:27" x14ac:dyDescent="0.25">
      <c r="A61713" s="8"/>
      <c r="B61713" s="8"/>
      <c r="C61713" s="99"/>
      <c r="D61713" s="8"/>
      <c r="E61713" s="8"/>
      <c r="F61713" s="8"/>
      <c r="G61713" s="8"/>
      <c r="H61713" s="8"/>
      <c r="I61713" s="102"/>
      <c r="J61713" s="8"/>
      <c r="K61713" s="8"/>
      <c r="L61713" s="8"/>
      <c r="M61713" s="8"/>
      <c r="N61713" s="8"/>
      <c r="O61713" s="8"/>
      <c r="P61713" s="8"/>
      <c r="Q61713" s="8"/>
      <c r="R61713" s="103"/>
      <c r="S61713" s="8"/>
      <c r="T61713" s="8"/>
      <c r="U61713" s="8"/>
      <c r="V61713" s="8"/>
      <c r="W61713" s="8"/>
      <c r="X61713" s="8"/>
      <c r="Y61713" s="8"/>
      <c r="Z61713" s="8"/>
      <c r="AA61713" s="8"/>
    </row>
    <row r="61714" spans="1:27" x14ac:dyDescent="0.25">
      <c r="A61714" s="8"/>
      <c r="B61714" s="8"/>
      <c r="C61714" s="99"/>
      <c r="D61714" s="8"/>
      <c r="E61714" s="8"/>
      <c r="F61714" s="8"/>
      <c r="G61714" s="8"/>
      <c r="H61714" s="8"/>
      <c r="I61714" s="102"/>
      <c r="J61714" s="8"/>
      <c r="K61714" s="8"/>
      <c r="L61714" s="8"/>
      <c r="M61714" s="8"/>
      <c r="N61714" s="8"/>
      <c r="O61714" s="8"/>
      <c r="P61714" s="8"/>
      <c r="Q61714" s="8"/>
      <c r="R61714" s="103"/>
      <c r="S61714" s="8"/>
      <c r="T61714" s="8"/>
      <c r="U61714" s="8"/>
      <c r="V61714" s="8"/>
      <c r="W61714" s="8"/>
      <c r="X61714" s="8"/>
      <c r="Y61714" s="8"/>
      <c r="Z61714" s="8"/>
      <c r="AA61714" s="8"/>
    </row>
    <row r="61715" spans="1:27" x14ac:dyDescent="0.25">
      <c r="A61715" s="8"/>
      <c r="B61715" s="8"/>
      <c r="C61715" s="99"/>
      <c r="D61715" s="8"/>
      <c r="E61715" s="8"/>
      <c r="F61715" s="8"/>
      <c r="G61715" s="8"/>
      <c r="H61715" s="8"/>
      <c r="I61715" s="102"/>
      <c r="J61715" s="8"/>
      <c r="K61715" s="8"/>
      <c r="L61715" s="8"/>
      <c r="M61715" s="8"/>
      <c r="N61715" s="8"/>
      <c r="O61715" s="8"/>
      <c r="P61715" s="8"/>
      <c r="Q61715" s="8"/>
      <c r="R61715" s="103"/>
      <c r="S61715" s="8"/>
      <c r="T61715" s="8"/>
      <c r="U61715" s="8"/>
      <c r="V61715" s="8"/>
      <c r="W61715" s="8"/>
      <c r="X61715" s="8"/>
      <c r="Y61715" s="8"/>
      <c r="Z61715" s="8"/>
      <c r="AA61715" s="8"/>
    </row>
    <row r="61716" spans="1:27" x14ac:dyDescent="0.25">
      <c r="A61716" s="8"/>
      <c r="B61716" s="8"/>
      <c r="C61716" s="99"/>
      <c r="D61716" s="8"/>
      <c r="E61716" s="8"/>
      <c r="F61716" s="8"/>
      <c r="G61716" s="8"/>
      <c r="H61716" s="8"/>
      <c r="I61716" s="102"/>
      <c r="J61716" s="8"/>
      <c r="K61716" s="8"/>
      <c r="L61716" s="8"/>
      <c r="M61716" s="8"/>
      <c r="N61716" s="8"/>
      <c r="O61716" s="8"/>
      <c r="P61716" s="8"/>
      <c r="Q61716" s="8"/>
      <c r="R61716" s="103"/>
      <c r="S61716" s="8"/>
      <c r="T61716" s="8"/>
      <c r="U61716" s="8"/>
      <c r="V61716" s="8"/>
      <c r="W61716" s="8"/>
      <c r="X61716" s="8"/>
      <c r="Y61716" s="8"/>
      <c r="Z61716" s="8"/>
      <c r="AA61716" s="8"/>
    </row>
    <row r="61717" spans="1:27" x14ac:dyDescent="0.25">
      <c r="A61717" s="8"/>
      <c r="B61717" s="8"/>
      <c r="C61717" s="99"/>
      <c r="D61717" s="8"/>
      <c r="E61717" s="8"/>
      <c r="F61717" s="8"/>
      <c r="G61717" s="8"/>
      <c r="H61717" s="8"/>
      <c r="I61717" s="102"/>
      <c r="J61717" s="8"/>
      <c r="K61717" s="8"/>
      <c r="L61717" s="8"/>
      <c r="M61717" s="8"/>
      <c r="N61717" s="8"/>
      <c r="O61717" s="8"/>
      <c r="P61717" s="8"/>
      <c r="Q61717" s="8"/>
      <c r="R61717" s="103"/>
      <c r="S61717" s="8"/>
      <c r="T61717" s="8"/>
      <c r="U61717" s="8"/>
      <c r="V61717" s="8"/>
      <c r="W61717" s="8"/>
      <c r="X61717" s="8"/>
      <c r="Y61717" s="8"/>
      <c r="Z61717" s="8"/>
      <c r="AA61717" s="8"/>
    </row>
    <row r="61718" spans="1:27" x14ac:dyDescent="0.25">
      <c r="A61718" s="8"/>
      <c r="B61718" s="8"/>
      <c r="C61718" s="99"/>
      <c r="D61718" s="8"/>
      <c r="E61718" s="8"/>
      <c r="F61718" s="8"/>
      <c r="G61718" s="8"/>
      <c r="H61718" s="8"/>
      <c r="I61718" s="102"/>
      <c r="J61718" s="8"/>
      <c r="K61718" s="8"/>
      <c r="L61718" s="8"/>
      <c r="M61718" s="8"/>
      <c r="N61718" s="8"/>
      <c r="O61718" s="8"/>
      <c r="P61718" s="8"/>
      <c r="Q61718" s="8"/>
      <c r="R61718" s="103"/>
      <c r="S61718" s="8"/>
      <c r="T61718" s="8"/>
      <c r="U61718" s="8"/>
      <c r="V61718" s="8"/>
      <c r="W61718" s="8"/>
      <c r="X61718" s="8"/>
      <c r="Y61718" s="8"/>
      <c r="Z61718" s="8"/>
      <c r="AA61718" s="8"/>
    </row>
    <row r="61719" spans="1:27" x14ac:dyDescent="0.25">
      <c r="A61719" s="8"/>
      <c r="B61719" s="8"/>
      <c r="C61719" s="99"/>
      <c r="D61719" s="8"/>
      <c r="E61719" s="8"/>
      <c r="F61719" s="8"/>
      <c r="G61719" s="8"/>
      <c r="H61719" s="8"/>
      <c r="I61719" s="102"/>
      <c r="J61719" s="8"/>
      <c r="K61719" s="8"/>
      <c r="L61719" s="8"/>
      <c r="M61719" s="8"/>
      <c r="N61719" s="8"/>
      <c r="O61719" s="8"/>
      <c r="P61719" s="8"/>
      <c r="Q61719" s="8"/>
      <c r="R61719" s="103"/>
      <c r="S61719" s="8"/>
      <c r="T61719" s="8"/>
      <c r="U61719" s="8"/>
      <c r="V61719" s="8"/>
      <c r="W61719" s="8"/>
      <c r="X61719" s="8"/>
      <c r="Y61719" s="8"/>
      <c r="Z61719" s="8"/>
      <c r="AA61719" s="8"/>
    </row>
    <row r="61720" spans="1:27" x14ac:dyDescent="0.25">
      <c r="A61720" s="8"/>
      <c r="B61720" s="8"/>
      <c r="C61720" s="99"/>
      <c r="D61720" s="8"/>
      <c r="E61720" s="8"/>
      <c r="F61720" s="8"/>
      <c r="G61720" s="8"/>
      <c r="H61720" s="8"/>
      <c r="I61720" s="102"/>
      <c r="J61720" s="8"/>
      <c r="K61720" s="8"/>
      <c r="L61720" s="8"/>
      <c r="M61720" s="8"/>
      <c r="N61720" s="8"/>
      <c r="O61720" s="8"/>
      <c r="P61720" s="8"/>
      <c r="Q61720" s="8"/>
      <c r="R61720" s="103"/>
      <c r="S61720" s="8"/>
      <c r="T61720" s="8"/>
      <c r="U61720" s="8"/>
      <c r="V61720" s="8"/>
      <c r="W61720" s="8"/>
      <c r="X61720" s="8"/>
      <c r="Y61720" s="8"/>
      <c r="Z61720" s="8"/>
      <c r="AA61720" s="8"/>
    </row>
    <row r="61721" spans="1:27" x14ac:dyDescent="0.25">
      <c r="A61721" s="8"/>
      <c r="B61721" s="8"/>
      <c r="C61721" s="99"/>
      <c r="D61721" s="8"/>
      <c r="E61721" s="8"/>
      <c r="F61721" s="8"/>
      <c r="G61721" s="8"/>
      <c r="H61721" s="8"/>
      <c r="I61721" s="102"/>
      <c r="J61721" s="8"/>
      <c r="K61721" s="8"/>
      <c r="L61721" s="8"/>
      <c r="M61721" s="8"/>
      <c r="N61721" s="8"/>
      <c r="O61721" s="8"/>
      <c r="P61721" s="8"/>
      <c r="Q61721" s="8"/>
      <c r="R61721" s="103"/>
      <c r="S61721" s="8"/>
      <c r="T61721" s="8"/>
      <c r="U61721" s="8"/>
      <c r="V61721" s="8"/>
      <c r="W61721" s="8"/>
      <c r="X61721" s="8"/>
      <c r="Y61721" s="8"/>
      <c r="Z61721" s="8"/>
      <c r="AA61721" s="8"/>
    </row>
    <row r="61722" spans="1:27" x14ac:dyDescent="0.25">
      <c r="A61722" s="8"/>
      <c r="B61722" s="8"/>
      <c r="C61722" s="99"/>
      <c r="D61722" s="8"/>
      <c r="E61722" s="8"/>
      <c r="F61722" s="8"/>
      <c r="G61722" s="8"/>
      <c r="H61722" s="8"/>
      <c r="I61722" s="102"/>
      <c r="J61722" s="8"/>
      <c r="K61722" s="8"/>
      <c r="L61722" s="8"/>
      <c r="M61722" s="8"/>
      <c r="N61722" s="8"/>
      <c r="O61722" s="8"/>
      <c r="P61722" s="8"/>
      <c r="Q61722" s="8"/>
      <c r="R61722" s="103"/>
      <c r="S61722" s="8"/>
      <c r="T61722" s="8"/>
      <c r="U61722" s="8"/>
      <c r="V61722" s="8"/>
      <c r="W61722" s="8"/>
      <c r="X61722" s="8"/>
      <c r="Y61722" s="8"/>
      <c r="Z61722" s="8"/>
      <c r="AA61722" s="8"/>
    </row>
    <row r="61723" spans="1:27" x14ac:dyDescent="0.25">
      <c r="A61723" s="8"/>
      <c r="B61723" s="8"/>
      <c r="C61723" s="99"/>
      <c r="D61723" s="8"/>
      <c r="E61723" s="8"/>
      <c r="F61723" s="8"/>
      <c r="G61723" s="8"/>
      <c r="H61723" s="8"/>
      <c r="I61723" s="102"/>
      <c r="J61723" s="8"/>
      <c r="K61723" s="8"/>
      <c r="L61723" s="8"/>
      <c r="M61723" s="8"/>
      <c r="N61723" s="8"/>
      <c r="O61723" s="8"/>
      <c r="P61723" s="8"/>
      <c r="Q61723" s="8"/>
      <c r="R61723" s="103"/>
      <c r="S61723" s="8"/>
      <c r="T61723" s="8"/>
      <c r="U61723" s="8"/>
      <c r="V61723" s="8"/>
      <c r="W61723" s="8"/>
      <c r="X61723" s="8"/>
      <c r="Y61723" s="8"/>
      <c r="Z61723" s="8"/>
      <c r="AA61723" s="8"/>
    </row>
    <row r="61724" spans="1:27" x14ac:dyDescent="0.25">
      <c r="A61724" s="8"/>
      <c r="B61724" s="8"/>
      <c r="C61724" s="99"/>
      <c r="D61724" s="8"/>
      <c r="E61724" s="8"/>
      <c r="F61724" s="8"/>
      <c r="G61724" s="8"/>
      <c r="H61724" s="8"/>
      <c r="I61724" s="102"/>
      <c r="J61724" s="8"/>
      <c r="K61724" s="8"/>
      <c r="L61724" s="8"/>
      <c r="M61724" s="8"/>
      <c r="N61724" s="8"/>
      <c r="O61724" s="8"/>
      <c r="P61724" s="8"/>
      <c r="Q61724" s="8"/>
      <c r="R61724" s="103"/>
      <c r="S61724" s="8"/>
      <c r="T61724" s="8"/>
      <c r="U61724" s="8"/>
      <c r="V61724" s="8"/>
      <c r="W61724" s="8"/>
      <c r="X61724" s="8"/>
      <c r="Y61724" s="8"/>
      <c r="Z61724" s="8"/>
      <c r="AA61724" s="8"/>
    </row>
    <row r="61725" spans="1:27" x14ac:dyDescent="0.25">
      <c r="A61725" s="8"/>
      <c r="B61725" s="8"/>
      <c r="C61725" s="99"/>
      <c r="D61725" s="8"/>
      <c r="E61725" s="8"/>
      <c r="F61725" s="8"/>
      <c r="G61725" s="8"/>
      <c r="H61725" s="8"/>
      <c r="I61725" s="102"/>
      <c r="J61725" s="8"/>
      <c r="K61725" s="8"/>
      <c r="L61725" s="8"/>
      <c r="M61725" s="8"/>
      <c r="N61725" s="8"/>
      <c r="O61725" s="8"/>
      <c r="P61725" s="8"/>
      <c r="Q61725" s="8"/>
      <c r="R61725" s="103"/>
      <c r="S61725" s="8"/>
      <c r="T61725" s="8"/>
      <c r="U61725" s="8"/>
      <c r="V61725" s="8"/>
      <c r="W61725" s="8"/>
      <c r="X61725" s="8"/>
      <c r="Y61725" s="8"/>
      <c r="Z61725" s="8"/>
      <c r="AA61725" s="8"/>
    </row>
    <row r="61726" spans="1:27" x14ac:dyDescent="0.25">
      <c r="A61726" s="8"/>
      <c r="B61726" s="8"/>
      <c r="C61726" s="99"/>
      <c r="D61726" s="8"/>
      <c r="E61726" s="8"/>
      <c r="F61726" s="8"/>
      <c r="G61726" s="8"/>
      <c r="H61726" s="8"/>
      <c r="I61726" s="102"/>
      <c r="J61726" s="8"/>
      <c r="K61726" s="8"/>
      <c r="L61726" s="8"/>
      <c r="M61726" s="8"/>
      <c r="N61726" s="8"/>
      <c r="O61726" s="8"/>
      <c r="P61726" s="8"/>
      <c r="Q61726" s="8"/>
      <c r="R61726" s="103"/>
      <c r="S61726" s="8"/>
      <c r="T61726" s="8"/>
      <c r="U61726" s="8"/>
      <c r="V61726" s="8"/>
      <c r="W61726" s="8"/>
      <c r="X61726" s="8"/>
      <c r="Y61726" s="8"/>
      <c r="Z61726" s="8"/>
      <c r="AA61726" s="8"/>
    </row>
    <row r="61727" spans="1:27" x14ac:dyDescent="0.25">
      <c r="A61727" s="8"/>
      <c r="B61727" s="8"/>
      <c r="C61727" s="99"/>
      <c r="D61727" s="8"/>
      <c r="E61727" s="8"/>
      <c r="F61727" s="8"/>
      <c r="G61727" s="8"/>
      <c r="H61727" s="8"/>
      <c r="I61727" s="102"/>
      <c r="J61727" s="8"/>
      <c r="K61727" s="8"/>
      <c r="L61727" s="8"/>
      <c r="M61727" s="8"/>
      <c r="N61727" s="8"/>
      <c r="O61727" s="8"/>
      <c r="P61727" s="8"/>
      <c r="Q61727" s="8"/>
      <c r="R61727" s="103"/>
      <c r="S61727" s="8"/>
      <c r="T61727" s="8"/>
      <c r="U61727" s="8"/>
      <c r="V61727" s="8"/>
      <c r="W61727" s="8"/>
      <c r="X61727" s="8"/>
      <c r="Y61727" s="8"/>
      <c r="Z61727" s="8"/>
      <c r="AA61727" s="8"/>
    </row>
    <row r="61728" spans="1:27" x14ac:dyDescent="0.25">
      <c r="A61728" s="8"/>
      <c r="B61728" s="8"/>
      <c r="C61728" s="99"/>
      <c r="D61728" s="8"/>
      <c r="E61728" s="8"/>
      <c r="F61728" s="8"/>
      <c r="G61728" s="8"/>
      <c r="H61728" s="8"/>
      <c r="I61728" s="102"/>
      <c r="J61728" s="8"/>
      <c r="K61728" s="8"/>
      <c r="L61728" s="8"/>
      <c r="M61728" s="8"/>
      <c r="N61728" s="8"/>
      <c r="O61728" s="8"/>
      <c r="P61728" s="8"/>
      <c r="Q61728" s="8"/>
      <c r="R61728" s="103"/>
      <c r="S61728" s="8"/>
      <c r="T61728" s="8"/>
      <c r="U61728" s="8"/>
      <c r="V61728" s="8"/>
      <c r="W61728" s="8"/>
      <c r="X61728" s="8"/>
      <c r="Y61728" s="8"/>
      <c r="Z61728" s="8"/>
      <c r="AA61728" s="8"/>
    </row>
    <row r="61729" spans="1:27" x14ac:dyDescent="0.25">
      <c r="A61729" s="8"/>
      <c r="B61729" s="8"/>
      <c r="C61729" s="99"/>
      <c r="D61729" s="8"/>
      <c r="E61729" s="8"/>
      <c r="F61729" s="8"/>
      <c r="G61729" s="8"/>
      <c r="H61729" s="8"/>
      <c r="I61729" s="102"/>
      <c r="J61729" s="8"/>
      <c r="K61729" s="8"/>
      <c r="L61729" s="8"/>
      <c r="M61729" s="8"/>
      <c r="N61729" s="8"/>
      <c r="O61729" s="8"/>
      <c r="P61729" s="8"/>
      <c r="Q61729" s="8"/>
      <c r="R61729" s="103"/>
      <c r="S61729" s="8"/>
      <c r="T61729" s="8"/>
      <c r="U61729" s="8"/>
      <c r="V61729" s="8"/>
      <c r="W61729" s="8"/>
      <c r="X61729" s="8"/>
      <c r="Y61729" s="8"/>
      <c r="Z61729" s="8"/>
      <c r="AA61729" s="8"/>
    </row>
    <row r="61730" spans="1:27" x14ac:dyDescent="0.25">
      <c r="A61730" s="8"/>
      <c r="B61730" s="8"/>
      <c r="C61730" s="99"/>
      <c r="D61730" s="8"/>
      <c r="E61730" s="8"/>
      <c r="F61730" s="8"/>
      <c r="G61730" s="8"/>
      <c r="H61730" s="8"/>
      <c r="I61730" s="102"/>
      <c r="J61730" s="8"/>
      <c r="K61730" s="8"/>
      <c r="L61730" s="8"/>
      <c r="M61730" s="8"/>
      <c r="N61730" s="8"/>
      <c r="O61730" s="8"/>
      <c r="P61730" s="8"/>
      <c r="Q61730" s="8"/>
      <c r="R61730" s="103"/>
      <c r="S61730" s="8"/>
      <c r="T61730" s="8"/>
      <c r="U61730" s="8"/>
      <c r="V61730" s="8"/>
      <c r="W61730" s="8"/>
      <c r="X61730" s="8"/>
      <c r="Y61730" s="8"/>
      <c r="Z61730" s="8"/>
      <c r="AA61730" s="8"/>
    </row>
    <row r="61731" spans="1:27" x14ac:dyDescent="0.25">
      <c r="A61731" s="8"/>
      <c r="B61731" s="8"/>
      <c r="C61731" s="99"/>
      <c r="D61731" s="8"/>
      <c r="E61731" s="8"/>
      <c r="F61731" s="8"/>
      <c r="G61731" s="8"/>
      <c r="H61731" s="8"/>
      <c r="I61731" s="102"/>
      <c r="J61731" s="8"/>
      <c r="K61731" s="8"/>
      <c r="L61731" s="8"/>
      <c r="M61731" s="8"/>
      <c r="N61731" s="8"/>
      <c r="O61731" s="8"/>
      <c r="P61731" s="8"/>
      <c r="Q61731" s="8"/>
      <c r="R61731" s="103"/>
      <c r="S61731" s="8"/>
      <c r="T61731" s="8"/>
      <c r="U61731" s="8"/>
      <c r="V61731" s="8"/>
      <c r="W61731" s="8"/>
      <c r="X61731" s="8"/>
      <c r="Y61731" s="8"/>
      <c r="Z61731" s="8"/>
      <c r="AA61731" s="8"/>
    </row>
    <row r="61732" spans="1:27" x14ac:dyDescent="0.25">
      <c r="A61732" s="8"/>
      <c r="B61732" s="8"/>
      <c r="C61732" s="99"/>
      <c r="D61732" s="8"/>
      <c r="E61732" s="8"/>
      <c r="F61732" s="8"/>
      <c r="G61732" s="8"/>
      <c r="H61732" s="8"/>
      <c r="I61732" s="102"/>
      <c r="J61732" s="8"/>
      <c r="K61732" s="8"/>
      <c r="L61732" s="8"/>
      <c r="M61732" s="8"/>
      <c r="N61732" s="8"/>
      <c r="O61732" s="8"/>
      <c r="P61732" s="8"/>
      <c r="Q61732" s="8"/>
      <c r="R61732" s="103"/>
      <c r="S61732" s="8"/>
      <c r="T61732" s="8"/>
      <c r="U61732" s="8"/>
      <c r="V61732" s="8"/>
      <c r="W61732" s="8"/>
      <c r="X61732" s="8"/>
      <c r="Y61732" s="8"/>
      <c r="Z61732" s="8"/>
      <c r="AA61732" s="8"/>
    </row>
    <row r="61733" spans="1:27" x14ac:dyDescent="0.25">
      <c r="A61733" s="8"/>
      <c r="B61733" s="8"/>
      <c r="C61733" s="99"/>
      <c r="D61733" s="8"/>
      <c r="E61733" s="8"/>
      <c r="F61733" s="8"/>
      <c r="G61733" s="8"/>
      <c r="H61733" s="8"/>
      <c r="I61733" s="102"/>
      <c r="J61733" s="8"/>
      <c r="K61733" s="8"/>
      <c r="L61733" s="8"/>
      <c r="M61733" s="8"/>
      <c r="N61733" s="8"/>
      <c r="O61733" s="8"/>
      <c r="P61733" s="8"/>
      <c r="Q61733" s="8"/>
      <c r="R61733" s="103"/>
      <c r="S61733" s="8"/>
      <c r="T61733" s="8"/>
      <c r="U61733" s="8"/>
      <c r="V61733" s="8"/>
      <c r="W61733" s="8"/>
      <c r="X61733" s="8"/>
      <c r="Y61733" s="8"/>
      <c r="Z61733" s="8"/>
      <c r="AA61733" s="8"/>
    </row>
    <row r="61734" spans="1:27" x14ac:dyDescent="0.25">
      <c r="A61734" s="8"/>
      <c r="B61734" s="8"/>
      <c r="C61734" s="99"/>
      <c r="D61734" s="8"/>
      <c r="E61734" s="8"/>
      <c r="F61734" s="8"/>
      <c r="G61734" s="8"/>
      <c r="H61734" s="8"/>
      <c r="I61734" s="102"/>
      <c r="J61734" s="8"/>
      <c r="K61734" s="8"/>
      <c r="L61734" s="8"/>
      <c r="M61734" s="8"/>
      <c r="N61734" s="8"/>
      <c r="O61734" s="8"/>
      <c r="P61734" s="8"/>
      <c r="Q61734" s="8"/>
      <c r="R61734" s="103"/>
      <c r="S61734" s="8"/>
      <c r="T61734" s="8"/>
      <c r="U61734" s="8"/>
      <c r="V61734" s="8"/>
      <c r="W61734" s="8"/>
      <c r="X61734" s="8"/>
      <c r="Y61734" s="8"/>
      <c r="Z61734" s="8"/>
      <c r="AA61734" s="8"/>
    </row>
    <row r="61735" spans="1:27" x14ac:dyDescent="0.25">
      <c r="A61735" s="8"/>
      <c r="B61735" s="8"/>
      <c r="C61735" s="99"/>
      <c r="D61735" s="8"/>
      <c r="E61735" s="8"/>
      <c r="F61735" s="8"/>
      <c r="G61735" s="8"/>
      <c r="H61735" s="8"/>
      <c r="I61735" s="102"/>
      <c r="J61735" s="8"/>
      <c r="K61735" s="8"/>
      <c r="L61735" s="8"/>
      <c r="M61735" s="8"/>
      <c r="N61735" s="8"/>
      <c r="O61735" s="8"/>
      <c r="P61735" s="8"/>
      <c r="Q61735" s="8"/>
      <c r="R61735" s="103"/>
      <c r="S61735" s="8"/>
      <c r="T61735" s="8"/>
      <c r="U61735" s="8"/>
      <c r="V61735" s="8"/>
      <c r="W61735" s="8"/>
      <c r="X61735" s="8"/>
      <c r="Y61735" s="8"/>
      <c r="Z61735" s="8"/>
      <c r="AA61735" s="8"/>
    </row>
    <row r="61736" spans="1:27" x14ac:dyDescent="0.25">
      <c r="A61736" s="8"/>
      <c r="B61736" s="8"/>
      <c r="C61736" s="99"/>
      <c r="D61736" s="8"/>
      <c r="E61736" s="8"/>
      <c r="F61736" s="8"/>
      <c r="G61736" s="8"/>
      <c r="H61736" s="8"/>
      <c r="I61736" s="102"/>
      <c r="J61736" s="8"/>
      <c r="K61736" s="8"/>
      <c r="L61736" s="8"/>
      <c r="M61736" s="8"/>
      <c r="N61736" s="8"/>
      <c r="O61736" s="8"/>
      <c r="P61736" s="8"/>
      <c r="Q61736" s="8"/>
      <c r="R61736" s="103"/>
      <c r="S61736" s="8"/>
      <c r="T61736" s="8"/>
      <c r="U61736" s="8"/>
      <c r="V61736" s="8"/>
      <c r="W61736" s="8"/>
      <c r="X61736" s="8"/>
      <c r="Y61736" s="8"/>
      <c r="Z61736" s="8"/>
      <c r="AA61736" s="8"/>
    </row>
    <row r="61737" spans="1:27" x14ac:dyDescent="0.25">
      <c r="A61737" s="8"/>
      <c r="B61737" s="8"/>
      <c r="C61737" s="99"/>
      <c r="D61737" s="8"/>
      <c r="E61737" s="8"/>
      <c r="F61737" s="8"/>
      <c r="G61737" s="8"/>
      <c r="H61737" s="8"/>
      <c r="I61737" s="102"/>
      <c r="J61737" s="8"/>
      <c r="K61737" s="8"/>
      <c r="L61737" s="8"/>
      <c r="M61737" s="8"/>
      <c r="N61737" s="8"/>
      <c r="O61737" s="8"/>
      <c r="P61737" s="8"/>
      <c r="Q61737" s="8"/>
      <c r="R61737" s="103"/>
      <c r="S61737" s="8"/>
      <c r="T61737" s="8"/>
      <c r="U61737" s="8"/>
      <c r="V61737" s="8"/>
      <c r="W61737" s="8"/>
      <c r="X61737" s="8"/>
      <c r="Y61737" s="8"/>
      <c r="Z61737" s="8"/>
      <c r="AA61737" s="8"/>
    </row>
    <row r="61738" spans="1:27" x14ac:dyDescent="0.25">
      <c r="A61738" s="8"/>
      <c r="B61738" s="8"/>
      <c r="C61738" s="99"/>
      <c r="D61738" s="8"/>
      <c r="E61738" s="8"/>
      <c r="F61738" s="8"/>
      <c r="G61738" s="8"/>
      <c r="H61738" s="8"/>
      <c r="I61738" s="102"/>
      <c r="J61738" s="8"/>
      <c r="K61738" s="8"/>
      <c r="L61738" s="8"/>
      <c r="M61738" s="8"/>
      <c r="N61738" s="8"/>
      <c r="O61738" s="8"/>
      <c r="P61738" s="8"/>
      <c r="Q61738" s="8"/>
      <c r="R61738" s="103"/>
      <c r="S61738" s="8"/>
      <c r="T61738" s="8"/>
      <c r="U61738" s="8"/>
      <c r="V61738" s="8"/>
      <c r="W61738" s="8"/>
      <c r="X61738" s="8"/>
      <c r="Y61738" s="8"/>
      <c r="Z61738" s="8"/>
      <c r="AA61738" s="8"/>
    </row>
    <row r="61739" spans="1:27" x14ac:dyDescent="0.25">
      <c r="A61739" s="8"/>
      <c r="B61739" s="8"/>
      <c r="C61739" s="99"/>
      <c r="D61739" s="8"/>
      <c r="E61739" s="8"/>
      <c r="F61739" s="8"/>
      <c r="G61739" s="8"/>
      <c r="H61739" s="8"/>
      <c r="I61739" s="102"/>
      <c r="J61739" s="8"/>
      <c r="K61739" s="8"/>
      <c r="L61739" s="8"/>
      <c r="M61739" s="8"/>
      <c r="N61739" s="8"/>
      <c r="O61739" s="8"/>
      <c r="P61739" s="8"/>
      <c r="Q61739" s="8"/>
      <c r="R61739" s="103"/>
      <c r="S61739" s="8"/>
      <c r="T61739" s="8"/>
      <c r="U61739" s="8"/>
      <c r="V61739" s="8"/>
      <c r="W61739" s="8"/>
      <c r="X61739" s="8"/>
      <c r="Y61739" s="8"/>
      <c r="Z61739" s="8"/>
      <c r="AA61739" s="8"/>
    </row>
    <row r="61740" spans="1:27" x14ac:dyDescent="0.25">
      <c r="A61740" s="8"/>
      <c r="B61740" s="8"/>
      <c r="C61740" s="99"/>
      <c r="D61740" s="8"/>
      <c r="E61740" s="8"/>
      <c r="F61740" s="8"/>
      <c r="G61740" s="8"/>
      <c r="H61740" s="8"/>
      <c r="I61740" s="102"/>
      <c r="J61740" s="8"/>
      <c r="K61740" s="8"/>
      <c r="L61740" s="8"/>
      <c r="M61740" s="8"/>
      <c r="N61740" s="8"/>
      <c r="O61740" s="8"/>
      <c r="P61740" s="8"/>
      <c r="Q61740" s="8"/>
      <c r="R61740" s="103"/>
      <c r="S61740" s="8"/>
      <c r="T61740" s="8"/>
      <c r="U61740" s="8"/>
      <c r="V61740" s="8"/>
      <c r="W61740" s="8"/>
      <c r="X61740" s="8"/>
      <c r="Y61740" s="8"/>
      <c r="Z61740" s="8"/>
      <c r="AA61740" s="8"/>
    </row>
    <row r="61741" spans="1:27" x14ac:dyDescent="0.25">
      <c r="A61741" s="8"/>
      <c r="B61741" s="8"/>
      <c r="C61741" s="99"/>
      <c r="D61741" s="8"/>
      <c r="E61741" s="8"/>
      <c r="F61741" s="8"/>
      <c r="G61741" s="8"/>
      <c r="H61741" s="8"/>
      <c r="I61741" s="102"/>
      <c r="J61741" s="8"/>
      <c r="K61741" s="8"/>
      <c r="L61741" s="8"/>
      <c r="M61741" s="8"/>
      <c r="N61741" s="8"/>
      <c r="O61741" s="8"/>
      <c r="P61741" s="8"/>
      <c r="Q61741" s="8"/>
      <c r="R61741" s="103"/>
      <c r="S61741" s="8"/>
      <c r="T61741" s="8"/>
      <c r="U61741" s="8"/>
      <c r="V61741" s="8"/>
      <c r="W61741" s="8"/>
      <c r="X61741" s="8"/>
      <c r="Y61741" s="8"/>
      <c r="Z61741" s="8"/>
      <c r="AA61741" s="8"/>
    </row>
    <row r="61742" spans="1:27" x14ac:dyDescent="0.25">
      <c r="A61742" s="8"/>
      <c r="B61742" s="8"/>
      <c r="C61742" s="99"/>
      <c r="D61742" s="8"/>
      <c r="E61742" s="8"/>
      <c r="F61742" s="8"/>
      <c r="G61742" s="8"/>
      <c r="H61742" s="8"/>
      <c r="I61742" s="102"/>
      <c r="J61742" s="8"/>
      <c r="K61742" s="8"/>
      <c r="L61742" s="8"/>
      <c r="M61742" s="8"/>
      <c r="N61742" s="8"/>
      <c r="O61742" s="8"/>
      <c r="P61742" s="8"/>
      <c r="Q61742" s="8"/>
      <c r="R61742" s="103"/>
      <c r="S61742" s="8"/>
      <c r="T61742" s="8"/>
      <c r="U61742" s="8"/>
      <c r="V61742" s="8"/>
      <c r="W61742" s="8"/>
      <c r="X61742" s="8"/>
      <c r="Y61742" s="8"/>
      <c r="Z61742" s="8"/>
      <c r="AA61742" s="8"/>
    </row>
    <row r="61743" spans="1:27" x14ac:dyDescent="0.25">
      <c r="A61743" s="8"/>
      <c r="B61743" s="8"/>
      <c r="C61743" s="99"/>
      <c r="D61743" s="8"/>
      <c r="E61743" s="8"/>
      <c r="F61743" s="8"/>
      <c r="G61743" s="8"/>
      <c r="H61743" s="8"/>
      <c r="I61743" s="102"/>
      <c r="J61743" s="8"/>
      <c r="K61743" s="8"/>
      <c r="L61743" s="8"/>
      <c r="M61743" s="8"/>
      <c r="N61743" s="8"/>
      <c r="O61743" s="8"/>
      <c r="P61743" s="8"/>
      <c r="Q61743" s="8"/>
      <c r="R61743" s="103"/>
      <c r="S61743" s="8"/>
      <c r="T61743" s="8"/>
      <c r="U61743" s="8"/>
      <c r="V61743" s="8"/>
      <c r="W61743" s="8"/>
      <c r="X61743" s="8"/>
      <c r="Y61743" s="8"/>
      <c r="Z61743" s="8"/>
      <c r="AA61743" s="8"/>
    </row>
    <row r="61744" spans="1:27" x14ac:dyDescent="0.25">
      <c r="A61744" s="8"/>
      <c r="B61744" s="8"/>
      <c r="C61744" s="99"/>
      <c r="D61744" s="8"/>
      <c r="E61744" s="8"/>
      <c r="F61744" s="8"/>
      <c r="G61744" s="8"/>
      <c r="H61744" s="8"/>
      <c r="I61744" s="102"/>
      <c r="J61744" s="8"/>
      <c r="K61744" s="8"/>
      <c r="L61744" s="8"/>
      <c r="M61744" s="8"/>
      <c r="N61744" s="8"/>
      <c r="O61744" s="8"/>
      <c r="P61744" s="8"/>
      <c r="Q61744" s="8"/>
      <c r="R61744" s="103"/>
      <c r="S61744" s="8"/>
      <c r="T61744" s="8"/>
      <c r="U61744" s="8"/>
      <c r="V61744" s="8"/>
      <c r="W61744" s="8"/>
      <c r="X61744" s="8"/>
      <c r="Y61744" s="8"/>
      <c r="Z61744" s="8"/>
      <c r="AA61744" s="8"/>
    </row>
    <row r="61745" spans="1:27" x14ac:dyDescent="0.25">
      <c r="A61745" s="8"/>
      <c r="B61745" s="8"/>
      <c r="C61745" s="99"/>
      <c r="D61745" s="8"/>
      <c r="E61745" s="8"/>
      <c r="F61745" s="8"/>
      <c r="G61745" s="8"/>
      <c r="H61745" s="8"/>
      <c r="I61745" s="102"/>
      <c r="J61745" s="8"/>
      <c r="K61745" s="8"/>
      <c r="L61745" s="8"/>
      <c r="M61745" s="8"/>
      <c r="N61745" s="8"/>
      <c r="O61745" s="8"/>
      <c r="P61745" s="8"/>
      <c r="Q61745" s="8"/>
      <c r="R61745" s="103"/>
      <c r="S61745" s="8"/>
      <c r="T61745" s="8"/>
      <c r="U61745" s="8"/>
      <c r="V61745" s="8"/>
      <c r="W61745" s="8"/>
      <c r="X61745" s="8"/>
      <c r="Y61745" s="8"/>
      <c r="Z61745" s="8"/>
      <c r="AA61745" s="8"/>
    </row>
    <row r="61746" spans="1:27" x14ac:dyDescent="0.25">
      <c r="A61746" s="8"/>
      <c r="B61746" s="8"/>
      <c r="C61746" s="99"/>
      <c r="D61746" s="8"/>
      <c r="E61746" s="8"/>
      <c r="F61746" s="8"/>
      <c r="G61746" s="8"/>
      <c r="H61746" s="8"/>
      <c r="I61746" s="102"/>
      <c r="J61746" s="8"/>
      <c r="K61746" s="8"/>
      <c r="L61746" s="8"/>
      <c r="M61746" s="8"/>
      <c r="N61746" s="8"/>
      <c r="O61746" s="8"/>
      <c r="P61746" s="8"/>
      <c r="Q61746" s="8"/>
      <c r="R61746" s="103"/>
      <c r="S61746" s="8"/>
      <c r="T61746" s="8"/>
      <c r="U61746" s="8"/>
      <c r="V61746" s="8"/>
      <c r="W61746" s="8"/>
      <c r="X61746" s="8"/>
      <c r="Y61746" s="8"/>
      <c r="Z61746" s="8"/>
      <c r="AA61746" s="8"/>
    </row>
    <row r="61747" spans="1:27" x14ac:dyDescent="0.25">
      <c r="A61747" s="8"/>
      <c r="B61747" s="8"/>
      <c r="C61747" s="99"/>
      <c r="D61747" s="8"/>
      <c r="E61747" s="8"/>
      <c r="F61747" s="8"/>
      <c r="G61747" s="8"/>
      <c r="H61747" s="8"/>
      <c r="I61747" s="102"/>
      <c r="J61747" s="8"/>
      <c r="K61747" s="8"/>
      <c r="L61747" s="8"/>
      <c r="M61747" s="8"/>
      <c r="N61747" s="8"/>
      <c r="O61747" s="8"/>
      <c r="P61747" s="8"/>
      <c r="Q61747" s="8"/>
      <c r="R61747" s="103"/>
      <c r="S61747" s="8"/>
      <c r="T61747" s="8"/>
      <c r="U61747" s="8"/>
      <c r="V61747" s="8"/>
      <c r="W61747" s="8"/>
      <c r="X61747" s="8"/>
      <c r="Y61747" s="8"/>
      <c r="Z61747" s="8"/>
      <c r="AA61747" s="8"/>
    </row>
    <row r="61748" spans="1:27" x14ac:dyDescent="0.25">
      <c r="A61748" s="8"/>
      <c r="B61748" s="8"/>
      <c r="C61748" s="99"/>
      <c r="D61748" s="8"/>
      <c r="E61748" s="8"/>
      <c r="F61748" s="8"/>
      <c r="G61748" s="8"/>
      <c r="H61748" s="8"/>
      <c r="I61748" s="102"/>
      <c r="J61748" s="8"/>
      <c r="K61748" s="8"/>
      <c r="L61748" s="8"/>
      <c r="M61748" s="8"/>
      <c r="N61748" s="8"/>
      <c r="O61748" s="8"/>
      <c r="P61748" s="8"/>
      <c r="Q61748" s="8"/>
      <c r="R61748" s="103"/>
      <c r="S61748" s="8"/>
      <c r="T61748" s="8"/>
      <c r="U61748" s="8"/>
      <c r="V61748" s="8"/>
      <c r="W61748" s="8"/>
      <c r="X61748" s="8"/>
      <c r="Y61748" s="8"/>
      <c r="Z61748" s="8"/>
      <c r="AA61748" s="8"/>
    </row>
    <row r="61749" spans="1:27" x14ac:dyDescent="0.25">
      <c r="A61749" s="8"/>
      <c r="B61749" s="8"/>
      <c r="C61749" s="99"/>
      <c r="D61749" s="8"/>
      <c r="E61749" s="8"/>
      <c r="F61749" s="8"/>
      <c r="G61749" s="8"/>
      <c r="H61749" s="8"/>
      <c r="I61749" s="102"/>
      <c r="J61749" s="8"/>
      <c r="K61749" s="8"/>
      <c r="L61749" s="8"/>
      <c r="M61749" s="8"/>
      <c r="N61749" s="8"/>
      <c r="O61749" s="8"/>
      <c r="P61749" s="8"/>
      <c r="Q61749" s="8"/>
      <c r="R61749" s="103"/>
      <c r="S61749" s="8"/>
      <c r="T61749" s="8"/>
      <c r="U61749" s="8"/>
      <c r="V61749" s="8"/>
      <c r="W61749" s="8"/>
      <c r="X61749" s="8"/>
      <c r="Y61749" s="8"/>
      <c r="Z61749" s="8"/>
      <c r="AA61749" s="8"/>
    </row>
    <row r="61750" spans="1:27" x14ac:dyDescent="0.25">
      <c r="A61750" s="8"/>
      <c r="B61750" s="8"/>
      <c r="C61750" s="99"/>
      <c r="D61750" s="8"/>
      <c r="E61750" s="8"/>
      <c r="F61750" s="8"/>
      <c r="G61750" s="8"/>
      <c r="H61750" s="8"/>
      <c r="I61750" s="102"/>
      <c r="J61750" s="8"/>
      <c r="K61750" s="8"/>
      <c r="L61750" s="8"/>
      <c r="M61750" s="8"/>
      <c r="N61750" s="8"/>
      <c r="O61750" s="8"/>
      <c r="P61750" s="8"/>
      <c r="Q61750" s="8"/>
      <c r="R61750" s="103"/>
      <c r="S61750" s="8"/>
      <c r="T61750" s="8"/>
      <c r="U61750" s="8"/>
      <c r="V61750" s="8"/>
      <c r="W61750" s="8"/>
      <c r="X61750" s="8"/>
      <c r="Y61750" s="8"/>
      <c r="Z61750" s="8"/>
      <c r="AA61750" s="8"/>
    </row>
    <row r="61751" spans="1:27" x14ac:dyDescent="0.25">
      <c r="A61751" s="8"/>
      <c r="B61751" s="8"/>
      <c r="C61751" s="99"/>
      <c r="D61751" s="8"/>
      <c r="E61751" s="8"/>
      <c r="F61751" s="8"/>
      <c r="G61751" s="8"/>
      <c r="H61751" s="8"/>
      <c r="I61751" s="102"/>
      <c r="J61751" s="8"/>
      <c r="K61751" s="8"/>
      <c r="L61751" s="8"/>
      <c r="M61751" s="8"/>
      <c r="N61751" s="8"/>
      <c r="O61751" s="8"/>
      <c r="P61751" s="8"/>
      <c r="Q61751" s="8"/>
      <c r="R61751" s="103"/>
      <c r="S61751" s="8"/>
      <c r="T61751" s="8"/>
      <c r="U61751" s="8"/>
      <c r="V61751" s="8"/>
      <c r="W61751" s="8"/>
      <c r="X61751" s="8"/>
      <c r="Y61751" s="8"/>
      <c r="Z61751" s="8"/>
      <c r="AA61751" s="8"/>
    </row>
    <row r="61752" spans="1:27" x14ac:dyDescent="0.25">
      <c r="A61752" s="8"/>
      <c r="B61752" s="8"/>
      <c r="C61752" s="99"/>
      <c r="D61752" s="8"/>
      <c r="E61752" s="8"/>
      <c r="F61752" s="8"/>
      <c r="G61752" s="8"/>
      <c r="H61752" s="8"/>
      <c r="I61752" s="102"/>
      <c r="J61752" s="8"/>
      <c r="K61752" s="8"/>
      <c r="L61752" s="8"/>
      <c r="M61752" s="8"/>
      <c r="N61752" s="8"/>
      <c r="O61752" s="8"/>
      <c r="P61752" s="8"/>
      <c r="Q61752" s="8"/>
      <c r="R61752" s="103"/>
      <c r="S61752" s="8"/>
      <c r="T61752" s="8"/>
      <c r="U61752" s="8"/>
      <c r="V61752" s="8"/>
      <c r="W61752" s="8"/>
      <c r="X61752" s="8"/>
      <c r="Y61752" s="8"/>
      <c r="Z61752" s="8"/>
      <c r="AA61752" s="8"/>
    </row>
    <row r="61753" spans="1:27" x14ac:dyDescent="0.25">
      <c r="A61753" s="8"/>
      <c r="B61753" s="8"/>
      <c r="C61753" s="99"/>
      <c r="D61753" s="8"/>
      <c r="E61753" s="8"/>
      <c r="F61753" s="8"/>
      <c r="G61753" s="8"/>
      <c r="H61753" s="8"/>
      <c r="I61753" s="102"/>
      <c r="J61753" s="8"/>
      <c r="K61753" s="8"/>
      <c r="L61753" s="8"/>
      <c r="M61753" s="8"/>
      <c r="N61753" s="8"/>
      <c r="O61753" s="8"/>
      <c r="P61753" s="8"/>
      <c r="Q61753" s="8"/>
      <c r="R61753" s="103"/>
      <c r="S61753" s="8"/>
      <c r="T61753" s="8"/>
      <c r="U61753" s="8"/>
      <c r="V61753" s="8"/>
      <c r="W61753" s="8"/>
      <c r="X61753" s="8"/>
      <c r="Y61753" s="8"/>
      <c r="Z61753" s="8"/>
      <c r="AA61753" s="8"/>
    </row>
    <row r="61754" spans="1:27" x14ac:dyDescent="0.25">
      <c r="A61754" s="8"/>
      <c r="B61754" s="8"/>
      <c r="C61754" s="99"/>
      <c r="D61754" s="8"/>
      <c r="E61754" s="8"/>
      <c r="F61754" s="8"/>
      <c r="G61754" s="8"/>
      <c r="H61754" s="8"/>
      <c r="I61754" s="102"/>
      <c r="J61754" s="8"/>
      <c r="K61754" s="8"/>
      <c r="L61754" s="8"/>
      <c r="M61754" s="8"/>
      <c r="N61754" s="8"/>
      <c r="O61754" s="8"/>
      <c r="P61754" s="8"/>
      <c r="Q61754" s="8"/>
      <c r="R61754" s="103"/>
      <c r="S61754" s="8"/>
      <c r="T61754" s="8"/>
      <c r="U61754" s="8"/>
      <c r="V61754" s="8"/>
      <c r="W61754" s="8"/>
      <c r="X61754" s="8"/>
      <c r="Y61754" s="8"/>
      <c r="Z61754" s="8"/>
      <c r="AA61754" s="8"/>
    </row>
    <row r="61755" spans="1:27" x14ac:dyDescent="0.25">
      <c r="A61755" s="8"/>
      <c r="B61755" s="8"/>
      <c r="C61755" s="99"/>
      <c r="D61755" s="8"/>
      <c r="E61755" s="8"/>
      <c r="F61755" s="8"/>
      <c r="G61755" s="8"/>
      <c r="H61755" s="8"/>
      <c r="I61755" s="102"/>
      <c r="J61755" s="8"/>
      <c r="K61755" s="8"/>
      <c r="L61755" s="8"/>
      <c r="M61755" s="8"/>
      <c r="N61755" s="8"/>
      <c r="O61755" s="8"/>
      <c r="P61755" s="8"/>
      <c r="Q61755" s="8"/>
      <c r="R61755" s="103"/>
      <c r="S61755" s="8"/>
      <c r="T61755" s="8"/>
      <c r="U61755" s="8"/>
      <c r="V61755" s="8"/>
      <c r="W61755" s="8"/>
      <c r="X61755" s="8"/>
      <c r="Y61755" s="8"/>
      <c r="Z61755" s="8"/>
      <c r="AA61755" s="8"/>
    </row>
    <row r="61756" spans="1:27" x14ac:dyDescent="0.25">
      <c r="A61756" s="8"/>
      <c r="B61756" s="8"/>
      <c r="C61756" s="99"/>
      <c r="D61756" s="8"/>
      <c r="E61756" s="8"/>
      <c r="F61756" s="8"/>
      <c r="G61756" s="8"/>
      <c r="H61756" s="8"/>
      <c r="I61756" s="102"/>
      <c r="J61756" s="8"/>
      <c r="K61756" s="8"/>
      <c r="L61756" s="8"/>
      <c r="M61756" s="8"/>
      <c r="N61756" s="8"/>
      <c r="O61756" s="8"/>
      <c r="P61756" s="8"/>
      <c r="Q61756" s="8"/>
      <c r="R61756" s="103"/>
      <c r="S61756" s="8"/>
      <c r="T61756" s="8"/>
      <c r="U61756" s="8"/>
      <c r="V61756" s="8"/>
      <c r="W61756" s="8"/>
      <c r="X61756" s="8"/>
      <c r="Y61756" s="8"/>
      <c r="Z61756" s="8"/>
      <c r="AA61756" s="8"/>
    </row>
    <row r="61757" spans="1:27" x14ac:dyDescent="0.25">
      <c r="A61757" s="8"/>
      <c r="B61757" s="8"/>
      <c r="C61757" s="99"/>
      <c r="D61757" s="8"/>
      <c r="E61757" s="8"/>
      <c r="F61757" s="8"/>
      <c r="G61757" s="8"/>
      <c r="H61757" s="8"/>
      <c r="I61757" s="102"/>
      <c r="J61757" s="8"/>
      <c r="K61757" s="8"/>
      <c r="L61757" s="8"/>
      <c r="M61757" s="8"/>
      <c r="N61757" s="8"/>
      <c r="O61757" s="8"/>
      <c r="P61757" s="8"/>
      <c r="Q61757" s="8"/>
      <c r="R61757" s="103"/>
      <c r="S61757" s="8"/>
      <c r="T61757" s="8"/>
      <c r="U61757" s="8"/>
      <c r="V61757" s="8"/>
      <c r="W61757" s="8"/>
      <c r="X61757" s="8"/>
      <c r="Y61757" s="8"/>
      <c r="Z61757" s="8"/>
      <c r="AA61757" s="8"/>
    </row>
    <row r="61758" spans="1:27" x14ac:dyDescent="0.25">
      <c r="A61758" s="8"/>
      <c r="B61758" s="8"/>
      <c r="C61758" s="99"/>
      <c r="D61758" s="8"/>
      <c r="E61758" s="8"/>
      <c r="F61758" s="8"/>
      <c r="G61758" s="8"/>
      <c r="H61758" s="8"/>
      <c r="I61758" s="102"/>
      <c r="J61758" s="8"/>
      <c r="K61758" s="8"/>
      <c r="L61758" s="8"/>
      <c r="M61758" s="8"/>
      <c r="N61758" s="8"/>
      <c r="O61758" s="8"/>
      <c r="P61758" s="8"/>
      <c r="Q61758" s="8"/>
      <c r="R61758" s="103"/>
      <c r="S61758" s="8"/>
      <c r="T61758" s="8"/>
      <c r="U61758" s="8"/>
      <c r="V61758" s="8"/>
      <c r="W61758" s="8"/>
      <c r="X61758" s="8"/>
      <c r="Y61758" s="8"/>
      <c r="Z61758" s="8"/>
      <c r="AA61758" s="8"/>
    </row>
    <row r="61759" spans="1:27" x14ac:dyDescent="0.25">
      <c r="A61759" s="8"/>
      <c r="B61759" s="8"/>
      <c r="C61759" s="99"/>
      <c r="D61759" s="8"/>
      <c r="E61759" s="8"/>
      <c r="F61759" s="8"/>
      <c r="G61759" s="8"/>
      <c r="H61759" s="8"/>
      <c r="I61759" s="102"/>
      <c r="J61759" s="8"/>
      <c r="K61759" s="8"/>
      <c r="L61759" s="8"/>
      <c r="M61759" s="8"/>
      <c r="N61759" s="8"/>
      <c r="O61759" s="8"/>
      <c r="P61759" s="8"/>
      <c r="Q61759" s="8"/>
      <c r="R61759" s="103"/>
      <c r="S61759" s="8"/>
      <c r="T61759" s="8"/>
      <c r="U61759" s="8"/>
      <c r="V61759" s="8"/>
      <c r="W61759" s="8"/>
      <c r="X61759" s="8"/>
      <c r="Y61759" s="8"/>
      <c r="Z61759" s="8"/>
      <c r="AA61759" s="8"/>
    </row>
    <row r="61760" spans="1:27" x14ac:dyDescent="0.25">
      <c r="A61760" s="8"/>
      <c r="B61760" s="8"/>
      <c r="C61760" s="99"/>
      <c r="D61760" s="8"/>
      <c r="E61760" s="8"/>
      <c r="F61760" s="8"/>
      <c r="G61760" s="8"/>
      <c r="H61760" s="8"/>
      <c r="I61760" s="102"/>
      <c r="J61760" s="8"/>
      <c r="K61760" s="8"/>
      <c r="L61760" s="8"/>
      <c r="M61760" s="8"/>
      <c r="N61760" s="8"/>
      <c r="O61760" s="8"/>
      <c r="P61760" s="8"/>
      <c r="Q61760" s="8"/>
      <c r="R61760" s="103"/>
      <c r="S61760" s="8"/>
      <c r="T61760" s="8"/>
      <c r="U61760" s="8"/>
      <c r="V61760" s="8"/>
      <c r="W61760" s="8"/>
      <c r="X61760" s="8"/>
      <c r="Y61760" s="8"/>
      <c r="Z61760" s="8"/>
      <c r="AA61760" s="8"/>
    </row>
    <row r="61761" spans="1:27" x14ac:dyDescent="0.25">
      <c r="A61761" s="8"/>
      <c r="B61761" s="8"/>
      <c r="C61761" s="99"/>
      <c r="D61761" s="8"/>
      <c r="E61761" s="8"/>
      <c r="F61761" s="8"/>
      <c r="G61761" s="8"/>
      <c r="H61761" s="8"/>
      <c r="I61761" s="102"/>
      <c r="J61761" s="8"/>
      <c r="K61761" s="8"/>
      <c r="L61761" s="8"/>
      <c r="M61761" s="8"/>
      <c r="N61761" s="8"/>
      <c r="O61761" s="8"/>
      <c r="P61761" s="8"/>
      <c r="Q61761" s="8"/>
      <c r="R61761" s="103"/>
      <c r="S61761" s="8"/>
      <c r="T61761" s="8"/>
      <c r="U61761" s="8"/>
      <c r="V61761" s="8"/>
      <c r="W61761" s="8"/>
      <c r="X61761" s="8"/>
      <c r="Y61761" s="8"/>
      <c r="Z61761" s="8"/>
      <c r="AA61761" s="8"/>
    </row>
    <row r="61762" spans="1:27" x14ac:dyDescent="0.25">
      <c r="A61762" s="8"/>
      <c r="B61762" s="8"/>
      <c r="C61762" s="99"/>
      <c r="D61762" s="8"/>
      <c r="E61762" s="8"/>
      <c r="F61762" s="8"/>
      <c r="G61762" s="8"/>
      <c r="H61762" s="8"/>
      <c r="I61762" s="102"/>
      <c r="J61762" s="8"/>
      <c r="K61762" s="8"/>
      <c r="L61762" s="8"/>
      <c r="M61762" s="8"/>
      <c r="N61762" s="8"/>
      <c r="O61762" s="8"/>
      <c r="P61762" s="8"/>
      <c r="Q61762" s="8"/>
      <c r="R61762" s="103"/>
      <c r="S61762" s="8"/>
      <c r="T61762" s="8"/>
      <c r="U61762" s="8"/>
      <c r="V61762" s="8"/>
      <c r="W61762" s="8"/>
      <c r="X61762" s="8"/>
      <c r="Y61762" s="8"/>
      <c r="Z61762" s="8"/>
      <c r="AA61762" s="8"/>
    </row>
    <row r="61763" spans="1:27" x14ac:dyDescent="0.25">
      <c r="A61763" s="8"/>
      <c r="B61763" s="8"/>
      <c r="C61763" s="99"/>
      <c r="D61763" s="8"/>
      <c r="E61763" s="8"/>
      <c r="F61763" s="8"/>
      <c r="G61763" s="8"/>
      <c r="H61763" s="8"/>
      <c r="I61763" s="102"/>
      <c r="J61763" s="8"/>
      <c r="K61763" s="8"/>
      <c r="L61763" s="8"/>
      <c r="M61763" s="8"/>
      <c r="N61763" s="8"/>
      <c r="O61763" s="8"/>
      <c r="P61763" s="8"/>
      <c r="Q61763" s="8"/>
      <c r="R61763" s="103"/>
      <c r="S61763" s="8"/>
      <c r="T61763" s="8"/>
      <c r="U61763" s="8"/>
      <c r="V61763" s="8"/>
      <c r="W61763" s="8"/>
      <c r="X61763" s="8"/>
      <c r="Y61763" s="8"/>
      <c r="Z61763" s="8"/>
      <c r="AA61763" s="8"/>
    </row>
    <row r="61764" spans="1:27" x14ac:dyDescent="0.25">
      <c r="A61764" s="8"/>
      <c r="B61764" s="8"/>
      <c r="C61764" s="99"/>
      <c r="D61764" s="8"/>
      <c r="E61764" s="8"/>
      <c r="F61764" s="8"/>
      <c r="G61764" s="8"/>
      <c r="H61764" s="8"/>
      <c r="I61764" s="102"/>
      <c r="J61764" s="8"/>
      <c r="K61764" s="8"/>
      <c r="L61764" s="8"/>
      <c r="M61764" s="8"/>
      <c r="N61764" s="8"/>
      <c r="O61764" s="8"/>
      <c r="P61764" s="8"/>
      <c r="Q61764" s="8"/>
      <c r="R61764" s="103"/>
      <c r="S61764" s="8"/>
      <c r="T61764" s="8"/>
      <c r="U61764" s="8"/>
      <c r="V61764" s="8"/>
      <c r="W61764" s="8"/>
      <c r="X61764" s="8"/>
      <c r="Y61764" s="8"/>
      <c r="Z61764" s="8"/>
      <c r="AA61764" s="8"/>
    </row>
    <row r="61765" spans="1:27" x14ac:dyDescent="0.25">
      <c r="A61765" s="8"/>
      <c r="B61765" s="8"/>
      <c r="C61765" s="99"/>
      <c r="D61765" s="8"/>
      <c r="E61765" s="8"/>
      <c r="F61765" s="8"/>
      <c r="G61765" s="8"/>
      <c r="H61765" s="8"/>
      <c r="I61765" s="102"/>
      <c r="J61765" s="8"/>
      <c r="K61765" s="8"/>
      <c r="L61765" s="8"/>
      <c r="M61765" s="8"/>
      <c r="N61765" s="8"/>
      <c r="O61765" s="8"/>
      <c r="P61765" s="8"/>
      <c r="Q61765" s="8"/>
      <c r="R61765" s="103"/>
      <c r="S61765" s="8"/>
      <c r="T61765" s="8"/>
      <c r="U61765" s="8"/>
      <c r="V61765" s="8"/>
      <c r="W61765" s="8"/>
      <c r="X61765" s="8"/>
      <c r="Y61765" s="8"/>
      <c r="Z61765" s="8"/>
      <c r="AA61765" s="8"/>
    </row>
    <row r="61766" spans="1:27" x14ac:dyDescent="0.25">
      <c r="A61766" s="8"/>
      <c r="B61766" s="8"/>
      <c r="C61766" s="99"/>
      <c r="D61766" s="8"/>
      <c r="E61766" s="8"/>
      <c r="F61766" s="8"/>
      <c r="G61766" s="8"/>
      <c r="H61766" s="8"/>
      <c r="I61766" s="102"/>
      <c r="J61766" s="8"/>
      <c r="K61766" s="8"/>
      <c r="L61766" s="8"/>
      <c r="M61766" s="8"/>
      <c r="N61766" s="8"/>
      <c r="O61766" s="8"/>
      <c r="P61766" s="8"/>
      <c r="Q61766" s="8"/>
      <c r="R61766" s="103"/>
      <c r="S61766" s="8"/>
      <c r="T61766" s="8"/>
      <c r="U61766" s="8"/>
      <c r="V61766" s="8"/>
      <c r="W61766" s="8"/>
      <c r="X61766" s="8"/>
      <c r="Y61766" s="8"/>
      <c r="Z61766" s="8"/>
      <c r="AA61766" s="8"/>
    </row>
    <row r="61767" spans="1:27" x14ac:dyDescent="0.25">
      <c r="A61767" s="8"/>
      <c r="B61767" s="8"/>
      <c r="C61767" s="99"/>
      <c r="D61767" s="8"/>
      <c r="E61767" s="8"/>
      <c r="F61767" s="8"/>
      <c r="G61767" s="8"/>
      <c r="H61767" s="8"/>
      <c r="I61767" s="102"/>
      <c r="J61767" s="8"/>
      <c r="K61767" s="8"/>
      <c r="L61767" s="8"/>
      <c r="M61767" s="8"/>
      <c r="N61767" s="8"/>
      <c r="O61767" s="8"/>
      <c r="P61767" s="8"/>
      <c r="Q61767" s="8"/>
      <c r="R61767" s="103"/>
      <c r="S61767" s="8"/>
      <c r="T61767" s="8"/>
      <c r="U61767" s="8"/>
      <c r="V61767" s="8"/>
      <c r="W61767" s="8"/>
      <c r="X61767" s="8"/>
      <c r="Y61767" s="8"/>
      <c r="Z61767" s="8"/>
      <c r="AA61767" s="8"/>
    </row>
    <row r="61768" spans="1:27" x14ac:dyDescent="0.25">
      <c r="A61768" s="8"/>
      <c r="B61768" s="8"/>
      <c r="C61768" s="99"/>
      <c r="D61768" s="8"/>
      <c r="E61768" s="8"/>
      <c r="F61768" s="8"/>
      <c r="G61768" s="8"/>
      <c r="H61768" s="8"/>
      <c r="I61768" s="102"/>
      <c r="J61768" s="8"/>
      <c r="K61768" s="8"/>
      <c r="L61768" s="8"/>
      <c r="M61768" s="8"/>
      <c r="N61768" s="8"/>
      <c r="O61768" s="8"/>
      <c r="P61768" s="8"/>
      <c r="Q61768" s="8"/>
      <c r="R61768" s="103"/>
      <c r="S61768" s="8"/>
      <c r="T61768" s="8"/>
      <c r="U61768" s="8"/>
      <c r="V61768" s="8"/>
      <c r="W61768" s="8"/>
      <c r="X61768" s="8"/>
      <c r="Y61768" s="8"/>
      <c r="Z61768" s="8"/>
      <c r="AA61768" s="8"/>
    </row>
    <row r="61769" spans="1:27" x14ac:dyDescent="0.25">
      <c r="A61769" s="8"/>
      <c r="B61769" s="8"/>
      <c r="C61769" s="99"/>
      <c r="D61769" s="8"/>
      <c r="E61769" s="8"/>
      <c r="F61769" s="8"/>
      <c r="G61769" s="8"/>
      <c r="H61769" s="8"/>
      <c r="I61769" s="102"/>
      <c r="J61769" s="8"/>
      <c r="K61769" s="8"/>
      <c r="L61769" s="8"/>
      <c r="M61769" s="8"/>
      <c r="N61769" s="8"/>
      <c r="O61769" s="8"/>
      <c r="P61769" s="8"/>
      <c r="Q61769" s="8"/>
      <c r="R61769" s="103"/>
      <c r="S61769" s="8"/>
      <c r="T61769" s="8"/>
      <c r="U61769" s="8"/>
      <c r="V61769" s="8"/>
      <c r="W61769" s="8"/>
      <c r="X61769" s="8"/>
      <c r="Y61769" s="8"/>
      <c r="Z61769" s="8"/>
      <c r="AA61769" s="8"/>
    </row>
    <row r="61770" spans="1:27" x14ac:dyDescent="0.25">
      <c r="A61770" s="8"/>
      <c r="B61770" s="8"/>
      <c r="C61770" s="99"/>
      <c r="D61770" s="8"/>
      <c r="E61770" s="8"/>
      <c r="F61770" s="8"/>
      <c r="G61770" s="8"/>
      <c r="H61770" s="8"/>
      <c r="I61770" s="102"/>
      <c r="J61770" s="8"/>
      <c r="K61770" s="8"/>
      <c r="L61770" s="8"/>
      <c r="M61770" s="8"/>
      <c r="N61770" s="8"/>
      <c r="O61770" s="8"/>
      <c r="P61770" s="8"/>
      <c r="Q61770" s="8"/>
      <c r="R61770" s="103"/>
      <c r="S61770" s="8"/>
      <c r="T61770" s="8"/>
      <c r="U61770" s="8"/>
      <c r="V61770" s="8"/>
      <c r="W61770" s="8"/>
      <c r="X61770" s="8"/>
      <c r="Y61770" s="8"/>
      <c r="Z61770" s="8"/>
      <c r="AA61770" s="8"/>
    </row>
    <row r="61771" spans="1:27" x14ac:dyDescent="0.25">
      <c r="A61771" s="8"/>
      <c r="B61771" s="8"/>
      <c r="C61771" s="99"/>
      <c r="D61771" s="8"/>
      <c r="E61771" s="8"/>
      <c r="F61771" s="8"/>
      <c r="G61771" s="8"/>
      <c r="H61771" s="8"/>
      <c r="I61771" s="102"/>
      <c r="J61771" s="8"/>
      <c r="K61771" s="8"/>
      <c r="L61771" s="8"/>
      <c r="M61771" s="8"/>
      <c r="N61771" s="8"/>
      <c r="O61771" s="8"/>
      <c r="P61771" s="8"/>
      <c r="Q61771" s="8"/>
      <c r="R61771" s="103"/>
      <c r="S61771" s="8"/>
      <c r="T61771" s="8"/>
      <c r="U61771" s="8"/>
      <c r="V61771" s="8"/>
      <c r="W61771" s="8"/>
      <c r="X61771" s="8"/>
      <c r="Y61771" s="8"/>
      <c r="Z61771" s="8"/>
      <c r="AA61771" s="8"/>
    </row>
    <row r="61772" spans="1:27" x14ac:dyDescent="0.25">
      <c r="A61772" s="8"/>
      <c r="B61772" s="8"/>
      <c r="C61772" s="99"/>
      <c r="D61772" s="8"/>
      <c r="E61772" s="8"/>
      <c r="F61772" s="8"/>
      <c r="G61772" s="8"/>
      <c r="H61772" s="8"/>
      <c r="I61772" s="102"/>
      <c r="J61772" s="8"/>
      <c r="K61772" s="8"/>
      <c r="L61772" s="8"/>
      <c r="M61772" s="8"/>
      <c r="N61772" s="8"/>
      <c r="O61772" s="8"/>
      <c r="P61772" s="8"/>
      <c r="Q61772" s="8"/>
      <c r="R61772" s="103"/>
      <c r="S61772" s="8"/>
      <c r="T61772" s="8"/>
      <c r="U61772" s="8"/>
      <c r="V61772" s="8"/>
      <c r="W61772" s="8"/>
      <c r="X61772" s="8"/>
      <c r="Y61772" s="8"/>
      <c r="Z61772" s="8"/>
      <c r="AA61772" s="8"/>
    </row>
    <row r="61773" spans="1:27" x14ac:dyDescent="0.25">
      <c r="A61773" s="8"/>
      <c r="B61773" s="8"/>
      <c r="C61773" s="99"/>
      <c r="D61773" s="8"/>
      <c r="E61773" s="8"/>
      <c r="F61773" s="8"/>
      <c r="G61773" s="8"/>
      <c r="H61773" s="8"/>
      <c r="I61773" s="102"/>
      <c r="J61773" s="8"/>
      <c r="K61773" s="8"/>
      <c r="L61773" s="8"/>
      <c r="M61773" s="8"/>
      <c r="N61773" s="8"/>
      <c r="O61773" s="8"/>
      <c r="P61773" s="8"/>
      <c r="Q61773" s="8"/>
      <c r="R61773" s="103"/>
      <c r="S61773" s="8"/>
      <c r="T61773" s="8"/>
      <c r="U61773" s="8"/>
      <c r="V61773" s="8"/>
      <c r="W61773" s="8"/>
      <c r="X61773" s="8"/>
      <c r="Y61773" s="8"/>
      <c r="Z61773" s="8"/>
      <c r="AA61773" s="8"/>
    </row>
    <row r="61774" spans="1:27" x14ac:dyDescent="0.25">
      <c r="A61774" s="8"/>
      <c r="B61774" s="8"/>
      <c r="C61774" s="99"/>
      <c r="D61774" s="8"/>
      <c r="E61774" s="8"/>
      <c r="F61774" s="8"/>
      <c r="G61774" s="8"/>
      <c r="H61774" s="8"/>
      <c r="I61774" s="102"/>
      <c r="J61774" s="8"/>
      <c r="K61774" s="8"/>
      <c r="L61774" s="8"/>
      <c r="M61774" s="8"/>
      <c r="N61774" s="8"/>
      <c r="O61774" s="8"/>
      <c r="P61774" s="8"/>
      <c r="Q61774" s="8"/>
      <c r="R61774" s="103"/>
      <c r="S61774" s="8"/>
      <c r="T61774" s="8"/>
      <c r="U61774" s="8"/>
      <c r="V61774" s="8"/>
      <c r="W61774" s="8"/>
      <c r="X61774" s="8"/>
      <c r="Y61774" s="8"/>
      <c r="Z61774" s="8"/>
      <c r="AA61774" s="8"/>
    </row>
    <row r="61775" spans="1:27" x14ac:dyDescent="0.25">
      <c r="A61775" s="8"/>
      <c r="B61775" s="8"/>
      <c r="C61775" s="99"/>
      <c r="D61775" s="8"/>
      <c r="E61775" s="8"/>
      <c r="F61775" s="8"/>
      <c r="G61775" s="8"/>
      <c r="H61775" s="8"/>
      <c r="I61775" s="102"/>
      <c r="J61775" s="8"/>
      <c r="K61775" s="8"/>
      <c r="L61775" s="8"/>
      <c r="M61775" s="8"/>
      <c r="N61775" s="8"/>
      <c r="O61775" s="8"/>
      <c r="P61775" s="8"/>
      <c r="Q61775" s="8"/>
      <c r="R61775" s="103"/>
      <c r="S61775" s="8"/>
      <c r="T61775" s="8"/>
      <c r="U61775" s="8"/>
      <c r="V61775" s="8"/>
      <c r="W61775" s="8"/>
      <c r="X61775" s="8"/>
      <c r="Y61775" s="8"/>
      <c r="Z61775" s="8"/>
      <c r="AA61775" s="8"/>
    </row>
    <row r="61776" spans="1:27" x14ac:dyDescent="0.25">
      <c r="A61776" s="8"/>
      <c r="B61776" s="8"/>
      <c r="C61776" s="99"/>
      <c r="D61776" s="8"/>
      <c r="E61776" s="8"/>
      <c r="F61776" s="8"/>
      <c r="G61776" s="8"/>
      <c r="H61776" s="8"/>
      <c r="I61776" s="102"/>
      <c r="J61776" s="8"/>
      <c r="K61776" s="8"/>
      <c r="L61776" s="8"/>
      <c r="M61776" s="8"/>
      <c r="N61776" s="8"/>
      <c r="O61776" s="8"/>
      <c r="P61776" s="8"/>
      <c r="Q61776" s="8"/>
      <c r="R61776" s="103"/>
      <c r="S61776" s="8"/>
      <c r="T61776" s="8"/>
      <c r="U61776" s="8"/>
      <c r="V61776" s="8"/>
      <c r="W61776" s="8"/>
      <c r="X61776" s="8"/>
      <c r="Y61776" s="8"/>
      <c r="Z61776" s="8"/>
      <c r="AA61776" s="8"/>
    </row>
    <row r="61777" spans="1:27" x14ac:dyDescent="0.25">
      <c r="A61777" s="8"/>
      <c r="B61777" s="8"/>
      <c r="C61777" s="99"/>
      <c r="D61777" s="8"/>
      <c r="E61777" s="8"/>
      <c r="F61777" s="8"/>
      <c r="G61777" s="8"/>
      <c r="H61777" s="8"/>
      <c r="I61777" s="102"/>
      <c r="J61777" s="8"/>
      <c r="K61777" s="8"/>
      <c r="L61777" s="8"/>
      <c r="M61777" s="8"/>
      <c r="N61777" s="8"/>
      <c r="O61777" s="8"/>
      <c r="P61777" s="8"/>
      <c r="Q61777" s="8"/>
      <c r="R61777" s="103"/>
      <c r="S61777" s="8"/>
      <c r="T61777" s="8"/>
      <c r="U61777" s="8"/>
      <c r="V61777" s="8"/>
      <c r="W61777" s="8"/>
      <c r="X61777" s="8"/>
      <c r="Y61777" s="8"/>
      <c r="Z61777" s="8"/>
      <c r="AA61777" s="8"/>
    </row>
    <row r="61778" spans="1:27" x14ac:dyDescent="0.25">
      <c r="A61778" s="8"/>
      <c r="B61778" s="8"/>
      <c r="C61778" s="99"/>
      <c r="D61778" s="8"/>
      <c r="E61778" s="8"/>
      <c r="F61778" s="8"/>
      <c r="G61778" s="8"/>
      <c r="H61778" s="8"/>
      <c r="I61778" s="102"/>
      <c r="J61778" s="8"/>
      <c r="K61778" s="8"/>
      <c r="L61778" s="8"/>
      <c r="M61778" s="8"/>
      <c r="N61778" s="8"/>
      <c r="O61778" s="8"/>
      <c r="P61778" s="8"/>
      <c r="Q61778" s="8"/>
      <c r="R61778" s="103"/>
      <c r="S61778" s="8"/>
      <c r="T61778" s="8"/>
      <c r="U61778" s="8"/>
      <c r="V61778" s="8"/>
      <c r="W61778" s="8"/>
      <c r="X61778" s="8"/>
      <c r="Y61778" s="8"/>
      <c r="Z61778" s="8"/>
      <c r="AA61778" s="8"/>
    </row>
    <row r="61779" spans="1:27" x14ac:dyDescent="0.25">
      <c r="A61779" s="8"/>
      <c r="B61779" s="8"/>
      <c r="C61779" s="99"/>
      <c r="D61779" s="8"/>
      <c r="E61779" s="8"/>
      <c r="F61779" s="8"/>
      <c r="G61779" s="8"/>
      <c r="H61779" s="8"/>
      <c r="I61779" s="102"/>
      <c r="J61779" s="8"/>
      <c r="K61779" s="8"/>
      <c r="L61779" s="8"/>
      <c r="M61779" s="8"/>
      <c r="N61779" s="8"/>
      <c r="O61779" s="8"/>
      <c r="P61779" s="8"/>
      <c r="Q61779" s="8"/>
      <c r="R61779" s="103"/>
      <c r="S61779" s="8"/>
      <c r="T61779" s="8"/>
      <c r="U61779" s="8"/>
      <c r="V61779" s="8"/>
      <c r="W61779" s="8"/>
      <c r="X61779" s="8"/>
      <c r="Y61779" s="8"/>
      <c r="Z61779" s="8"/>
      <c r="AA61779" s="8"/>
    </row>
    <row r="61780" spans="1:27" x14ac:dyDescent="0.25">
      <c r="A61780" s="8"/>
      <c r="B61780" s="8"/>
      <c r="C61780" s="99"/>
      <c r="D61780" s="8"/>
      <c r="E61780" s="8"/>
      <c r="F61780" s="8"/>
      <c r="G61780" s="8"/>
      <c r="H61780" s="8"/>
      <c r="I61780" s="102"/>
      <c r="J61780" s="8"/>
      <c r="K61780" s="8"/>
      <c r="L61780" s="8"/>
      <c r="M61780" s="8"/>
      <c r="N61780" s="8"/>
      <c r="O61780" s="8"/>
      <c r="P61780" s="8"/>
      <c r="Q61780" s="8"/>
      <c r="R61780" s="103"/>
      <c r="S61780" s="8"/>
      <c r="T61780" s="8"/>
      <c r="U61780" s="8"/>
      <c r="V61780" s="8"/>
      <c r="W61780" s="8"/>
      <c r="X61780" s="8"/>
      <c r="Y61780" s="8"/>
      <c r="Z61780" s="8"/>
      <c r="AA61780" s="8"/>
    </row>
    <row r="61781" spans="1:27" x14ac:dyDescent="0.25">
      <c r="A61781" s="8"/>
      <c r="B61781" s="8"/>
      <c r="C61781" s="99"/>
      <c r="D61781" s="8"/>
      <c r="E61781" s="8"/>
      <c r="F61781" s="8"/>
      <c r="G61781" s="8"/>
      <c r="H61781" s="8"/>
      <c r="I61781" s="102"/>
      <c r="J61781" s="8"/>
      <c r="K61781" s="8"/>
      <c r="L61781" s="8"/>
      <c r="M61781" s="8"/>
      <c r="N61781" s="8"/>
      <c r="O61781" s="8"/>
      <c r="P61781" s="8"/>
      <c r="Q61781" s="8"/>
      <c r="R61781" s="103"/>
      <c r="S61781" s="8"/>
      <c r="T61781" s="8"/>
      <c r="U61781" s="8"/>
      <c r="V61781" s="8"/>
      <c r="W61781" s="8"/>
      <c r="X61781" s="8"/>
      <c r="Y61781" s="8"/>
      <c r="Z61781" s="8"/>
      <c r="AA61781" s="8"/>
    </row>
    <row r="61782" spans="1:27" x14ac:dyDescent="0.25">
      <c r="A61782" s="8"/>
      <c r="B61782" s="8"/>
      <c r="C61782" s="99"/>
      <c r="D61782" s="8"/>
      <c r="E61782" s="8"/>
      <c r="F61782" s="8"/>
      <c r="G61782" s="8"/>
      <c r="H61782" s="8"/>
      <c r="I61782" s="102"/>
      <c r="J61782" s="8"/>
      <c r="K61782" s="8"/>
      <c r="L61782" s="8"/>
      <c r="M61782" s="8"/>
      <c r="N61782" s="8"/>
      <c r="O61782" s="8"/>
      <c r="P61782" s="8"/>
      <c r="Q61782" s="8"/>
      <c r="R61782" s="103"/>
      <c r="S61782" s="8"/>
      <c r="T61782" s="8"/>
      <c r="U61782" s="8"/>
      <c r="V61782" s="8"/>
      <c r="W61782" s="8"/>
      <c r="X61782" s="8"/>
      <c r="Y61782" s="8"/>
      <c r="Z61782" s="8"/>
      <c r="AA61782" s="8"/>
    </row>
    <row r="61783" spans="1:27" x14ac:dyDescent="0.25">
      <c r="A61783" s="8"/>
      <c r="B61783" s="8"/>
      <c r="C61783" s="99"/>
      <c r="D61783" s="8"/>
      <c r="E61783" s="8"/>
      <c r="F61783" s="8"/>
      <c r="G61783" s="8"/>
      <c r="H61783" s="8"/>
      <c r="I61783" s="102"/>
      <c r="J61783" s="8"/>
      <c r="K61783" s="8"/>
      <c r="L61783" s="8"/>
      <c r="M61783" s="8"/>
      <c r="N61783" s="8"/>
      <c r="O61783" s="8"/>
      <c r="P61783" s="8"/>
      <c r="Q61783" s="8"/>
      <c r="R61783" s="103"/>
      <c r="S61783" s="8"/>
      <c r="T61783" s="8"/>
      <c r="U61783" s="8"/>
      <c r="V61783" s="8"/>
      <c r="W61783" s="8"/>
      <c r="X61783" s="8"/>
      <c r="Y61783" s="8"/>
      <c r="Z61783" s="8"/>
      <c r="AA61783" s="8"/>
    </row>
    <row r="61784" spans="1:27" x14ac:dyDescent="0.25">
      <c r="A61784" s="8"/>
      <c r="B61784" s="8"/>
      <c r="C61784" s="99"/>
      <c r="D61784" s="8"/>
      <c r="E61784" s="8"/>
      <c r="F61784" s="8"/>
      <c r="G61784" s="8"/>
      <c r="H61784" s="8"/>
      <c r="I61784" s="102"/>
      <c r="J61784" s="8"/>
      <c r="K61784" s="8"/>
      <c r="L61784" s="8"/>
      <c r="M61784" s="8"/>
      <c r="N61784" s="8"/>
      <c r="O61784" s="8"/>
      <c r="P61784" s="8"/>
      <c r="Q61784" s="8"/>
      <c r="R61784" s="103"/>
      <c r="S61784" s="8"/>
      <c r="T61784" s="8"/>
      <c r="U61784" s="8"/>
      <c r="V61784" s="8"/>
      <c r="W61784" s="8"/>
      <c r="X61784" s="8"/>
      <c r="Y61784" s="8"/>
      <c r="Z61784" s="8"/>
      <c r="AA61784" s="8"/>
    </row>
    <row r="61785" spans="1:27" x14ac:dyDescent="0.25">
      <c r="A61785" s="8"/>
      <c r="B61785" s="8"/>
      <c r="C61785" s="99"/>
      <c r="D61785" s="8"/>
      <c r="E61785" s="8"/>
      <c r="F61785" s="8"/>
      <c r="G61785" s="8"/>
      <c r="H61785" s="8"/>
      <c r="I61785" s="102"/>
      <c r="J61785" s="8"/>
      <c r="K61785" s="8"/>
      <c r="L61785" s="8"/>
      <c r="M61785" s="8"/>
      <c r="N61785" s="8"/>
      <c r="O61785" s="8"/>
      <c r="P61785" s="8"/>
      <c r="Q61785" s="8"/>
      <c r="R61785" s="103"/>
      <c r="S61785" s="8"/>
      <c r="T61785" s="8"/>
      <c r="U61785" s="8"/>
      <c r="V61785" s="8"/>
      <c r="W61785" s="8"/>
      <c r="X61785" s="8"/>
      <c r="Y61785" s="8"/>
      <c r="Z61785" s="8"/>
      <c r="AA61785" s="8"/>
    </row>
    <row r="61786" spans="1:27" x14ac:dyDescent="0.25">
      <c r="A61786" s="8"/>
      <c r="B61786" s="8"/>
      <c r="C61786" s="99"/>
      <c r="D61786" s="8"/>
      <c r="E61786" s="8"/>
      <c r="F61786" s="8"/>
      <c r="G61786" s="8"/>
      <c r="H61786" s="8"/>
      <c r="I61786" s="102"/>
      <c r="J61786" s="8"/>
      <c r="K61786" s="8"/>
      <c r="L61786" s="8"/>
      <c r="M61786" s="8"/>
      <c r="N61786" s="8"/>
      <c r="O61786" s="8"/>
      <c r="P61786" s="8"/>
      <c r="Q61786" s="8"/>
      <c r="R61786" s="103"/>
      <c r="S61786" s="8"/>
      <c r="T61786" s="8"/>
      <c r="U61786" s="8"/>
      <c r="V61786" s="8"/>
      <c r="W61786" s="8"/>
      <c r="X61786" s="8"/>
      <c r="Y61786" s="8"/>
      <c r="Z61786" s="8"/>
      <c r="AA61786" s="8"/>
    </row>
    <row r="61787" spans="1:27" x14ac:dyDescent="0.25">
      <c r="A61787" s="8"/>
      <c r="B61787" s="8"/>
      <c r="C61787" s="99"/>
      <c r="D61787" s="8"/>
      <c r="E61787" s="8"/>
      <c r="F61787" s="8"/>
      <c r="G61787" s="8"/>
      <c r="H61787" s="8"/>
      <c r="I61787" s="102"/>
      <c r="J61787" s="8"/>
      <c r="K61787" s="8"/>
      <c r="L61787" s="8"/>
      <c r="M61787" s="8"/>
      <c r="N61787" s="8"/>
      <c r="O61787" s="8"/>
      <c r="P61787" s="8"/>
      <c r="Q61787" s="8"/>
      <c r="R61787" s="103"/>
      <c r="S61787" s="8"/>
      <c r="T61787" s="8"/>
      <c r="U61787" s="8"/>
      <c r="V61787" s="8"/>
      <c r="W61787" s="8"/>
      <c r="X61787" s="8"/>
      <c r="Y61787" s="8"/>
      <c r="Z61787" s="8"/>
      <c r="AA61787" s="8"/>
    </row>
    <row r="61788" spans="1:27" x14ac:dyDescent="0.25">
      <c r="A61788" s="8"/>
      <c r="B61788" s="8"/>
      <c r="C61788" s="99"/>
      <c r="D61788" s="8"/>
      <c r="E61788" s="8"/>
      <c r="F61788" s="8"/>
      <c r="G61788" s="8"/>
      <c r="H61788" s="8"/>
      <c r="I61788" s="102"/>
      <c r="J61788" s="8"/>
      <c r="K61788" s="8"/>
      <c r="L61788" s="8"/>
      <c r="M61788" s="8"/>
      <c r="N61788" s="8"/>
      <c r="O61788" s="8"/>
      <c r="P61788" s="8"/>
      <c r="Q61788" s="8"/>
      <c r="R61788" s="103"/>
      <c r="S61788" s="8"/>
      <c r="T61788" s="8"/>
      <c r="U61788" s="8"/>
      <c r="V61788" s="8"/>
      <c r="W61788" s="8"/>
      <c r="X61788" s="8"/>
      <c r="Y61788" s="8"/>
      <c r="Z61788" s="8"/>
      <c r="AA61788" s="8"/>
    </row>
    <row r="61789" spans="1:27" x14ac:dyDescent="0.25">
      <c r="A61789" s="8"/>
      <c r="B61789" s="8"/>
      <c r="C61789" s="99"/>
      <c r="D61789" s="8"/>
      <c r="E61789" s="8"/>
      <c r="F61789" s="8"/>
      <c r="G61789" s="8"/>
      <c r="H61789" s="8"/>
      <c r="I61789" s="102"/>
      <c r="J61789" s="8"/>
      <c r="K61789" s="8"/>
      <c r="L61789" s="8"/>
      <c r="M61789" s="8"/>
      <c r="N61789" s="8"/>
      <c r="O61789" s="8"/>
      <c r="P61789" s="8"/>
      <c r="Q61789" s="8"/>
      <c r="R61789" s="103"/>
      <c r="S61789" s="8"/>
      <c r="T61789" s="8"/>
      <c r="U61789" s="8"/>
      <c r="V61789" s="8"/>
      <c r="W61789" s="8"/>
      <c r="X61789" s="8"/>
      <c r="Y61789" s="8"/>
      <c r="Z61789" s="8"/>
      <c r="AA61789" s="8"/>
    </row>
    <row r="61790" spans="1:27" x14ac:dyDescent="0.25">
      <c r="A61790" s="8"/>
      <c r="B61790" s="8"/>
      <c r="C61790" s="99"/>
      <c r="D61790" s="8"/>
      <c r="E61790" s="8"/>
      <c r="F61790" s="8"/>
      <c r="G61790" s="8"/>
      <c r="H61790" s="8"/>
      <c r="I61790" s="102"/>
      <c r="J61790" s="8"/>
      <c r="K61790" s="8"/>
      <c r="L61790" s="8"/>
      <c r="M61790" s="8"/>
      <c r="N61790" s="8"/>
      <c r="O61790" s="8"/>
      <c r="P61790" s="8"/>
      <c r="Q61790" s="8"/>
      <c r="R61790" s="103"/>
      <c r="S61790" s="8"/>
      <c r="T61790" s="8"/>
      <c r="U61790" s="8"/>
      <c r="V61790" s="8"/>
      <c r="W61790" s="8"/>
      <c r="X61790" s="8"/>
      <c r="Y61790" s="8"/>
      <c r="Z61790" s="8"/>
      <c r="AA61790" s="8"/>
    </row>
    <row r="61791" spans="1:27" x14ac:dyDescent="0.25">
      <c r="A61791" s="8"/>
      <c r="B61791" s="8"/>
      <c r="C61791" s="99"/>
      <c r="D61791" s="8"/>
      <c r="E61791" s="8"/>
      <c r="F61791" s="8"/>
      <c r="G61791" s="8"/>
      <c r="H61791" s="8"/>
      <c r="I61791" s="102"/>
      <c r="J61791" s="8"/>
      <c r="K61791" s="8"/>
      <c r="L61791" s="8"/>
      <c r="M61791" s="8"/>
      <c r="N61791" s="8"/>
      <c r="O61791" s="8"/>
      <c r="P61791" s="8"/>
      <c r="Q61791" s="8"/>
      <c r="R61791" s="103"/>
      <c r="S61791" s="8"/>
      <c r="T61791" s="8"/>
      <c r="U61791" s="8"/>
      <c r="V61791" s="8"/>
      <c r="W61791" s="8"/>
      <c r="X61791" s="8"/>
      <c r="Y61791" s="8"/>
      <c r="Z61791" s="8"/>
      <c r="AA61791" s="8"/>
    </row>
    <row r="61792" spans="1:27" x14ac:dyDescent="0.25">
      <c r="A61792" s="8"/>
      <c r="B61792" s="8"/>
      <c r="C61792" s="99"/>
      <c r="D61792" s="8"/>
      <c r="E61792" s="8"/>
      <c r="F61792" s="8"/>
      <c r="G61792" s="8"/>
      <c r="H61792" s="8"/>
      <c r="I61792" s="102"/>
      <c r="J61792" s="8"/>
      <c r="K61792" s="8"/>
      <c r="L61792" s="8"/>
      <c r="M61792" s="8"/>
      <c r="N61792" s="8"/>
      <c r="O61792" s="8"/>
      <c r="P61792" s="8"/>
      <c r="Q61792" s="8"/>
      <c r="R61792" s="103"/>
      <c r="S61792" s="8"/>
      <c r="T61792" s="8"/>
      <c r="U61792" s="8"/>
      <c r="V61792" s="8"/>
      <c r="W61792" s="8"/>
      <c r="X61792" s="8"/>
      <c r="Y61792" s="8"/>
      <c r="Z61792" s="8"/>
      <c r="AA61792" s="8"/>
    </row>
    <row r="61793" spans="1:27" x14ac:dyDescent="0.25">
      <c r="A61793" s="8"/>
      <c r="B61793" s="8"/>
      <c r="C61793" s="99"/>
      <c r="D61793" s="8"/>
      <c r="E61793" s="8"/>
      <c r="F61793" s="8"/>
      <c r="G61793" s="8"/>
      <c r="H61793" s="8"/>
      <c r="I61793" s="102"/>
      <c r="J61793" s="8"/>
      <c r="K61793" s="8"/>
      <c r="L61793" s="8"/>
      <c r="M61793" s="8"/>
      <c r="N61793" s="8"/>
      <c r="O61793" s="8"/>
      <c r="P61793" s="8"/>
      <c r="Q61793" s="8"/>
      <c r="R61793" s="103"/>
      <c r="S61793" s="8"/>
      <c r="T61793" s="8"/>
      <c r="U61793" s="8"/>
      <c r="V61793" s="8"/>
      <c r="W61793" s="8"/>
      <c r="X61793" s="8"/>
      <c r="Y61793" s="8"/>
      <c r="Z61793" s="8"/>
      <c r="AA61793" s="8"/>
    </row>
    <row r="61794" spans="1:27" x14ac:dyDescent="0.25">
      <c r="A61794" s="8"/>
      <c r="B61794" s="8"/>
      <c r="C61794" s="99"/>
      <c r="D61794" s="8"/>
      <c r="E61794" s="8"/>
      <c r="F61794" s="8"/>
      <c r="G61794" s="8"/>
      <c r="H61794" s="8"/>
      <c r="I61794" s="102"/>
      <c r="J61794" s="8"/>
      <c r="K61794" s="8"/>
      <c r="L61794" s="8"/>
      <c r="M61794" s="8"/>
      <c r="N61794" s="8"/>
      <c r="O61794" s="8"/>
      <c r="P61794" s="8"/>
      <c r="Q61794" s="8"/>
      <c r="R61794" s="103"/>
      <c r="S61794" s="8"/>
      <c r="T61794" s="8"/>
      <c r="U61794" s="8"/>
      <c r="V61794" s="8"/>
      <c r="W61794" s="8"/>
      <c r="X61794" s="8"/>
      <c r="Y61794" s="8"/>
      <c r="Z61794" s="8"/>
      <c r="AA61794" s="8"/>
    </row>
    <row r="61795" spans="1:27" x14ac:dyDescent="0.25">
      <c r="A61795" s="8"/>
      <c r="B61795" s="8"/>
      <c r="C61795" s="99"/>
      <c r="D61795" s="8"/>
      <c r="E61795" s="8"/>
      <c r="F61795" s="8"/>
      <c r="G61795" s="8"/>
      <c r="H61795" s="8"/>
      <c r="I61795" s="102"/>
      <c r="J61795" s="8"/>
      <c r="K61795" s="8"/>
      <c r="L61795" s="8"/>
      <c r="M61795" s="8"/>
      <c r="N61795" s="8"/>
      <c r="O61795" s="8"/>
      <c r="P61795" s="8"/>
      <c r="Q61795" s="8"/>
      <c r="R61795" s="103"/>
      <c r="S61795" s="8"/>
      <c r="T61795" s="8"/>
      <c r="U61795" s="8"/>
      <c r="V61795" s="8"/>
      <c r="W61795" s="8"/>
      <c r="X61795" s="8"/>
      <c r="Y61795" s="8"/>
      <c r="Z61795" s="8"/>
      <c r="AA61795" s="8"/>
    </row>
    <row r="61796" spans="1:27" x14ac:dyDescent="0.25">
      <c r="A61796" s="8"/>
      <c r="B61796" s="8"/>
      <c r="C61796" s="99"/>
      <c r="D61796" s="8"/>
      <c r="E61796" s="8"/>
      <c r="F61796" s="8"/>
      <c r="G61796" s="8"/>
      <c r="H61796" s="8"/>
      <c r="I61796" s="102"/>
      <c r="J61796" s="8"/>
      <c r="K61796" s="8"/>
      <c r="L61796" s="8"/>
      <c r="M61796" s="8"/>
      <c r="N61796" s="8"/>
      <c r="O61796" s="8"/>
      <c r="P61796" s="8"/>
      <c r="Q61796" s="8"/>
      <c r="R61796" s="103"/>
      <c r="S61796" s="8"/>
      <c r="T61796" s="8"/>
      <c r="U61796" s="8"/>
      <c r="V61796" s="8"/>
      <c r="W61796" s="8"/>
      <c r="X61796" s="8"/>
      <c r="Y61796" s="8"/>
      <c r="Z61796" s="8"/>
      <c r="AA61796" s="8"/>
    </row>
    <row r="61797" spans="1:27" x14ac:dyDescent="0.25">
      <c r="A61797" s="8"/>
      <c r="B61797" s="8"/>
      <c r="C61797" s="99"/>
      <c r="D61797" s="8"/>
      <c r="E61797" s="8"/>
      <c r="F61797" s="8"/>
      <c r="G61797" s="8"/>
      <c r="H61797" s="8"/>
      <c r="I61797" s="102"/>
      <c r="J61797" s="8"/>
      <c r="K61797" s="8"/>
      <c r="L61797" s="8"/>
      <c r="M61797" s="8"/>
      <c r="N61797" s="8"/>
      <c r="O61797" s="8"/>
      <c r="P61797" s="8"/>
      <c r="Q61797" s="8"/>
      <c r="R61797" s="103"/>
      <c r="S61797" s="8"/>
      <c r="T61797" s="8"/>
      <c r="U61797" s="8"/>
      <c r="V61797" s="8"/>
      <c r="W61797" s="8"/>
      <c r="X61797" s="8"/>
      <c r="Y61797" s="8"/>
      <c r="Z61797" s="8"/>
      <c r="AA61797" s="8"/>
    </row>
    <row r="61798" spans="1:27" x14ac:dyDescent="0.25">
      <c r="A61798" s="8"/>
      <c r="B61798" s="8"/>
      <c r="C61798" s="99"/>
      <c r="D61798" s="8"/>
      <c r="E61798" s="8"/>
      <c r="F61798" s="8"/>
      <c r="G61798" s="8"/>
      <c r="H61798" s="8"/>
      <c r="I61798" s="102"/>
      <c r="J61798" s="8"/>
      <c r="K61798" s="8"/>
      <c r="L61798" s="8"/>
      <c r="M61798" s="8"/>
      <c r="N61798" s="8"/>
      <c r="O61798" s="8"/>
      <c r="P61798" s="8"/>
      <c r="Q61798" s="8"/>
      <c r="R61798" s="103"/>
      <c r="S61798" s="8"/>
      <c r="T61798" s="8"/>
      <c r="U61798" s="8"/>
      <c r="V61798" s="8"/>
      <c r="W61798" s="8"/>
      <c r="X61798" s="8"/>
      <c r="Y61798" s="8"/>
      <c r="Z61798" s="8"/>
      <c r="AA61798" s="8"/>
    </row>
    <row r="61799" spans="1:27" x14ac:dyDescent="0.25">
      <c r="A61799" s="8"/>
      <c r="B61799" s="8"/>
      <c r="C61799" s="99"/>
      <c r="D61799" s="8"/>
      <c r="E61799" s="8"/>
      <c r="F61799" s="8"/>
      <c r="G61799" s="8"/>
      <c r="H61799" s="8"/>
      <c r="I61799" s="102"/>
      <c r="J61799" s="8"/>
      <c r="K61799" s="8"/>
      <c r="L61799" s="8"/>
      <c r="M61799" s="8"/>
      <c r="N61799" s="8"/>
      <c r="O61799" s="8"/>
      <c r="P61799" s="8"/>
      <c r="Q61799" s="8"/>
      <c r="R61799" s="103"/>
      <c r="S61799" s="8"/>
      <c r="T61799" s="8"/>
      <c r="U61799" s="8"/>
      <c r="V61799" s="8"/>
      <c r="W61799" s="8"/>
      <c r="X61799" s="8"/>
      <c r="Y61799" s="8"/>
      <c r="Z61799" s="8"/>
      <c r="AA61799" s="8"/>
    </row>
    <row r="61800" spans="1:27" x14ac:dyDescent="0.25">
      <c r="A61800" s="8"/>
      <c r="B61800" s="8"/>
      <c r="C61800" s="99"/>
      <c r="D61800" s="8"/>
      <c r="E61800" s="8"/>
      <c r="F61800" s="8"/>
      <c r="G61800" s="8"/>
      <c r="H61800" s="8"/>
      <c r="I61800" s="102"/>
      <c r="J61800" s="8"/>
      <c r="K61800" s="8"/>
      <c r="L61800" s="8"/>
      <c r="M61800" s="8"/>
      <c r="N61800" s="8"/>
      <c r="O61800" s="8"/>
      <c r="P61800" s="8"/>
      <c r="Q61800" s="8"/>
      <c r="R61800" s="103"/>
      <c r="S61800" s="8"/>
      <c r="T61800" s="8"/>
      <c r="U61800" s="8"/>
      <c r="V61800" s="8"/>
      <c r="W61800" s="8"/>
      <c r="X61800" s="8"/>
      <c r="Y61800" s="8"/>
      <c r="Z61800" s="8"/>
      <c r="AA61800" s="8"/>
    </row>
    <row r="61801" spans="1:27" x14ac:dyDescent="0.25">
      <c r="A61801" s="8"/>
      <c r="B61801" s="8"/>
      <c r="C61801" s="99"/>
      <c r="D61801" s="8"/>
      <c r="E61801" s="8"/>
      <c r="F61801" s="8"/>
      <c r="G61801" s="8"/>
      <c r="H61801" s="8"/>
      <c r="I61801" s="102"/>
      <c r="J61801" s="8"/>
      <c r="K61801" s="8"/>
      <c r="L61801" s="8"/>
      <c r="M61801" s="8"/>
      <c r="N61801" s="8"/>
      <c r="O61801" s="8"/>
      <c r="P61801" s="8"/>
      <c r="Q61801" s="8"/>
      <c r="R61801" s="103"/>
      <c r="S61801" s="8"/>
      <c r="T61801" s="8"/>
      <c r="U61801" s="8"/>
      <c r="V61801" s="8"/>
      <c r="W61801" s="8"/>
      <c r="X61801" s="8"/>
      <c r="Y61801" s="8"/>
      <c r="Z61801" s="8"/>
      <c r="AA61801" s="8"/>
    </row>
    <row r="61802" spans="1:27" x14ac:dyDescent="0.25">
      <c r="A61802" s="8"/>
      <c r="B61802" s="8"/>
      <c r="C61802" s="99"/>
      <c r="D61802" s="8"/>
      <c r="E61802" s="8"/>
      <c r="F61802" s="8"/>
      <c r="G61802" s="8"/>
      <c r="H61802" s="8"/>
      <c r="I61802" s="102"/>
      <c r="J61802" s="8"/>
      <c r="K61802" s="8"/>
      <c r="L61802" s="8"/>
      <c r="M61802" s="8"/>
      <c r="N61802" s="8"/>
      <c r="O61802" s="8"/>
      <c r="P61802" s="8"/>
      <c r="Q61802" s="8"/>
      <c r="R61802" s="103"/>
      <c r="S61802" s="8"/>
      <c r="T61802" s="8"/>
      <c r="U61802" s="8"/>
      <c r="V61802" s="8"/>
      <c r="W61802" s="8"/>
      <c r="X61802" s="8"/>
      <c r="Y61802" s="8"/>
      <c r="Z61802" s="8"/>
      <c r="AA61802" s="8"/>
    </row>
    <row r="61803" spans="1:27" x14ac:dyDescent="0.25">
      <c r="A61803" s="8"/>
      <c r="B61803" s="8"/>
      <c r="C61803" s="99"/>
      <c r="D61803" s="8"/>
      <c r="E61803" s="8"/>
      <c r="F61803" s="8"/>
      <c r="G61803" s="8"/>
      <c r="H61803" s="8"/>
      <c r="I61803" s="102"/>
      <c r="J61803" s="8"/>
      <c r="K61803" s="8"/>
      <c r="L61803" s="8"/>
      <c r="M61803" s="8"/>
      <c r="N61803" s="8"/>
      <c r="O61803" s="8"/>
      <c r="P61803" s="8"/>
      <c r="Q61803" s="8"/>
      <c r="R61803" s="103"/>
      <c r="S61803" s="8"/>
      <c r="T61803" s="8"/>
      <c r="U61803" s="8"/>
      <c r="V61803" s="8"/>
      <c r="W61803" s="8"/>
      <c r="X61803" s="8"/>
      <c r="Y61803" s="8"/>
      <c r="Z61803" s="8"/>
      <c r="AA61803" s="8"/>
    </row>
    <row r="61804" spans="1:27" x14ac:dyDescent="0.25">
      <c r="A61804" s="8"/>
      <c r="B61804" s="8"/>
      <c r="C61804" s="99"/>
      <c r="D61804" s="8"/>
      <c r="E61804" s="8"/>
      <c r="F61804" s="8"/>
      <c r="G61804" s="8"/>
      <c r="H61804" s="8"/>
      <c r="I61804" s="102"/>
      <c r="J61804" s="8"/>
      <c r="K61804" s="8"/>
      <c r="L61804" s="8"/>
      <c r="M61804" s="8"/>
      <c r="N61804" s="8"/>
      <c r="O61804" s="8"/>
      <c r="P61804" s="8"/>
      <c r="Q61804" s="8"/>
      <c r="R61804" s="103"/>
      <c r="S61804" s="8"/>
      <c r="T61804" s="8"/>
      <c r="U61804" s="8"/>
      <c r="V61804" s="8"/>
      <c r="W61804" s="8"/>
      <c r="X61804" s="8"/>
      <c r="Y61804" s="8"/>
      <c r="Z61804" s="8"/>
      <c r="AA61804" s="8"/>
    </row>
    <row r="61805" spans="1:27" x14ac:dyDescent="0.25">
      <c r="A61805" s="8"/>
      <c r="B61805" s="8"/>
      <c r="C61805" s="99"/>
      <c r="D61805" s="8"/>
      <c r="E61805" s="8"/>
      <c r="F61805" s="8"/>
      <c r="G61805" s="8"/>
      <c r="H61805" s="8"/>
      <c r="I61805" s="102"/>
      <c r="J61805" s="8"/>
      <c r="K61805" s="8"/>
      <c r="L61805" s="8"/>
      <c r="M61805" s="8"/>
      <c r="N61805" s="8"/>
      <c r="O61805" s="8"/>
      <c r="P61805" s="8"/>
      <c r="Q61805" s="8"/>
      <c r="R61805" s="103"/>
      <c r="S61805" s="8"/>
      <c r="T61805" s="8"/>
      <c r="U61805" s="8"/>
      <c r="V61805" s="8"/>
      <c r="W61805" s="8"/>
      <c r="X61805" s="8"/>
      <c r="Y61805" s="8"/>
      <c r="Z61805" s="8"/>
      <c r="AA61805" s="8"/>
    </row>
    <row r="61806" spans="1:27" x14ac:dyDescent="0.25">
      <c r="A61806" s="8"/>
      <c r="B61806" s="8"/>
      <c r="C61806" s="99"/>
      <c r="D61806" s="8"/>
      <c r="E61806" s="8"/>
      <c r="F61806" s="8"/>
      <c r="G61806" s="8"/>
      <c r="H61806" s="8"/>
      <c r="I61806" s="102"/>
      <c r="J61806" s="8"/>
      <c r="K61806" s="8"/>
      <c r="L61806" s="8"/>
      <c r="M61806" s="8"/>
      <c r="N61806" s="8"/>
      <c r="O61806" s="8"/>
      <c r="P61806" s="8"/>
      <c r="Q61806" s="8"/>
      <c r="R61806" s="103"/>
      <c r="S61806" s="8"/>
      <c r="T61806" s="8"/>
      <c r="U61806" s="8"/>
      <c r="V61806" s="8"/>
      <c r="W61806" s="8"/>
      <c r="X61806" s="8"/>
      <c r="Y61806" s="8"/>
      <c r="Z61806" s="8"/>
      <c r="AA61806" s="8"/>
    </row>
    <row r="61807" spans="1:27" x14ac:dyDescent="0.25">
      <c r="A61807" s="8"/>
      <c r="B61807" s="8"/>
      <c r="C61807" s="99"/>
      <c r="D61807" s="8"/>
      <c r="E61807" s="8"/>
      <c r="F61807" s="8"/>
      <c r="G61807" s="8"/>
      <c r="H61807" s="8"/>
      <c r="I61807" s="102"/>
      <c r="J61807" s="8"/>
      <c r="K61807" s="8"/>
      <c r="L61807" s="8"/>
      <c r="M61807" s="8"/>
      <c r="N61807" s="8"/>
      <c r="O61807" s="8"/>
      <c r="P61807" s="8"/>
      <c r="Q61807" s="8"/>
      <c r="R61807" s="103"/>
      <c r="S61807" s="8"/>
      <c r="T61807" s="8"/>
      <c r="U61807" s="8"/>
      <c r="V61807" s="8"/>
      <c r="W61807" s="8"/>
      <c r="X61807" s="8"/>
      <c r="Y61807" s="8"/>
      <c r="Z61807" s="8"/>
      <c r="AA61807" s="8"/>
    </row>
    <row r="61808" spans="1:27" x14ac:dyDescent="0.25">
      <c r="A61808" s="8"/>
      <c r="B61808" s="8"/>
      <c r="C61808" s="99"/>
      <c r="D61808" s="8"/>
      <c r="E61808" s="8"/>
      <c r="F61808" s="8"/>
      <c r="G61808" s="8"/>
      <c r="H61808" s="8"/>
      <c r="I61808" s="102"/>
      <c r="J61808" s="8"/>
      <c r="K61808" s="8"/>
      <c r="L61808" s="8"/>
      <c r="M61808" s="8"/>
      <c r="N61808" s="8"/>
      <c r="O61808" s="8"/>
      <c r="P61808" s="8"/>
      <c r="Q61808" s="8"/>
      <c r="R61808" s="103"/>
      <c r="S61808" s="8"/>
      <c r="T61808" s="8"/>
      <c r="U61808" s="8"/>
      <c r="V61808" s="8"/>
      <c r="W61808" s="8"/>
      <c r="X61808" s="8"/>
      <c r="Y61808" s="8"/>
      <c r="Z61808" s="8"/>
      <c r="AA61808" s="8"/>
    </row>
    <row r="61809" spans="1:27" x14ac:dyDescent="0.25">
      <c r="A61809" s="8"/>
      <c r="B61809" s="8"/>
      <c r="C61809" s="99"/>
      <c r="D61809" s="8"/>
      <c r="E61809" s="8"/>
      <c r="F61809" s="8"/>
      <c r="G61809" s="8"/>
      <c r="H61809" s="8"/>
      <c r="I61809" s="102"/>
      <c r="J61809" s="8"/>
      <c r="K61809" s="8"/>
      <c r="L61809" s="8"/>
      <c r="M61809" s="8"/>
      <c r="N61809" s="8"/>
      <c r="O61809" s="8"/>
      <c r="P61809" s="8"/>
      <c r="Q61809" s="8"/>
      <c r="R61809" s="103"/>
      <c r="S61809" s="8"/>
      <c r="T61809" s="8"/>
      <c r="U61809" s="8"/>
      <c r="V61809" s="8"/>
      <c r="W61809" s="8"/>
      <c r="X61809" s="8"/>
      <c r="Y61809" s="8"/>
      <c r="Z61809" s="8"/>
      <c r="AA61809" s="8"/>
    </row>
    <row r="61810" spans="1:27" x14ac:dyDescent="0.25">
      <c r="A61810" s="8"/>
      <c r="B61810" s="8"/>
      <c r="C61810" s="99"/>
      <c r="D61810" s="8"/>
      <c r="E61810" s="8"/>
      <c r="F61810" s="8"/>
      <c r="G61810" s="8"/>
      <c r="H61810" s="8"/>
      <c r="I61810" s="102"/>
      <c r="J61810" s="8"/>
      <c r="K61810" s="8"/>
      <c r="L61810" s="8"/>
      <c r="M61810" s="8"/>
      <c r="N61810" s="8"/>
      <c r="O61810" s="8"/>
      <c r="P61810" s="8"/>
      <c r="Q61810" s="8"/>
      <c r="R61810" s="103"/>
      <c r="S61810" s="8"/>
      <c r="T61810" s="8"/>
      <c r="U61810" s="8"/>
      <c r="V61810" s="8"/>
      <c r="W61810" s="8"/>
      <c r="X61810" s="8"/>
      <c r="Y61810" s="8"/>
      <c r="Z61810" s="8"/>
      <c r="AA61810" s="8"/>
    </row>
    <row r="61811" spans="1:27" x14ac:dyDescent="0.25">
      <c r="A61811" s="8"/>
      <c r="B61811" s="8"/>
      <c r="C61811" s="99"/>
      <c r="D61811" s="8"/>
      <c r="E61811" s="8"/>
      <c r="F61811" s="8"/>
      <c r="G61811" s="8"/>
      <c r="H61811" s="8"/>
      <c r="I61811" s="102"/>
      <c r="J61811" s="8"/>
      <c r="K61811" s="8"/>
      <c r="L61811" s="8"/>
      <c r="M61811" s="8"/>
      <c r="N61811" s="8"/>
      <c r="O61811" s="8"/>
      <c r="P61811" s="8"/>
      <c r="Q61811" s="8"/>
      <c r="R61811" s="103"/>
      <c r="S61811" s="8"/>
      <c r="T61811" s="8"/>
      <c r="U61811" s="8"/>
      <c r="V61811" s="8"/>
      <c r="W61811" s="8"/>
      <c r="X61811" s="8"/>
      <c r="Y61811" s="8"/>
      <c r="Z61811" s="8"/>
      <c r="AA61811" s="8"/>
    </row>
    <row r="61812" spans="1:27" x14ac:dyDescent="0.25">
      <c r="A61812" s="8"/>
      <c r="B61812" s="8"/>
      <c r="C61812" s="99"/>
      <c r="D61812" s="8"/>
      <c r="E61812" s="8"/>
      <c r="F61812" s="8"/>
      <c r="G61812" s="8"/>
      <c r="H61812" s="8"/>
      <c r="I61812" s="102"/>
      <c r="J61812" s="8"/>
      <c r="K61812" s="8"/>
      <c r="L61812" s="8"/>
      <c r="M61812" s="8"/>
      <c r="N61812" s="8"/>
      <c r="O61812" s="8"/>
      <c r="P61812" s="8"/>
      <c r="Q61812" s="8"/>
      <c r="R61812" s="103"/>
      <c r="S61812" s="8"/>
      <c r="T61812" s="8"/>
      <c r="U61812" s="8"/>
      <c r="V61812" s="8"/>
      <c r="W61812" s="8"/>
      <c r="X61812" s="8"/>
      <c r="Y61812" s="8"/>
      <c r="Z61812" s="8"/>
      <c r="AA61812" s="8"/>
    </row>
    <row r="61813" spans="1:27" x14ac:dyDescent="0.25">
      <c r="A61813" s="8"/>
      <c r="B61813" s="8"/>
      <c r="C61813" s="99"/>
      <c r="D61813" s="8"/>
      <c r="E61813" s="8"/>
      <c r="F61813" s="8"/>
      <c r="G61813" s="8"/>
      <c r="H61813" s="8"/>
      <c r="I61813" s="102"/>
      <c r="J61813" s="8"/>
      <c r="K61813" s="8"/>
      <c r="L61813" s="8"/>
      <c r="M61813" s="8"/>
      <c r="N61813" s="8"/>
      <c r="O61813" s="8"/>
      <c r="P61813" s="8"/>
      <c r="Q61813" s="8"/>
      <c r="R61813" s="103"/>
      <c r="S61813" s="8"/>
      <c r="T61813" s="8"/>
      <c r="U61813" s="8"/>
      <c r="V61813" s="8"/>
      <c r="W61813" s="8"/>
      <c r="X61813" s="8"/>
      <c r="Y61813" s="8"/>
      <c r="Z61813" s="8"/>
      <c r="AA61813" s="8"/>
    </row>
    <row r="61814" spans="1:27" x14ac:dyDescent="0.25">
      <c r="A61814" s="8"/>
      <c r="B61814" s="8"/>
      <c r="C61814" s="99"/>
      <c r="D61814" s="8"/>
      <c r="E61814" s="8"/>
      <c r="F61814" s="8"/>
      <c r="G61814" s="8"/>
      <c r="H61814" s="8"/>
      <c r="I61814" s="102"/>
      <c r="J61814" s="8"/>
      <c r="K61814" s="8"/>
      <c r="L61814" s="8"/>
      <c r="M61814" s="8"/>
      <c r="N61814" s="8"/>
      <c r="O61814" s="8"/>
      <c r="P61814" s="8"/>
      <c r="Q61814" s="8"/>
      <c r="R61814" s="103"/>
      <c r="S61814" s="8"/>
      <c r="T61814" s="8"/>
      <c r="U61814" s="8"/>
      <c r="V61814" s="8"/>
      <c r="W61814" s="8"/>
      <c r="X61814" s="8"/>
      <c r="Y61814" s="8"/>
      <c r="Z61814" s="8"/>
      <c r="AA61814" s="8"/>
    </row>
    <row r="61815" spans="1:27" x14ac:dyDescent="0.25">
      <c r="A61815" s="8"/>
      <c r="B61815" s="8"/>
      <c r="C61815" s="99"/>
      <c r="D61815" s="8"/>
      <c r="E61815" s="8"/>
      <c r="F61815" s="8"/>
      <c r="G61815" s="8"/>
      <c r="H61815" s="8"/>
      <c r="I61815" s="102"/>
      <c r="J61815" s="8"/>
      <c r="K61815" s="8"/>
      <c r="L61815" s="8"/>
      <c r="M61815" s="8"/>
      <c r="N61815" s="8"/>
      <c r="O61815" s="8"/>
      <c r="P61815" s="8"/>
      <c r="Q61815" s="8"/>
      <c r="R61815" s="103"/>
      <c r="S61815" s="8"/>
      <c r="T61815" s="8"/>
      <c r="U61815" s="8"/>
      <c r="V61815" s="8"/>
      <c r="W61815" s="8"/>
      <c r="X61815" s="8"/>
      <c r="Y61815" s="8"/>
      <c r="Z61815" s="8"/>
      <c r="AA61815" s="8"/>
    </row>
    <row r="61816" spans="1:27" x14ac:dyDescent="0.25">
      <c r="A61816" s="8"/>
      <c r="B61816" s="8"/>
      <c r="C61816" s="99"/>
      <c r="D61816" s="8"/>
      <c r="E61816" s="8"/>
      <c r="F61816" s="8"/>
      <c r="G61816" s="8"/>
      <c r="H61816" s="8"/>
      <c r="I61816" s="102"/>
      <c r="J61816" s="8"/>
      <c r="K61816" s="8"/>
      <c r="L61816" s="8"/>
      <c r="M61816" s="8"/>
      <c r="N61816" s="8"/>
      <c r="O61816" s="8"/>
      <c r="P61816" s="8"/>
      <c r="Q61816" s="8"/>
      <c r="R61816" s="103"/>
      <c r="S61816" s="8"/>
      <c r="T61816" s="8"/>
      <c r="U61816" s="8"/>
      <c r="V61816" s="8"/>
      <c r="W61816" s="8"/>
      <c r="X61816" s="8"/>
      <c r="Y61816" s="8"/>
      <c r="Z61816" s="8"/>
      <c r="AA61816" s="8"/>
    </row>
    <row r="61817" spans="1:27" x14ac:dyDescent="0.25">
      <c r="A61817" s="8"/>
      <c r="B61817" s="8"/>
      <c r="C61817" s="99"/>
      <c r="D61817" s="8"/>
      <c r="E61817" s="8"/>
      <c r="F61817" s="8"/>
      <c r="G61817" s="8"/>
      <c r="H61817" s="8"/>
      <c r="I61817" s="102"/>
      <c r="J61817" s="8"/>
      <c r="K61817" s="8"/>
      <c r="L61817" s="8"/>
      <c r="M61817" s="8"/>
      <c r="N61817" s="8"/>
      <c r="O61817" s="8"/>
      <c r="P61817" s="8"/>
      <c r="Q61817" s="8"/>
      <c r="R61817" s="103"/>
      <c r="S61817" s="8"/>
      <c r="T61817" s="8"/>
      <c r="U61817" s="8"/>
      <c r="V61817" s="8"/>
      <c r="W61817" s="8"/>
      <c r="X61817" s="8"/>
      <c r="Y61817" s="8"/>
      <c r="Z61817" s="8"/>
      <c r="AA61817" s="8"/>
    </row>
    <row r="61818" spans="1:27" x14ac:dyDescent="0.25">
      <c r="A61818" s="8"/>
      <c r="B61818" s="8"/>
      <c r="C61818" s="99"/>
      <c r="D61818" s="8"/>
      <c r="E61818" s="8"/>
      <c r="F61818" s="8"/>
      <c r="G61818" s="8"/>
      <c r="H61818" s="8"/>
      <c r="I61818" s="102"/>
      <c r="J61818" s="8"/>
      <c r="K61818" s="8"/>
      <c r="L61818" s="8"/>
      <c r="M61818" s="8"/>
      <c r="N61818" s="8"/>
      <c r="O61818" s="8"/>
      <c r="P61818" s="8"/>
      <c r="Q61818" s="8"/>
      <c r="R61818" s="103"/>
      <c r="S61818" s="8"/>
      <c r="T61818" s="8"/>
      <c r="U61818" s="8"/>
      <c r="V61818" s="8"/>
      <c r="W61818" s="8"/>
      <c r="X61818" s="8"/>
      <c r="Y61818" s="8"/>
      <c r="Z61818" s="8"/>
      <c r="AA61818" s="8"/>
    </row>
    <row r="61819" spans="1:27" x14ac:dyDescent="0.25">
      <c r="A61819" s="8"/>
      <c r="B61819" s="8"/>
      <c r="C61819" s="99"/>
      <c r="D61819" s="8"/>
      <c r="E61819" s="8"/>
      <c r="F61819" s="8"/>
      <c r="G61819" s="8"/>
      <c r="H61819" s="8"/>
      <c r="I61819" s="102"/>
      <c r="J61819" s="8"/>
      <c r="K61819" s="8"/>
      <c r="L61819" s="8"/>
      <c r="M61819" s="8"/>
      <c r="N61819" s="8"/>
      <c r="O61819" s="8"/>
      <c r="P61819" s="8"/>
      <c r="Q61819" s="8"/>
      <c r="R61819" s="103"/>
      <c r="S61819" s="8"/>
      <c r="T61819" s="8"/>
      <c r="U61819" s="8"/>
      <c r="V61819" s="8"/>
      <c r="W61819" s="8"/>
      <c r="X61819" s="8"/>
      <c r="Y61819" s="8"/>
      <c r="Z61819" s="8"/>
      <c r="AA61819" s="8"/>
    </row>
    <row r="61820" spans="1:27" x14ac:dyDescent="0.25">
      <c r="A61820" s="8"/>
      <c r="B61820" s="8"/>
      <c r="C61820" s="99"/>
      <c r="D61820" s="8"/>
      <c r="E61820" s="8"/>
      <c r="F61820" s="8"/>
      <c r="G61820" s="8"/>
      <c r="H61820" s="8"/>
      <c r="I61820" s="102"/>
      <c r="J61820" s="8"/>
      <c r="K61820" s="8"/>
      <c r="L61820" s="8"/>
      <c r="M61820" s="8"/>
      <c r="N61820" s="8"/>
      <c r="O61820" s="8"/>
      <c r="P61820" s="8"/>
      <c r="Q61820" s="8"/>
      <c r="R61820" s="103"/>
      <c r="S61820" s="8"/>
      <c r="T61820" s="8"/>
      <c r="U61820" s="8"/>
      <c r="V61820" s="8"/>
      <c r="W61820" s="8"/>
      <c r="X61820" s="8"/>
      <c r="Y61820" s="8"/>
      <c r="Z61820" s="8"/>
      <c r="AA61820" s="8"/>
    </row>
    <row r="61821" spans="1:27" x14ac:dyDescent="0.25">
      <c r="A61821" s="8"/>
      <c r="B61821" s="8"/>
      <c r="C61821" s="99"/>
      <c r="D61821" s="8"/>
      <c r="E61821" s="8"/>
      <c r="F61821" s="8"/>
      <c r="G61821" s="8"/>
      <c r="H61821" s="8"/>
      <c r="I61821" s="102"/>
      <c r="J61821" s="8"/>
      <c r="K61821" s="8"/>
      <c r="L61821" s="8"/>
      <c r="M61821" s="8"/>
      <c r="N61821" s="8"/>
      <c r="O61821" s="8"/>
      <c r="P61821" s="8"/>
      <c r="Q61821" s="8"/>
      <c r="R61821" s="103"/>
      <c r="S61821" s="8"/>
      <c r="T61821" s="8"/>
      <c r="U61821" s="8"/>
      <c r="V61821" s="8"/>
      <c r="W61821" s="8"/>
      <c r="X61821" s="8"/>
      <c r="Y61821" s="8"/>
      <c r="Z61821" s="8"/>
      <c r="AA61821" s="8"/>
    </row>
    <row r="61822" spans="1:27" x14ac:dyDescent="0.25">
      <c r="A61822" s="8"/>
      <c r="B61822" s="8"/>
      <c r="C61822" s="99"/>
      <c r="D61822" s="8"/>
      <c r="E61822" s="8"/>
      <c r="F61822" s="8"/>
      <c r="G61822" s="8"/>
      <c r="H61822" s="8"/>
      <c r="I61822" s="102"/>
      <c r="J61822" s="8"/>
      <c r="K61822" s="8"/>
      <c r="L61822" s="8"/>
      <c r="M61822" s="8"/>
      <c r="N61822" s="8"/>
      <c r="O61822" s="8"/>
      <c r="P61822" s="8"/>
      <c r="Q61822" s="8"/>
      <c r="R61822" s="103"/>
      <c r="S61822" s="8"/>
      <c r="T61822" s="8"/>
      <c r="U61822" s="8"/>
      <c r="V61822" s="8"/>
      <c r="W61822" s="8"/>
      <c r="X61822" s="8"/>
      <c r="Y61822" s="8"/>
      <c r="Z61822" s="8"/>
      <c r="AA61822" s="8"/>
    </row>
    <row r="61823" spans="1:27" x14ac:dyDescent="0.25">
      <c r="A61823" s="8"/>
      <c r="B61823" s="8"/>
      <c r="C61823" s="99"/>
      <c r="D61823" s="8"/>
      <c r="E61823" s="8"/>
      <c r="F61823" s="8"/>
      <c r="G61823" s="8"/>
      <c r="H61823" s="8"/>
      <c r="I61823" s="102"/>
      <c r="J61823" s="8"/>
      <c r="K61823" s="8"/>
      <c r="L61823" s="8"/>
      <c r="M61823" s="8"/>
      <c r="N61823" s="8"/>
      <c r="O61823" s="8"/>
      <c r="P61823" s="8"/>
      <c r="Q61823" s="8"/>
      <c r="R61823" s="103"/>
      <c r="S61823" s="8"/>
      <c r="T61823" s="8"/>
      <c r="U61823" s="8"/>
      <c r="V61823" s="8"/>
      <c r="W61823" s="8"/>
      <c r="X61823" s="8"/>
      <c r="Y61823" s="8"/>
      <c r="Z61823" s="8"/>
      <c r="AA61823" s="8"/>
    </row>
    <row r="61824" spans="1:27" x14ac:dyDescent="0.25">
      <c r="A61824" s="8"/>
      <c r="B61824" s="8"/>
      <c r="C61824" s="99"/>
      <c r="D61824" s="8"/>
      <c r="E61824" s="8"/>
      <c r="F61824" s="8"/>
      <c r="G61824" s="8"/>
      <c r="H61824" s="8"/>
      <c r="I61824" s="102"/>
      <c r="J61824" s="8"/>
      <c r="K61824" s="8"/>
      <c r="L61824" s="8"/>
      <c r="M61824" s="8"/>
      <c r="N61824" s="8"/>
      <c r="O61824" s="8"/>
      <c r="P61824" s="8"/>
      <c r="Q61824" s="8"/>
      <c r="R61824" s="103"/>
      <c r="S61824" s="8"/>
      <c r="T61824" s="8"/>
      <c r="U61824" s="8"/>
      <c r="V61824" s="8"/>
      <c r="W61824" s="8"/>
      <c r="X61824" s="8"/>
      <c r="Y61824" s="8"/>
      <c r="Z61824" s="8"/>
      <c r="AA61824" s="8"/>
    </row>
    <row r="61825" spans="1:27" x14ac:dyDescent="0.25">
      <c r="A61825" s="8"/>
      <c r="B61825" s="8"/>
      <c r="C61825" s="99"/>
      <c r="D61825" s="8"/>
      <c r="E61825" s="8"/>
      <c r="F61825" s="8"/>
      <c r="G61825" s="8"/>
      <c r="H61825" s="8"/>
      <c r="I61825" s="102"/>
      <c r="J61825" s="8"/>
      <c r="K61825" s="8"/>
      <c r="L61825" s="8"/>
      <c r="M61825" s="8"/>
      <c r="N61825" s="8"/>
      <c r="O61825" s="8"/>
      <c r="P61825" s="8"/>
      <c r="Q61825" s="8"/>
      <c r="R61825" s="103"/>
      <c r="S61825" s="8"/>
      <c r="T61825" s="8"/>
      <c r="U61825" s="8"/>
      <c r="V61825" s="8"/>
      <c r="W61825" s="8"/>
      <c r="X61825" s="8"/>
      <c r="Y61825" s="8"/>
      <c r="Z61825" s="8"/>
      <c r="AA61825" s="8"/>
    </row>
    <row r="61826" spans="1:27" x14ac:dyDescent="0.25">
      <c r="A61826" s="8"/>
      <c r="B61826" s="8"/>
      <c r="C61826" s="99"/>
      <c r="D61826" s="8"/>
      <c r="E61826" s="8"/>
      <c r="F61826" s="8"/>
      <c r="G61826" s="8"/>
      <c r="H61826" s="8"/>
      <c r="I61826" s="102"/>
      <c r="J61826" s="8"/>
      <c r="K61826" s="8"/>
      <c r="L61826" s="8"/>
      <c r="M61826" s="8"/>
      <c r="N61826" s="8"/>
      <c r="O61826" s="8"/>
      <c r="P61826" s="8"/>
      <c r="Q61826" s="8"/>
      <c r="R61826" s="103"/>
      <c r="S61826" s="8"/>
      <c r="T61826" s="8"/>
      <c r="U61826" s="8"/>
      <c r="V61826" s="8"/>
      <c r="W61826" s="8"/>
      <c r="X61826" s="8"/>
      <c r="Y61826" s="8"/>
      <c r="Z61826" s="8"/>
      <c r="AA61826" s="8"/>
    </row>
    <row r="61827" spans="1:27" x14ac:dyDescent="0.25">
      <c r="A61827" s="8"/>
      <c r="B61827" s="8"/>
      <c r="C61827" s="99"/>
      <c r="D61827" s="8"/>
      <c r="E61827" s="8"/>
      <c r="F61827" s="8"/>
      <c r="G61827" s="8"/>
      <c r="H61827" s="8"/>
      <c r="I61827" s="102"/>
      <c r="J61827" s="8"/>
      <c r="K61827" s="8"/>
      <c r="L61827" s="8"/>
      <c r="M61827" s="8"/>
      <c r="N61827" s="8"/>
      <c r="O61827" s="8"/>
      <c r="P61827" s="8"/>
      <c r="Q61827" s="8"/>
      <c r="R61827" s="103"/>
      <c r="S61827" s="8"/>
      <c r="T61827" s="8"/>
      <c r="U61827" s="8"/>
      <c r="V61827" s="8"/>
      <c r="W61827" s="8"/>
      <c r="X61827" s="8"/>
      <c r="Y61827" s="8"/>
      <c r="Z61827" s="8"/>
      <c r="AA61827" s="8"/>
    </row>
    <row r="61828" spans="1:27" x14ac:dyDescent="0.25">
      <c r="A61828" s="8"/>
      <c r="B61828" s="8"/>
      <c r="C61828" s="99"/>
      <c r="D61828" s="8"/>
      <c r="E61828" s="8"/>
      <c r="F61828" s="8"/>
      <c r="G61828" s="8"/>
      <c r="H61828" s="8"/>
      <c r="I61828" s="102"/>
      <c r="J61828" s="8"/>
      <c r="K61828" s="8"/>
      <c r="L61828" s="8"/>
      <c r="M61828" s="8"/>
      <c r="N61828" s="8"/>
      <c r="O61828" s="8"/>
      <c r="P61828" s="8"/>
      <c r="Q61828" s="8"/>
      <c r="R61828" s="103"/>
      <c r="S61828" s="8"/>
      <c r="T61828" s="8"/>
      <c r="U61828" s="8"/>
      <c r="V61828" s="8"/>
      <c r="W61828" s="8"/>
      <c r="X61828" s="8"/>
      <c r="Y61828" s="8"/>
      <c r="Z61828" s="8"/>
      <c r="AA61828" s="8"/>
    </row>
    <row r="61829" spans="1:27" x14ac:dyDescent="0.25">
      <c r="A61829" s="8"/>
      <c r="B61829" s="8"/>
      <c r="C61829" s="99"/>
      <c r="D61829" s="8"/>
      <c r="E61829" s="8"/>
      <c r="F61829" s="8"/>
      <c r="G61829" s="8"/>
      <c r="H61829" s="8"/>
      <c r="I61829" s="102"/>
      <c r="J61829" s="8"/>
      <c r="K61829" s="8"/>
      <c r="L61829" s="8"/>
      <c r="M61829" s="8"/>
      <c r="N61829" s="8"/>
      <c r="O61829" s="8"/>
      <c r="P61829" s="8"/>
      <c r="Q61829" s="8"/>
      <c r="R61829" s="103"/>
      <c r="S61829" s="8"/>
      <c r="T61829" s="8"/>
      <c r="U61829" s="8"/>
      <c r="V61829" s="8"/>
      <c r="W61829" s="8"/>
      <c r="X61829" s="8"/>
      <c r="Y61829" s="8"/>
      <c r="Z61829" s="8"/>
      <c r="AA61829" s="8"/>
    </row>
    <row r="61830" spans="1:27" x14ac:dyDescent="0.25">
      <c r="A61830" s="8"/>
      <c r="B61830" s="8"/>
      <c r="C61830" s="99"/>
      <c r="D61830" s="8"/>
      <c r="E61830" s="8"/>
      <c r="F61830" s="8"/>
      <c r="G61830" s="8"/>
      <c r="H61830" s="8"/>
      <c r="I61830" s="102"/>
      <c r="J61830" s="8"/>
      <c r="K61830" s="8"/>
      <c r="L61830" s="8"/>
      <c r="M61830" s="8"/>
      <c r="N61830" s="8"/>
      <c r="O61830" s="8"/>
      <c r="P61830" s="8"/>
      <c r="Q61830" s="8"/>
      <c r="R61830" s="103"/>
      <c r="S61830" s="8"/>
      <c r="T61830" s="8"/>
      <c r="U61830" s="8"/>
      <c r="V61830" s="8"/>
      <c r="W61830" s="8"/>
      <c r="X61830" s="8"/>
      <c r="Y61830" s="8"/>
      <c r="Z61830" s="8"/>
      <c r="AA61830" s="8"/>
    </row>
    <row r="61831" spans="1:27" x14ac:dyDescent="0.25">
      <c r="A61831" s="8"/>
      <c r="B61831" s="8"/>
      <c r="C61831" s="99"/>
      <c r="D61831" s="8"/>
      <c r="E61831" s="8"/>
      <c r="F61831" s="8"/>
      <c r="G61831" s="8"/>
      <c r="H61831" s="8"/>
      <c r="I61831" s="102"/>
      <c r="J61831" s="8"/>
      <c r="K61831" s="8"/>
      <c r="L61831" s="8"/>
      <c r="M61831" s="8"/>
      <c r="N61831" s="8"/>
      <c r="O61831" s="8"/>
      <c r="P61831" s="8"/>
      <c r="Q61831" s="8"/>
      <c r="R61831" s="103"/>
      <c r="S61831" s="8"/>
      <c r="T61831" s="8"/>
      <c r="U61831" s="8"/>
      <c r="V61831" s="8"/>
      <c r="W61831" s="8"/>
      <c r="X61831" s="8"/>
      <c r="Y61831" s="8"/>
      <c r="Z61831" s="8"/>
      <c r="AA61831" s="8"/>
    </row>
    <row r="61832" spans="1:27" x14ac:dyDescent="0.25">
      <c r="A61832" s="8"/>
      <c r="B61832" s="8"/>
      <c r="C61832" s="99"/>
      <c r="D61832" s="8"/>
      <c r="E61832" s="8"/>
      <c r="F61832" s="8"/>
      <c r="G61832" s="8"/>
      <c r="H61832" s="8"/>
      <c r="I61832" s="102"/>
      <c r="J61832" s="8"/>
      <c r="K61832" s="8"/>
      <c r="L61832" s="8"/>
      <c r="M61832" s="8"/>
      <c r="N61832" s="8"/>
      <c r="O61832" s="8"/>
      <c r="P61832" s="8"/>
      <c r="Q61832" s="8"/>
      <c r="R61832" s="103"/>
      <c r="S61832" s="8"/>
      <c r="T61832" s="8"/>
      <c r="U61832" s="8"/>
      <c r="V61832" s="8"/>
      <c r="W61832" s="8"/>
      <c r="X61832" s="8"/>
      <c r="Y61832" s="8"/>
      <c r="Z61832" s="8"/>
      <c r="AA61832" s="8"/>
    </row>
    <row r="61833" spans="1:27" x14ac:dyDescent="0.25">
      <c r="A61833" s="8"/>
      <c r="B61833" s="8"/>
      <c r="C61833" s="99"/>
      <c r="D61833" s="8"/>
      <c r="E61833" s="8"/>
      <c r="F61833" s="8"/>
      <c r="G61833" s="8"/>
      <c r="H61833" s="8"/>
      <c r="I61833" s="102"/>
      <c r="J61833" s="8"/>
      <c r="K61833" s="8"/>
      <c r="L61833" s="8"/>
      <c r="M61833" s="8"/>
      <c r="N61833" s="8"/>
      <c r="O61833" s="8"/>
      <c r="P61833" s="8"/>
      <c r="Q61833" s="8"/>
      <c r="R61833" s="103"/>
      <c r="S61833" s="8"/>
      <c r="T61833" s="8"/>
      <c r="U61833" s="8"/>
      <c r="V61833" s="8"/>
      <c r="W61833" s="8"/>
      <c r="X61833" s="8"/>
      <c r="Y61833" s="8"/>
      <c r="Z61833" s="8"/>
      <c r="AA61833" s="8"/>
    </row>
    <row r="61834" spans="1:27" x14ac:dyDescent="0.25">
      <c r="A61834" s="8"/>
      <c r="B61834" s="8"/>
      <c r="C61834" s="99"/>
      <c r="D61834" s="8"/>
      <c r="E61834" s="8"/>
      <c r="F61834" s="8"/>
      <c r="G61834" s="8"/>
      <c r="H61834" s="8"/>
      <c r="I61834" s="102"/>
      <c r="J61834" s="8"/>
      <c r="K61834" s="8"/>
      <c r="L61834" s="8"/>
      <c r="M61834" s="8"/>
      <c r="N61834" s="8"/>
      <c r="O61834" s="8"/>
      <c r="P61834" s="8"/>
      <c r="Q61834" s="8"/>
      <c r="R61834" s="103"/>
      <c r="S61834" s="8"/>
      <c r="T61834" s="8"/>
      <c r="U61834" s="8"/>
      <c r="V61834" s="8"/>
      <c r="W61834" s="8"/>
      <c r="X61834" s="8"/>
      <c r="Y61834" s="8"/>
      <c r="Z61834" s="8"/>
      <c r="AA61834" s="8"/>
    </row>
    <row r="61835" spans="1:27" x14ac:dyDescent="0.25">
      <c r="A61835" s="8"/>
      <c r="B61835" s="8"/>
      <c r="C61835" s="99"/>
      <c r="D61835" s="8"/>
      <c r="E61835" s="8"/>
      <c r="F61835" s="8"/>
      <c r="G61835" s="8"/>
      <c r="H61835" s="8"/>
      <c r="I61835" s="102"/>
      <c r="J61835" s="8"/>
      <c r="K61835" s="8"/>
      <c r="L61835" s="8"/>
      <c r="M61835" s="8"/>
      <c r="N61835" s="8"/>
      <c r="O61835" s="8"/>
      <c r="P61835" s="8"/>
      <c r="Q61835" s="8"/>
      <c r="R61835" s="103"/>
      <c r="S61835" s="8"/>
      <c r="T61835" s="8"/>
      <c r="U61835" s="8"/>
      <c r="V61835" s="8"/>
      <c r="W61835" s="8"/>
      <c r="X61835" s="8"/>
      <c r="Y61835" s="8"/>
      <c r="Z61835" s="8"/>
      <c r="AA61835" s="8"/>
    </row>
    <row r="61836" spans="1:27" x14ac:dyDescent="0.25">
      <c r="A61836" s="8"/>
      <c r="B61836" s="8"/>
      <c r="C61836" s="99"/>
      <c r="D61836" s="8"/>
      <c r="E61836" s="8"/>
      <c r="F61836" s="8"/>
      <c r="G61836" s="8"/>
      <c r="H61836" s="8"/>
      <c r="I61836" s="102"/>
      <c r="J61836" s="8"/>
      <c r="K61836" s="8"/>
      <c r="L61836" s="8"/>
      <c r="M61836" s="8"/>
      <c r="N61836" s="8"/>
      <c r="O61836" s="8"/>
      <c r="P61836" s="8"/>
      <c r="Q61836" s="8"/>
      <c r="R61836" s="103"/>
      <c r="S61836" s="8"/>
      <c r="T61836" s="8"/>
      <c r="U61836" s="8"/>
      <c r="V61836" s="8"/>
      <c r="W61836" s="8"/>
      <c r="X61836" s="8"/>
      <c r="Y61836" s="8"/>
      <c r="Z61836" s="8"/>
      <c r="AA61836" s="8"/>
    </row>
    <row r="61837" spans="1:27" x14ac:dyDescent="0.25">
      <c r="A61837" s="8"/>
      <c r="B61837" s="8"/>
      <c r="C61837" s="99"/>
      <c r="D61837" s="8"/>
      <c r="E61837" s="8"/>
      <c r="F61837" s="8"/>
      <c r="G61837" s="8"/>
      <c r="H61837" s="8"/>
      <c r="I61837" s="102"/>
      <c r="J61837" s="8"/>
      <c r="K61837" s="8"/>
      <c r="L61837" s="8"/>
      <c r="M61837" s="8"/>
      <c r="N61837" s="8"/>
      <c r="O61837" s="8"/>
      <c r="P61837" s="8"/>
      <c r="Q61837" s="8"/>
      <c r="R61837" s="103"/>
      <c r="S61837" s="8"/>
      <c r="T61837" s="8"/>
      <c r="U61837" s="8"/>
      <c r="V61837" s="8"/>
      <c r="W61837" s="8"/>
      <c r="X61837" s="8"/>
      <c r="Y61837" s="8"/>
      <c r="Z61837" s="8"/>
      <c r="AA61837" s="8"/>
    </row>
    <row r="61838" spans="1:27" x14ac:dyDescent="0.25">
      <c r="A61838" s="8"/>
      <c r="B61838" s="8"/>
      <c r="C61838" s="99"/>
      <c r="D61838" s="8"/>
      <c r="E61838" s="8"/>
      <c r="F61838" s="8"/>
      <c r="G61838" s="8"/>
      <c r="H61838" s="8"/>
      <c r="I61838" s="102"/>
      <c r="J61838" s="8"/>
      <c r="K61838" s="8"/>
      <c r="L61838" s="8"/>
      <c r="M61838" s="8"/>
      <c r="N61838" s="8"/>
      <c r="O61838" s="8"/>
      <c r="P61838" s="8"/>
      <c r="Q61838" s="8"/>
      <c r="R61838" s="103"/>
      <c r="S61838" s="8"/>
      <c r="T61838" s="8"/>
      <c r="U61838" s="8"/>
      <c r="V61838" s="8"/>
      <c r="W61838" s="8"/>
      <c r="X61838" s="8"/>
      <c r="Y61838" s="8"/>
      <c r="Z61838" s="8"/>
      <c r="AA61838" s="8"/>
    </row>
    <row r="61839" spans="1:27" x14ac:dyDescent="0.25">
      <c r="A61839" s="8"/>
      <c r="B61839" s="8"/>
      <c r="C61839" s="99"/>
      <c r="D61839" s="8"/>
      <c r="E61839" s="8"/>
      <c r="F61839" s="8"/>
      <c r="G61839" s="8"/>
      <c r="H61839" s="8"/>
      <c r="I61839" s="102"/>
      <c r="J61839" s="8"/>
      <c r="K61839" s="8"/>
      <c r="L61839" s="8"/>
      <c r="M61839" s="8"/>
      <c r="N61839" s="8"/>
      <c r="O61839" s="8"/>
      <c r="P61839" s="8"/>
      <c r="Q61839" s="8"/>
      <c r="R61839" s="103"/>
      <c r="S61839" s="8"/>
      <c r="T61839" s="8"/>
      <c r="U61839" s="8"/>
      <c r="V61839" s="8"/>
      <c r="W61839" s="8"/>
      <c r="X61839" s="8"/>
      <c r="Y61839" s="8"/>
      <c r="Z61839" s="8"/>
      <c r="AA61839" s="8"/>
    </row>
    <row r="61840" spans="1:27" x14ac:dyDescent="0.25">
      <c r="A61840" s="8"/>
      <c r="B61840" s="8"/>
      <c r="C61840" s="99"/>
      <c r="D61840" s="8"/>
      <c r="E61840" s="8"/>
      <c r="F61840" s="8"/>
      <c r="G61840" s="8"/>
      <c r="H61840" s="8"/>
      <c r="I61840" s="102"/>
      <c r="J61840" s="8"/>
      <c r="K61840" s="8"/>
      <c r="L61840" s="8"/>
      <c r="M61840" s="8"/>
      <c r="N61840" s="8"/>
      <c r="O61840" s="8"/>
      <c r="P61840" s="8"/>
      <c r="Q61840" s="8"/>
      <c r="R61840" s="103"/>
      <c r="S61840" s="8"/>
      <c r="T61840" s="8"/>
      <c r="U61840" s="8"/>
      <c r="V61840" s="8"/>
      <c r="W61840" s="8"/>
      <c r="X61840" s="8"/>
      <c r="Y61840" s="8"/>
      <c r="Z61840" s="8"/>
      <c r="AA61840" s="8"/>
    </row>
    <row r="61841" spans="1:27" x14ac:dyDescent="0.25">
      <c r="A61841" s="8"/>
      <c r="B61841" s="8"/>
      <c r="C61841" s="99"/>
      <c r="D61841" s="8"/>
      <c r="E61841" s="8"/>
      <c r="F61841" s="8"/>
      <c r="G61841" s="8"/>
      <c r="H61841" s="8"/>
      <c r="I61841" s="102"/>
      <c r="J61841" s="8"/>
      <c r="K61841" s="8"/>
      <c r="L61841" s="8"/>
      <c r="M61841" s="8"/>
      <c r="N61841" s="8"/>
      <c r="O61841" s="8"/>
      <c r="P61841" s="8"/>
      <c r="Q61841" s="8"/>
      <c r="R61841" s="103"/>
      <c r="S61841" s="8"/>
      <c r="T61841" s="8"/>
      <c r="U61841" s="8"/>
      <c r="V61841" s="8"/>
      <c r="W61841" s="8"/>
      <c r="X61841" s="8"/>
      <c r="Y61841" s="8"/>
      <c r="Z61841" s="8"/>
      <c r="AA61841" s="8"/>
    </row>
    <row r="61842" spans="1:27" x14ac:dyDescent="0.25">
      <c r="A61842" s="8"/>
      <c r="B61842" s="8"/>
      <c r="C61842" s="99"/>
      <c r="D61842" s="8"/>
      <c r="E61842" s="8"/>
      <c r="F61842" s="8"/>
      <c r="G61842" s="8"/>
      <c r="H61842" s="8"/>
      <c r="I61842" s="102"/>
      <c r="J61842" s="8"/>
      <c r="K61842" s="8"/>
      <c r="L61842" s="8"/>
      <c r="M61842" s="8"/>
      <c r="N61842" s="8"/>
      <c r="O61842" s="8"/>
      <c r="P61842" s="8"/>
      <c r="Q61842" s="8"/>
      <c r="R61842" s="103"/>
      <c r="S61842" s="8"/>
      <c r="T61842" s="8"/>
      <c r="U61842" s="8"/>
      <c r="V61842" s="8"/>
      <c r="W61842" s="8"/>
      <c r="X61842" s="8"/>
      <c r="Y61842" s="8"/>
      <c r="Z61842" s="8"/>
      <c r="AA61842" s="8"/>
    </row>
    <row r="61843" spans="1:27" x14ac:dyDescent="0.25">
      <c r="A61843" s="8"/>
      <c r="B61843" s="8"/>
      <c r="C61843" s="99"/>
      <c r="D61843" s="8"/>
      <c r="E61843" s="8"/>
      <c r="F61843" s="8"/>
      <c r="G61843" s="8"/>
      <c r="H61843" s="8"/>
      <c r="I61843" s="102"/>
      <c r="J61843" s="8"/>
      <c r="K61843" s="8"/>
      <c r="L61843" s="8"/>
      <c r="M61843" s="8"/>
      <c r="N61843" s="8"/>
      <c r="O61843" s="8"/>
      <c r="P61843" s="8"/>
      <c r="Q61843" s="8"/>
      <c r="R61843" s="103"/>
      <c r="S61843" s="8"/>
      <c r="T61843" s="8"/>
      <c r="U61843" s="8"/>
      <c r="V61843" s="8"/>
      <c r="W61843" s="8"/>
      <c r="X61843" s="8"/>
      <c r="Y61843" s="8"/>
      <c r="Z61843" s="8"/>
      <c r="AA61843" s="8"/>
    </row>
    <row r="61844" spans="1:27" x14ac:dyDescent="0.25">
      <c r="A61844" s="8"/>
      <c r="B61844" s="8"/>
      <c r="C61844" s="99"/>
      <c r="D61844" s="8"/>
      <c r="E61844" s="8"/>
      <c r="F61844" s="8"/>
      <c r="G61844" s="8"/>
      <c r="H61844" s="8"/>
      <c r="I61844" s="102"/>
      <c r="J61844" s="8"/>
      <c r="K61844" s="8"/>
      <c r="L61844" s="8"/>
      <c r="M61844" s="8"/>
      <c r="N61844" s="8"/>
      <c r="O61844" s="8"/>
      <c r="P61844" s="8"/>
      <c r="Q61844" s="8"/>
      <c r="R61844" s="103"/>
      <c r="S61844" s="8"/>
      <c r="T61844" s="8"/>
      <c r="U61844" s="8"/>
      <c r="V61844" s="8"/>
      <c r="W61844" s="8"/>
      <c r="X61844" s="8"/>
      <c r="Y61844" s="8"/>
      <c r="Z61844" s="8"/>
      <c r="AA61844" s="8"/>
    </row>
    <row r="61845" spans="1:27" x14ac:dyDescent="0.25">
      <c r="A61845" s="8"/>
      <c r="B61845" s="8"/>
      <c r="C61845" s="99"/>
      <c r="D61845" s="8"/>
      <c r="E61845" s="8"/>
      <c r="F61845" s="8"/>
      <c r="G61845" s="8"/>
      <c r="H61845" s="8"/>
      <c r="I61845" s="102"/>
      <c r="J61845" s="8"/>
      <c r="K61845" s="8"/>
      <c r="L61845" s="8"/>
      <c r="M61845" s="8"/>
      <c r="N61845" s="8"/>
      <c r="O61845" s="8"/>
      <c r="P61845" s="8"/>
      <c r="Q61845" s="8"/>
      <c r="R61845" s="103"/>
      <c r="S61845" s="8"/>
      <c r="T61845" s="8"/>
      <c r="U61845" s="8"/>
      <c r="V61845" s="8"/>
      <c r="W61845" s="8"/>
      <c r="X61845" s="8"/>
      <c r="Y61845" s="8"/>
      <c r="Z61845" s="8"/>
      <c r="AA61845" s="8"/>
    </row>
    <row r="61846" spans="1:27" x14ac:dyDescent="0.25">
      <c r="A61846" s="8"/>
      <c r="B61846" s="8"/>
      <c r="C61846" s="99"/>
      <c r="D61846" s="8"/>
      <c r="E61846" s="8"/>
      <c r="F61846" s="8"/>
      <c r="G61846" s="8"/>
      <c r="H61846" s="8"/>
      <c r="I61846" s="102"/>
      <c r="J61846" s="8"/>
      <c r="K61846" s="8"/>
      <c r="L61846" s="8"/>
      <c r="M61846" s="8"/>
      <c r="N61846" s="8"/>
      <c r="O61846" s="8"/>
      <c r="P61846" s="8"/>
      <c r="Q61846" s="8"/>
      <c r="R61846" s="103"/>
      <c r="S61846" s="8"/>
      <c r="T61846" s="8"/>
      <c r="U61846" s="8"/>
      <c r="V61846" s="8"/>
      <c r="W61846" s="8"/>
      <c r="X61846" s="8"/>
      <c r="Y61846" s="8"/>
      <c r="Z61846" s="8"/>
      <c r="AA61846" s="8"/>
    </row>
    <row r="61847" spans="1:27" x14ac:dyDescent="0.25">
      <c r="A61847" s="8"/>
      <c r="B61847" s="8"/>
      <c r="C61847" s="99"/>
      <c r="D61847" s="8"/>
      <c r="E61847" s="8"/>
      <c r="F61847" s="8"/>
      <c r="G61847" s="8"/>
      <c r="H61847" s="8"/>
      <c r="I61847" s="102"/>
      <c r="J61847" s="8"/>
      <c r="K61847" s="8"/>
      <c r="L61847" s="8"/>
      <c r="M61847" s="8"/>
      <c r="N61847" s="8"/>
      <c r="O61847" s="8"/>
      <c r="P61847" s="8"/>
      <c r="Q61847" s="8"/>
      <c r="R61847" s="103"/>
      <c r="S61847" s="8"/>
      <c r="T61847" s="8"/>
      <c r="U61847" s="8"/>
      <c r="V61847" s="8"/>
      <c r="W61847" s="8"/>
      <c r="X61847" s="8"/>
      <c r="Y61847" s="8"/>
      <c r="Z61847" s="8"/>
      <c r="AA61847" s="8"/>
    </row>
    <row r="61848" spans="1:27" x14ac:dyDescent="0.25">
      <c r="A61848" s="8"/>
      <c r="B61848" s="8"/>
      <c r="C61848" s="99"/>
      <c r="D61848" s="8"/>
      <c r="E61848" s="8"/>
      <c r="F61848" s="8"/>
      <c r="G61848" s="8"/>
      <c r="H61848" s="8"/>
      <c r="I61848" s="102"/>
      <c r="J61848" s="8"/>
      <c r="K61848" s="8"/>
      <c r="L61848" s="8"/>
      <c r="M61848" s="8"/>
      <c r="N61848" s="8"/>
      <c r="O61848" s="8"/>
      <c r="P61848" s="8"/>
      <c r="Q61848" s="8"/>
      <c r="R61848" s="103"/>
      <c r="S61848" s="8"/>
      <c r="T61848" s="8"/>
      <c r="U61848" s="8"/>
      <c r="V61848" s="8"/>
      <c r="W61848" s="8"/>
      <c r="X61848" s="8"/>
      <c r="Y61848" s="8"/>
      <c r="Z61848" s="8"/>
      <c r="AA61848" s="8"/>
    </row>
    <row r="61849" spans="1:27" x14ac:dyDescent="0.25">
      <c r="A61849" s="8"/>
      <c r="B61849" s="8"/>
      <c r="C61849" s="99"/>
      <c r="D61849" s="8"/>
      <c r="E61849" s="8"/>
      <c r="F61849" s="8"/>
      <c r="G61849" s="8"/>
      <c r="H61849" s="8"/>
      <c r="I61849" s="102"/>
      <c r="J61849" s="8"/>
      <c r="K61849" s="8"/>
      <c r="L61849" s="8"/>
      <c r="M61849" s="8"/>
      <c r="N61849" s="8"/>
      <c r="O61849" s="8"/>
      <c r="P61849" s="8"/>
      <c r="Q61849" s="8"/>
      <c r="R61849" s="103"/>
      <c r="S61849" s="8"/>
      <c r="T61849" s="8"/>
      <c r="U61849" s="8"/>
      <c r="V61849" s="8"/>
      <c r="W61849" s="8"/>
      <c r="X61849" s="8"/>
      <c r="Y61849" s="8"/>
      <c r="Z61849" s="8"/>
      <c r="AA61849" s="8"/>
    </row>
    <row r="61850" spans="1:27" x14ac:dyDescent="0.25">
      <c r="A61850" s="8"/>
      <c r="B61850" s="8"/>
      <c r="C61850" s="99"/>
      <c r="D61850" s="8"/>
      <c r="E61850" s="8"/>
      <c r="F61850" s="8"/>
      <c r="G61850" s="8"/>
      <c r="H61850" s="8"/>
      <c r="I61850" s="102"/>
      <c r="J61850" s="8"/>
      <c r="K61850" s="8"/>
      <c r="L61850" s="8"/>
      <c r="M61850" s="8"/>
      <c r="N61850" s="8"/>
      <c r="O61850" s="8"/>
      <c r="P61850" s="8"/>
      <c r="Q61850" s="8"/>
      <c r="R61850" s="103"/>
      <c r="S61850" s="8"/>
      <c r="T61850" s="8"/>
      <c r="U61850" s="8"/>
      <c r="V61850" s="8"/>
      <c r="W61850" s="8"/>
      <c r="X61850" s="8"/>
      <c r="Y61850" s="8"/>
      <c r="Z61850" s="8"/>
      <c r="AA61850" s="8"/>
    </row>
    <row r="61851" spans="1:27" x14ac:dyDescent="0.25">
      <c r="A61851" s="8"/>
      <c r="B61851" s="8"/>
      <c r="C61851" s="99"/>
      <c r="D61851" s="8"/>
      <c r="E61851" s="8"/>
      <c r="F61851" s="8"/>
      <c r="G61851" s="8"/>
      <c r="H61851" s="8"/>
      <c r="I61851" s="102"/>
      <c r="J61851" s="8"/>
      <c r="K61851" s="8"/>
      <c r="L61851" s="8"/>
      <c r="M61851" s="8"/>
      <c r="N61851" s="8"/>
      <c r="O61851" s="8"/>
      <c r="P61851" s="8"/>
      <c r="Q61851" s="8"/>
      <c r="R61851" s="103"/>
      <c r="S61851" s="8"/>
      <c r="T61851" s="8"/>
      <c r="U61851" s="8"/>
      <c r="V61851" s="8"/>
      <c r="W61851" s="8"/>
      <c r="X61851" s="8"/>
      <c r="Y61851" s="8"/>
      <c r="Z61851" s="8"/>
      <c r="AA61851" s="8"/>
    </row>
    <row r="61852" spans="1:27" x14ac:dyDescent="0.25">
      <c r="A61852" s="8"/>
      <c r="B61852" s="8"/>
      <c r="C61852" s="99"/>
      <c r="D61852" s="8"/>
      <c r="E61852" s="8"/>
      <c r="F61852" s="8"/>
      <c r="G61852" s="8"/>
      <c r="H61852" s="8"/>
      <c r="I61852" s="102"/>
      <c r="J61852" s="8"/>
      <c r="K61852" s="8"/>
      <c r="L61852" s="8"/>
      <c r="M61852" s="8"/>
      <c r="N61852" s="8"/>
      <c r="O61852" s="8"/>
      <c r="P61852" s="8"/>
      <c r="Q61852" s="8"/>
      <c r="R61852" s="103"/>
      <c r="S61852" s="8"/>
      <c r="T61852" s="8"/>
      <c r="U61852" s="8"/>
      <c r="V61852" s="8"/>
      <c r="W61852" s="8"/>
      <c r="X61852" s="8"/>
      <c r="Y61852" s="8"/>
      <c r="Z61852" s="8"/>
      <c r="AA61852" s="8"/>
    </row>
    <row r="61853" spans="1:27" x14ac:dyDescent="0.25">
      <c r="A61853" s="8"/>
      <c r="B61853" s="8"/>
      <c r="C61853" s="99"/>
      <c r="D61853" s="8"/>
      <c r="E61853" s="8"/>
      <c r="F61853" s="8"/>
      <c r="G61853" s="8"/>
      <c r="H61853" s="8"/>
      <c r="I61853" s="102"/>
      <c r="J61853" s="8"/>
      <c r="K61853" s="8"/>
      <c r="L61853" s="8"/>
      <c r="M61853" s="8"/>
      <c r="N61853" s="8"/>
      <c r="O61853" s="8"/>
      <c r="P61853" s="8"/>
      <c r="Q61853" s="8"/>
      <c r="R61853" s="103"/>
      <c r="S61853" s="8"/>
      <c r="T61853" s="8"/>
      <c r="U61853" s="8"/>
      <c r="V61853" s="8"/>
      <c r="W61853" s="8"/>
      <c r="X61853" s="8"/>
      <c r="Y61853" s="8"/>
      <c r="Z61853" s="8"/>
      <c r="AA61853" s="8"/>
    </row>
    <row r="61854" spans="1:27" x14ac:dyDescent="0.25">
      <c r="A61854" s="8"/>
      <c r="B61854" s="8"/>
      <c r="C61854" s="99"/>
      <c r="D61854" s="8"/>
      <c r="E61854" s="8"/>
      <c r="F61854" s="8"/>
      <c r="G61854" s="8"/>
      <c r="H61854" s="8"/>
      <c r="I61854" s="102"/>
      <c r="J61854" s="8"/>
      <c r="K61854" s="8"/>
      <c r="L61854" s="8"/>
      <c r="M61854" s="8"/>
      <c r="N61854" s="8"/>
      <c r="O61854" s="8"/>
      <c r="P61854" s="8"/>
      <c r="Q61854" s="8"/>
      <c r="R61854" s="103"/>
      <c r="S61854" s="8"/>
      <c r="T61854" s="8"/>
      <c r="U61854" s="8"/>
      <c r="V61854" s="8"/>
      <c r="W61854" s="8"/>
      <c r="X61854" s="8"/>
      <c r="Y61854" s="8"/>
      <c r="Z61854" s="8"/>
      <c r="AA61854" s="8"/>
    </row>
    <row r="61855" spans="1:27" x14ac:dyDescent="0.25">
      <c r="A61855" s="8"/>
      <c r="B61855" s="8"/>
      <c r="C61855" s="99"/>
      <c r="D61855" s="8"/>
      <c r="E61855" s="8"/>
      <c r="F61855" s="8"/>
      <c r="G61855" s="8"/>
      <c r="H61855" s="8"/>
      <c r="I61855" s="102"/>
      <c r="J61855" s="8"/>
      <c r="K61855" s="8"/>
      <c r="L61855" s="8"/>
      <c r="M61855" s="8"/>
      <c r="N61855" s="8"/>
      <c r="O61855" s="8"/>
      <c r="P61855" s="8"/>
      <c r="Q61855" s="8"/>
      <c r="R61855" s="103"/>
      <c r="S61855" s="8"/>
      <c r="T61855" s="8"/>
      <c r="U61855" s="8"/>
      <c r="V61855" s="8"/>
      <c r="W61855" s="8"/>
      <c r="X61855" s="8"/>
      <c r="Y61855" s="8"/>
      <c r="Z61855" s="8"/>
      <c r="AA61855" s="8"/>
    </row>
    <row r="61856" spans="1:27" x14ac:dyDescent="0.25">
      <c r="A61856" s="8"/>
      <c r="B61856" s="8"/>
      <c r="C61856" s="99"/>
      <c r="D61856" s="8"/>
      <c r="E61856" s="8"/>
      <c r="F61856" s="8"/>
      <c r="G61856" s="8"/>
      <c r="H61856" s="8"/>
      <c r="I61856" s="102"/>
      <c r="J61856" s="8"/>
      <c r="K61856" s="8"/>
      <c r="L61856" s="8"/>
      <c r="M61856" s="8"/>
      <c r="N61856" s="8"/>
      <c r="O61856" s="8"/>
      <c r="P61856" s="8"/>
      <c r="Q61856" s="8"/>
      <c r="R61856" s="103"/>
      <c r="S61856" s="8"/>
      <c r="T61856" s="8"/>
      <c r="U61856" s="8"/>
      <c r="V61856" s="8"/>
      <c r="W61856" s="8"/>
      <c r="X61856" s="8"/>
      <c r="Y61856" s="8"/>
      <c r="Z61856" s="8"/>
      <c r="AA61856" s="8"/>
    </row>
    <row r="61857" spans="1:27" x14ac:dyDescent="0.25">
      <c r="A61857" s="8"/>
      <c r="B61857" s="8"/>
      <c r="C61857" s="99"/>
      <c r="D61857" s="8"/>
      <c r="E61857" s="8"/>
      <c r="F61857" s="8"/>
      <c r="G61857" s="8"/>
      <c r="H61857" s="8"/>
      <c r="I61857" s="102"/>
      <c r="J61857" s="8"/>
      <c r="K61857" s="8"/>
      <c r="L61857" s="8"/>
      <c r="M61857" s="8"/>
      <c r="N61857" s="8"/>
      <c r="O61857" s="8"/>
      <c r="P61857" s="8"/>
      <c r="Q61857" s="8"/>
      <c r="R61857" s="103"/>
      <c r="S61857" s="8"/>
      <c r="T61857" s="8"/>
      <c r="U61857" s="8"/>
      <c r="V61857" s="8"/>
      <c r="W61857" s="8"/>
      <c r="X61857" s="8"/>
      <c r="Y61857" s="8"/>
      <c r="Z61857" s="8"/>
      <c r="AA61857" s="8"/>
    </row>
    <row r="61858" spans="1:27" x14ac:dyDescent="0.25">
      <c r="A61858" s="8"/>
      <c r="B61858" s="8"/>
      <c r="C61858" s="99"/>
      <c r="D61858" s="8"/>
      <c r="E61858" s="8"/>
      <c r="F61858" s="8"/>
      <c r="G61858" s="8"/>
      <c r="H61858" s="8"/>
      <c r="I61858" s="102"/>
      <c r="J61858" s="8"/>
      <c r="K61858" s="8"/>
      <c r="L61858" s="8"/>
      <c r="M61858" s="8"/>
      <c r="N61858" s="8"/>
      <c r="O61858" s="8"/>
      <c r="P61858" s="8"/>
      <c r="Q61858" s="8"/>
      <c r="R61858" s="103"/>
      <c r="S61858" s="8"/>
      <c r="T61858" s="8"/>
      <c r="U61858" s="8"/>
      <c r="V61858" s="8"/>
      <c r="W61858" s="8"/>
      <c r="X61858" s="8"/>
      <c r="Y61858" s="8"/>
      <c r="Z61858" s="8"/>
      <c r="AA61858" s="8"/>
    </row>
    <row r="61859" spans="1:27" x14ac:dyDescent="0.25">
      <c r="A61859" s="8"/>
      <c r="B61859" s="8"/>
      <c r="C61859" s="99"/>
      <c r="D61859" s="8"/>
      <c r="E61859" s="8"/>
      <c r="F61859" s="8"/>
      <c r="G61859" s="8"/>
      <c r="H61859" s="8"/>
      <c r="I61859" s="102"/>
      <c r="J61859" s="8"/>
      <c r="K61859" s="8"/>
      <c r="L61859" s="8"/>
      <c r="M61859" s="8"/>
      <c r="N61859" s="8"/>
      <c r="O61859" s="8"/>
      <c r="P61859" s="8"/>
      <c r="Q61859" s="8"/>
      <c r="R61859" s="103"/>
      <c r="S61859" s="8"/>
      <c r="T61859" s="8"/>
      <c r="U61859" s="8"/>
      <c r="V61859" s="8"/>
      <c r="W61859" s="8"/>
      <c r="X61859" s="8"/>
      <c r="Y61859" s="8"/>
      <c r="Z61859" s="8"/>
      <c r="AA61859" s="8"/>
    </row>
    <row r="61860" spans="1:27" x14ac:dyDescent="0.25">
      <c r="A61860" s="8"/>
      <c r="B61860" s="8"/>
      <c r="C61860" s="99"/>
      <c r="D61860" s="8"/>
      <c r="E61860" s="8"/>
      <c r="F61860" s="8"/>
      <c r="G61860" s="8"/>
      <c r="H61860" s="8"/>
      <c r="I61860" s="102"/>
      <c r="J61860" s="8"/>
      <c r="K61860" s="8"/>
      <c r="L61860" s="8"/>
      <c r="M61860" s="8"/>
      <c r="N61860" s="8"/>
      <c r="O61860" s="8"/>
      <c r="P61860" s="8"/>
      <c r="Q61860" s="8"/>
      <c r="R61860" s="103"/>
      <c r="S61860" s="8"/>
      <c r="T61860" s="8"/>
      <c r="U61860" s="8"/>
      <c r="V61860" s="8"/>
      <c r="W61860" s="8"/>
      <c r="X61860" s="8"/>
      <c r="Y61860" s="8"/>
      <c r="Z61860" s="8"/>
      <c r="AA61860" s="8"/>
    </row>
    <row r="61861" spans="1:27" x14ac:dyDescent="0.25">
      <c r="A61861" s="8"/>
      <c r="B61861" s="8"/>
      <c r="C61861" s="99"/>
      <c r="D61861" s="8"/>
      <c r="E61861" s="8"/>
      <c r="F61861" s="8"/>
      <c r="G61861" s="8"/>
      <c r="H61861" s="8"/>
      <c r="I61861" s="102"/>
      <c r="J61861" s="8"/>
      <c r="K61861" s="8"/>
      <c r="L61861" s="8"/>
      <c r="M61861" s="8"/>
      <c r="N61861" s="8"/>
      <c r="O61861" s="8"/>
      <c r="P61861" s="8"/>
      <c r="Q61861" s="8"/>
      <c r="R61861" s="103"/>
      <c r="S61861" s="8"/>
      <c r="T61861" s="8"/>
      <c r="U61861" s="8"/>
      <c r="V61861" s="8"/>
      <c r="W61861" s="8"/>
      <c r="X61861" s="8"/>
      <c r="Y61861" s="8"/>
      <c r="Z61861" s="8"/>
      <c r="AA61861" s="8"/>
    </row>
    <row r="61862" spans="1:27" x14ac:dyDescent="0.25">
      <c r="A61862" s="8"/>
      <c r="B61862" s="8"/>
      <c r="C61862" s="99"/>
      <c r="D61862" s="8"/>
      <c r="E61862" s="8"/>
      <c r="F61862" s="8"/>
      <c r="G61862" s="8"/>
      <c r="H61862" s="8"/>
      <c r="I61862" s="102"/>
      <c r="J61862" s="8"/>
      <c r="K61862" s="8"/>
      <c r="L61862" s="8"/>
      <c r="M61862" s="8"/>
      <c r="N61862" s="8"/>
      <c r="O61862" s="8"/>
      <c r="P61862" s="8"/>
      <c r="Q61862" s="8"/>
      <c r="R61862" s="103"/>
      <c r="S61862" s="8"/>
      <c r="T61862" s="8"/>
      <c r="U61862" s="8"/>
      <c r="V61862" s="8"/>
      <c r="W61862" s="8"/>
      <c r="X61862" s="8"/>
      <c r="Y61862" s="8"/>
      <c r="Z61862" s="8"/>
      <c r="AA61862" s="8"/>
    </row>
    <row r="61863" spans="1:27" x14ac:dyDescent="0.25">
      <c r="A61863" s="8"/>
      <c r="B61863" s="8"/>
      <c r="C61863" s="99"/>
      <c r="D61863" s="8"/>
      <c r="E61863" s="8"/>
      <c r="F61863" s="8"/>
      <c r="G61863" s="8"/>
      <c r="H61863" s="8"/>
      <c r="I61863" s="102"/>
      <c r="J61863" s="8"/>
      <c r="K61863" s="8"/>
      <c r="L61863" s="8"/>
      <c r="M61863" s="8"/>
      <c r="N61863" s="8"/>
      <c r="O61863" s="8"/>
      <c r="P61863" s="8"/>
      <c r="Q61863" s="8"/>
      <c r="R61863" s="103"/>
      <c r="S61863" s="8"/>
      <c r="T61863" s="8"/>
      <c r="U61863" s="8"/>
      <c r="V61863" s="8"/>
      <c r="W61863" s="8"/>
      <c r="X61863" s="8"/>
      <c r="Y61863" s="8"/>
      <c r="Z61863" s="8"/>
      <c r="AA61863" s="8"/>
    </row>
    <row r="61864" spans="1:27" x14ac:dyDescent="0.25">
      <c r="A61864" s="8"/>
      <c r="B61864" s="8"/>
      <c r="C61864" s="99"/>
      <c r="D61864" s="8"/>
      <c r="E61864" s="8"/>
      <c r="F61864" s="8"/>
      <c r="G61864" s="8"/>
      <c r="H61864" s="8"/>
      <c r="I61864" s="102"/>
      <c r="J61864" s="8"/>
      <c r="K61864" s="8"/>
      <c r="L61864" s="8"/>
      <c r="M61864" s="8"/>
      <c r="N61864" s="8"/>
      <c r="O61864" s="8"/>
      <c r="P61864" s="8"/>
      <c r="Q61864" s="8"/>
      <c r="R61864" s="103"/>
      <c r="S61864" s="8"/>
      <c r="T61864" s="8"/>
      <c r="U61864" s="8"/>
      <c r="V61864" s="8"/>
      <c r="W61864" s="8"/>
      <c r="X61864" s="8"/>
      <c r="Y61864" s="8"/>
      <c r="Z61864" s="8"/>
      <c r="AA61864" s="8"/>
    </row>
    <row r="61865" spans="1:27" x14ac:dyDescent="0.25">
      <c r="A61865" s="8"/>
      <c r="B61865" s="8"/>
      <c r="C61865" s="99"/>
      <c r="D61865" s="8"/>
      <c r="E61865" s="8"/>
      <c r="F61865" s="8"/>
      <c r="G61865" s="8"/>
      <c r="H61865" s="8"/>
      <c r="I61865" s="102"/>
      <c r="J61865" s="8"/>
      <c r="K61865" s="8"/>
      <c r="L61865" s="8"/>
      <c r="M61865" s="8"/>
      <c r="N61865" s="8"/>
      <c r="O61865" s="8"/>
      <c r="P61865" s="8"/>
      <c r="Q61865" s="8"/>
      <c r="R61865" s="103"/>
      <c r="S61865" s="8"/>
      <c r="T61865" s="8"/>
      <c r="U61865" s="8"/>
      <c r="V61865" s="8"/>
      <c r="W61865" s="8"/>
      <c r="X61865" s="8"/>
      <c r="Y61865" s="8"/>
      <c r="Z61865" s="8"/>
      <c r="AA61865" s="8"/>
    </row>
    <row r="61866" spans="1:27" x14ac:dyDescent="0.25">
      <c r="A61866" s="8"/>
      <c r="B61866" s="8"/>
      <c r="C61866" s="99"/>
      <c r="D61866" s="8"/>
      <c r="E61866" s="8"/>
      <c r="F61866" s="8"/>
      <c r="G61866" s="8"/>
      <c r="H61866" s="8"/>
      <c r="I61866" s="102"/>
      <c r="J61866" s="8"/>
      <c r="K61866" s="8"/>
      <c r="L61866" s="8"/>
      <c r="M61866" s="8"/>
      <c r="N61866" s="8"/>
      <c r="O61866" s="8"/>
      <c r="P61866" s="8"/>
      <c r="Q61866" s="8"/>
      <c r="R61866" s="103"/>
      <c r="S61866" s="8"/>
      <c r="T61866" s="8"/>
      <c r="U61866" s="8"/>
      <c r="V61866" s="8"/>
      <c r="W61866" s="8"/>
      <c r="X61866" s="8"/>
      <c r="Y61866" s="8"/>
      <c r="Z61866" s="8"/>
      <c r="AA61866" s="8"/>
    </row>
    <row r="61867" spans="1:27" x14ac:dyDescent="0.25">
      <c r="A61867" s="8"/>
      <c r="B61867" s="8"/>
      <c r="C61867" s="99"/>
      <c r="D61867" s="8"/>
      <c r="E61867" s="8"/>
      <c r="F61867" s="8"/>
      <c r="G61867" s="8"/>
      <c r="H61867" s="8"/>
      <c r="I61867" s="102"/>
      <c r="J61867" s="8"/>
      <c r="K61867" s="8"/>
      <c r="L61867" s="8"/>
      <c r="M61867" s="8"/>
      <c r="N61867" s="8"/>
      <c r="O61867" s="8"/>
      <c r="P61867" s="8"/>
      <c r="Q61867" s="8"/>
      <c r="R61867" s="103"/>
      <c r="S61867" s="8"/>
      <c r="T61867" s="8"/>
      <c r="U61867" s="8"/>
      <c r="V61867" s="8"/>
      <c r="W61867" s="8"/>
      <c r="X61867" s="8"/>
      <c r="Y61867" s="8"/>
      <c r="Z61867" s="8"/>
      <c r="AA61867" s="8"/>
    </row>
    <row r="61868" spans="1:27" x14ac:dyDescent="0.25">
      <c r="A61868" s="8"/>
      <c r="B61868" s="8"/>
      <c r="C61868" s="99"/>
      <c r="D61868" s="8"/>
      <c r="E61868" s="8"/>
      <c r="F61868" s="8"/>
      <c r="G61868" s="8"/>
      <c r="H61868" s="8"/>
      <c r="I61868" s="102"/>
      <c r="J61868" s="8"/>
      <c r="K61868" s="8"/>
      <c r="L61868" s="8"/>
      <c r="M61868" s="8"/>
      <c r="N61868" s="8"/>
      <c r="O61868" s="8"/>
      <c r="P61868" s="8"/>
      <c r="Q61868" s="8"/>
      <c r="R61868" s="103"/>
      <c r="S61868" s="8"/>
      <c r="T61868" s="8"/>
      <c r="U61868" s="8"/>
      <c r="V61868" s="8"/>
      <c r="W61868" s="8"/>
      <c r="X61868" s="8"/>
      <c r="Y61868" s="8"/>
      <c r="Z61868" s="8"/>
      <c r="AA61868" s="8"/>
    </row>
    <row r="61869" spans="1:27" x14ac:dyDescent="0.25">
      <c r="A61869" s="8"/>
      <c r="B61869" s="8"/>
      <c r="C61869" s="99"/>
      <c r="D61869" s="8"/>
      <c r="E61869" s="8"/>
      <c r="F61869" s="8"/>
      <c r="G61869" s="8"/>
      <c r="H61869" s="8"/>
      <c r="I61869" s="102"/>
      <c r="J61869" s="8"/>
      <c r="K61869" s="8"/>
      <c r="L61869" s="8"/>
      <c r="M61869" s="8"/>
      <c r="N61869" s="8"/>
      <c r="O61869" s="8"/>
      <c r="P61869" s="8"/>
      <c r="Q61869" s="8"/>
      <c r="R61869" s="103"/>
      <c r="S61869" s="8"/>
      <c r="T61869" s="8"/>
      <c r="U61869" s="8"/>
      <c r="V61869" s="8"/>
      <c r="W61869" s="8"/>
      <c r="X61869" s="8"/>
      <c r="Y61869" s="8"/>
      <c r="Z61869" s="8"/>
      <c r="AA61869" s="8"/>
    </row>
    <row r="61870" spans="1:27" x14ac:dyDescent="0.25">
      <c r="A61870" s="8"/>
      <c r="B61870" s="8"/>
      <c r="C61870" s="99"/>
      <c r="D61870" s="8"/>
      <c r="E61870" s="8"/>
      <c r="F61870" s="8"/>
      <c r="G61870" s="8"/>
      <c r="H61870" s="8"/>
      <c r="I61870" s="102"/>
      <c r="J61870" s="8"/>
      <c r="K61870" s="8"/>
      <c r="L61870" s="8"/>
      <c r="M61870" s="8"/>
      <c r="N61870" s="8"/>
      <c r="O61870" s="8"/>
      <c r="P61870" s="8"/>
      <c r="Q61870" s="8"/>
      <c r="R61870" s="103"/>
      <c r="S61870" s="8"/>
      <c r="T61870" s="8"/>
      <c r="U61870" s="8"/>
      <c r="V61870" s="8"/>
      <c r="W61870" s="8"/>
      <c r="X61870" s="8"/>
      <c r="Y61870" s="8"/>
      <c r="Z61870" s="8"/>
      <c r="AA61870" s="8"/>
    </row>
    <row r="61871" spans="1:27" x14ac:dyDescent="0.25">
      <c r="A61871" s="8"/>
      <c r="B61871" s="8"/>
      <c r="C61871" s="99"/>
      <c r="D61871" s="8"/>
      <c r="E61871" s="8"/>
      <c r="F61871" s="8"/>
      <c r="G61871" s="8"/>
      <c r="H61871" s="8"/>
      <c r="I61871" s="102"/>
      <c r="J61871" s="8"/>
      <c r="K61871" s="8"/>
      <c r="L61871" s="8"/>
      <c r="M61871" s="8"/>
      <c r="N61871" s="8"/>
      <c r="O61871" s="8"/>
      <c r="P61871" s="8"/>
      <c r="Q61871" s="8"/>
      <c r="R61871" s="103"/>
      <c r="S61871" s="8"/>
      <c r="T61871" s="8"/>
      <c r="U61871" s="8"/>
      <c r="V61871" s="8"/>
      <c r="W61871" s="8"/>
      <c r="X61871" s="8"/>
      <c r="Y61871" s="8"/>
      <c r="Z61871" s="8"/>
      <c r="AA61871" s="8"/>
    </row>
    <row r="61872" spans="1:27" x14ac:dyDescent="0.25">
      <c r="A61872" s="8"/>
      <c r="B61872" s="8"/>
      <c r="C61872" s="99"/>
      <c r="D61872" s="8"/>
      <c r="E61872" s="8"/>
      <c r="F61872" s="8"/>
      <c r="G61872" s="8"/>
      <c r="H61872" s="8"/>
      <c r="I61872" s="102"/>
      <c r="J61872" s="8"/>
      <c r="K61872" s="8"/>
      <c r="L61872" s="8"/>
      <c r="M61872" s="8"/>
      <c r="N61872" s="8"/>
      <c r="O61872" s="8"/>
      <c r="P61872" s="8"/>
      <c r="Q61872" s="8"/>
      <c r="R61872" s="103"/>
      <c r="S61872" s="8"/>
      <c r="T61872" s="8"/>
      <c r="U61872" s="8"/>
      <c r="V61872" s="8"/>
      <c r="W61872" s="8"/>
      <c r="X61872" s="8"/>
      <c r="Y61872" s="8"/>
      <c r="Z61872" s="8"/>
      <c r="AA61872" s="8"/>
    </row>
    <row r="61873" spans="1:27" x14ac:dyDescent="0.25">
      <c r="A61873" s="8"/>
      <c r="B61873" s="8"/>
      <c r="C61873" s="99"/>
      <c r="D61873" s="8"/>
      <c r="E61873" s="8"/>
      <c r="F61873" s="8"/>
      <c r="G61873" s="8"/>
      <c r="H61873" s="8"/>
      <c r="I61873" s="102"/>
      <c r="J61873" s="8"/>
      <c r="K61873" s="8"/>
      <c r="L61873" s="8"/>
      <c r="M61873" s="8"/>
      <c r="N61873" s="8"/>
      <c r="O61873" s="8"/>
      <c r="P61873" s="8"/>
      <c r="Q61873" s="8"/>
      <c r="R61873" s="103"/>
      <c r="S61873" s="8"/>
      <c r="T61873" s="8"/>
      <c r="U61873" s="8"/>
      <c r="V61873" s="8"/>
      <c r="W61873" s="8"/>
      <c r="X61873" s="8"/>
      <c r="Y61873" s="8"/>
      <c r="Z61873" s="8"/>
      <c r="AA61873" s="8"/>
    </row>
    <row r="61874" spans="1:27" x14ac:dyDescent="0.25">
      <c r="A61874" s="8"/>
      <c r="B61874" s="8"/>
      <c r="C61874" s="99"/>
      <c r="D61874" s="8"/>
      <c r="E61874" s="8"/>
      <c r="F61874" s="8"/>
      <c r="G61874" s="8"/>
      <c r="H61874" s="8"/>
      <c r="I61874" s="102"/>
      <c r="J61874" s="8"/>
      <c r="K61874" s="8"/>
      <c r="L61874" s="8"/>
      <c r="M61874" s="8"/>
      <c r="N61874" s="8"/>
      <c r="O61874" s="8"/>
      <c r="P61874" s="8"/>
      <c r="Q61874" s="8"/>
      <c r="R61874" s="103"/>
      <c r="S61874" s="8"/>
      <c r="T61874" s="8"/>
      <c r="U61874" s="8"/>
      <c r="V61874" s="8"/>
      <c r="W61874" s="8"/>
      <c r="X61874" s="8"/>
      <c r="Y61874" s="8"/>
      <c r="Z61874" s="8"/>
      <c r="AA61874" s="8"/>
    </row>
    <row r="61875" spans="1:27" x14ac:dyDescent="0.25">
      <c r="A61875" s="8"/>
      <c r="B61875" s="8"/>
      <c r="C61875" s="99"/>
      <c r="D61875" s="8"/>
      <c r="E61875" s="8"/>
      <c r="F61875" s="8"/>
      <c r="G61875" s="8"/>
      <c r="H61875" s="8"/>
      <c r="I61875" s="102"/>
      <c r="J61875" s="8"/>
      <c r="K61875" s="8"/>
      <c r="L61875" s="8"/>
      <c r="M61875" s="8"/>
      <c r="N61875" s="8"/>
      <c r="O61875" s="8"/>
      <c r="P61875" s="8"/>
      <c r="Q61875" s="8"/>
      <c r="R61875" s="103"/>
      <c r="S61875" s="8"/>
      <c r="T61875" s="8"/>
      <c r="U61875" s="8"/>
      <c r="V61875" s="8"/>
      <c r="W61875" s="8"/>
      <c r="X61875" s="8"/>
      <c r="Y61875" s="8"/>
      <c r="Z61875" s="8"/>
      <c r="AA61875" s="8"/>
    </row>
    <row r="61876" spans="1:27" x14ac:dyDescent="0.25">
      <c r="A61876" s="8"/>
      <c r="B61876" s="8"/>
      <c r="C61876" s="99"/>
      <c r="D61876" s="8"/>
      <c r="E61876" s="8"/>
      <c r="F61876" s="8"/>
      <c r="G61876" s="8"/>
      <c r="H61876" s="8"/>
      <c r="I61876" s="102"/>
      <c r="J61876" s="8"/>
      <c r="K61876" s="8"/>
      <c r="L61876" s="8"/>
      <c r="M61876" s="8"/>
      <c r="N61876" s="8"/>
      <c r="O61876" s="8"/>
      <c r="P61876" s="8"/>
      <c r="Q61876" s="8"/>
      <c r="R61876" s="103"/>
      <c r="S61876" s="8"/>
      <c r="T61876" s="8"/>
      <c r="U61876" s="8"/>
      <c r="V61876" s="8"/>
      <c r="W61876" s="8"/>
      <c r="X61876" s="8"/>
      <c r="Y61876" s="8"/>
      <c r="Z61876" s="8"/>
      <c r="AA61876" s="8"/>
    </row>
    <row r="61877" spans="1:27" x14ac:dyDescent="0.25">
      <c r="A61877" s="8"/>
      <c r="B61877" s="8"/>
      <c r="C61877" s="99"/>
      <c r="D61877" s="8"/>
      <c r="E61877" s="8"/>
      <c r="F61877" s="8"/>
      <c r="G61877" s="8"/>
      <c r="H61877" s="8"/>
      <c r="I61877" s="102"/>
      <c r="J61877" s="8"/>
      <c r="K61877" s="8"/>
      <c r="L61877" s="8"/>
      <c r="M61877" s="8"/>
      <c r="N61877" s="8"/>
      <c r="O61877" s="8"/>
      <c r="P61877" s="8"/>
      <c r="Q61877" s="8"/>
      <c r="R61877" s="103"/>
      <c r="S61877" s="8"/>
      <c r="T61877" s="8"/>
      <c r="U61877" s="8"/>
      <c r="V61877" s="8"/>
      <c r="W61877" s="8"/>
      <c r="X61877" s="8"/>
      <c r="Y61877" s="8"/>
      <c r="Z61877" s="8"/>
      <c r="AA61877" s="8"/>
    </row>
    <row r="61878" spans="1:27" x14ac:dyDescent="0.25">
      <c r="A61878" s="8"/>
      <c r="B61878" s="8"/>
      <c r="C61878" s="99"/>
      <c r="D61878" s="8"/>
      <c r="E61878" s="8"/>
      <c r="F61878" s="8"/>
      <c r="G61878" s="8"/>
      <c r="H61878" s="8"/>
      <c r="I61878" s="102"/>
      <c r="J61878" s="8"/>
      <c r="K61878" s="8"/>
      <c r="L61878" s="8"/>
      <c r="M61878" s="8"/>
      <c r="N61878" s="8"/>
      <c r="O61878" s="8"/>
      <c r="P61878" s="8"/>
      <c r="Q61878" s="8"/>
      <c r="R61878" s="103"/>
      <c r="S61878" s="8"/>
      <c r="T61878" s="8"/>
      <c r="U61878" s="8"/>
      <c r="V61878" s="8"/>
      <c r="W61878" s="8"/>
      <c r="X61878" s="8"/>
      <c r="Y61878" s="8"/>
      <c r="Z61878" s="8"/>
      <c r="AA61878" s="8"/>
    </row>
    <row r="61879" spans="1:27" x14ac:dyDescent="0.25">
      <c r="A61879" s="8"/>
      <c r="B61879" s="8"/>
      <c r="C61879" s="99"/>
      <c r="D61879" s="8"/>
      <c r="E61879" s="8"/>
      <c r="F61879" s="8"/>
      <c r="G61879" s="8"/>
      <c r="H61879" s="8"/>
      <c r="I61879" s="102"/>
      <c r="J61879" s="8"/>
      <c r="K61879" s="8"/>
      <c r="L61879" s="8"/>
      <c r="M61879" s="8"/>
      <c r="N61879" s="8"/>
      <c r="O61879" s="8"/>
      <c r="P61879" s="8"/>
      <c r="Q61879" s="8"/>
      <c r="R61879" s="103"/>
      <c r="S61879" s="8"/>
      <c r="T61879" s="8"/>
      <c r="U61879" s="8"/>
      <c r="V61879" s="8"/>
      <c r="W61879" s="8"/>
      <c r="X61879" s="8"/>
      <c r="Y61879" s="8"/>
      <c r="Z61879" s="8"/>
      <c r="AA61879" s="8"/>
    </row>
    <row r="61880" spans="1:27" x14ac:dyDescent="0.25">
      <c r="A61880" s="8"/>
      <c r="B61880" s="8"/>
      <c r="C61880" s="99"/>
      <c r="D61880" s="8"/>
      <c r="E61880" s="8"/>
      <c r="F61880" s="8"/>
      <c r="G61880" s="8"/>
      <c r="H61880" s="8"/>
      <c r="I61880" s="102"/>
      <c r="J61880" s="8"/>
      <c r="K61880" s="8"/>
      <c r="L61880" s="8"/>
      <c r="M61880" s="8"/>
      <c r="N61880" s="8"/>
      <c r="O61880" s="8"/>
      <c r="P61880" s="8"/>
      <c r="Q61880" s="8"/>
      <c r="R61880" s="103"/>
      <c r="S61880" s="8"/>
      <c r="T61880" s="8"/>
      <c r="U61880" s="8"/>
      <c r="V61880" s="8"/>
      <c r="W61880" s="8"/>
      <c r="X61880" s="8"/>
      <c r="Y61880" s="8"/>
      <c r="Z61880" s="8"/>
      <c r="AA61880" s="8"/>
    </row>
    <row r="61881" spans="1:27" x14ac:dyDescent="0.25">
      <c r="A61881" s="8"/>
      <c r="B61881" s="8"/>
      <c r="C61881" s="99"/>
      <c r="D61881" s="8"/>
      <c r="E61881" s="8"/>
      <c r="F61881" s="8"/>
      <c r="G61881" s="8"/>
      <c r="H61881" s="8"/>
      <c r="I61881" s="102"/>
      <c r="J61881" s="8"/>
      <c r="K61881" s="8"/>
      <c r="L61881" s="8"/>
      <c r="M61881" s="8"/>
      <c r="N61881" s="8"/>
      <c r="O61881" s="8"/>
      <c r="P61881" s="8"/>
      <c r="Q61881" s="8"/>
      <c r="R61881" s="103"/>
      <c r="S61881" s="8"/>
      <c r="T61881" s="8"/>
      <c r="U61881" s="8"/>
      <c r="V61881" s="8"/>
      <c r="W61881" s="8"/>
      <c r="X61881" s="8"/>
      <c r="Y61881" s="8"/>
      <c r="Z61881" s="8"/>
      <c r="AA61881" s="8"/>
    </row>
    <row r="61882" spans="1:27" x14ac:dyDescent="0.25">
      <c r="A61882" s="8"/>
      <c r="B61882" s="8"/>
      <c r="C61882" s="99"/>
      <c r="D61882" s="8"/>
      <c r="E61882" s="8"/>
      <c r="F61882" s="8"/>
      <c r="G61882" s="8"/>
      <c r="H61882" s="8"/>
      <c r="I61882" s="102"/>
      <c r="J61882" s="8"/>
      <c r="K61882" s="8"/>
      <c r="L61882" s="8"/>
      <c r="M61882" s="8"/>
      <c r="N61882" s="8"/>
      <c r="O61882" s="8"/>
      <c r="P61882" s="8"/>
      <c r="Q61882" s="8"/>
      <c r="R61882" s="103"/>
      <c r="S61882" s="8"/>
      <c r="T61882" s="8"/>
      <c r="U61882" s="8"/>
      <c r="V61882" s="8"/>
      <c r="W61882" s="8"/>
      <c r="X61882" s="8"/>
      <c r="Y61882" s="8"/>
      <c r="Z61882" s="8"/>
      <c r="AA61882" s="8"/>
    </row>
    <row r="61883" spans="1:27" x14ac:dyDescent="0.25">
      <c r="A61883" s="8"/>
      <c r="B61883" s="8"/>
      <c r="C61883" s="99"/>
      <c r="D61883" s="8"/>
      <c r="E61883" s="8"/>
      <c r="F61883" s="8"/>
      <c r="G61883" s="8"/>
      <c r="H61883" s="8"/>
      <c r="I61883" s="102"/>
      <c r="J61883" s="8"/>
      <c r="K61883" s="8"/>
      <c r="L61883" s="8"/>
      <c r="M61883" s="8"/>
      <c r="N61883" s="8"/>
      <c r="O61883" s="8"/>
      <c r="P61883" s="8"/>
      <c r="Q61883" s="8"/>
      <c r="R61883" s="103"/>
      <c r="S61883" s="8"/>
      <c r="T61883" s="8"/>
      <c r="U61883" s="8"/>
      <c r="V61883" s="8"/>
      <c r="W61883" s="8"/>
      <c r="X61883" s="8"/>
      <c r="Y61883" s="8"/>
      <c r="Z61883" s="8"/>
      <c r="AA61883" s="8"/>
    </row>
    <row r="61884" spans="1:27" x14ac:dyDescent="0.25">
      <c r="A61884" s="8"/>
      <c r="B61884" s="8"/>
      <c r="C61884" s="99"/>
      <c r="D61884" s="8"/>
      <c r="E61884" s="8"/>
      <c r="F61884" s="8"/>
      <c r="G61884" s="8"/>
      <c r="H61884" s="8"/>
      <c r="I61884" s="102"/>
      <c r="J61884" s="8"/>
      <c r="K61884" s="8"/>
      <c r="L61884" s="8"/>
      <c r="M61884" s="8"/>
      <c r="N61884" s="8"/>
      <c r="O61884" s="8"/>
      <c r="P61884" s="8"/>
      <c r="Q61884" s="8"/>
      <c r="R61884" s="103"/>
      <c r="S61884" s="8"/>
      <c r="T61884" s="8"/>
      <c r="U61884" s="8"/>
      <c r="V61884" s="8"/>
      <c r="W61884" s="8"/>
      <c r="X61884" s="8"/>
      <c r="Y61884" s="8"/>
      <c r="Z61884" s="8"/>
      <c r="AA61884" s="8"/>
    </row>
    <row r="61885" spans="1:27" x14ac:dyDescent="0.25">
      <c r="A61885" s="8"/>
      <c r="B61885" s="8"/>
      <c r="C61885" s="99"/>
      <c r="D61885" s="8"/>
      <c r="E61885" s="8"/>
      <c r="F61885" s="8"/>
      <c r="G61885" s="8"/>
      <c r="H61885" s="8"/>
      <c r="I61885" s="102"/>
      <c r="J61885" s="8"/>
      <c r="K61885" s="8"/>
      <c r="L61885" s="8"/>
      <c r="M61885" s="8"/>
      <c r="N61885" s="8"/>
      <c r="O61885" s="8"/>
      <c r="P61885" s="8"/>
      <c r="Q61885" s="8"/>
      <c r="R61885" s="103"/>
      <c r="S61885" s="8"/>
      <c r="T61885" s="8"/>
      <c r="U61885" s="8"/>
      <c r="V61885" s="8"/>
      <c r="W61885" s="8"/>
      <c r="X61885" s="8"/>
      <c r="Y61885" s="8"/>
      <c r="Z61885" s="8"/>
      <c r="AA61885" s="8"/>
    </row>
    <row r="61886" spans="1:27" x14ac:dyDescent="0.25">
      <c r="A61886" s="8"/>
      <c r="B61886" s="8"/>
      <c r="C61886" s="99"/>
      <c r="D61886" s="8"/>
      <c r="E61886" s="8"/>
      <c r="F61886" s="8"/>
      <c r="G61886" s="8"/>
      <c r="H61886" s="8"/>
      <c r="I61886" s="102"/>
      <c r="J61886" s="8"/>
      <c r="K61886" s="8"/>
      <c r="L61886" s="8"/>
      <c r="M61886" s="8"/>
      <c r="N61886" s="8"/>
      <c r="O61886" s="8"/>
      <c r="P61886" s="8"/>
      <c r="Q61886" s="8"/>
      <c r="R61886" s="103"/>
      <c r="S61886" s="8"/>
      <c r="T61886" s="8"/>
      <c r="U61886" s="8"/>
      <c r="V61886" s="8"/>
      <c r="W61886" s="8"/>
      <c r="X61886" s="8"/>
      <c r="Y61886" s="8"/>
      <c r="Z61886" s="8"/>
      <c r="AA61886" s="8"/>
    </row>
    <row r="61887" spans="1:27" x14ac:dyDescent="0.25">
      <c r="A61887" s="8"/>
      <c r="B61887" s="8"/>
      <c r="C61887" s="99"/>
      <c r="D61887" s="8"/>
      <c r="E61887" s="8"/>
      <c r="F61887" s="8"/>
      <c r="G61887" s="8"/>
      <c r="H61887" s="8"/>
      <c r="I61887" s="102"/>
      <c r="J61887" s="8"/>
      <c r="K61887" s="8"/>
      <c r="L61887" s="8"/>
      <c r="M61887" s="8"/>
      <c r="N61887" s="8"/>
      <c r="O61887" s="8"/>
      <c r="P61887" s="8"/>
      <c r="Q61887" s="8"/>
      <c r="R61887" s="103"/>
      <c r="S61887" s="8"/>
      <c r="T61887" s="8"/>
      <c r="U61887" s="8"/>
      <c r="V61887" s="8"/>
      <c r="W61887" s="8"/>
      <c r="X61887" s="8"/>
      <c r="Y61887" s="8"/>
      <c r="Z61887" s="8"/>
      <c r="AA61887" s="8"/>
    </row>
    <row r="61888" spans="1:27" x14ac:dyDescent="0.25">
      <c r="A61888" s="8"/>
      <c r="B61888" s="8"/>
      <c r="C61888" s="99"/>
      <c r="D61888" s="8"/>
      <c r="E61888" s="8"/>
      <c r="F61888" s="8"/>
      <c r="G61888" s="8"/>
      <c r="H61888" s="8"/>
      <c r="I61888" s="102"/>
      <c r="J61888" s="8"/>
      <c r="K61888" s="8"/>
      <c r="L61888" s="8"/>
      <c r="M61888" s="8"/>
      <c r="N61888" s="8"/>
      <c r="O61888" s="8"/>
      <c r="P61888" s="8"/>
      <c r="Q61888" s="8"/>
      <c r="R61888" s="103"/>
      <c r="S61888" s="8"/>
      <c r="T61888" s="8"/>
      <c r="U61888" s="8"/>
      <c r="V61888" s="8"/>
      <c r="W61888" s="8"/>
      <c r="X61888" s="8"/>
      <c r="Y61888" s="8"/>
      <c r="Z61888" s="8"/>
      <c r="AA61888" s="8"/>
    </row>
    <row r="61889" spans="1:27" x14ac:dyDescent="0.25">
      <c r="A61889" s="8"/>
      <c r="B61889" s="8"/>
      <c r="C61889" s="99"/>
      <c r="D61889" s="8"/>
      <c r="E61889" s="8"/>
      <c r="F61889" s="8"/>
      <c r="G61889" s="8"/>
      <c r="H61889" s="8"/>
      <c r="I61889" s="102"/>
      <c r="J61889" s="8"/>
      <c r="K61889" s="8"/>
      <c r="L61889" s="8"/>
      <c r="M61889" s="8"/>
      <c r="N61889" s="8"/>
      <c r="O61889" s="8"/>
      <c r="P61889" s="8"/>
      <c r="Q61889" s="8"/>
      <c r="R61889" s="103"/>
      <c r="S61889" s="8"/>
      <c r="T61889" s="8"/>
      <c r="U61889" s="8"/>
      <c r="V61889" s="8"/>
      <c r="W61889" s="8"/>
      <c r="X61889" s="8"/>
      <c r="Y61889" s="8"/>
      <c r="Z61889" s="8"/>
      <c r="AA61889" s="8"/>
    </row>
    <row r="61890" spans="1:27" x14ac:dyDescent="0.25">
      <c r="A61890" s="8"/>
      <c r="B61890" s="8"/>
      <c r="C61890" s="99"/>
      <c r="D61890" s="8"/>
      <c r="E61890" s="8"/>
      <c r="F61890" s="8"/>
      <c r="G61890" s="8"/>
      <c r="H61890" s="8"/>
      <c r="I61890" s="102"/>
      <c r="J61890" s="8"/>
      <c r="K61890" s="8"/>
      <c r="L61890" s="8"/>
      <c r="M61890" s="8"/>
      <c r="N61890" s="8"/>
      <c r="O61890" s="8"/>
      <c r="P61890" s="8"/>
      <c r="Q61890" s="8"/>
      <c r="R61890" s="103"/>
      <c r="S61890" s="8"/>
      <c r="T61890" s="8"/>
      <c r="U61890" s="8"/>
      <c r="V61890" s="8"/>
      <c r="W61890" s="8"/>
      <c r="X61890" s="8"/>
      <c r="Y61890" s="8"/>
      <c r="Z61890" s="8"/>
      <c r="AA61890" s="8"/>
    </row>
    <row r="61891" spans="1:27" x14ac:dyDescent="0.25">
      <c r="A61891" s="8"/>
      <c r="B61891" s="8"/>
      <c r="C61891" s="99"/>
      <c r="D61891" s="8"/>
      <c r="E61891" s="8"/>
      <c r="F61891" s="8"/>
      <c r="G61891" s="8"/>
      <c r="H61891" s="8"/>
      <c r="I61891" s="102"/>
      <c r="J61891" s="8"/>
      <c r="K61891" s="8"/>
      <c r="L61891" s="8"/>
      <c r="M61891" s="8"/>
      <c r="N61891" s="8"/>
      <c r="O61891" s="8"/>
      <c r="P61891" s="8"/>
      <c r="Q61891" s="8"/>
      <c r="R61891" s="103"/>
      <c r="S61891" s="8"/>
      <c r="T61891" s="8"/>
      <c r="U61891" s="8"/>
      <c r="V61891" s="8"/>
      <c r="W61891" s="8"/>
      <c r="X61891" s="8"/>
      <c r="Y61891" s="8"/>
      <c r="Z61891" s="8"/>
      <c r="AA61891" s="8"/>
    </row>
    <row r="61892" spans="1:27" x14ac:dyDescent="0.25">
      <c r="A61892" s="8"/>
      <c r="B61892" s="8"/>
      <c r="C61892" s="99"/>
      <c r="D61892" s="8"/>
      <c r="E61892" s="8"/>
      <c r="F61892" s="8"/>
      <c r="G61892" s="8"/>
      <c r="H61892" s="8"/>
      <c r="I61892" s="102"/>
      <c r="J61892" s="8"/>
      <c r="K61892" s="8"/>
      <c r="L61892" s="8"/>
      <c r="M61892" s="8"/>
      <c r="N61892" s="8"/>
      <c r="O61892" s="8"/>
      <c r="P61892" s="8"/>
      <c r="Q61892" s="8"/>
      <c r="R61892" s="103"/>
      <c r="S61892" s="8"/>
      <c r="T61892" s="8"/>
      <c r="U61892" s="8"/>
      <c r="V61892" s="8"/>
      <c r="W61892" s="8"/>
      <c r="X61892" s="8"/>
      <c r="Y61892" s="8"/>
      <c r="Z61892" s="8"/>
      <c r="AA61892" s="8"/>
    </row>
    <row r="61893" spans="1:27" x14ac:dyDescent="0.25">
      <c r="A61893" s="8"/>
      <c r="B61893" s="8"/>
      <c r="C61893" s="99"/>
      <c r="D61893" s="8"/>
      <c r="E61893" s="8"/>
      <c r="F61893" s="8"/>
      <c r="G61893" s="8"/>
      <c r="H61893" s="8"/>
      <c r="I61893" s="102"/>
      <c r="J61893" s="8"/>
      <c r="K61893" s="8"/>
      <c r="L61893" s="8"/>
      <c r="M61893" s="8"/>
      <c r="N61893" s="8"/>
      <c r="O61893" s="8"/>
      <c r="P61893" s="8"/>
      <c r="Q61893" s="8"/>
      <c r="R61893" s="103"/>
      <c r="S61893" s="8"/>
      <c r="T61893" s="8"/>
      <c r="U61893" s="8"/>
      <c r="V61893" s="8"/>
      <c r="W61893" s="8"/>
      <c r="X61893" s="8"/>
      <c r="Y61893" s="8"/>
      <c r="Z61893" s="8"/>
      <c r="AA61893" s="8"/>
    </row>
    <row r="61894" spans="1:27" x14ac:dyDescent="0.25">
      <c r="A61894" s="8"/>
      <c r="B61894" s="8"/>
      <c r="C61894" s="99"/>
      <c r="D61894" s="8"/>
      <c r="E61894" s="8"/>
      <c r="F61894" s="8"/>
      <c r="G61894" s="8"/>
      <c r="H61894" s="8"/>
      <c r="I61894" s="102"/>
      <c r="J61894" s="8"/>
      <c r="K61894" s="8"/>
      <c r="L61894" s="8"/>
      <c r="M61894" s="8"/>
      <c r="N61894" s="8"/>
      <c r="O61894" s="8"/>
      <c r="P61894" s="8"/>
      <c r="Q61894" s="8"/>
      <c r="R61894" s="103"/>
      <c r="S61894" s="8"/>
      <c r="T61894" s="8"/>
      <c r="U61894" s="8"/>
      <c r="V61894" s="8"/>
      <c r="W61894" s="8"/>
      <c r="X61894" s="8"/>
      <c r="Y61894" s="8"/>
      <c r="Z61894" s="8"/>
      <c r="AA61894" s="8"/>
    </row>
    <row r="61895" spans="1:27" x14ac:dyDescent="0.25">
      <c r="A61895" s="8"/>
      <c r="B61895" s="8"/>
      <c r="C61895" s="99"/>
      <c r="D61895" s="8"/>
      <c r="E61895" s="8"/>
      <c r="F61895" s="8"/>
      <c r="G61895" s="8"/>
      <c r="H61895" s="8"/>
      <c r="I61895" s="102"/>
      <c r="J61895" s="8"/>
      <c r="K61895" s="8"/>
      <c r="L61895" s="8"/>
      <c r="M61895" s="8"/>
      <c r="N61895" s="8"/>
      <c r="O61895" s="8"/>
      <c r="P61895" s="8"/>
      <c r="Q61895" s="8"/>
      <c r="R61895" s="103"/>
      <c r="S61895" s="8"/>
      <c r="T61895" s="8"/>
      <c r="U61895" s="8"/>
      <c r="V61895" s="8"/>
      <c r="W61895" s="8"/>
      <c r="X61895" s="8"/>
      <c r="Y61895" s="8"/>
      <c r="Z61895" s="8"/>
      <c r="AA61895" s="8"/>
    </row>
    <row r="61896" spans="1:27" x14ac:dyDescent="0.25">
      <c r="A61896" s="8"/>
      <c r="B61896" s="8"/>
      <c r="C61896" s="99"/>
      <c r="D61896" s="8"/>
      <c r="E61896" s="8"/>
      <c r="F61896" s="8"/>
      <c r="G61896" s="8"/>
      <c r="H61896" s="8"/>
      <c r="I61896" s="102"/>
      <c r="J61896" s="8"/>
      <c r="K61896" s="8"/>
      <c r="L61896" s="8"/>
      <c r="M61896" s="8"/>
      <c r="N61896" s="8"/>
      <c r="O61896" s="8"/>
      <c r="P61896" s="8"/>
      <c r="Q61896" s="8"/>
      <c r="R61896" s="103"/>
      <c r="S61896" s="8"/>
      <c r="T61896" s="8"/>
      <c r="U61896" s="8"/>
      <c r="V61896" s="8"/>
      <c r="W61896" s="8"/>
      <c r="X61896" s="8"/>
      <c r="Y61896" s="8"/>
      <c r="Z61896" s="8"/>
      <c r="AA61896" s="8"/>
    </row>
    <row r="61897" spans="1:27" x14ac:dyDescent="0.25">
      <c r="A61897" s="8"/>
      <c r="B61897" s="8"/>
      <c r="C61897" s="99"/>
      <c r="D61897" s="8"/>
      <c r="E61897" s="8"/>
      <c r="F61897" s="8"/>
      <c r="G61897" s="8"/>
      <c r="H61897" s="8"/>
      <c r="I61897" s="102"/>
      <c r="J61897" s="8"/>
      <c r="K61897" s="8"/>
      <c r="L61897" s="8"/>
      <c r="M61897" s="8"/>
      <c r="N61897" s="8"/>
      <c r="O61897" s="8"/>
      <c r="P61897" s="8"/>
      <c r="Q61897" s="8"/>
      <c r="R61897" s="103"/>
      <c r="S61897" s="8"/>
      <c r="T61897" s="8"/>
      <c r="U61897" s="8"/>
      <c r="V61897" s="8"/>
      <c r="W61897" s="8"/>
      <c r="X61897" s="8"/>
      <c r="Y61897" s="8"/>
      <c r="Z61897" s="8"/>
      <c r="AA61897" s="8"/>
    </row>
    <row r="61898" spans="1:27" x14ac:dyDescent="0.25">
      <c r="A61898" s="8"/>
      <c r="B61898" s="8"/>
      <c r="C61898" s="99"/>
      <c r="D61898" s="8"/>
      <c r="E61898" s="8"/>
      <c r="F61898" s="8"/>
      <c r="G61898" s="8"/>
      <c r="H61898" s="8"/>
      <c r="I61898" s="102"/>
      <c r="J61898" s="8"/>
      <c r="K61898" s="8"/>
      <c r="L61898" s="8"/>
      <c r="M61898" s="8"/>
      <c r="N61898" s="8"/>
      <c r="O61898" s="8"/>
      <c r="P61898" s="8"/>
      <c r="Q61898" s="8"/>
      <c r="R61898" s="103"/>
      <c r="S61898" s="8"/>
      <c r="T61898" s="8"/>
      <c r="U61898" s="8"/>
      <c r="V61898" s="8"/>
      <c r="W61898" s="8"/>
      <c r="X61898" s="8"/>
      <c r="Y61898" s="8"/>
      <c r="Z61898" s="8"/>
      <c r="AA61898" s="8"/>
    </row>
    <row r="61899" spans="1:27" x14ac:dyDescent="0.25">
      <c r="A61899" s="8"/>
      <c r="B61899" s="8"/>
      <c r="C61899" s="99"/>
      <c r="D61899" s="8"/>
      <c r="E61899" s="8"/>
      <c r="F61899" s="8"/>
      <c r="G61899" s="8"/>
      <c r="H61899" s="8"/>
      <c r="I61899" s="102"/>
      <c r="J61899" s="8"/>
      <c r="K61899" s="8"/>
      <c r="L61899" s="8"/>
      <c r="M61899" s="8"/>
      <c r="N61899" s="8"/>
      <c r="O61899" s="8"/>
      <c r="P61899" s="8"/>
      <c r="Q61899" s="8"/>
      <c r="R61899" s="103"/>
      <c r="S61899" s="8"/>
      <c r="T61899" s="8"/>
      <c r="U61899" s="8"/>
      <c r="V61899" s="8"/>
      <c r="W61899" s="8"/>
      <c r="X61899" s="8"/>
      <c r="Y61899" s="8"/>
      <c r="Z61899" s="8"/>
      <c r="AA61899" s="8"/>
    </row>
    <row r="61900" spans="1:27" x14ac:dyDescent="0.25">
      <c r="A61900" s="8"/>
      <c r="B61900" s="8"/>
      <c r="C61900" s="99"/>
      <c r="D61900" s="8"/>
      <c r="E61900" s="8"/>
      <c r="F61900" s="8"/>
      <c r="G61900" s="8"/>
      <c r="H61900" s="8"/>
      <c r="I61900" s="102"/>
      <c r="J61900" s="8"/>
      <c r="K61900" s="8"/>
      <c r="L61900" s="8"/>
      <c r="M61900" s="8"/>
      <c r="N61900" s="8"/>
      <c r="O61900" s="8"/>
      <c r="P61900" s="8"/>
      <c r="Q61900" s="8"/>
      <c r="R61900" s="103"/>
      <c r="S61900" s="8"/>
      <c r="T61900" s="8"/>
      <c r="U61900" s="8"/>
      <c r="V61900" s="8"/>
      <c r="W61900" s="8"/>
      <c r="X61900" s="8"/>
      <c r="Y61900" s="8"/>
      <c r="Z61900" s="8"/>
      <c r="AA61900" s="8"/>
    </row>
    <row r="61901" spans="1:27" x14ac:dyDescent="0.25">
      <c r="A61901" s="8"/>
      <c r="B61901" s="8"/>
      <c r="C61901" s="99"/>
      <c r="D61901" s="8"/>
      <c r="E61901" s="8"/>
      <c r="F61901" s="8"/>
      <c r="G61901" s="8"/>
      <c r="H61901" s="8"/>
      <c r="I61901" s="102"/>
      <c r="J61901" s="8"/>
      <c r="K61901" s="8"/>
      <c r="L61901" s="8"/>
      <c r="M61901" s="8"/>
      <c r="N61901" s="8"/>
      <c r="O61901" s="8"/>
      <c r="P61901" s="8"/>
      <c r="Q61901" s="8"/>
      <c r="R61901" s="103"/>
      <c r="S61901" s="8"/>
      <c r="T61901" s="8"/>
      <c r="U61901" s="8"/>
      <c r="V61901" s="8"/>
      <c r="W61901" s="8"/>
      <c r="X61901" s="8"/>
      <c r="Y61901" s="8"/>
      <c r="Z61901" s="8"/>
      <c r="AA61901" s="8"/>
    </row>
    <row r="61902" spans="1:27" x14ac:dyDescent="0.25">
      <c r="A61902" s="8"/>
      <c r="B61902" s="8"/>
      <c r="C61902" s="99"/>
      <c r="D61902" s="8"/>
      <c r="E61902" s="8"/>
      <c r="F61902" s="8"/>
      <c r="G61902" s="8"/>
      <c r="H61902" s="8"/>
      <c r="I61902" s="102"/>
      <c r="J61902" s="8"/>
      <c r="K61902" s="8"/>
      <c r="L61902" s="8"/>
      <c r="M61902" s="8"/>
      <c r="N61902" s="8"/>
      <c r="O61902" s="8"/>
      <c r="P61902" s="8"/>
      <c r="Q61902" s="8"/>
      <c r="R61902" s="103"/>
      <c r="S61902" s="8"/>
      <c r="T61902" s="8"/>
      <c r="U61902" s="8"/>
      <c r="V61902" s="8"/>
      <c r="W61902" s="8"/>
      <c r="X61902" s="8"/>
      <c r="Y61902" s="8"/>
      <c r="Z61902" s="8"/>
      <c r="AA61902" s="8"/>
    </row>
    <row r="61903" spans="1:27" x14ac:dyDescent="0.25">
      <c r="A61903" s="8"/>
      <c r="B61903" s="8"/>
      <c r="C61903" s="99"/>
      <c r="D61903" s="8"/>
      <c r="E61903" s="8"/>
      <c r="F61903" s="8"/>
      <c r="G61903" s="8"/>
      <c r="H61903" s="8"/>
      <c r="I61903" s="102"/>
      <c r="J61903" s="8"/>
      <c r="K61903" s="8"/>
      <c r="L61903" s="8"/>
      <c r="M61903" s="8"/>
      <c r="N61903" s="8"/>
      <c r="O61903" s="8"/>
      <c r="P61903" s="8"/>
      <c r="Q61903" s="8"/>
      <c r="R61903" s="103"/>
      <c r="S61903" s="8"/>
      <c r="T61903" s="8"/>
      <c r="U61903" s="8"/>
      <c r="V61903" s="8"/>
      <c r="W61903" s="8"/>
      <c r="X61903" s="8"/>
      <c r="Y61903" s="8"/>
      <c r="Z61903" s="8"/>
      <c r="AA61903" s="8"/>
    </row>
    <row r="61904" spans="1:27" x14ac:dyDescent="0.25">
      <c r="A61904" s="8"/>
      <c r="B61904" s="8"/>
      <c r="C61904" s="99"/>
      <c r="D61904" s="8"/>
      <c r="E61904" s="8"/>
      <c r="F61904" s="8"/>
      <c r="G61904" s="8"/>
      <c r="H61904" s="8"/>
      <c r="I61904" s="102"/>
      <c r="J61904" s="8"/>
      <c r="K61904" s="8"/>
      <c r="L61904" s="8"/>
      <c r="M61904" s="8"/>
      <c r="N61904" s="8"/>
      <c r="O61904" s="8"/>
      <c r="P61904" s="8"/>
      <c r="Q61904" s="8"/>
      <c r="R61904" s="103"/>
      <c r="S61904" s="8"/>
      <c r="T61904" s="8"/>
      <c r="U61904" s="8"/>
      <c r="V61904" s="8"/>
      <c r="W61904" s="8"/>
      <c r="X61904" s="8"/>
      <c r="Y61904" s="8"/>
      <c r="Z61904" s="8"/>
      <c r="AA61904" s="8"/>
    </row>
    <row r="61905" spans="1:27" x14ac:dyDescent="0.25">
      <c r="A61905" s="8"/>
      <c r="B61905" s="8"/>
      <c r="C61905" s="99"/>
      <c r="D61905" s="8"/>
      <c r="E61905" s="8"/>
      <c r="F61905" s="8"/>
      <c r="G61905" s="8"/>
      <c r="H61905" s="8"/>
      <c r="I61905" s="102"/>
      <c r="J61905" s="8"/>
      <c r="K61905" s="8"/>
      <c r="L61905" s="8"/>
      <c r="M61905" s="8"/>
      <c r="N61905" s="8"/>
      <c r="O61905" s="8"/>
      <c r="P61905" s="8"/>
      <c r="Q61905" s="8"/>
      <c r="R61905" s="103"/>
      <c r="S61905" s="8"/>
      <c r="T61905" s="8"/>
      <c r="U61905" s="8"/>
      <c r="V61905" s="8"/>
      <c r="W61905" s="8"/>
      <c r="X61905" s="8"/>
      <c r="Y61905" s="8"/>
      <c r="Z61905" s="8"/>
      <c r="AA61905" s="8"/>
    </row>
    <row r="61906" spans="1:27" x14ac:dyDescent="0.25">
      <c r="A61906" s="8"/>
      <c r="B61906" s="8"/>
      <c r="C61906" s="99"/>
      <c r="D61906" s="8"/>
      <c r="E61906" s="8"/>
      <c r="F61906" s="8"/>
      <c r="G61906" s="8"/>
      <c r="H61906" s="8"/>
      <c r="I61906" s="102"/>
      <c r="J61906" s="8"/>
      <c r="K61906" s="8"/>
      <c r="L61906" s="8"/>
      <c r="M61906" s="8"/>
      <c r="N61906" s="8"/>
      <c r="O61906" s="8"/>
      <c r="P61906" s="8"/>
      <c r="Q61906" s="8"/>
      <c r="R61906" s="103"/>
      <c r="S61906" s="8"/>
      <c r="T61906" s="8"/>
      <c r="U61906" s="8"/>
      <c r="V61906" s="8"/>
      <c r="W61906" s="8"/>
      <c r="X61906" s="8"/>
      <c r="Y61906" s="8"/>
      <c r="Z61906" s="8"/>
      <c r="AA61906" s="8"/>
    </row>
    <row r="61907" spans="1:27" x14ac:dyDescent="0.25">
      <c r="A61907" s="8"/>
      <c r="B61907" s="8"/>
      <c r="C61907" s="99"/>
      <c r="D61907" s="8"/>
      <c r="E61907" s="8"/>
      <c r="F61907" s="8"/>
      <c r="G61907" s="8"/>
      <c r="H61907" s="8"/>
      <c r="I61907" s="102"/>
      <c r="J61907" s="8"/>
      <c r="K61907" s="8"/>
      <c r="L61907" s="8"/>
      <c r="M61907" s="8"/>
      <c r="N61907" s="8"/>
      <c r="O61907" s="8"/>
      <c r="P61907" s="8"/>
      <c r="Q61907" s="8"/>
      <c r="R61907" s="103"/>
      <c r="S61907" s="8"/>
      <c r="T61907" s="8"/>
      <c r="U61907" s="8"/>
      <c r="V61907" s="8"/>
      <c r="W61907" s="8"/>
      <c r="X61907" s="8"/>
      <c r="Y61907" s="8"/>
      <c r="Z61907" s="8"/>
      <c r="AA61907" s="8"/>
    </row>
    <row r="61908" spans="1:27" x14ac:dyDescent="0.25">
      <c r="A61908" s="8"/>
      <c r="B61908" s="8"/>
      <c r="C61908" s="99"/>
      <c r="D61908" s="8"/>
      <c r="E61908" s="8"/>
      <c r="F61908" s="8"/>
      <c r="G61908" s="8"/>
      <c r="H61908" s="8"/>
      <c r="I61908" s="102"/>
      <c r="J61908" s="8"/>
      <c r="K61908" s="8"/>
      <c r="L61908" s="8"/>
      <c r="M61908" s="8"/>
      <c r="N61908" s="8"/>
      <c r="O61908" s="8"/>
      <c r="P61908" s="8"/>
      <c r="Q61908" s="8"/>
      <c r="R61908" s="103"/>
      <c r="S61908" s="8"/>
      <c r="T61908" s="8"/>
      <c r="U61908" s="8"/>
      <c r="V61908" s="8"/>
      <c r="W61908" s="8"/>
      <c r="X61908" s="8"/>
      <c r="Y61908" s="8"/>
      <c r="Z61908" s="8"/>
      <c r="AA61908" s="8"/>
    </row>
    <row r="61909" spans="1:27" x14ac:dyDescent="0.25">
      <c r="A61909" s="8"/>
      <c r="B61909" s="8"/>
      <c r="C61909" s="99"/>
      <c r="D61909" s="8"/>
      <c r="E61909" s="8"/>
      <c r="F61909" s="8"/>
      <c r="G61909" s="8"/>
      <c r="H61909" s="8"/>
      <c r="I61909" s="102"/>
      <c r="J61909" s="8"/>
      <c r="K61909" s="8"/>
      <c r="L61909" s="8"/>
      <c r="M61909" s="8"/>
      <c r="N61909" s="8"/>
      <c r="O61909" s="8"/>
      <c r="P61909" s="8"/>
      <c r="Q61909" s="8"/>
      <c r="R61909" s="103"/>
      <c r="S61909" s="8"/>
      <c r="T61909" s="8"/>
      <c r="U61909" s="8"/>
      <c r="V61909" s="8"/>
      <c r="W61909" s="8"/>
      <c r="X61909" s="8"/>
      <c r="Y61909" s="8"/>
      <c r="Z61909" s="8"/>
      <c r="AA61909" s="8"/>
    </row>
    <row r="61910" spans="1:27" x14ac:dyDescent="0.25">
      <c r="A61910" s="8"/>
      <c r="B61910" s="8"/>
      <c r="C61910" s="99"/>
      <c r="D61910" s="8"/>
      <c r="E61910" s="8"/>
      <c r="F61910" s="8"/>
      <c r="G61910" s="8"/>
      <c r="H61910" s="8"/>
      <c r="I61910" s="102"/>
      <c r="J61910" s="8"/>
      <c r="K61910" s="8"/>
      <c r="L61910" s="8"/>
      <c r="M61910" s="8"/>
      <c r="N61910" s="8"/>
      <c r="O61910" s="8"/>
      <c r="P61910" s="8"/>
      <c r="Q61910" s="8"/>
      <c r="R61910" s="103"/>
      <c r="S61910" s="8"/>
      <c r="T61910" s="8"/>
      <c r="U61910" s="8"/>
      <c r="V61910" s="8"/>
      <c r="W61910" s="8"/>
      <c r="X61910" s="8"/>
      <c r="Y61910" s="8"/>
      <c r="Z61910" s="8"/>
      <c r="AA61910" s="8"/>
    </row>
    <row r="61911" spans="1:27" x14ac:dyDescent="0.25">
      <c r="A61911" s="8"/>
      <c r="B61911" s="8"/>
      <c r="C61911" s="99"/>
      <c r="D61911" s="8"/>
      <c r="E61911" s="8"/>
      <c r="F61911" s="8"/>
      <c r="G61911" s="8"/>
      <c r="H61911" s="8"/>
      <c r="I61911" s="102"/>
      <c r="J61911" s="8"/>
      <c r="K61911" s="8"/>
      <c r="L61911" s="8"/>
      <c r="M61911" s="8"/>
      <c r="N61911" s="8"/>
      <c r="O61911" s="8"/>
      <c r="P61911" s="8"/>
      <c r="Q61911" s="8"/>
      <c r="R61911" s="103"/>
      <c r="S61911" s="8"/>
      <c r="T61911" s="8"/>
      <c r="U61911" s="8"/>
      <c r="V61911" s="8"/>
      <c r="W61911" s="8"/>
      <c r="X61911" s="8"/>
      <c r="Y61911" s="8"/>
      <c r="Z61911" s="8"/>
      <c r="AA61911" s="8"/>
    </row>
    <row r="61912" spans="1:27" x14ac:dyDescent="0.25">
      <c r="A61912" s="8"/>
      <c r="B61912" s="8"/>
      <c r="C61912" s="99"/>
      <c r="D61912" s="8"/>
      <c r="E61912" s="8"/>
      <c r="F61912" s="8"/>
      <c r="G61912" s="8"/>
      <c r="H61912" s="8"/>
      <c r="I61912" s="102"/>
      <c r="J61912" s="8"/>
      <c r="K61912" s="8"/>
      <c r="L61912" s="8"/>
      <c r="M61912" s="8"/>
      <c r="N61912" s="8"/>
      <c r="O61912" s="8"/>
      <c r="P61912" s="8"/>
      <c r="Q61912" s="8"/>
      <c r="R61912" s="103"/>
      <c r="S61912" s="8"/>
      <c r="T61912" s="8"/>
      <c r="U61912" s="8"/>
      <c r="V61912" s="8"/>
      <c r="W61912" s="8"/>
      <c r="X61912" s="8"/>
      <c r="Y61912" s="8"/>
      <c r="Z61912" s="8"/>
      <c r="AA61912" s="8"/>
    </row>
    <row r="61913" spans="1:27" x14ac:dyDescent="0.25">
      <c r="A61913" s="8"/>
      <c r="B61913" s="8"/>
      <c r="C61913" s="99"/>
      <c r="D61913" s="8"/>
      <c r="E61913" s="8"/>
      <c r="F61913" s="8"/>
      <c r="G61913" s="8"/>
      <c r="H61913" s="8"/>
      <c r="I61913" s="102"/>
      <c r="J61913" s="8"/>
      <c r="K61913" s="8"/>
      <c r="L61913" s="8"/>
      <c r="M61913" s="8"/>
      <c r="N61913" s="8"/>
      <c r="O61913" s="8"/>
      <c r="P61913" s="8"/>
      <c r="Q61913" s="8"/>
      <c r="R61913" s="103"/>
      <c r="S61913" s="8"/>
      <c r="T61913" s="8"/>
      <c r="U61913" s="8"/>
      <c r="V61913" s="8"/>
      <c r="W61913" s="8"/>
      <c r="X61913" s="8"/>
      <c r="Y61913" s="8"/>
      <c r="Z61913" s="8"/>
      <c r="AA61913" s="8"/>
    </row>
    <row r="61914" spans="1:27" x14ac:dyDescent="0.25">
      <c r="A61914" s="8"/>
      <c r="B61914" s="8"/>
      <c r="C61914" s="99"/>
      <c r="D61914" s="8"/>
      <c r="E61914" s="8"/>
      <c r="F61914" s="8"/>
      <c r="G61914" s="8"/>
      <c r="H61914" s="8"/>
      <c r="I61914" s="102"/>
      <c r="J61914" s="8"/>
      <c r="K61914" s="8"/>
      <c r="L61914" s="8"/>
      <c r="M61914" s="8"/>
      <c r="N61914" s="8"/>
      <c r="O61914" s="8"/>
      <c r="P61914" s="8"/>
      <c r="Q61914" s="8"/>
      <c r="R61914" s="103"/>
      <c r="S61914" s="8"/>
      <c r="T61914" s="8"/>
      <c r="U61914" s="8"/>
      <c r="V61914" s="8"/>
      <c r="W61914" s="8"/>
      <c r="X61914" s="8"/>
      <c r="Y61914" s="8"/>
      <c r="Z61914" s="8"/>
      <c r="AA61914" s="8"/>
    </row>
    <row r="61915" spans="1:27" x14ac:dyDescent="0.25">
      <c r="A61915" s="8"/>
      <c r="B61915" s="8"/>
      <c r="C61915" s="99"/>
      <c r="D61915" s="8"/>
      <c r="E61915" s="8"/>
      <c r="F61915" s="8"/>
      <c r="G61915" s="8"/>
      <c r="H61915" s="8"/>
      <c r="I61915" s="102"/>
      <c r="J61915" s="8"/>
      <c r="K61915" s="8"/>
      <c r="L61915" s="8"/>
      <c r="M61915" s="8"/>
      <c r="N61915" s="8"/>
      <c r="O61915" s="8"/>
      <c r="P61915" s="8"/>
      <c r="Q61915" s="8"/>
      <c r="R61915" s="103"/>
      <c r="S61915" s="8"/>
      <c r="T61915" s="8"/>
      <c r="U61915" s="8"/>
      <c r="V61915" s="8"/>
      <c r="W61915" s="8"/>
      <c r="X61915" s="8"/>
      <c r="Y61915" s="8"/>
      <c r="Z61915" s="8"/>
      <c r="AA61915" s="8"/>
    </row>
    <row r="61916" spans="1:27" x14ac:dyDescent="0.25">
      <c r="A61916" s="8"/>
      <c r="B61916" s="8"/>
      <c r="C61916" s="99"/>
      <c r="D61916" s="8"/>
      <c r="E61916" s="8"/>
      <c r="F61916" s="8"/>
      <c r="G61916" s="8"/>
      <c r="H61916" s="8"/>
      <c r="I61916" s="102"/>
      <c r="J61916" s="8"/>
      <c r="K61916" s="8"/>
      <c r="L61916" s="8"/>
      <c r="M61916" s="8"/>
      <c r="N61916" s="8"/>
      <c r="O61916" s="8"/>
      <c r="P61916" s="8"/>
      <c r="Q61916" s="8"/>
      <c r="R61916" s="103"/>
      <c r="S61916" s="8"/>
      <c r="T61916" s="8"/>
      <c r="U61916" s="8"/>
      <c r="V61916" s="8"/>
      <c r="W61916" s="8"/>
      <c r="X61916" s="8"/>
      <c r="Y61916" s="8"/>
      <c r="Z61916" s="8"/>
      <c r="AA61916" s="8"/>
    </row>
    <row r="61917" spans="1:27" x14ac:dyDescent="0.25">
      <c r="A61917" s="8"/>
      <c r="B61917" s="8"/>
      <c r="C61917" s="99"/>
      <c r="D61917" s="8"/>
      <c r="E61917" s="8"/>
      <c r="F61917" s="8"/>
      <c r="G61917" s="8"/>
      <c r="H61917" s="8"/>
      <c r="I61917" s="102"/>
      <c r="J61917" s="8"/>
      <c r="K61917" s="8"/>
      <c r="L61917" s="8"/>
      <c r="M61917" s="8"/>
      <c r="N61917" s="8"/>
      <c r="O61917" s="8"/>
      <c r="P61917" s="8"/>
      <c r="Q61917" s="8"/>
      <c r="R61917" s="103"/>
      <c r="S61917" s="8"/>
      <c r="T61917" s="8"/>
      <c r="U61917" s="8"/>
      <c r="V61917" s="8"/>
      <c r="W61917" s="8"/>
      <c r="X61917" s="8"/>
      <c r="Y61917" s="8"/>
      <c r="Z61917" s="8"/>
      <c r="AA61917" s="8"/>
    </row>
    <row r="61918" spans="1:27" x14ac:dyDescent="0.25">
      <c r="A61918" s="8"/>
      <c r="B61918" s="8"/>
      <c r="C61918" s="99"/>
      <c r="D61918" s="8"/>
      <c r="E61918" s="8"/>
      <c r="F61918" s="8"/>
      <c r="G61918" s="8"/>
      <c r="H61918" s="8"/>
      <c r="I61918" s="102"/>
      <c r="J61918" s="8"/>
      <c r="K61918" s="8"/>
      <c r="L61918" s="8"/>
      <c r="M61918" s="8"/>
      <c r="N61918" s="8"/>
      <c r="O61918" s="8"/>
      <c r="P61918" s="8"/>
      <c r="Q61918" s="8"/>
      <c r="R61918" s="103"/>
      <c r="S61918" s="8"/>
      <c r="T61918" s="8"/>
      <c r="U61918" s="8"/>
      <c r="V61918" s="8"/>
      <c r="W61918" s="8"/>
      <c r="X61918" s="8"/>
      <c r="Y61918" s="8"/>
      <c r="Z61918" s="8"/>
      <c r="AA61918" s="8"/>
    </row>
    <row r="61919" spans="1:27" x14ac:dyDescent="0.25">
      <c r="A61919" s="8"/>
      <c r="B61919" s="8"/>
      <c r="C61919" s="99"/>
      <c r="D61919" s="8"/>
      <c r="E61919" s="8"/>
      <c r="F61919" s="8"/>
      <c r="G61919" s="8"/>
      <c r="H61919" s="8"/>
      <c r="I61919" s="102"/>
      <c r="J61919" s="8"/>
      <c r="K61919" s="8"/>
      <c r="L61919" s="8"/>
      <c r="M61919" s="8"/>
      <c r="N61919" s="8"/>
      <c r="O61919" s="8"/>
      <c r="P61919" s="8"/>
      <c r="Q61919" s="8"/>
      <c r="R61919" s="103"/>
      <c r="S61919" s="8"/>
      <c r="T61919" s="8"/>
      <c r="U61919" s="8"/>
      <c r="V61919" s="8"/>
      <c r="W61919" s="8"/>
      <c r="X61919" s="8"/>
      <c r="Y61919" s="8"/>
      <c r="Z61919" s="8"/>
      <c r="AA61919" s="8"/>
    </row>
    <row r="61920" spans="1:27" x14ac:dyDescent="0.25">
      <c r="A61920" s="8"/>
      <c r="B61920" s="8"/>
      <c r="C61920" s="99"/>
      <c r="D61920" s="8"/>
      <c r="E61920" s="8"/>
      <c r="F61920" s="8"/>
      <c r="G61920" s="8"/>
      <c r="H61920" s="8"/>
      <c r="I61920" s="102"/>
      <c r="J61920" s="8"/>
      <c r="K61920" s="8"/>
      <c r="L61920" s="8"/>
      <c r="M61920" s="8"/>
      <c r="N61920" s="8"/>
      <c r="O61920" s="8"/>
      <c r="P61920" s="8"/>
      <c r="Q61920" s="8"/>
      <c r="R61920" s="103"/>
      <c r="S61920" s="8"/>
      <c r="T61920" s="8"/>
      <c r="U61920" s="8"/>
      <c r="V61920" s="8"/>
      <c r="W61920" s="8"/>
      <c r="X61920" s="8"/>
      <c r="Y61920" s="8"/>
      <c r="Z61920" s="8"/>
      <c r="AA61920" s="8"/>
    </row>
    <row r="61921" spans="1:27" x14ac:dyDescent="0.25">
      <c r="A61921" s="8"/>
      <c r="B61921" s="8"/>
      <c r="C61921" s="99"/>
      <c r="D61921" s="8"/>
      <c r="E61921" s="8"/>
      <c r="F61921" s="8"/>
      <c r="G61921" s="8"/>
      <c r="H61921" s="8"/>
      <c r="I61921" s="102"/>
      <c r="J61921" s="8"/>
      <c r="K61921" s="8"/>
      <c r="L61921" s="8"/>
      <c r="M61921" s="8"/>
      <c r="N61921" s="8"/>
      <c r="O61921" s="8"/>
      <c r="P61921" s="8"/>
      <c r="Q61921" s="8"/>
      <c r="R61921" s="103"/>
      <c r="S61921" s="8"/>
      <c r="T61921" s="8"/>
      <c r="U61921" s="8"/>
      <c r="V61921" s="8"/>
      <c r="W61921" s="8"/>
      <c r="X61921" s="8"/>
      <c r="Y61921" s="8"/>
      <c r="Z61921" s="8"/>
      <c r="AA61921" s="8"/>
    </row>
    <row r="61922" spans="1:27" x14ac:dyDescent="0.25">
      <c r="A61922" s="8"/>
      <c r="B61922" s="8"/>
      <c r="C61922" s="99"/>
      <c r="D61922" s="8"/>
      <c r="E61922" s="8"/>
      <c r="F61922" s="8"/>
      <c r="G61922" s="8"/>
      <c r="H61922" s="8"/>
      <c r="I61922" s="102"/>
      <c r="J61922" s="8"/>
      <c r="K61922" s="8"/>
      <c r="L61922" s="8"/>
      <c r="M61922" s="8"/>
      <c r="N61922" s="8"/>
      <c r="O61922" s="8"/>
      <c r="P61922" s="8"/>
      <c r="Q61922" s="8"/>
      <c r="R61922" s="103"/>
      <c r="S61922" s="8"/>
      <c r="T61922" s="8"/>
      <c r="U61922" s="8"/>
      <c r="V61922" s="8"/>
      <c r="W61922" s="8"/>
      <c r="X61922" s="8"/>
      <c r="Y61922" s="8"/>
      <c r="Z61922" s="8"/>
      <c r="AA61922" s="8"/>
    </row>
    <row r="61923" spans="1:27" x14ac:dyDescent="0.25">
      <c r="A61923" s="8"/>
      <c r="B61923" s="8"/>
      <c r="C61923" s="99"/>
      <c r="D61923" s="8"/>
      <c r="E61923" s="8"/>
      <c r="F61923" s="8"/>
      <c r="G61923" s="8"/>
      <c r="H61923" s="8"/>
      <c r="I61923" s="102"/>
      <c r="J61923" s="8"/>
      <c r="K61923" s="8"/>
      <c r="L61923" s="8"/>
      <c r="M61923" s="8"/>
      <c r="N61923" s="8"/>
      <c r="O61923" s="8"/>
      <c r="P61923" s="8"/>
      <c r="Q61923" s="8"/>
      <c r="R61923" s="103"/>
      <c r="S61923" s="8"/>
      <c r="T61923" s="8"/>
      <c r="U61923" s="8"/>
      <c r="V61923" s="8"/>
      <c r="W61923" s="8"/>
      <c r="X61923" s="8"/>
      <c r="Y61923" s="8"/>
      <c r="Z61923" s="8"/>
      <c r="AA61923" s="8"/>
    </row>
    <row r="61924" spans="1:27" x14ac:dyDescent="0.25">
      <c r="A61924" s="8"/>
      <c r="B61924" s="8"/>
      <c r="C61924" s="99"/>
      <c r="D61924" s="8"/>
      <c r="E61924" s="8"/>
      <c r="F61924" s="8"/>
      <c r="G61924" s="8"/>
      <c r="H61924" s="8"/>
      <c r="I61924" s="102"/>
      <c r="J61924" s="8"/>
      <c r="K61924" s="8"/>
      <c r="L61924" s="8"/>
      <c r="M61924" s="8"/>
      <c r="N61924" s="8"/>
      <c r="O61924" s="8"/>
      <c r="P61924" s="8"/>
      <c r="Q61924" s="8"/>
      <c r="R61924" s="103"/>
      <c r="S61924" s="8"/>
      <c r="T61924" s="8"/>
      <c r="U61924" s="8"/>
      <c r="V61924" s="8"/>
      <c r="W61924" s="8"/>
      <c r="X61924" s="8"/>
      <c r="Y61924" s="8"/>
      <c r="Z61924" s="8"/>
      <c r="AA61924" s="8"/>
    </row>
    <row r="61925" spans="1:27" x14ac:dyDescent="0.25">
      <c r="A61925" s="8"/>
      <c r="B61925" s="8"/>
      <c r="C61925" s="99"/>
      <c r="D61925" s="8"/>
      <c r="E61925" s="8"/>
      <c r="F61925" s="8"/>
      <c r="G61925" s="8"/>
      <c r="H61925" s="8"/>
      <c r="I61925" s="102"/>
      <c r="J61925" s="8"/>
      <c r="K61925" s="8"/>
      <c r="L61925" s="8"/>
      <c r="M61925" s="8"/>
      <c r="N61925" s="8"/>
      <c r="O61925" s="8"/>
      <c r="P61925" s="8"/>
      <c r="Q61925" s="8"/>
      <c r="R61925" s="103"/>
      <c r="S61925" s="8"/>
      <c r="T61925" s="8"/>
      <c r="U61925" s="8"/>
      <c r="V61925" s="8"/>
      <c r="W61925" s="8"/>
      <c r="X61925" s="8"/>
      <c r="Y61925" s="8"/>
      <c r="Z61925" s="8"/>
      <c r="AA61925" s="8"/>
    </row>
    <row r="61926" spans="1:27" x14ac:dyDescent="0.25">
      <c r="A61926" s="8"/>
      <c r="B61926" s="8"/>
      <c r="C61926" s="99"/>
      <c r="D61926" s="8"/>
      <c r="E61926" s="8"/>
      <c r="F61926" s="8"/>
      <c r="G61926" s="8"/>
      <c r="H61926" s="8"/>
      <c r="I61926" s="102"/>
      <c r="J61926" s="8"/>
      <c r="K61926" s="8"/>
      <c r="L61926" s="8"/>
      <c r="M61926" s="8"/>
      <c r="N61926" s="8"/>
      <c r="O61926" s="8"/>
      <c r="P61926" s="8"/>
      <c r="Q61926" s="8"/>
      <c r="R61926" s="103"/>
      <c r="S61926" s="8"/>
      <c r="T61926" s="8"/>
      <c r="U61926" s="8"/>
      <c r="V61926" s="8"/>
      <c r="W61926" s="8"/>
      <c r="X61926" s="8"/>
      <c r="Y61926" s="8"/>
      <c r="Z61926" s="8"/>
      <c r="AA61926" s="8"/>
    </row>
    <row r="61927" spans="1:27" x14ac:dyDescent="0.25">
      <c r="A61927" s="8"/>
      <c r="B61927" s="8"/>
      <c r="C61927" s="99"/>
      <c r="D61927" s="8"/>
      <c r="E61927" s="8"/>
      <c r="F61927" s="8"/>
      <c r="G61927" s="8"/>
      <c r="H61927" s="8"/>
      <c r="I61927" s="102"/>
      <c r="J61927" s="8"/>
      <c r="K61927" s="8"/>
      <c r="L61927" s="8"/>
      <c r="M61927" s="8"/>
      <c r="N61927" s="8"/>
      <c r="O61927" s="8"/>
      <c r="P61927" s="8"/>
      <c r="Q61927" s="8"/>
      <c r="R61927" s="103"/>
      <c r="S61927" s="8"/>
      <c r="T61927" s="8"/>
      <c r="U61927" s="8"/>
      <c r="V61927" s="8"/>
      <c r="W61927" s="8"/>
      <c r="X61927" s="8"/>
      <c r="Y61927" s="8"/>
      <c r="Z61927" s="8"/>
      <c r="AA61927" s="8"/>
    </row>
    <row r="61928" spans="1:27" x14ac:dyDescent="0.25">
      <c r="A61928" s="8"/>
      <c r="B61928" s="8"/>
      <c r="C61928" s="99"/>
      <c r="D61928" s="8"/>
      <c r="E61928" s="8"/>
      <c r="F61928" s="8"/>
      <c r="G61928" s="8"/>
      <c r="H61928" s="8"/>
      <c r="I61928" s="102"/>
      <c r="J61928" s="8"/>
      <c r="K61928" s="8"/>
      <c r="L61928" s="8"/>
      <c r="M61928" s="8"/>
      <c r="N61928" s="8"/>
      <c r="O61928" s="8"/>
      <c r="P61928" s="8"/>
      <c r="Q61928" s="8"/>
      <c r="R61928" s="103"/>
      <c r="S61928" s="8"/>
      <c r="T61928" s="8"/>
      <c r="U61928" s="8"/>
      <c r="V61928" s="8"/>
      <c r="W61928" s="8"/>
      <c r="X61928" s="8"/>
      <c r="Y61928" s="8"/>
      <c r="Z61928" s="8"/>
      <c r="AA61928" s="8"/>
    </row>
    <row r="61929" spans="1:27" x14ac:dyDescent="0.25">
      <c r="A61929" s="8"/>
      <c r="B61929" s="8"/>
      <c r="C61929" s="99"/>
      <c r="D61929" s="8"/>
      <c r="E61929" s="8"/>
      <c r="F61929" s="8"/>
      <c r="G61929" s="8"/>
      <c r="H61929" s="8"/>
      <c r="I61929" s="102"/>
      <c r="J61929" s="8"/>
      <c r="K61929" s="8"/>
      <c r="L61929" s="8"/>
      <c r="M61929" s="8"/>
      <c r="N61929" s="8"/>
      <c r="O61929" s="8"/>
      <c r="P61929" s="8"/>
      <c r="Q61929" s="8"/>
      <c r="R61929" s="103"/>
      <c r="S61929" s="8"/>
      <c r="T61929" s="8"/>
      <c r="U61929" s="8"/>
      <c r="V61929" s="8"/>
      <c r="W61929" s="8"/>
      <c r="X61929" s="8"/>
      <c r="Y61929" s="8"/>
      <c r="Z61929" s="8"/>
      <c r="AA61929" s="8"/>
    </row>
    <row r="61930" spans="1:27" x14ac:dyDescent="0.25">
      <c r="A61930" s="8"/>
      <c r="B61930" s="8"/>
      <c r="C61930" s="99"/>
      <c r="D61930" s="8"/>
      <c r="E61930" s="8"/>
      <c r="F61930" s="8"/>
      <c r="G61930" s="8"/>
      <c r="H61930" s="8"/>
      <c r="I61930" s="102"/>
      <c r="J61930" s="8"/>
      <c r="K61930" s="8"/>
      <c r="L61930" s="8"/>
      <c r="M61930" s="8"/>
      <c r="N61930" s="8"/>
      <c r="O61930" s="8"/>
      <c r="P61930" s="8"/>
      <c r="Q61930" s="8"/>
      <c r="R61930" s="103"/>
      <c r="S61930" s="8"/>
      <c r="T61930" s="8"/>
      <c r="U61930" s="8"/>
      <c r="V61930" s="8"/>
      <c r="W61930" s="8"/>
      <c r="X61930" s="8"/>
      <c r="Y61930" s="8"/>
      <c r="Z61930" s="8"/>
      <c r="AA61930" s="8"/>
    </row>
    <row r="61931" spans="1:27" x14ac:dyDescent="0.25">
      <c r="A61931" s="8"/>
      <c r="B61931" s="8"/>
      <c r="C61931" s="99"/>
      <c r="D61931" s="8"/>
      <c r="E61931" s="8"/>
      <c r="F61931" s="8"/>
      <c r="G61931" s="8"/>
      <c r="H61931" s="8"/>
      <c r="I61931" s="102"/>
      <c r="J61931" s="8"/>
      <c r="K61931" s="8"/>
      <c r="L61931" s="8"/>
      <c r="M61931" s="8"/>
      <c r="N61931" s="8"/>
      <c r="O61931" s="8"/>
      <c r="P61931" s="8"/>
      <c r="Q61931" s="8"/>
      <c r="R61931" s="103"/>
      <c r="S61931" s="8"/>
      <c r="T61931" s="8"/>
      <c r="U61931" s="8"/>
      <c r="V61931" s="8"/>
      <c r="W61931" s="8"/>
      <c r="X61931" s="8"/>
      <c r="Y61931" s="8"/>
      <c r="Z61931" s="8"/>
      <c r="AA61931" s="8"/>
    </row>
    <row r="61932" spans="1:27" x14ac:dyDescent="0.25">
      <c r="A61932" s="8"/>
      <c r="B61932" s="8"/>
      <c r="C61932" s="99"/>
      <c r="D61932" s="8"/>
      <c r="E61932" s="8"/>
      <c r="F61932" s="8"/>
      <c r="G61932" s="8"/>
      <c r="H61932" s="8"/>
      <c r="I61932" s="102"/>
      <c r="J61932" s="8"/>
      <c r="K61932" s="8"/>
      <c r="L61932" s="8"/>
      <c r="M61932" s="8"/>
      <c r="N61932" s="8"/>
      <c r="O61932" s="8"/>
      <c r="P61932" s="8"/>
      <c r="Q61932" s="8"/>
      <c r="R61932" s="103"/>
      <c r="S61932" s="8"/>
      <c r="T61932" s="8"/>
      <c r="U61932" s="8"/>
      <c r="V61932" s="8"/>
      <c r="W61932" s="8"/>
      <c r="X61932" s="8"/>
      <c r="Y61932" s="8"/>
      <c r="Z61932" s="8"/>
      <c r="AA61932" s="8"/>
    </row>
    <row r="61933" spans="1:27" x14ac:dyDescent="0.25">
      <c r="A61933" s="8"/>
      <c r="B61933" s="8"/>
      <c r="C61933" s="99"/>
      <c r="D61933" s="8"/>
      <c r="E61933" s="8"/>
      <c r="F61933" s="8"/>
      <c r="G61933" s="8"/>
      <c r="H61933" s="8"/>
      <c r="I61933" s="102"/>
      <c r="J61933" s="8"/>
      <c r="K61933" s="8"/>
      <c r="L61933" s="8"/>
      <c r="M61933" s="8"/>
      <c r="N61933" s="8"/>
      <c r="O61933" s="8"/>
      <c r="P61933" s="8"/>
      <c r="Q61933" s="8"/>
      <c r="R61933" s="103"/>
      <c r="S61933" s="8"/>
      <c r="T61933" s="8"/>
      <c r="U61933" s="8"/>
      <c r="V61933" s="8"/>
      <c r="W61933" s="8"/>
      <c r="X61933" s="8"/>
      <c r="Y61933" s="8"/>
      <c r="Z61933" s="8"/>
      <c r="AA61933" s="8"/>
    </row>
    <row r="61934" spans="1:27" x14ac:dyDescent="0.25">
      <c r="A61934" s="8"/>
      <c r="B61934" s="8"/>
      <c r="C61934" s="99"/>
      <c r="D61934" s="8"/>
      <c r="E61934" s="8"/>
      <c r="F61934" s="8"/>
      <c r="G61934" s="8"/>
      <c r="H61934" s="8"/>
      <c r="I61934" s="102"/>
      <c r="J61934" s="8"/>
      <c r="K61934" s="8"/>
      <c r="L61934" s="8"/>
      <c r="M61934" s="8"/>
      <c r="N61934" s="8"/>
      <c r="O61934" s="8"/>
      <c r="P61934" s="8"/>
      <c r="Q61934" s="8"/>
      <c r="R61934" s="103"/>
      <c r="S61934" s="8"/>
      <c r="T61934" s="8"/>
      <c r="U61934" s="8"/>
      <c r="V61934" s="8"/>
      <c r="W61934" s="8"/>
      <c r="X61934" s="8"/>
      <c r="Y61934" s="8"/>
      <c r="Z61934" s="8"/>
      <c r="AA61934" s="8"/>
    </row>
    <row r="61935" spans="1:27" x14ac:dyDescent="0.25">
      <c r="A61935" s="8"/>
      <c r="B61935" s="8"/>
      <c r="C61935" s="99"/>
      <c r="D61935" s="8"/>
      <c r="E61935" s="8"/>
      <c r="F61935" s="8"/>
      <c r="G61935" s="8"/>
      <c r="H61935" s="8"/>
      <c r="I61935" s="102"/>
      <c r="J61935" s="8"/>
      <c r="K61935" s="8"/>
      <c r="L61935" s="8"/>
      <c r="M61935" s="8"/>
      <c r="N61935" s="8"/>
      <c r="O61935" s="8"/>
      <c r="P61935" s="8"/>
      <c r="Q61935" s="8"/>
      <c r="R61935" s="103"/>
      <c r="S61935" s="8"/>
      <c r="T61935" s="8"/>
      <c r="U61935" s="8"/>
      <c r="V61935" s="8"/>
      <c r="W61935" s="8"/>
      <c r="X61935" s="8"/>
      <c r="Y61935" s="8"/>
      <c r="Z61935" s="8"/>
      <c r="AA61935" s="8"/>
    </row>
    <row r="61936" spans="1:27" x14ac:dyDescent="0.25">
      <c r="A61936" s="8"/>
      <c r="B61936" s="8"/>
      <c r="C61936" s="99"/>
      <c r="D61936" s="8"/>
      <c r="E61936" s="8"/>
      <c r="F61936" s="8"/>
      <c r="G61936" s="8"/>
      <c r="H61936" s="8"/>
      <c r="I61936" s="102"/>
      <c r="J61936" s="8"/>
      <c r="K61936" s="8"/>
      <c r="L61936" s="8"/>
      <c r="M61936" s="8"/>
      <c r="N61936" s="8"/>
      <c r="O61936" s="8"/>
      <c r="P61936" s="8"/>
      <c r="Q61936" s="8"/>
      <c r="R61936" s="103"/>
      <c r="S61936" s="8"/>
      <c r="T61936" s="8"/>
      <c r="U61936" s="8"/>
      <c r="V61936" s="8"/>
      <c r="W61936" s="8"/>
      <c r="X61936" s="8"/>
      <c r="Y61936" s="8"/>
      <c r="Z61936" s="8"/>
      <c r="AA61936" s="8"/>
    </row>
    <row r="61937" spans="1:27" x14ac:dyDescent="0.25">
      <c r="A61937" s="8"/>
      <c r="B61937" s="8"/>
      <c r="C61937" s="99"/>
      <c r="D61937" s="8"/>
      <c r="E61937" s="8"/>
      <c r="F61937" s="8"/>
      <c r="G61937" s="8"/>
      <c r="H61937" s="8"/>
      <c r="I61937" s="102"/>
      <c r="J61937" s="8"/>
      <c r="K61937" s="8"/>
      <c r="L61937" s="8"/>
      <c r="M61937" s="8"/>
      <c r="N61937" s="8"/>
      <c r="O61937" s="8"/>
      <c r="P61937" s="8"/>
      <c r="Q61937" s="8"/>
      <c r="R61937" s="103"/>
      <c r="S61937" s="8"/>
      <c r="T61937" s="8"/>
      <c r="U61937" s="8"/>
      <c r="V61937" s="8"/>
      <c r="W61937" s="8"/>
      <c r="X61937" s="8"/>
      <c r="Y61937" s="8"/>
      <c r="Z61937" s="8"/>
      <c r="AA61937" s="8"/>
    </row>
    <row r="61938" spans="1:27" x14ac:dyDescent="0.25">
      <c r="A61938" s="8"/>
      <c r="B61938" s="8"/>
      <c r="C61938" s="99"/>
      <c r="D61938" s="8"/>
      <c r="E61938" s="8"/>
      <c r="F61938" s="8"/>
      <c r="G61938" s="8"/>
      <c r="H61938" s="8"/>
      <c r="I61938" s="102"/>
      <c r="J61938" s="8"/>
      <c r="K61938" s="8"/>
      <c r="L61938" s="8"/>
      <c r="M61938" s="8"/>
      <c r="N61938" s="8"/>
      <c r="O61938" s="8"/>
      <c r="P61938" s="8"/>
      <c r="Q61938" s="8"/>
      <c r="R61938" s="103"/>
      <c r="S61938" s="8"/>
      <c r="T61938" s="8"/>
      <c r="U61938" s="8"/>
      <c r="V61938" s="8"/>
      <c r="W61938" s="8"/>
      <c r="X61938" s="8"/>
      <c r="Y61938" s="8"/>
      <c r="Z61938" s="8"/>
      <c r="AA61938" s="8"/>
    </row>
    <row r="61939" spans="1:27" x14ac:dyDescent="0.25">
      <c r="A61939" s="8"/>
      <c r="B61939" s="8"/>
      <c r="C61939" s="99"/>
      <c r="D61939" s="8"/>
      <c r="E61939" s="8"/>
      <c r="F61939" s="8"/>
      <c r="G61939" s="8"/>
      <c r="H61939" s="8"/>
      <c r="I61939" s="102"/>
      <c r="J61939" s="8"/>
      <c r="K61939" s="8"/>
      <c r="L61939" s="8"/>
      <c r="M61939" s="8"/>
      <c r="N61939" s="8"/>
      <c r="O61939" s="8"/>
      <c r="P61939" s="8"/>
      <c r="Q61939" s="8"/>
      <c r="R61939" s="103"/>
      <c r="S61939" s="8"/>
      <c r="T61939" s="8"/>
      <c r="U61939" s="8"/>
      <c r="V61939" s="8"/>
      <c r="W61939" s="8"/>
      <c r="X61939" s="8"/>
      <c r="Y61939" s="8"/>
      <c r="Z61939" s="8"/>
      <c r="AA61939" s="8"/>
    </row>
    <row r="61940" spans="1:27" x14ac:dyDescent="0.25">
      <c r="A61940" s="8"/>
      <c r="B61940" s="8"/>
      <c r="C61940" s="99"/>
      <c r="D61940" s="8"/>
      <c r="E61940" s="8"/>
      <c r="F61940" s="8"/>
      <c r="G61940" s="8"/>
      <c r="H61940" s="8"/>
      <c r="I61940" s="102"/>
      <c r="J61940" s="8"/>
      <c r="K61940" s="8"/>
      <c r="L61940" s="8"/>
      <c r="M61940" s="8"/>
      <c r="N61940" s="8"/>
      <c r="O61940" s="8"/>
      <c r="P61940" s="8"/>
      <c r="Q61940" s="8"/>
      <c r="R61940" s="103"/>
      <c r="S61940" s="8"/>
      <c r="T61940" s="8"/>
      <c r="U61940" s="8"/>
      <c r="V61940" s="8"/>
      <c r="W61940" s="8"/>
      <c r="X61940" s="8"/>
      <c r="Y61940" s="8"/>
      <c r="Z61940" s="8"/>
      <c r="AA61940" s="8"/>
    </row>
    <row r="61941" spans="1:27" x14ac:dyDescent="0.25">
      <c r="A61941" s="8"/>
      <c r="B61941" s="8"/>
      <c r="C61941" s="99"/>
      <c r="D61941" s="8"/>
      <c r="E61941" s="8"/>
      <c r="F61941" s="8"/>
      <c r="G61941" s="8"/>
      <c r="H61941" s="8"/>
      <c r="I61941" s="102"/>
      <c r="J61941" s="8"/>
      <c r="K61941" s="8"/>
      <c r="L61941" s="8"/>
      <c r="M61941" s="8"/>
      <c r="N61941" s="8"/>
      <c r="O61941" s="8"/>
      <c r="P61941" s="8"/>
      <c r="Q61941" s="8"/>
      <c r="R61941" s="103"/>
      <c r="S61941" s="8"/>
      <c r="T61941" s="8"/>
      <c r="U61941" s="8"/>
      <c r="V61941" s="8"/>
      <c r="W61941" s="8"/>
      <c r="X61941" s="8"/>
      <c r="Y61941" s="8"/>
      <c r="Z61941" s="8"/>
      <c r="AA61941" s="8"/>
    </row>
    <row r="61942" spans="1:27" x14ac:dyDescent="0.25">
      <c r="A61942" s="8"/>
      <c r="B61942" s="8"/>
      <c r="C61942" s="99"/>
      <c r="D61942" s="8"/>
      <c r="E61942" s="8"/>
      <c r="F61942" s="8"/>
      <c r="G61942" s="8"/>
      <c r="H61942" s="8"/>
      <c r="I61942" s="102"/>
      <c r="J61942" s="8"/>
      <c r="K61942" s="8"/>
      <c r="L61942" s="8"/>
      <c r="M61942" s="8"/>
      <c r="N61942" s="8"/>
      <c r="O61942" s="8"/>
      <c r="P61942" s="8"/>
      <c r="Q61942" s="8"/>
      <c r="R61942" s="103"/>
      <c r="S61942" s="8"/>
      <c r="T61942" s="8"/>
      <c r="U61942" s="8"/>
      <c r="V61942" s="8"/>
      <c r="W61942" s="8"/>
      <c r="X61942" s="8"/>
      <c r="Y61942" s="8"/>
      <c r="Z61942" s="8"/>
      <c r="AA61942" s="8"/>
    </row>
    <row r="61943" spans="1:27" x14ac:dyDescent="0.25">
      <c r="A61943" s="8"/>
      <c r="B61943" s="8"/>
      <c r="C61943" s="99"/>
      <c r="D61943" s="8"/>
      <c r="E61943" s="8"/>
      <c r="F61943" s="8"/>
      <c r="G61943" s="8"/>
      <c r="H61943" s="8"/>
      <c r="I61943" s="102"/>
      <c r="J61943" s="8"/>
      <c r="K61943" s="8"/>
      <c r="L61943" s="8"/>
      <c r="M61943" s="8"/>
      <c r="N61943" s="8"/>
      <c r="O61943" s="8"/>
      <c r="P61943" s="8"/>
      <c r="Q61943" s="8"/>
      <c r="R61943" s="103"/>
      <c r="S61943" s="8"/>
      <c r="T61943" s="8"/>
      <c r="U61943" s="8"/>
      <c r="V61943" s="8"/>
      <c r="W61943" s="8"/>
      <c r="X61943" s="8"/>
      <c r="Y61943" s="8"/>
      <c r="Z61943" s="8"/>
      <c r="AA61943" s="8"/>
    </row>
    <row r="61944" spans="1:27" x14ac:dyDescent="0.25">
      <c r="A61944" s="8"/>
      <c r="B61944" s="8"/>
      <c r="C61944" s="99"/>
      <c r="D61944" s="8"/>
      <c r="E61944" s="8"/>
      <c r="F61944" s="8"/>
      <c r="G61944" s="8"/>
      <c r="H61944" s="8"/>
      <c r="I61944" s="102"/>
      <c r="J61944" s="8"/>
      <c r="K61944" s="8"/>
      <c r="L61944" s="8"/>
      <c r="M61944" s="8"/>
      <c r="N61944" s="8"/>
      <c r="O61944" s="8"/>
      <c r="P61944" s="8"/>
      <c r="Q61944" s="8"/>
      <c r="R61944" s="103"/>
      <c r="S61944" s="8"/>
      <c r="T61944" s="8"/>
      <c r="U61944" s="8"/>
      <c r="V61944" s="8"/>
      <c r="W61944" s="8"/>
      <c r="X61944" s="8"/>
      <c r="Y61944" s="8"/>
      <c r="Z61944" s="8"/>
      <c r="AA61944" s="8"/>
    </row>
    <row r="61945" spans="1:27" x14ac:dyDescent="0.25">
      <c r="A61945" s="8"/>
      <c r="B61945" s="8"/>
      <c r="C61945" s="99"/>
      <c r="D61945" s="8"/>
      <c r="E61945" s="8"/>
      <c r="F61945" s="8"/>
      <c r="G61945" s="8"/>
      <c r="H61945" s="8"/>
      <c r="I61945" s="102"/>
      <c r="J61945" s="8"/>
      <c r="K61945" s="8"/>
      <c r="L61945" s="8"/>
      <c r="M61945" s="8"/>
      <c r="N61945" s="8"/>
      <c r="O61945" s="8"/>
      <c r="P61945" s="8"/>
      <c r="Q61945" s="8"/>
      <c r="R61945" s="103"/>
      <c r="S61945" s="8"/>
      <c r="T61945" s="8"/>
      <c r="U61945" s="8"/>
      <c r="V61945" s="8"/>
      <c r="W61945" s="8"/>
      <c r="X61945" s="8"/>
      <c r="Y61945" s="8"/>
      <c r="Z61945" s="8"/>
      <c r="AA61945" s="8"/>
    </row>
    <row r="61946" spans="1:27" x14ac:dyDescent="0.25">
      <c r="A61946" s="8"/>
      <c r="B61946" s="8"/>
      <c r="C61946" s="99"/>
      <c r="D61946" s="8"/>
      <c r="E61946" s="8"/>
      <c r="F61946" s="8"/>
      <c r="G61946" s="8"/>
      <c r="H61946" s="8"/>
      <c r="I61946" s="102"/>
      <c r="J61946" s="8"/>
      <c r="K61946" s="8"/>
      <c r="L61946" s="8"/>
      <c r="M61946" s="8"/>
      <c r="N61946" s="8"/>
      <c r="O61946" s="8"/>
      <c r="P61946" s="8"/>
      <c r="Q61946" s="8"/>
      <c r="R61946" s="103"/>
      <c r="S61946" s="8"/>
      <c r="T61946" s="8"/>
      <c r="U61946" s="8"/>
      <c r="V61946" s="8"/>
      <c r="W61946" s="8"/>
      <c r="X61946" s="8"/>
      <c r="Y61946" s="8"/>
      <c r="Z61946" s="8"/>
      <c r="AA61946" s="8"/>
    </row>
    <row r="61947" spans="1:27" x14ac:dyDescent="0.25">
      <c r="A61947" s="8"/>
      <c r="B61947" s="8"/>
      <c r="C61947" s="99"/>
      <c r="D61947" s="8"/>
      <c r="E61947" s="8"/>
      <c r="F61947" s="8"/>
      <c r="G61947" s="8"/>
      <c r="H61947" s="8"/>
      <c r="I61947" s="102"/>
      <c r="J61947" s="8"/>
      <c r="K61947" s="8"/>
      <c r="L61947" s="8"/>
      <c r="M61947" s="8"/>
      <c r="N61947" s="8"/>
      <c r="O61947" s="8"/>
      <c r="P61947" s="8"/>
      <c r="Q61947" s="8"/>
      <c r="R61947" s="103"/>
      <c r="S61947" s="8"/>
      <c r="T61947" s="8"/>
      <c r="U61947" s="8"/>
      <c r="V61947" s="8"/>
      <c r="W61947" s="8"/>
      <c r="X61947" s="8"/>
      <c r="Y61947" s="8"/>
      <c r="Z61947" s="8"/>
      <c r="AA61947" s="8"/>
    </row>
    <row r="61948" spans="1:27" x14ac:dyDescent="0.25">
      <c r="A61948" s="8"/>
      <c r="B61948" s="8"/>
      <c r="C61948" s="99"/>
      <c r="D61948" s="8"/>
      <c r="E61948" s="8"/>
      <c r="F61948" s="8"/>
      <c r="G61948" s="8"/>
      <c r="H61948" s="8"/>
      <c r="I61948" s="102"/>
      <c r="J61948" s="8"/>
      <c r="K61948" s="8"/>
      <c r="L61948" s="8"/>
      <c r="M61948" s="8"/>
      <c r="N61948" s="8"/>
      <c r="O61948" s="8"/>
      <c r="P61948" s="8"/>
      <c r="Q61948" s="8"/>
      <c r="R61948" s="103"/>
      <c r="S61948" s="8"/>
      <c r="T61948" s="8"/>
      <c r="U61948" s="8"/>
      <c r="V61948" s="8"/>
      <c r="W61948" s="8"/>
      <c r="X61948" s="8"/>
      <c r="Y61948" s="8"/>
      <c r="Z61948" s="8"/>
      <c r="AA61948" s="8"/>
    </row>
    <row r="61949" spans="1:27" x14ac:dyDescent="0.25">
      <c r="A61949" s="8"/>
      <c r="B61949" s="8"/>
      <c r="C61949" s="99"/>
      <c r="D61949" s="8"/>
      <c r="E61949" s="8"/>
      <c r="F61949" s="8"/>
      <c r="G61949" s="8"/>
      <c r="H61949" s="8"/>
      <c r="I61949" s="102"/>
      <c r="J61949" s="8"/>
      <c r="K61949" s="8"/>
      <c r="L61949" s="8"/>
      <c r="M61949" s="8"/>
      <c r="N61949" s="8"/>
      <c r="O61949" s="8"/>
      <c r="P61949" s="8"/>
      <c r="Q61949" s="8"/>
      <c r="R61949" s="103"/>
      <c r="S61949" s="8"/>
      <c r="T61949" s="8"/>
      <c r="U61949" s="8"/>
      <c r="V61949" s="8"/>
      <c r="W61949" s="8"/>
      <c r="X61949" s="8"/>
      <c r="Y61949" s="8"/>
      <c r="Z61949" s="8"/>
      <c r="AA61949" s="8"/>
    </row>
    <row r="61950" spans="1:27" x14ac:dyDescent="0.25">
      <c r="A61950" s="8"/>
      <c r="B61950" s="8"/>
      <c r="C61950" s="99"/>
      <c r="D61950" s="8"/>
      <c r="E61950" s="8"/>
      <c r="F61950" s="8"/>
      <c r="G61950" s="8"/>
      <c r="H61950" s="8"/>
      <c r="I61950" s="102"/>
      <c r="J61950" s="8"/>
      <c r="K61950" s="8"/>
      <c r="L61950" s="8"/>
      <c r="M61950" s="8"/>
      <c r="N61950" s="8"/>
      <c r="O61950" s="8"/>
      <c r="P61950" s="8"/>
      <c r="Q61950" s="8"/>
      <c r="R61950" s="103"/>
      <c r="S61950" s="8"/>
      <c r="T61950" s="8"/>
      <c r="U61950" s="8"/>
      <c r="V61950" s="8"/>
      <c r="W61950" s="8"/>
      <c r="X61950" s="8"/>
      <c r="Y61950" s="8"/>
      <c r="Z61950" s="8"/>
      <c r="AA61950" s="8"/>
    </row>
    <row r="61951" spans="1:27" x14ac:dyDescent="0.25">
      <c r="A61951" s="8"/>
      <c r="B61951" s="8"/>
      <c r="C61951" s="99"/>
      <c r="D61951" s="8"/>
      <c r="E61951" s="8"/>
      <c r="F61951" s="8"/>
      <c r="G61951" s="8"/>
      <c r="H61951" s="8"/>
      <c r="I61951" s="102"/>
      <c r="J61951" s="8"/>
      <c r="K61951" s="8"/>
      <c r="L61951" s="8"/>
      <c r="M61951" s="8"/>
      <c r="N61951" s="8"/>
      <c r="O61951" s="8"/>
      <c r="P61951" s="8"/>
      <c r="Q61951" s="8"/>
      <c r="R61951" s="103"/>
      <c r="S61951" s="8"/>
      <c r="T61951" s="8"/>
      <c r="U61951" s="8"/>
      <c r="V61951" s="8"/>
      <c r="W61951" s="8"/>
      <c r="X61951" s="8"/>
      <c r="Y61951" s="8"/>
      <c r="Z61951" s="8"/>
      <c r="AA61951" s="8"/>
    </row>
    <row r="61952" spans="1:27" x14ac:dyDescent="0.25">
      <c r="A61952" s="8"/>
      <c r="B61952" s="8"/>
      <c r="C61952" s="99"/>
      <c r="D61952" s="8"/>
      <c r="E61952" s="8"/>
      <c r="F61952" s="8"/>
      <c r="G61952" s="8"/>
      <c r="H61952" s="8"/>
      <c r="I61952" s="102"/>
      <c r="J61952" s="8"/>
      <c r="K61952" s="8"/>
      <c r="L61952" s="8"/>
      <c r="M61952" s="8"/>
      <c r="N61952" s="8"/>
      <c r="O61952" s="8"/>
      <c r="P61952" s="8"/>
      <c r="Q61952" s="8"/>
      <c r="R61952" s="103"/>
      <c r="S61952" s="8"/>
      <c r="T61952" s="8"/>
      <c r="U61952" s="8"/>
      <c r="V61952" s="8"/>
      <c r="W61952" s="8"/>
      <c r="X61952" s="8"/>
      <c r="Y61952" s="8"/>
      <c r="Z61952" s="8"/>
      <c r="AA61952" s="8"/>
    </row>
    <row r="61953" spans="1:27" x14ac:dyDescent="0.25">
      <c r="A61953" s="8"/>
      <c r="B61953" s="8"/>
      <c r="C61953" s="99"/>
      <c r="D61953" s="8"/>
      <c r="E61953" s="8"/>
      <c r="F61953" s="8"/>
      <c r="G61953" s="8"/>
      <c r="H61953" s="8"/>
      <c r="I61953" s="102"/>
      <c r="J61953" s="8"/>
      <c r="K61953" s="8"/>
      <c r="L61953" s="8"/>
      <c r="M61953" s="8"/>
      <c r="N61953" s="8"/>
      <c r="O61953" s="8"/>
      <c r="P61953" s="8"/>
      <c r="Q61953" s="8"/>
      <c r="R61953" s="103"/>
      <c r="S61953" s="8"/>
      <c r="T61953" s="8"/>
      <c r="U61953" s="8"/>
      <c r="V61953" s="8"/>
      <c r="W61953" s="8"/>
      <c r="X61953" s="8"/>
      <c r="Y61953" s="8"/>
      <c r="Z61953" s="8"/>
      <c r="AA61953" s="8"/>
    </row>
    <row r="61954" spans="1:27" x14ac:dyDescent="0.25">
      <c r="A61954" s="8"/>
      <c r="B61954" s="8"/>
      <c r="C61954" s="99"/>
      <c r="D61954" s="8"/>
      <c r="E61954" s="8"/>
      <c r="F61954" s="8"/>
      <c r="G61954" s="8"/>
      <c r="H61954" s="8"/>
      <c r="I61954" s="102"/>
      <c r="J61954" s="8"/>
      <c r="K61954" s="8"/>
      <c r="L61954" s="8"/>
      <c r="M61954" s="8"/>
      <c r="N61954" s="8"/>
      <c r="O61954" s="8"/>
      <c r="P61954" s="8"/>
      <c r="Q61954" s="8"/>
      <c r="R61954" s="103"/>
      <c r="S61954" s="8"/>
      <c r="T61954" s="8"/>
      <c r="U61954" s="8"/>
      <c r="V61954" s="8"/>
      <c r="W61954" s="8"/>
      <c r="X61954" s="8"/>
      <c r="Y61954" s="8"/>
      <c r="Z61954" s="8"/>
      <c r="AA61954" s="8"/>
    </row>
    <row r="61955" spans="1:27" x14ac:dyDescent="0.25">
      <c r="A61955" s="8"/>
      <c r="B61955" s="8"/>
      <c r="C61955" s="99"/>
      <c r="D61955" s="8"/>
      <c r="E61955" s="8"/>
      <c r="F61955" s="8"/>
      <c r="G61955" s="8"/>
      <c r="H61955" s="8"/>
      <c r="I61955" s="102"/>
      <c r="J61955" s="8"/>
      <c r="K61955" s="8"/>
      <c r="L61955" s="8"/>
      <c r="M61955" s="8"/>
      <c r="N61955" s="8"/>
      <c r="O61955" s="8"/>
      <c r="P61955" s="8"/>
      <c r="Q61955" s="8"/>
      <c r="R61955" s="103"/>
      <c r="S61955" s="8"/>
      <c r="T61955" s="8"/>
      <c r="U61955" s="8"/>
      <c r="V61955" s="8"/>
      <c r="W61955" s="8"/>
      <c r="X61955" s="8"/>
      <c r="Y61955" s="8"/>
      <c r="Z61955" s="8"/>
      <c r="AA61955" s="8"/>
    </row>
    <row r="61956" spans="1:27" x14ac:dyDescent="0.25">
      <c r="A61956" s="8"/>
      <c r="B61956" s="8"/>
      <c r="C61956" s="99"/>
      <c r="D61956" s="8"/>
      <c r="E61956" s="8"/>
      <c r="F61956" s="8"/>
      <c r="G61956" s="8"/>
      <c r="H61956" s="8"/>
      <c r="I61956" s="102"/>
      <c r="J61956" s="8"/>
      <c r="K61956" s="8"/>
      <c r="L61956" s="8"/>
      <c r="M61956" s="8"/>
      <c r="N61956" s="8"/>
      <c r="O61956" s="8"/>
      <c r="P61956" s="8"/>
      <c r="Q61956" s="8"/>
      <c r="R61956" s="103"/>
      <c r="S61956" s="8"/>
      <c r="T61956" s="8"/>
      <c r="U61956" s="8"/>
      <c r="V61956" s="8"/>
      <c r="W61956" s="8"/>
      <c r="X61956" s="8"/>
      <c r="Y61956" s="8"/>
      <c r="Z61956" s="8"/>
      <c r="AA61956" s="8"/>
    </row>
    <row r="61957" spans="1:27" x14ac:dyDescent="0.25">
      <c r="A61957" s="8"/>
      <c r="B61957" s="8"/>
      <c r="C61957" s="99"/>
      <c r="D61957" s="8"/>
      <c r="E61957" s="8"/>
      <c r="F61957" s="8"/>
      <c r="G61957" s="8"/>
      <c r="H61957" s="8"/>
      <c r="I61957" s="102"/>
      <c r="J61957" s="8"/>
      <c r="K61957" s="8"/>
      <c r="L61957" s="8"/>
      <c r="M61957" s="8"/>
      <c r="N61957" s="8"/>
      <c r="O61957" s="8"/>
      <c r="P61957" s="8"/>
      <c r="Q61957" s="8"/>
      <c r="R61957" s="103"/>
      <c r="S61957" s="8"/>
      <c r="T61957" s="8"/>
      <c r="U61957" s="8"/>
      <c r="V61957" s="8"/>
      <c r="W61957" s="8"/>
      <c r="X61957" s="8"/>
      <c r="Y61957" s="8"/>
      <c r="Z61957" s="8"/>
      <c r="AA61957" s="8"/>
    </row>
    <row r="61958" spans="1:27" x14ac:dyDescent="0.25">
      <c r="A61958" s="8"/>
      <c r="B61958" s="8"/>
      <c r="C61958" s="99"/>
      <c r="D61958" s="8"/>
      <c r="E61958" s="8"/>
      <c r="F61958" s="8"/>
      <c r="G61958" s="8"/>
      <c r="H61958" s="8"/>
      <c r="I61958" s="102"/>
      <c r="J61958" s="8"/>
      <c r="K61958" s="8"/>
      <c r="L61958" s="8"/>
      <c r="M61958" s="8"/>
      <c r="N61958" s="8"/>
      <c r="O61958" s="8"/>
      <c r="P61958" s="8"/>
      <c r="Q61958" s="8"/>
      <c r="R61958" s="103"/>
      <c r="S61958" s="8"/>
      <c r="T61958" s="8"/>
      <c r="U61958" s="8"/>
      <c r="V61958" s="8"/>
      <c r="W61958" s="8"/>
      <c r="X61958" s="8"/>
      <c r="Y61958" s="8"/>
      <c r="Z61958" s="8"/>
      <c r="AA61958" s="8"/>
    </row>
    <row r="61959" spans="1:27" x14ac:dyDescent="0.25">
      <c r="A61959" s="8"/>
      <c r="B61959" s="8"/>
      <c r="C61959" s="99"/>
      <c r="D61959" s="8"/>
      <c r="E61959" s="8"/>
      <c r="F61959" s="8"/>
      <c r="G61959" s="8"/>
      <c r="H61959" s="8"/>
      <c r="I61959" s="102"/>
      <c r="J61959" s="8"/>
      <c r="K61959" s="8"/>
      <c r="L61959" s="8"/>
      <c r="M61959" s="8"/>
      <c r="N61959" s="8"/>
      <c r="O61959" s="8"/>
      <c r="P61959" s="8"/>
      <c r="Q61959" s="8"/>
      <c r="R61959" s="103"/>
      <c r="S61959" s="8"/>
      <c r="T61959" s="8"/>
      <c r="U61959" s="8"/>
      <c r="V61959" s="8"/>
      <c r="W61959" s="8"/>
      <c r="X61959" s="8"/>
      <c r="Y61959" s="8"/>
      <c r="Z61959" s="8"/>
      <c r="AA61959" s="8"/>
    </row>
    <row r="61960" spans="1:27" x14ac:dyDescent="0.25">
      <c r="A61960" s="8"/>
      <c r="B61960" s="8"/>
      <c r="C61960" s="99"/>
      <c r="D61960" s="8"/>
      <c r="E61960" s="8"/>
      <c r="F61960" s="8"/>
      <c r="G61960" s="8"/>
      <c r="H61960" s="8"/>
      <c r="I61960" s="102"/>
      <c r="J61960" s="8"/>
      <c r="K61960" s="8"/>
      <c r="L61960" s="8"/>
      <c r="M61960" s="8"/>
      <c r="N61960" s="8"/>
      <c r="O61960" s="8"/>
      <c r="P61960" s="8"/>
      <c r="Q61960" s="8"/>
      <c r="R61960" s="103"/>
      <c r="S61960" s="8"/>
      <c r="T61960" s="8"/>
      <c r="U61960" s="8"/>
      <c r="V61960" s="8"/>
      <c r="W61960" s="8"/>
      <c r="X61960" s="8"/>
      <c r="Y61960" s="8"/>
      <c r="Z61960" s="8"/>
      <c r="AA61960" s="8"/>
    </row>
    <row r="61961" spans="1:27" x14ac:dyDescent="0.25">
      <c r="A61961" s="8"/>
      <c r="B61961" s="8"/>
      <c r="C61961" s="99"/>
      <c r="D61961" s="8"/>
      <c r="E61961" s="8"/>
      <c r="F61961" s="8"/>
      <c r="G61961" s="8"/>
      <c r="H61961" s="8"/>
      <c r="I61961" s="102"/>
      <c r="J61961" s="8"/>
      <c r="K61961" s="8"/>
      <c r="L61961" s="8"/>
      <c r="M61961" s="8"/>
      <c r="N61961" s="8"/>
      <c r="O61961" s="8"/>
      <c r="P61961" s="8"/>
      <c r="Q61961" s="8"/>
      <c r="R61961" s="103"/>
      <c r="S61961" s="8"/>
      <c r="T61961" s="8"/>
      <c r="U61961" s="8"/>
      <c r="V61961" s="8"/>
      <c r="W61961" s="8"/>
      <c r="X61961" s="8"/>
      <c r="Y61961" s="8"/>
      <c r="Z61961" s="8"/>
      <c r="AA61961" s="8"/>
    </row>
    <row r="61962" spans="1:27" x14ac:dyDescent="0.25">
      <c r="A61962" s="8"/>
      <c r="B61962" s="8"/>
      <c r="C61962" s="99"/>
      <c r="D61962" s="8"/>
      <c r="E61962" s="8"/>
      <c r="F61962" s="8"/>
      <c r="G61962" s="8"/>
      <c r="H61962" s="8"/>
      <c r="I61962" s="102"/>
      <c r="J61962" s="8"/>
      <c r="K61962" s="8"/>
      <c r="L61962" s="8"/>
      <c r="M61962" s="8"/>
      <c r="N61962" s="8"/>
      <c r="O61962" s="8"/>
      <c r="P61962" s="8"/>
      <c r="Q61962" s="8"/>
      <c r="R61962" s="103"/>
      <c r="S61962" s="8"/>
      <c r="T61962" s="8"/>
      <c r="U61962" s="8"/>
      <c r="V61962" s="8"/>
      <c r="W61962" s="8"/>
      <c r="X61962" s="8"/>
      <c r="Y61962" s="8"/>
      <c r="Z61962" s="8"/>
      <c r="AA61962" s="8"/>
    </row>
    <row r="61963" spans="1:27" x14ac:dyDescent="0.25">
      <c r="A61963" s="8"/>
      <c r="B61963" s="8"/>
      <c r="C61963" s="99"/>
      <c r="D61963" s="8"/>
      <c r="E61963" s="8"/>
      <c r="F61963" s="8"/>
      <c r="G61963" s="8"/>
      <c r="H61963" s="8"/>
      <c r="I61963" s="102"/>
      <c r="J61963" s="8"/>
      <c r="K61963" s="8"/>
      <c r="L61963" s="8"/>
      <c r="M61963" s="8"/>
      <c r="N61963" s="8"/>
      <c r="O61963" s="8"/>
      <c r="P61963" s="8"/>
      <c r="Q61963" s="8"/>
      <c r="R61963" s="103"/>
      <c r="S61963" s="8"/>
      <c r="T61963" s="8"/>
      <c r="U61963" s="8"/>
      <c r="V61963" s="8"/>
      <c r="W61963" s="8"/>
      <c r="X61963" s="8"/>
      <c r="Y61963" s="8"/>
      <c r="Z61963" s="8"/>
      <c r="AA61963" s="8"/>
    </row>
    <row r="61964" spans="1:27" x14ac:dyDescent="0.25">
      <c r="A61964" s="8"/>
      <c r="B61964" s="8"/>
      <c r="C61964" s="99"/>
      <c r="D61964" s="8"/>
      <c r="E61964" s="8"/>
      <c r="F61964" s="8"/>
      <c r="G61964" s="8"/>
      <c r="H61964" s="8"/>
      <c r="I61964" s="102"/>
      <c r="J61964" s="8"/>
      <c r="K61964" s="8"/>
      <c r="L61964" s="8"/>
      <c r="M61964" s="8"/>
      <c r="N61964" s="8"/>
      <c r="O61964" s="8"/>
      <c r="P61964" s="8"/>
      <c r="Q61964" s="8"/>
      <c r="R61964" s="103"/>
      <c r="S61964" s="8"/>
      <c r="T61964" s="8"/>
      <c r="U61964" s="8"/>
      <c r="V61964" s="8"/>
      <c r="W61964" s="8"/>
      <c r="X61964" s="8"/>
      <c r="Y61964" s="8"/>
      <c r="Z61964" s="8"/>
      <c r="AA61964" s="8"/>
    </row>
    <row r="61965" spans="1:27" x14ac:dyDescent="0.25">
      <c r="A61965" s="8"/>
      <c r="B61965" s="8"/>
      <c r="C61965" s="99"/>
      <c r="D61965" s="8"/>
      <c r="E61965" s="8"/>
      <c r="F61965" s="8"/>
      <c r="G61965" s="8"/>
      <c r="H61965" s="8"/>
      <c r="I61965" s="102"/>
      <c r="J61965" s="8"/>
      <c r="K61965" s="8"/>
      <c r="L61965" s="8"/>
      <c r="M61965" s="8"/>
      <c r="N61965" s="8"/>
      <c r="O61965" s="8"/>
      <c r="P61965" s="8"/>
      <c r="Q61965" s="8"/>
      <c r="R61965" s="103"/>
      <c r="S61965" s="8"/>
      <c r="T61965" s="8"/>
      <c r="U61965" s="8"/>
      <c r="V61965" s="8"/>
      <c r="W61965" s="8"/>
      <c r="X61965" s="8"/>
      <c r="Y61965" s="8"/>
      <c r="Z61965" s="8"/>
      <c r="AA61965" s="8"/>
    </row>
    <row r="61966" spans="1:27" x14ac:dyDescent="0.25">
      <c r="A61966" s="8"/>
      <c r="B61966" s="8"/>
      <c r="C61966" s="99"/>
      <c r="D61966" s="8"/>
      <c r="E61966" s="8"/>
      <c r="F61966" s="8"/>
      <c r="G61966" s="8"/>
      <c r="H61966" s="8"/>
      <c r="I61966" s="102"/>
      <c r="J61966" s="8"/>
      <c r="K61966" s="8"/>
      <c r="L61966" s="8"/>
      <c r="M61966" s="8"/>
      <c r="N61966" s="8"/>
      <c r="O61966" s="8"/>
      <c r="P61966" s="8"/>
      <c r="Q61966" s="8"/>
      <c r="R61966" s="103"/>
      <c r="S61966" s="8"/>
      <c r="T61966" s="8"/>
      <c r="U61966" s="8"/>
      <c r="V61966" s="8"/>
      <c r="W61966" s="8"/>
      <c r="X61966" s="8"/>
      <c r="Y61966" s="8"/>
      <c r="Z61966" s="8"/>
      <c r="AA61966" s="8"/>
    </row>
    <row r="61967" spans="1:27" x14ac:dyDescent="0.25">
      <c r="A61967" s="8"/>
      <c r="B61967" s="8"/>
      <c r="C61967" s="99"/>
      <c r="D61967" s="8"/>
      <c r="E61967" s="8"/>
      <c r="F61967" s="8"/>
      <c r="G61967" s="8"/>
      <c r="H61967" s="8"/>
      <c r="I61967" s="102"/>
      <c r="J61967" s="8"/>
      <c r="K61967" s="8"/>
      <c r="L61967" s="8"/>
      <c r="M61967" s="8"/>
      <c r="N61967" s="8"/>
      <c r="O61967" s="8"/>
      <c r="P61967" s="8"/>
      <c r="Q61967" s="8"/>
      <c r="R61967" s="103"/>
      <c r="S61967" s="8"/>
      <c r="T61967" s="8"/>
      <c r="U61967" s="8"/>
      <c r="V61967" s="8"/>
      <c r="W61967" s="8"/>
      <c r="X61967" s="8"/>
      <c r="Y61967" s="8"/>
      <c r="Z61967" s="8"/>
      <c r="AA61967" s="8"/>
    </row>
    <row r="61968" spans="1:27" x14ac:dyDescent="0.25">
      <c r="A61968" s="8"/>
      <c r="B61968" s="8"/>
      <c r="C61968" s="99"/>
      <c r="D61968" s="8"/>
      <c r="E61968" s="8"/>
      <c r="F61968" s="8"/>
      <c r="G61968" s="8"/>
      <c r="H61968" s="8"/>
      <c r="I61968" s="102"/>
      <c r="J61968" s="8"/>
      <c r="K61968" s="8"/>
      <c r="L61968" s="8"/>
      <c r="M61968" s="8"/>
      <c r="N61968" s="8"/>
      <c r="O61968" s="8"/>
      <c r="P61968" s="8"/>
      <c r="Q61968" s="8"/>
      <c r="R61968" s="103"/>
      <c r="S61968" s="8"/>
      <c r="T61968" s="8"/>
      <c r="U61968" s="8"/>
      <c r="V61968" s="8"/>
      <c r="W61968" s="8"/>
      <c r="X61968" s="8"/>
      <c r="Y61968" s="8"/>
      <c r="Z61968" s="8"/>
      <c r="AA61968" s="8"/>
    </row>
    <row r="61969" spans="1:27" x14ac:dyDescent="0.25">
      <c r="A61969" s="8"/>
      <c r="B61969" s="8"/>
      <c r="C61969" s="99"/>
      <c r="D61969" s="8"/>
      <c r="E61969" s="8"/>
      <c r="F61969" s="8"/>
      <c r="G61969" s="8"/>
      <c r="H61969" s="8"/>
      <c r="I61969" s="102"/>
      <c r="J61969" s="8"/>
      <c r="K61969" s="8"/>
      <c r="L61969" s="8"/>
      <c r="M61969" s="8"/>
      <c r="N61969" s="8"/>
      <c r="O61969" s="8"/>
      <c r="P61969" s="8"/>
      <c r="Q61969" s="8"/>
      <c r="R61969" s="103"/>
      <c r="S61969" s="8"/>
      <c r="T61969" s="8"/>
      <c r="U61969" s="8"/>
      <c r="V61969" s="8"/>
      <c r="W61969" s="8"/>
      <c r="X61969" s="8"/>
      <c r="Y61969" s="8"/>
      <c r="Z61969" s="8"/>
      <c r="AA61969" s="8"/>
    </row>
    <row r="61970" spans="1:27" x14ac:dyDescent="0.25">
      <c r="A61970" s="8"/>
      <c r="B61970" s="8"/>
      <c r="C61970" s="99"/>
      <c r="D61970" s="8"/>
      <c r="E61970" s="8"/>
      <c r="F61970" s="8"/>
      <c r="G61970" s="8"/>
      <c r="H61970" s="8"/>
      <c r="I61970" s="102"/>
      <c r="J61970" s="8"/>
      <c r="K61970" s="8"/>
      <c r="L61970" s="8"/>
      <c r="M61970" s="8"/>
      <c r="N61970" s="8"/>
      <c r="O61970" s="8"/>
      <c r="P61970" s="8"/>
      <c r="Q61970" s="8"/>
      <c r="R61970" s="103"/>
      <c r="S61970" s="8"/>
      <c r="T61970" s="8"/>
      <c r="U61970" s="8"/>
      <c r="V61970" s="8"/>
      <c r="W61970" s="8"/>
      <c r="X61970" s="8"/>
      <c r="Y61970" s="8"/>
      <c r="Z61970" s="8"/>
      <c r="AA61970" s="8"/>
    </row>
    <row r="61971" spans="1:27" x14ac:dyDescent="0.25">
      <c r="A61971" s="8"/>
      <c r="B61971" s="8"/>
      <c r="C61971" s="99"/>
      <c r="D61971" s="8"/>
      <c r="E61971" s="8"/>
      <c r="F61971" s="8"/>
      <c r="G61971" s="8"/>
      <c r="H61971" s="8"/>
      <c r="I61971" s="102"/>
      <c r="J61971" s="8"/>
      <c r="K61971" s="8"/>
      <c r="L61971" s="8"/>
      <c r="M61971" s="8"/>
      <c r="N61971" s="8"/>
      <c r="O61971" s="8"/>
      <c r="P61971" s="8"/>
      <c r="Q61971" s="8"/>
      <c r="R61971" s="103"/>
      <c r="S61971" s="8"/>
      <c r="T61971" s="8"/>
      <c r="U61971" s="8"/>
      <c r="V61971" s="8"/>
      <c r="W61971" s="8"/>
      <c r="X61971" s="8"/>
      <c r="Y61971" s="8"/>
      <c r="Z61971" s="8"/>
      <c r="AA61971" s="8"/>
    </row>
    <row r="61972" spans="1:27" x14ac:dyDescent="0.25">
      <c r="A61972" s="8"/>
      <c r="B61972" s="8"/>
      <c r="C61972" s="99"/>
      <c r="D61972" s="8"/>
      <c r="E61972" s="8"/>
      <c r="F61972" s="8"/>
      <c r="G61972" s="8"/>
      <c r="H61972" s="8"/>
      <c r="I61972" s="102"/>
      <c r="J61972" s="8"/>
      <c r="K61972" s="8"/>
      <c r="L61972" s="8"/>
      <c r="M61972" s="8"/>
      <c r="N61972" s="8"/>
      <c r="O61972" s="8"/>
      <c r="P61972" s="8"/>
      <c r="Q61972" s="8"/>
      <c r="R61972" s="103"/>
      <c r="S61972" s="8"/>
      <c r="T61972" s="8"/>
      <c r="U61972" s="8"/>
      <c r="V61972" s="8"/>
      <c r="W61972" s="8"/>
      <c r="X61972" s="8"/>
      <c r="Y61972" s="8"/>
      <c r="Z61972" s="8"/>
      <c r="AA61972" s="8"/>
    </row>
    <row r="61973" spans="1:27" x14ac:dyDescent="0.25">
      <c r="A61973" s="8"/>
      <c r="B61973" s="8"/>
      <c r="C61973" s="99"/>
      <c r="D61973" s="8"/>
      <c r="E61973" s="8"/>
      <c r="F61973" s="8"/>
      <c r="G61973" s="8"/>
      <c r="H61973" s="8"/>
      <c r="I61973" s="102"/>
      <c r="J61973" s="8"/>
      <c r="K61973" s="8"/>
      <c r="L61973" s="8"/>
      <c r="M61973" s="8"/>
      <c r="N61973" s="8"/>
      <c r="O61973" s="8"/>
      <c r="P61973" s="8"/>
      <c r="Q61973" s="8"/>
      <c r="R61973" s="103"/>
      <c r="S61973" s="8"/>
      <c r="T61973" s="8"/>
      <c r="U61973" s="8"/>
      <c r="V61973" s="8"/>
      <c r="W61973" s="8"/>
      <c r="X61973" s="8"/>
      <c r="Y61973" s="8"/>
      <c r="Z61973" s="8"/>
      <c r="AA61973" s="8"/>
    </row>
    <row r="61974" spans="1:27" x14ac:dyDescent="0.25">
      <c r="A61974" s="8"/>
      <c r="B61974" s="8"/>
      <c r="C61974" s="99"/>
      <c r="D61974" s="8"/>
      <c r="E61974" s="8"/>
      <c r="F61974" s="8"/>
      <c r="G61974" s="8"/>
      <c r="H61974" s="8"/>
      <c r="I61974" s="102"/>
      <c r="J61974" s="8"/>
      <c r="K61974" s="8"/>
      <c r="L61974" s="8"/>
      <c r="M61974" s="8"/>
      <c r="N61974" s="8"/>
      <c r="O61974" s="8"/>
      <c r="P61974" s="8"/>
      <c r="Q61974" s="8"/>
      <c r="R61974" s="103"/>
      <c r="S61974" s="8"/>
      <c r="T61974" s="8"/>
      <c r="U61974" s="8"/>
      <c r="V61974" s="8"/>
      <c r="W61974" s="8"/>
      <c r="X61974" s="8"/>
      <c r="Y61974" s="8"/>
      <c r="Z61974" s="8"/>
      <c r="AA61974" s="8"/>
    </row>
    <row r="61975" spans="1:27" x14ac:dyDescent="0.25">
      <c r="A61975" s="8"/>
      <c r="B61975" s="8"/>
      <c r="C61975" s="99"/>
      <c r="D61975" s="8"/>
      <c r="E61975" s="8"/>
      <c r="F61975" s="8"/>
      <c r="G61975" s="8"/>
      <c r="H61975" s="8"/>
      <c r="I61975" s="102"/>
      <c r="J61975" s="8"/>
      <c r="K61975" s="8"/>
      <c r="L61975" s="8"/>
      <c r="M61975" s="8"/>
      <c r="N61975" s="8"/>
      <c r="O61975" s="8"/>
      <c r="P61975" s="8"/>
      <c r="Q61975" s="8"/>
      <c r="R61975" s="103"/>
      <c r="S61975" s="8"/>
      <c r="T61975" s="8"/>
      <c r="U61975" s="8"/>
      <c r="V61975" s="8"/>
      <c r="W61975" s="8"/>
      <c r="X61975" s="8"/>
      <c r="Y61975" s="8"/>
      <c r="Z61975" s="8"/>
      <c r="AA61975" s="8"/>
    </row>
    <row r="61976" spans="1:27" x14ac:dyDescent="0.25">
      <c r="A61976" s="8"/>
      <c r="B61976" s="8"/>
      <c r="C61976" s="99"/>
      <c r="D61976" s="8"/>
      <c r="E61976" s="8"/>
      <c r="F61976" s="8"/>
      <c r="G61976" s="8"/>
      <c r="H61976" s="8"/>
      <c r="I61976" s="102"/>
      <c r="J61976" s="8"/>
      <c r="K61976" s="8"/>
      <c r="L61976" s="8"/>
      <c r="M61976" s="8"/>
      <c r="N61976" s="8"/>
      <c r="O61976" s="8"/>
      <c r="P61976" s="8"/>
      <c r="Q61976" s="8"/>
      <c r="R61976" s="103"/>
      <c r="S61976" s="8"/>
      <c r="T61976" s="8"/>
      <c r="U61976" s="8"/>
      <c r="V61976" s="8"/>
      <c r="W61976" s="8"/>
      <c r="X61976" s="8"/>
      <c r="Y61976" s="8"/>
      <c r="Z61976" s="8"/>
      <c r="AA61976" s="8"/>
    </row>
    <row r="61977" spans="1:27" x14ac:dyDescent="0.25">
      <c r="A61977" s="8"/>
      <c r="B61977" s="8"/>
      <c r="C61977" s="99"/>
      <c r="D61977" s="8"/>
      <c r="E61977" s="8"/>
      <c r="F61977" s="8"/>
      <c r="G61977" s="8"/>
      <c r="H61977" s="8"/>
      <c r="I61977" s="102"/>
      <c r="J61977" s="8"/>
      <c r="K61977" s="8"/>
      <c r="L61977" s="8"/>
      <c r="M61977" s="8"/>
      <c r="N61977" s="8"/>
      <c r="O61977" s="8"/>
      <c r="P61977" s="8"/>
      <c r="Q61977" s="8"/>
      <c r="R61977" s="103"/>
      <c r="S61977" s="8"/>
      <c r="T61977" s="8"/>
      <c r="U61977" s="8"/>
      <c r="V61977" s="8"/>
      <c r="W61977" s="8"/>
      <c r="X61977" s="8"/>
      <c r="Y61977" s="8"/>
      <c r="Z61977" s="8"/>
      <c r="AA61977" s="8"/>
    </row>
    <row r="61978" spans="1:27" x14ac:dyDescent="0.25">
      <c r="A61978" s="8"/>
      <c r="B61978" s="8"/>
      <c r="C61978" s="99"/>
      <c r="D61978" s="8"/>
      <c r="E61978" s="8"/>
      <c r="F61978" s="8"/>
      <c r="G61978" s="8"/>
      <c r="H61978" s="8"/>
      <c r="I61978" s="102"/>
      <c r="J61978" s="8"/>
      <c r="K61978" s="8"/>
      <c r="L61978" s="8"/>
      <c r="M61978" s="8"/>
      <c r="N61978" s="8"/>
      <c r="O61978" s="8"/>
      <c r="P61978" s="8"/>
      <c r="Q61978" s="8"/>
      <c r="R61978" s="103"/>
      <c r="S61978" s="8"/>
      <c r="T61978" s="8"/>
      <c r="U61978" s="8"/>
      <c r="V61978" s="8"/>
      <c r="W61978" s="8"/>
      <c r="X61978" s="8"/>
      <c r="Y61978" s="8"/>
      <c r="Z61978" s="8"/>
      <c r="AA61978" s="8"/>
    </row>
    <row r="61979" spans="1:27" x14ac:dyDescent="0.25">
      <c r="A61979" s="8"/>
      <c r="B61979" s="8"/>
      <c r="C61979" s="99"/>
      <c r="D61979" s="8"/>
      <c r="E61979" s="8"/>
      <c r="F61979" s="8"/>
      <c r="G61979" s="8"/>
      <c r="H61979" s="8"/>
      <c r="I61979" s="102"/>
      <c r="J61979" s="8"/>
      <c r="K61979" s="8"/>
      <c r="L61979" s="8"/>
      <c r="M61979" s="8"/>
      <c r="N61979" s="8"/>
      <c r="O61979" s="8"/>
      <c r="P61979" s="8"/>
      <c r="Q61979" s="8"/>
      <c r="R61979" s="103"/>
      <c r="S61979" s="8"/>
      <c r="T61979" s="8"/>
      <c r="U61979" s="8"/>
      <c r="V61979" s="8"/>
      <c r="W61979" s="8"/>
      <c r="X61979" s="8"/>
      <c r="Y61979" s="8"/>
      <c r="Z61979" s="8"/>
      <c r="AA61979" s="8"/>
    </row>
    <row r="61980" spans="1:27" x14ac:dyDescent="0.25">
      <c r="A61980" s="8"/>
      <c r="B61980" s="8"/>
      <c r="C61980" s="99"/>
      <c r="D61980" s="8"/>
      <c r="E61980" s="8"/>
      <c r="F61980" s="8"/>
      <c r="G61980" s="8"/>
      <c r="H61980" s="8"/>
      <c r="I61980" s="102"/>
      <c r="J61980" s="8"/>
      <c r="K61980" s="8"/>
      <c r="L61980" s="8"/>
      <c r="M61980" s="8"/>
      <c r="N61980" s="8"/>
      <c r="O61980" s="8"/>
      <c r="P61980" s="8"/>
      <c r="Q61980" s="8"/>
      <c r="R61980" s="103"/>
      <c r="S61980" s="8"/>
      <c r="T61980" s="8"/>
      <c r="U61980" s="8"/>
      <c r="V61980" s="8"/>
      <c r="W61980" s="8"/>
      <c r="X61980" s="8"/>
      <c r="Y61980" s="8"/>
      <c r="Z61980" s="8"/>
      <c r="AA61980" s="8"/>
    </row>
    <row r="61981" spans="1:27" x14ac:dyDescent="0.25">
      <c r="A61981" s="8"/>
      <c r="B61981" s="8"/>
      <c r="C61981" s="99"/>
      <c r="D61981" s="8"/>
      <c r="E61981" s="8"/>
      <c r="F61981" s="8"/>
      <c r="G61981" s="8"/>
      <c r="H61981" s="8"/>
      <c r="I61981" s="102"/>
      <c r="J61981" s="8"/>
      <c r="K61981" s="8"/>
      <c r="L61981" s="8"/>
      <c r="M61981" s="8"/>
      <c r="N61981" s="8"/>
      <c r="O61981" s="8"/>
      <c r="P61981" s="8"/>
      <c r="Q61981" s="8"/>
      <c r="R61981" s="103"/>
      <c r="S61981" s="8"/>
      <c r="T61981" s="8"/>
      <c r="U61981" s="8"/>
      <c r="V61981" s="8"/>
      <c r="W61981" s="8"/>
      <c r="X61981" s="8"/>
      <c r="Y61981" s="8"/>
      <c r="Z61981" s="8"/>
      <c r="AA61981" s="8"/>
    </row>
    <row r="61982" spans="1:27" x14ac:dyDescent="0.25">
      <c r="A61982" s="8"/>
      <c r="B61982" s="8"/>
      <c r="C61982" s="99"/>
      <c r="D61982" s="8"/>
      <c r="E61982" s="8"/>
      <c r="F61982" s="8"/>
      <c r="G61982" s="8"/>
      <c r="H61982" s="8"/>
      <c r="I61982" s="102"/>
      <c r="J61982" s="8"/>
      <c r="K61982" s="8"/>
      <c r="L61982" s="8"/>
      <c r="M61982" s="8"/>
      <c r="N61982" s="8"/>
      <c r="O61982" s="8"/>
      <c r="P61982" s="8"/>
      <c r="Q61982" s="8"/>
      <c r="R61982" s="103"/>
      <c r="S61982" s="8"/>
      <c r="T61982" s="8"/>
      <c r="U61982" s="8"/>
      <c r="V61982" s="8"/>
      <c r="W61982" s="8"/>
      <c r="X61982" s="8"/>
      <c r="Y61982" s="8"/>
      <c r="Z61982" s="8"/>
      <c r="AA61982" s="8"/>
    </row>
    <row r="61983" spans="1:27" x14ac:dyDescent="0.25">
      <c r="A61983" s="8"/>
      <c r="B61983" s="8"/>
      <c r="C61983" s="99"/>
      <c r="D61983" s="8"/>
      <c r="E61983" s="8"/>
      <c r="F61983" s="8"/>
      <c r="G61983" s="8"/>
      <c r="H61983" s="8"/>
      <c r="I61983" s="102"/>
      <c r="J61983" s="8"/>
      <c r="K61983" s="8"/>
      <c r="L61983" s="8"/>
      <c r="M61983" s="8"/>
      <c r="N61983" s="8"/>
      <c r="O61983" s="8"/>
      <c r="P61983" s="8"/>
      <c r="Q61983" s="8"/>
      <c r="R61983" s="103"/>
      <c r="S61983" s="8"/>
      <c r="T61983" s="8"/>
      <c r="U61983" s="8"/>
      <c r="V61983" s="8"/>
      <c r="W61983" s="8"/>
      <c r="X61983" s="8"/>
      <c r="Y61983" s="8"/>
      <c r="Z61983" s="8"/>
      <c r="AA61983" s="8"/>
    </row>
    <row r="61984" spans="1:27" x14ac:dyDescent="0.25">
      <c r="A61984" s="8"/>
      <c r="B61984" s="8"/>
      <c r="C61984" s="99"/>
      <c r="D61984" s="8"/>
      <c r="E61984" s="8"/>
      <c r="F61984" s="8"/>
      <c r="G61984" s="8"/>
      <c r="H61984" s="8"/>
      <c r="I61984" s="102"/>
      <c r="J61984" s="8"/>
      <c r="K61984" s="8"/>
      <c r="L61984" s="8"/>
      <c r="M61984" s="8"/>
      <c r="N61984" s="8"/>
      <c r="O61984" s="8"/>
      <c r="P61984" s="8"/>
      <c r="Q61984" s="8"/>
      <c r="R61984" s="103"/>
      <c r="S61984" s="8"/>
      <c r="T61984" s="8"/>
      <c r="U61984" s="8"/>
      <c r="V61984" s="8"/>
      <c r="W61984" s="8"/>
      <c r="X61984" s="8"/>
      <c r="Y61984" s="8"/>
      <c r="Z61984" s="8"/>
      <c r="AA61984" s="8"/>
    </row>
    <row r="61985" spans="1:27" x14ac:dyDescent="0.25">
      <c r="A61985" s="8"/>
      <c r="B61985" s="8"/>
      <c r="C61985" s="99"/>
      <c r="D61985" s="8"/>
      <c r="E61985" s="8"/>
      <c r="F61985" s="8"/>
      <c r="G61985" s="8"/>
      <c r="H61985" s="8"/>
      <c r="I61985" s="102"/>
      <c r="J61985" s="8"/>
      <c r="K61985" s="8"/>
      <c r="L61985" s="8"/>
      <c r="M61985" s="8"/>
      <c r="N61985" s="8"/>
      <c r="O61985" s="8"/>
      <c r="P61985" s="8"/>
      <c r="Q61985" s="8"/>
      <c r="R61985" s="103"/>
      <c r="S61985" s="8"/>
      <c r="T61985" s="8"/>
      <c r="U61985" s="8"/>
      <c r="V61985" s="8"/>
      <c r="W61985" s="8"/>
      <c r="X61985" s="8"/>
      <c r="Y61985" s="8"/>
      <c r="Z61985" s="8"/>
      <c r="AA61985" s="8"/>
    </row>
    <row r="61986" spans="1:27" x14ac:dyDescent="0.25">
      <c r="A61986" s="8"/>
      <c r="B61986" s="8"/>
      <c r="C61986" s="99"/>
      <c r="D61986" s="8"/>
      <c r="E61986" s="8"/>
      <c r="F61986" s="8"/>
      <c r="G61986" s="8"/>
      <c r="H61986" s="8"/>
      <c r="I61986" s="102"/>
      <c r="J61986" s="8"/>
      <c r="K61986" s="8"/>
      <c r="L61986" s="8"/>
      <c r="M61986" s="8"/>
      <c r="N61986" s="8"/>
      <c r="O61986" s="8"/>
      <c r="P61986" s="8"/>
      <c r="Q61986" s="8"/>
      <c r="R61986" s="103"/>
      <c r="S61986" s="8"/>
      <c r="T61986" s="8"/>
      <c r="U61986" s="8"/>
      <c r="V61986" s="8"/>
      <c r="W61986" s="8"/>
      <c r="X61986" s="8"/>
      <c r="Y61986" s="8"/>
      <c r="Z61986" s="8"/>
      <c r="AA61986" s="8"/>
    </row>
    <row r="61987" spans="1:27" x14ac:dyDescent="0.25">
      <c r="A61987" s="8"/>
      <c r="B61987" s="8"/>
      <c r="C61987" s="99"/>
      <c r="D61987" s="8"/>
      <c r="E61987" s="8"/>
      <c r="F61987" s="8"/>
      <c r="G61987" s="8"/>
      <c r="H61987" s="8"/>
      <c r="I61987" s="102"/>
      <c r="J61987" s="8"/>
      <c r="K61987" s="8"/>
      <c r="L61987" s="8"/>
      <c r="M61987" s="8"/>
      <c r="N61987" s="8"/>
      <c r="O61987" s="8"/>
      <c r="P61987" s="8"/>
      <c r="Q61987" s="8"/>
      <c r="R61987" s="103"/>
      <c r="S61987" s="8"/>
      <c r="T61987" s="8"/>
      <c r="U61987" s="8"/>
      <c r="V61987" s="8"/>
      <c r="W61987" s="8"/>
      <c r="X61987" s="8"/>
      <c r="Y61987" s="8"/>
      <c r="Z61987" s="8"/>
      <c r="AA61987" s="8"/>
    </row>
    <row r="61988" spans="1:27" x14ac:dyDescent="0.25">
      <c r="A61988" s="8"/>
      <c r="B61988" s="8"/>
      <c r="C61988" s="99"/>
      <c r="D61988" s="8"/>
      <c r="E61988" s="8"/>
      <c r="F61988" s="8"/>
      <c r="G61988" s="8"/>
      <c r="H61988" s="8"/>
      <c r="I61988" s="102"/>
      <c r="J61988" s="8"/>
      <c r="K61988" s="8"/>
      <c r="L61988" s="8"/>
      <c r="M61988" s="8"/>
      <c r="N61988" s="8"/>
      <c r="O61988" s="8"/>
      <c r="P61988" s="8"/>
      <c r="Q61988" s="8"/>
      <c r="R61988" s="103"/>
      <c r="S61988" s="8"/>
      <c r="T61988" s="8"/>
      <c r="U61988" s="8"/>
      <c r="V61988" s="8"/>
      <c r="W61988" s="8"/>
      <c r="X61988" s="8"/>
      <c r="Y61988" s="8"/>
      <c r="Z61988" s="8"/>
      <c r="AA61988" s="8"/>
    </row>
    <row r="61989" spans="1:27" x14ac:dyDescent="0.25">
      <c r="A61989" s="8"/>
      <c r="B61989" s="8"/>
      <c r="C61989" s="99"/>
      <c r="D61989" s="8"/>
      <c r="E61989" s="8"/>
      <c r="F61989" s="8"/>
      <c r="G61989" s="8"/>
      <c r="H61989" s="8"/>
      <c r="I61989" s="102"/>
      <c r="J61989" s="8"/>
      <c r="K61989" s="8"/>
      <c r="L61989" s="8"/>
      <c r="M61989" s="8"/>
      <c r="N61989" s="8"/>
      <c r="O61989" s="8"/>
      <c r="P61989" s="8"/>
      <c r="Q61989" s="8"/>
      <c r="R61989" s="103"/>
      <c r="S61989" s="8"/>
      <c r="T61989" s="8"/>
      <c r="U61989" s="8"/>
      <c r="V61989" s="8"/>
      <c r="W61989" s="8"/>
      <c r="X61989" s="8"/>
      <c r="Y61989" s="8"/>
      <c r="Z61989" s="8"/>
      <c r="AA61989" s="8"/>
    </row>
    <row r="61990" spans="1:27" x14ac:dyDescent="0.25">
      <c r="A61990" s="8"/>
      <c r="B61990" s="8"/>
      <c r="C61990" s="99"/>
      <c r="D61990" s="8"/>
      <c r="E61990" s="8"/>
      <c r="F61990" s="8"/>
      <c r="G61990" s="8"/>
      <c r="H61990" s="8"/>
      <c r="I61990" s="102"/>
      <c r="J61990" s="8"/>
      <c r="K61990" s="8"/>
      <c r="L61990" s="8"/>
      <c r="M61990" s="8"/>
      <c r="N61990" s="8"/>
      <c r="O61990" s="8"/>
      <c r="P61990" s="8"/>
      <c r="Q61990" s="8"/>
      <c r="R61990" s="103"/>
      <c r="S61990" s="8"/>
      <c r="T61990" s="8"/>
      <c r="U61990" s="8"/>
      <c r="V61990" s="8"/>
      <c r="W61990" s="8"/>
      <c r="X61990" s="8"/>
      <c r="Y61990" s="8"/>
      <c r="Z61990" s="8"/>
      <c r="AA61990" s="8"/>
    </row>
    <row r="61991" spans="1:27" x14ac:dyDescent="0.25">
      <c r="A61991" s="8"/>
      <c r="B61991" s="8"/>
      <c r="C61991" s="99"/>
      <c r="D61991" s="8"/>
      <c r="E61991" s="8"/>
      <c r="F61991" s="8"/>
      <c r="G61991" s="8"/>
      <c r="H61991" s="8"/>
      <c r="I61991" s="102"/>
      <c r="J61991" s="8"/>
      <c r="K61991" s="8"/>
      <c r="L61991" s="8"/>
      <c r="M61991" s="8"/>
      <c r="N61991" s="8"/>
      <c r="O61991" s="8"/>
      <c r="P61991" s="8"/>
      <c r="Q61991" s="8"/>
      <c r="R61991" s="103"/>
      <c r="S61991" s="8"/>
      <c r="T61991" s="8"/>
      <c r="U61991" s="8"/>
      <c r="V61991" s="8"/>
      <c r="W61991" s="8"/>
      <c r="X61991" s="8"/>
      <c r="Y61991" s="8"/>
      <c r="Z61991" s="8"/>
      <c r="AA61991" s="8"/>
    </row>
    <row r="61992" spans="1:27" x14ac:dyDescent="0.25">
      <c r="A61992" s="8"/>
      <c r="B61992" s="8"/>
      <c r="C61992" s="99"/>
      <c r="D61992" s="8"/>
      <c r="E61992" s="8"/>
      <c r="F61992" s="8"/>
      <c r="G61992" s="8"/>
      <c r="H61992" s="8"/>
      <c r="I61992" s="102"/>
      <c r="J61992" s="8"/>
      <c r="K61992" s="8"/>
      <c r="L61992" s="8"/>
      <c r="M61992" s="8"/>
      <c r="N61992" s="8"/>
      <c r="O61992" s="8"/>
      <c r="P61992" s="8"/>
      <c r="Q61992" s="8"/>
      <c r="R61992" s="103"/>
      <c r="S61992" s="8"/>
      <c r="T61992" s="8"/>
      <c r="U61992" s="8"/>
      <c r="V61992" s="8"/>
      <c r="W61992" s="8"/>
      <c r="X61992" s="8"/>
      <c r="Y61992" s="8"/>
      <c r="Z61992" s="8"/>
      <c r="AA61992" s="8"/>
    </row>
    <row r="61993" spans="1:27" x14ac:dyDescent="0.25">
      <c r="A61993" s="8"/>
      <c r="B61993" s="8"/>
      <c r="C61993" s="99"/>
      <c r="D61993" s="8"/>
      <c r="E61993" s="8"/>
      <c r="F61993" s="8"/>
      <c r="G61993" s="8"/>
      <c r="H61993" s="8"/>
      <c r="I61993" s="102"/>
      <c r="J61993" s="8"/>
      <c r="K61993" s="8"/>
      <c r="L61993" s="8"/>
      <c r="M61993" s="8"/>
      <c r="N61993" s="8"/>
      <c r="O61993" s="8"/>
      <c r="P61993" s="8"/>
      <c r="Q61993" s="8"/>
      <c r="R61993" s="103"/>
      <c r="S61993" s="8"/>
      <c r="T61993" s="8"/>
      <c r="U61993" s="8"/>
      <c r="V61993" s="8"/>
      <c r="W61993" s="8"/>
      <c r="X61993" s="8"/>
      <c r="Y61993" s="8"/>
      <c r="Z61993" s="8"/>
      <c r="AA61993" s="8"/>
    </row>
    <row r="61994" spans="1:27" x14ac:dyDescent="0.25">
      <c r="A61994" s="8"/>
      <c r="B61994" s="8"/>
      <c r="C61994" s="99"/>
      <c r="D61994" s="8"/>
      <c r="E61994" s="8"/>
      <c r="F61994" s="8"/>
      <c r="G61994" s="8"/>
      <c r="H61994" s="8"/>
      <c r="I61994" s="102"/>
      <c r="J61994" s="8"/>
      <c r="K61994" s="8"/>
      <c r="L61994" s="8"/>
      <c r="M61994" s="8"/>
      <c r="N61994" s="8"/>
      <c r="O61994" s="8"/>
      <c r="P61994" s="8"/>
      <c r="Q61994" s="8"/>
      <c r="R61994" s="103"/>
      <c r="S61994" s="8"/>
      <c r="T61994" s="8"/>
      <c r="U61994" s="8"/>
      <c r="V61994" s="8"/>
      <c r="W61994" s="8"/>
      <c r="X61994" s="8"/>
      <c r="Y61994" s="8"/>
      <c r="Z61994" s="8"/>
      <c r="AA61994" s="8"/>
    </row>
    <row r="61995" spans="1:27" x14ac:dyDescent="0.25">
      <c r="A61995" s="8"/>
      <c r="B61995" s="8"/>
      <c r="C61995" s="99"/>
      <c r="D61995" s="8"/>
      <c r="E61995" s="8"/>
      <c r="F61995" s="8"/>
      <c r="G61995" s="8"/>
      <c r="H61995" s="8"/>
      <c r="I61995" s="102"/>
      <c r="J61995" s="8"/>
      <c r="K61995" s="8"/>
      <c r="L61995" s="8"/>
      <c r="M61995" s="8"/>
      <c r="N61995" s="8"/>
      <c r="O61995" s="8"/>
      <c r="P61995" s="8"/>
      <c r="Q61995" s="8"/>
      <c r="R61995" s="103"/>
      <c r="S61995" s="8"/>
      <c r="T61995" s="8"/>
      <c r="U61995" s="8"/>
      <c r="V61995" s="8"/>
      <c r="W61995" s="8"/>
      <c r="X61995" s="8"/>
      <c r="Y61995" s="8"/>
      <c r="Z61995" s="8"/>
      <c r="AA61995" s="8"/>
    </row>
    <row r="61996" spans="1:27" x14ac:dyDescent="0.25">
      <c r="A61996" s="8"/>
      <c r="B61996" s="8"/>
      <c r="C61996" s="99"/>
      <c r="D61996" s="8"/>
      <c r="E61996" s="8"/>
      <c r="F61996" s="8"/>
      <c r="G61996" s="8"/>
      <c r="H61996" s="8"/>
      <c r="I61996" s="102"/>
      <c r="J61996" s="8"/>
      <c r="K61996" s="8"/>
      <c r="L61996" s="8"/>
      <c r="M61996" s="8"/>
      <c r="N61996" s="8"/>
      <c r="O61996" s="8"/>
      <c r="P61996" s="8"/>
      <c r="Q61996" s="8"/>
      <c r="R61996" s="103"/>
      <c r="S61996" s="8"/>
      <c r="T61996" s="8"/>
      <c r="U61996" s="8"/>
      <c r="V61996" s="8"/>
      <c r="W61996" s="8"/>
      <c r="X61996" s="8"/>
      <c r="Y61996" s="8"/>
      <c r="Z61996" s="8"/>
      <c r="AA61996" s="8"/>
    </row>
    <row r="61997" spans="1:27" x14ac:dyDescent="0.25">
      <c r="A61997" s="8"/>
      <c r="B61997" s="8"/>
      <c r="C61997" s="99"/>
      <c r="D61997" s="8"/>
      <c r="E61997" s="8"/>
      <c r="F61997" s="8"/>
      <c r="G61997" s="8"/>
      <c r="H61997" s="8"/>
      <c r="I61997" s="102"/>
      <c r="J61997" s="8"/>
      <c r="K61997" s="8"/>
      <c r="L61997" s="8"/>
      <c r="M61997" s="8"/>
      <c r="N61997" s="8"/>
      <c r="O61997" s="8"/>
      <c r="P61997" s="8"/>
      <c r="Q61997" s="8"/>
      <c r="R61997" s="103"/>
      <c r="S61997" s="8"/>
      <c r="T61997" s="8"/>
      <c r="U61997" s="8"/>
      <c r="V61997" s="8"/>
      <c r="W61997" s="8"/>
      <c r="X61997" s="8"/>
      <c r="Y61997" s="8"/>
      <c r="Z61997" s="8"/>
      <c r="AA61997" s="8"/>
    </row>
    <row r="61998" spans="1:27" x14ac:dyDescent="0.25">
      <c r="A61998" s="8"/>
      <c r="B61998" s="8"/>
      <c r="C61998" s="99"/>
      <c r="D61998" s="8"/>
      <c r="E61998" s="8"/>
      <c r="F61998" s="8"/>
      <c r="G61998" s="8"/>
      <c r="H61998" s="8"/>
      <c r="I61998" s="102"/>
      <c r="J61998" s="8"/>
      <c r="K61998" s="8"/>
      <c r="L61998" s="8"/>
      <c r="M61998" s="8"/>
      <c r="N61998" s="8"/>
      <c r="O61998" s="8"/>
      <c r="P61998" s="8"/>
      <c r="Q61998" s="8"/>
      <c r="R61998" s="103"/>
      <c r="S61998" s="8"/>
      <c r="T61998" s="8"/>
      <c r="U61998" s="8"/>
      <c r="V61998" s="8"/>
      <c r="W61998" s="8"/>
      <c r="X61998" s="8"/>
      <c r="Y61998" s="8"/>
      <c r="Z61998" s="8"/>
      <c r="AA61998" s="8"/>
    </row>
    <row r="61999" spans="1:27" x14ac:dyDescent="0.25">
      <c r="A61999" s="8"/>
      <c r="B61999" s="8"/>
      <c r="C61999" s="99"/>
      <c r="D61999" s="8"/>
      <c r="E61999" s="8"/>
      <c r="F61999" s="8"/>
      <c r="G61999" s="8"/>
      <c r="H61999" s="8"/>
      <c r="I61999" s="102"/>
      <c r="J61999" s="8"/>
      <c r="K61999" s="8"/>
      <c r="L61999" s="8"/>
      <c r="M61999" s="8"/>
      <c r="N61999" s="8"/>
      <c r="O61999" s="8"/>
      <c r="P61999" s="8"/>
      <c r="Q61999" s="8"/>
      <c r="R61999" s="103"/>
      <c r="S61999" s="8"/>
      <c r="T61999" s="8"/>
      <c r="U61999" s="8"/>
      <c r="V61999" s="8"/>
      <c r="W61999" s="8"/>
      <c r="X61999" s="8"/>
      <c r="Y61999" s="8"/>
      <c r="Z61999" s="8"/>
      <c r="AA61999" s="8"/>
    </row>
    <row r="62000" spans="1:27" x14ac:dyDescent="0.25">
      <c r="A62000" s="8"/>
      <c r="B62000" s="8"/>
      <c r="C62000" s="99"/>
      <c r="D62000" s="8"/>
      <c r="E62000" s="8"/>
      <c r="F62000" s="8"/>
      <c r="G62000" s="8"/>
      <c r="H62000" s="8"/>
      <c r="I62000" s="102"/>
      <c r="J62000" s="8"/>
      <c r="K62000" s="8"/>
      <c r="L62000" s="8"/>
      <c r="M62000" s="8"/>
      <c r="N62000" s="8"/>
      <c r="O62000" s="8"/>
      <c r="P62000" s="8"/>
      <c r="Q62000" s="8"/>
      <c r="R62000" s="103"/>
      <c r="S62000" s="8"/>
      <c r="T62000" s="8"/>
      <c r="U62000" s="8"/>
      <c r="V62000" s="8"/>
      <c r="W62000" s="8"/>
      <c r="X62000" s="8"/>
      <c r="Y62000" s="8"/>
      <c r="Z62000" s="8"/>
      <c r="AA62000" s="8"/>
    </row>
    <row r="62001" spans="1:27" x14ac:dyDescent="0.25">
      <c r="A62001" s="8"/>
      <c r="B62001" s="8"/>
      <c r="C62001" s="99"/>
      <c r="D62001" s="8"/>
      <c r="E62001" s="8"/>
      <c r="F62001" s="8"/>
      <c r="G62001" s="8"/>
      <c r="H62001" s="8"/>
      <c r="I62001" s="102"/>
      <c r="J62001" s="8"/>
      <c r="K62001" s="8"/>
      <c r="L62001" s="8"/>
      <c r="M62001" s="8"/>
      <c r="N62001" s="8"/>
      <c r="O62001" s="8"/>
      <c r="P62001" s="8"/>
      <c r="Q62001" s="8"/>
      <c r="R62001" s="103"/>
      <c r="S62001" s="8"/>
      <c r="T62001" s="8"/>
      <c r="U62001" s="8"/>
      <c r="V62001" s="8"/>
      <c r="W62001" s="8"/>
      <c r="X62001" s="8"/>
      <c r="Y62001" s="8"/>
      <c r="Z62001" s="8"/>
      <c r="AA62001" s="8"/>
    </row>
    <row r="62002" spans="1:27" x14ac:dyDescent="0.25">
      <c r="A62002" s="8"/>
      <c r="B62002" s="8"/>
      <c r="C62002" s="99"/>
      <c r="D62002" s="8"/>
      <c r="E62002" s="8"/>
      <c r="F62002" s="8"/>
      <c r="G62002" s="8"/>
      <c r="H62002" s="8"/>
      <c r="I62002" s="102"/>
      <c r="J62002" s="8"/>
      <c r="K62002" s="8"/>
      <c r="L62002" s="8"/>
      <c r="M62002" s="8"/>
      <c r="N62002" s="8"/>
      <c r="O62002" s="8"/>
      <c r="P62002" s="8"/>
      <c r="Q62002" s="8"/>
      <c r="R62002" s="103"/>
      <c r="S62002" s="8"/>
      <c r="T62002" s="8"/>
      <c r="U62002" s="8"/>
      <c r="V62002" s="8"/>
      <c r="W62002" s="8"/>
      <c r="X62002" s="8"/>
      <c r="Y62002" s="8"/>
      <c r="Z62002" s="8"/>
      <c r="AA62002" s="8"/>
    </row>
    <row r="62003" spans="1:27" x14ac:dyDescent="0.25">
      <c r="A62003" s="8"/>
      <c r="B62003" s="8"/>
      <c r="C62003" s="99"/>
      <c r="D62003" s="8"/>
      <c r="E62003" s="8"/>
      <c r="F62003" s="8"/>
      <c r="G62003" s="8"/>
      <c r="H62003" s="8"/>
      <c r="I62003" s="102"/>
      <c r="J62003" s="8"/>
      <c r="K62003" s="8"/>
      <c r="L62003" s="8"/>
      <c r="M62003" s="8"/>
      <c r="N62003" s="8"/>
      <c r="O62003" s="8"/>
      <c r="P62003" s="8"/>
      <c r="Q62003" s="8"/>
      <c r="R62003" s="103"/>
      <c r="S62003" s="8"/>
      <c r="T62003" s="8"/>
      <c r="U62003" s="8"/>
      <c r="V62003" s="8"/>
      <c r="W62003" s="8"/>
      <c r="X62003" s="8"/>
      <c r="Y62003" s="8"/>
      <c r="Z62003" s="8"/>
      <c r="AA62003" s="8"/>
    </row>
    <row r="62004" spans="1:27" x14ac:dyDescent="0.25">
      <c r="A62004" s="8"/>
      <c r="B62004" s="8"/>
      <c r="C62004" s="99"/>
      <c r="D62004" s="8"/>
      <c r="E62004" s="8"/>
      <c r="F62004" s="8"/>
      <c r="G62004" s="8"/>
      <c r="H62004" s="8"/>
      <c r="I62004" s="102"/>
      <c r="J62004" s="8"/>
      <c r="K62004" s="8"/>
      <c r="L62004" s="8"/>
      <c r="M62004" s="8"/>
      <c r="N62004" s="8"/>
      <c r="O62004" s="8"/>
      <c r="P62004" s="8"/>
      <c r="Q62004" s="8"/>
      <c r="R62004" s="103"/>
      <c r="S62004" s="8"/>
      <c r="T62004" s="8"/>
      <c r="U62004" s="8"/>
      <c r="V62004" s="8"/>
      <c r="W62004" s="8"/>
      <c r="X62004" s="8"/>
      <c r="Y62004" s="8"/>
      <c r="Z62004" s="8"/>
      <c r="AA62004" s="8"/>
    </row>
    <row r="62005" spans="1:27" x14ac:dyDescent="0.25">
      <c r="A62005" s="8"/>
      <c r="B62005" s="8"/>
      <c r="C62005" s="99"/>
      <c r="D62005" s="8"/>
      <c r="E62005" s="8"/>
      <c r="F62005" s="8"/>
      <c r="G62005" s="8"/>
      <c r="H62005" s="8"/>
      <c r="I62005" s="102"/>
      <c r="J62005" s="8"/>
      <c r="K62005" s="8"/>
      <c r="L62005" s="8"/>
      <c r="M62005" s="8"/>
      <c r="N62005" s="8"/>
      <c r="O62005" s="8"/>
      <c r="P62005" s="8"/>
      <c r="Q62005" s="8"/>
      <c r="R62005" s="103"/>
      <c r="S62005" s="8"/>
      <c r="T62005" s="8"/>
      <c r="U62005" s="8"/>
      <c r="V62005" s="8"/>
      <c r="W62005" s="8"/>
      <c r="X62005" s="8"/>
      <c r="Y62005" s="8"/>
      <c r="Z62005" s="8"/>
      <c r="AA62005" s="8"/>
    </row>
    <row r="62006" spans="1:27" x14ac:dyDescent="0.25">
      <c r="A62006" s="8"/>
      <c r="B62006" s="8"/>
      <c r="C62006" s="99"/>
      <c r="D62006" s="8"/>
      <c r="E62006" s="8"/>
      <c r="F62006" s="8"/>
      <c r="G62006" s="8"/>
      <c r="H62006" s="8"/>
      <c r="I62006" s="102"/>
      <c r="J62006" s="8"/>
      <c r="K62006" s="8"/>
      <c r="L62006" s="8"/>
      <c r="M62006" s="8"/>
      <c r="N62006" s="8"/>
      <c r="O62006" s="8"/>
      <c r="P62006" s="8"/>
      <c r="Q62006" s="8"/>
      <c r="R62006" s="103"/>
      <c r="S62006" s="8"/>
      <c r="T62006" s="8"/>
      <c r="U62006" s="8"/>
      <c r="V62006" s="8"/>
      <c r="W62006" s="8"/>
      <c r="X62006" s="8"/>
      <c r="Y62006" s="8"/>
      <c r="Z62006" s="8"/>
      <c r="AA62006" s="8"/>
    </row>
    <row r="62007" spans="1:27" x14ac:dyDescent="0.25">
      <c r="A62007" s="8"/>
      <c r="B62007" s="8"/>
      <c r="C62007" s="99"/>
      <c r="D62007" s="8"/>
      <c r="E62007" s="8"/>
      <c r="F62007" s="8"/>
      <c r="G62007" s="8"/>
      <c r="H62007" s="8"/>
      <c r="I62007" s="102"/>
      <c r="J62007" s="8"/>
      <c r="K62007" s="8"/>
      <c r="L62007" s="8"/>
      <c r="M62007" s="8"/>
      <c r="N62007" s="8"/>
      <c r="O62007" s="8"/>
      <c r="P62007" s="8"/>
      <c r="Q62007" s="8"/>
      <c r="R62007" s="103"/>
      <c r="S62007" s="8"/>
      <c r="T62007" s="8"/>
      <c r="U62007" s="8"/>
      <c r="V62007" s="8"/>
      <c r="W62007" s="8"/>
      <c r="X62007" s="8"/>
      <c r="Y62007" s="8"/>
      <c r="Z62007" s="8"/>
      <c r="AA62007" s="8"/>
    </row>
    <row r="62008" spans="1:27" x14ac:dyDescent="0.25">
      <c r="A62008" s="8"/>
      <c r="B62008" s="8"/>
      <c r="C62008" s="99"/>
      <c r="D62008" s="8"/>
      <c r="E62008" s="8"/>
      <c r="F62008" s="8"/>
      <c r="G62008" s="8"/>
      <c r="H62008" s="8"/>
      <c r="I62008" s="102"/>
      <c r="J62008" s="8"/>
      <c r="K62008" s="8"/>
      <c r="L62008" s="8"/>
      <c r="M62008" s="8"/>
      <c r="N62008" s="8"/>
      <c r="O62008" s="8"/>
      <c r="P62008" s="8"/>
      <c r="Q62008" s="8"/>
      <c r="R62008" s="103"/>
      <c r="S62008" s="8"/>
      <c r="T62008" s="8"/>
      <c r="U62008" s="8"/>
      <c r="V62008" s="8"/>
      <c r="W62008" s="8"/>
      <c r="X62008" s="8"/>
      <c r="Y62008" s="8"/>
      <c r="Z62008" s="8"/>
      <c r="AA62008" s="8"/>
    </row>
    <row r="62009" spans="1:27" x14ac:dyDescent="0.25">
      <c r="A62009" s="8"/>
      <c r="B62009" s="8"/>
      <c r="C62009" s="99"/>
      <c r="D62009" s="8"/>
      <c r="E62009" s="8"/>
      <c r="F62009" s="8"/>
      <c r="G62009" s="8"/>
      <c r="H62009" s="8"/>
      <c r="I62009" s="102"/>
      <c r="J62009" s="8"/>
      <c r="K62009" s="8"/>
      <c r="L62009" s="8"/>
      <c r="M62009" s="8"/>
      <c r="N62009" s="8"/>
      <c r="O62009" s="8"/>
      <c r="P62009" s="8"/>
      <c r="Q62009" s="8"/>
      <c r="R62009" s="103"/>
      <c r="S62009" s="8"/>
      <c r="T62009" s="8"/>
      <c r="U62009" s="8"/>
      <c r="V62009" s="8"/>
      <c r="W62009" s="8"/>
      <c r="X62009" s="8"/>
      <c r="Y62009" s="8"/>
      <c r="Z62009" s="8"/>
      <c r="AA62009" s="8"/>
    </row>
    <row r="62010" spans="1:27" x14ac:dyDescent="0.25">
      <c r="A62010" s="8"/>
      <c r="B62010" s="8"/>
      <c r="C62010" s="99"/>
      <c r="D62010" s="8"/>
      <c r="E62010" s="8"/>
      <c r="F62010" s="8"/>
      <c r="G62010" s="8"/>
      <c r="H62010" s="8"/>
      <c r="I62010" s="102"/>
      <c r="J62010" s="8"/>
      <c r="K62010" s="8"/>
      <c r="L62010" s="8"/>
      <c r="M62010" s="8"/>
      <c r="N62010" s="8"/>
      <c r="O62010" s="8"/>
      <c r="P62010" s="8"/>
      <c r="Q62010" s="8"/>
      <c r="R62010" s="103"/>
      <c r="S62010" s="8"/>
      <c r="T62010" s="8"/>
      <c r="U62010" s="8"/>
      <c r="V62010" s="8"/>
      <c r="W62010" s="8"/>
      <c r="X62010" s="8"/>
      <c r="Y62010" s="8"/>
      <c r="Z62010" s="8"/>
      <c r="AA62010" s="8"/>
    </row>
    <row r="62011" spans="1:27" x14ac:dyDescent="0.25">
      <c r="A62011" s="8"/>
      <c r="B62011" s="8"/>
      <c r="C62011" s="99"/>
      <c r="D62011" s="8"/>
      <c r="E62011" s="8"/>
      <c r="F62011" s="8"/>
      <c r="G62011" s="8"/>
      <c r="H62011" s="8"/>
      <c r="I62011" s="102"/>
      <c r="J62011" s="8"/>
      <c r="K62011" s="8"/>
      <c r="L62011" s="8"/>
      <c r="M62011" s="8"/>
      <c r="N62011" s="8"/>
      <c r="O62011" s="8"/>
      <c r="P62011" s="8"/>
      <c r="Q62011" s="8"/>
      <c r="R62011" s="103"/>
      <c r="S62011" s="8"/>
      <c r="T62011" s="8"/>
      <c r="U62011" s="8"/>
      <c r="V62011" s="8"/>
      <c r="W62011" s="8"/>
      <c r="X62011" s="8"/>
      <c r="Y62011" s="8"/>
      <c r="Z62011" s="8"/>
      <c r="AA62011" s="8"/>
    </row>
    <row r="62012" spans="1:27" x14ac:dyDescent="0.25">
      <c r="A62012" s="8"/>
      <c r="B62012" s="8"/>
      <c r="C62012" s="99"/>
      <c r="D62012" s="8"/>
      <c r="E62012" s="8"/>
      <c r="F62012" s="8"/>
      <c r="G62012" s="8"/>
      <c r="H62012" s="8"/>
      <c r="I62012" s="102"/>
      <c r="J62012" s="8"/>
      <c r="K62012" s="8"/>
      <c r="L62012" s="8"/>
      <c r="M62012" s="8"/>
      <c r="N62012" s="8"/>
      <c r="O62012" s="8"/>
      <c r="P62012" s="8"/>
      <c r="Q62012" s="8"/>
      <c r="R62012" s="103"/>
      <c r="S62012" s="8"/>
      <c r="T62012" s="8"/>
      <c r="U62012" s="8"/>
      <c r="V62012" s="8"/>
      <c r="W62012" s="8"/>
      <c r="X62012" s="8"/>
      <c r="Y62012" s="8"/>
      <c r="Z62012" s="8"/>
      <c r="AA62012" s="8"/>
    </row>
    <row r="62013" spans="1:27" x14ac:dyDescent="0.25">
      <c r="A62013" s="8"/>
      <c r="B62013" s="8"/>
      <c r="C62013" s="99"/>
      <c r="D62013" s="8"/>
      <c r="E62013" s="8"/>
      <c r="F62013" s="8"/>
      <c r="G62013" s="8"/>
      <c r="H62013" s="8"/>
      <c r="I62013" s="102"/>
      <c r="J62013" s="8"/>
      <c r="K62013" s="8"/>
      <c r="L62013" s="8"/>
      <c r="M62013" s="8"/>
      <c r="N62013" s="8"/>
      <c r="O62013" s="8"/>
      <c r="P62013" s="8"/>
      <c r="Q62013" s="8"/>
      <c r="R62013" s="103"/>
      <c r="S62013" s="8"/>
      <c r="T62013" s="8"/>
      <c r="U62013" s="8"/>
      <c r="V62013" s="8"/>
      <c r="W62013" s="8"/>
      <c r="X62013" s="8"/>
      <c r="Y62013" s="8"/>
      <c r="Z62013" s="8"/>
      <c r="AA62013" s="8"/>
    </row>
    <row r="62014" spans="1:27" x14ac:dyDescent="0.25">
      <c r="A62014" s="8"/>
      <c r="B62014" s="8"/>
      <c r="C62014" s="99"/>
      <c r="D62014" s="8"/>
      <c r="E62014" s="8"/>
      <c r="F62014" s="8"/>
      <c r="G62014" s="8"/>
      <c r="H62014" s="8"/>
      <c r="I62014" s="102"/>
      <c r="J62014" s="8"/>
      <c r="K62014" s="8"/>
      <c r="L62014" s="8"/>
      <c r="M62014" s="8"/>
      <c r="N62014" s="8"/>
      <c r="O62014" s="8"/>
      <c r="P62014" s="8"/>
      <c r="Q62014" s="8"/>
      <c r="R62014" s="103"/>
      <c r="S62014" s="8"/>
      <c r="T62014" s="8"/>
      <c r="U62014" s="8"/>
      <c r="V62014" s="8"/>
      <c r="W62014" s="8"/>
      <c r="X62014" s="8"/>
      <c r="Y62014" s="8"/>
      <c r="Z62014" s="8"/>
      <c r="AA62014" s="8"/>
    </row>
    <row r="62015" spans="1:27" x14ac:dyDescent="0.25">
      <c r="A62015" s="8"/>
      <c r="B62015" s="8"/>
      <c r="C62015" s="99"/>
      <c r="D62015" s="8"/>
      <c r="E62015" s="8"/>
      <c r="F62015" s="8"/>
      <c r="G62015" s="8"/>
      <c r="H62015" s="8"/>
      <c r="I62015" s="102"/>
      <c r="J62015" s="8"/>
      <c r="K62015" s="8"/>
      <c r="L62015" s="8"/>
      <c r="M62015" s="8"/>
      <c r="N62015" s="8"/>
      <c r="O62015" s="8"/>
      <c r="P62015" s="8"/>
      <c r="Q62015" s="8"/>
      <c r="R62015" s="103"/>
      <c r="S62015" s="8"/>
      <c r="T62015" s="8"/>
      <c r="U62015" s="8"/>
      <c r="V62015" s="8"/>
      <c r="W62015" s="8"/>
      <c r="X62015" s="8"/>
      <c r="Y62015" s="8"/>
      <c r="Z62015" s="8"/>
      <c r="AA62015" s="8"/>
    </row>
    <row r="62016" spans="1:27" x14ac:dyDescent="0.25">
      <c r="A62016" s="8"/>
      <c r="B62016" s="8"/>
      <c r="C62016" s="99"/>
      <c r="D62016" s="8"/>
      <c r="E62016" s="8"/>
      <c r="F62016" s="8"/>
      <c r="G62016" s="8"/>
      <c r="H62016" s="8"/>
      <c r="I62016" s="102"/>
      <c r="J62016" s="8"/>
      <c r="K62016" s="8"/>
      <c r="L62016" s="8"/>
      <c r="M62016" s="8"/>
      <c r="N62016" s="8"/>
      <c r="O62016" s="8"/>
      <c r="P62016" s="8"/>
      <c r="Q62016" s="8"/>
      <c r="R62016" s="103"/>
      <c r="S62016" s="8"/>
      <c r="T62016" s="8"/>
      <c r="U62016" s="8"/>
      <c r="V62016" s="8"/>
      <c r="W62016" s="8"/>
      <c r="X62016" s="8"/>
      <c r="Y62016" s="8"/>
      <c r="Z62016" s="8"/>
      <c r="AA62016" s="8"/>
    </row>
    <row r="62017" spans="1:27" x14ac:dyDescent="0.25">
      <c r="A62017" s="8"/>
      <c r="B62017" s="8"/>
      <c r="C62017" s="99"/>
      <c r="D62017" s="8"/>
      <c r="E62017" s="8"/>
      <c r="F62017" s="8"/>
      <c r="G62017" s="8"/>
      <c r="H62017" s="8"/>
      <c r="I62017" s="102"/>
      <c r="J62017" s="8"/>
      <c r="K62017" s="8"/>
      <c r="L62017" s="8"/>
      <c r="M62017" s="8"/>
      <c r="N62017" s="8"/>
      <c r="O62017" s="8"/>
      <c r="P62017" s="8"/>
      <c r="Q62017" s="8"/>
      <c r="R62017" s="103"/>
      <c r="S62017" s="8"/>
      <c r="T62017" s="8"/>
      <c r="U62017" s="8"/>
      <c r="V62017" s="8"/>
      <c r="W62017" s="8"/>
      <c r="X62017" s="8"/>
      <c r="Y62017" s="8"/>
      <c r="Z62017" s="8"/>
      <c r="AA62017" s="8"/>
    </row>
    <row r="62018" spans="1:27" x14ac:dyDescent="0.25">
      <c r="A62018" s="8"/>
      <c r="B62018" s="8"/>
      <c r="C62018" s="99"/>
      <c r="D62018" s="8"/>
      <c r="E62018" s="8"/>
      <c r="F62018" s="8"/>
      <c r="G62018" s="8"/>
      <c r="H62018" s="8"/>
      <c r="I62018" s="102"/>
      <c r="J62018" s="8"/>
      <c r="K62018" s="8"/>
      <c r="L62018" s="8"/>
      <c r="M62018" s="8"/>
      <c r="N62018" s="8"/>
      <c r="O62018" s="8"/>
      <c r="P62018" s="8"/>
      <c r="Q62018" s="8"/>
      <c r="R62018" s="103"/>
      <c r="S62018" s="8"/>
      <c r="T62018" s="8"/>
      <c r="U62018" s="8"/>
      <c r="V62018" s="8"/>
      <c r="W62018" s="8"/>
      <c r="X62018" s="8"/>
      <c r="Y62018" s="8"/>
      <c r="Z62018" s="8"/>
      <c r="AA62018" s="8"/>
    </row>
    <row r="62019" spans="1:27" x14ac:dyDescent="0.25">
      <c r="A62019" s="8"/>
      <c r="B62019" s="8"/>
      <c r="C62019" s="99"/>
      <c r="D62019" s="8"/>
      <c r="E62019" s="8"/>
      <c r="F62019" s="8"/>
      <c r="G62019" s="8"/>
      <c r="H62019" s="8"/>
      <c r="I62019" s="102"/>
      <c r="J62019" s="8"/>
      <c r="K62019" s="8"/>
      <c r="L62019" s="8"/>
      <c r="M62019" s="8"/>
      <c r="N62019" s="8"/>
      <c r="O62019" s="8"/>
      <c r="P62019" s="8"/>
      <c r="Q62019" s="8"/>
      <c r="R62019" s="103"/>
      <c r="S62019" s="8"/>
      <c r="T62019" s="8"/>
      <c r="U62019" s="8"/>
      <c r="V62019" s="8"/>
      <c r="W62019" s="8"/>
      <c r="X62019" s="8"/>
      <c r="Y62019" s="8"/>
      <c r="Z62019" s="8"/>
      <c r="AA62019" s="8"/>
    </row>
    <row r="62020" spans="1:27" x14ac:dyDescent="0.25">
      <c r="A62020" s="8"/>
      <c r="B62020" s="8"/>
      <c r="C62020" s="99"/>
      <c r="D62020" s="8"/>
      <c r="E62020" s="8"/>
      <c r="F62020" s="8"/>
      <c r="G62020" s="8"/>
      <c r="H62020" s="8"/>
      <c r="I62020" s="102"/>
      <c r="J62020" s="8"/>
      <c r="K62020" s="8"/>
      <c r="L62020" s="8"/>
      <c r="M62020" s="8"/>
      <c r="N62020" s="8"/>
      <c r="O62020" s="8"/>
      <c r="P62020" s="8"/>
      <c r="Q62020" s="8"/>
      <c r="R62020" s="103"/>
      <c r="S62020" s="8"/>
      <c r="T62020" s="8"/>
      <c r="U62020" s="8"/>
      <c r="V62020" s="8"/>
      <c r="W62020" s="8"/>
      <c r="X62020" s="8"/>
      <c r="Y62020" s="8"/>
      <c r="Z62020" s="8"/>
      <c r="AA62020" s="8"/>
    </row>
    <row r="62021" spans="1:27" x14ac:dyDescent="0.25">
      <c r="A62021" s="8"/>
      <c r="B62021" s="8"/>
      <c r="C62021" s="99"/>
      <c r="D62021" s="8"/>
      <c r="E62021" s="8"/>
      <c r="F62021" s="8"/>
      <c r="G62021" s="8"/>
      <c r="H62021" s="8"/>
      <c r="I62021" s="102"/>
      <c r="J62021" s="8"/>
      <c r="K62021" s="8"/>
      <c r="L62021" s="8"/>
      <c r="M62021" s="8"/>
      <c r="N62021" s="8"/>
      <c r="O62021" s="8"/>
      <c r="P62021" s="8"/>
      <c r="Q62021" s="8"/>
      <c r="R62021" s="103"/>
      <c r="S62021" s="8"/>
      <c r="T62021" s="8"/>
      <c r="U62021" s="8"/>
      <c r="V62021" s="8"/>
      <c r="W62021" s="8"/>
      <c r="X62021" s="8"/>
      <c r="Y62021" s="8"/>
      <c r="Z62021" s="8"/>
      <c r="AA62021" s="8"/>
    </row>
    <row r="62022" spans="1:27" x14ac:dyDescent="0.25">
      <c r="A62022" s="8"/>
      <c r="B62022" s="8"/>
      <c r="C62022" s="99"/>
      <c r="D62022" s="8"/>
      <c r="E62022" s="8"/>
      <c r="F62022" s="8"/>
      <c r="G62022" s="8"/>
      <c r="H62022" s="8"/>
      <c r="I62022" s="102"/>
      <c r="J62022" s="8"/>
      <c r="K62022" s="8"/>
      <c r="L62022" s="8"/>
      <c r="M62022" s="8"/>
      <c r="N62022" s="8"/>
      <c r="O62022" s="8"/>
      <c r="P62022" s="8"/>
      <c r="Q62022" s="8"/>
      <c r="R62022" s="103"/>
      <c r="S62022" s="8"/>
      <c r="T62022" s="8"/>
      <c r="U62022" s="8"/>
      <c r="V62022" s="8"/>
      <c r="W62022" s="8"/>
      <c r="X62022" s="8"/>
      <c r="Y62022" s="8"/>
      <c r="Z62022" s="8"/>
      <c r="AA62022" s="8"/>
    </row>
    <row r="62023" spans="1:27" x14ac:dyDescent="0.25">
      <c r="A62023" s="8"/>
      <c r="B62023" s="8"/>
      <c r="C62023" s="99"/>
      <c r="D62023" s="8"/>
      <c r="E62023" s="8"/>
      <c r="F62023" s="8"/>
      <c r="G62023" s="8"/>
      <c r="H62023" s="8"/>
      <c r="I62023" s="102"/>
      <c r="J62023" s="8"/>
      <c r="K62023" s="8"/>
      <c r="L62023" s="8"/>
      <c r="M62023" s="8"/>
      <c r="N62023" s="8"/>
      <c r="O62023" s="8"/>
      <c r="P62023" s="8"/>
      <c r="Q62023" s="8"/>
      <c r="R62023" s="103"/>
      <c r="S62023" s="8"/>
      <c r="T62023" s="8"/>
      <c r="U62023" s="8"/>
      <c r="V62023" s="8"/>
      <c r="W62023" s="8"/>
      <c r="X62023" s="8"/>
      <c r="Y62023" s="8"/>
      <c r="Z62023" s="8"/>
      <c r="AA62023" s="8"/>
    </row>
    <row r="62024" spans="1:27" x14ac:dyDescent="0.25">
      <c r="A62024" s="8"/>
      <c r="B62024" s="8"/>
      <c r="C62024" s="99"/>
      <c r="D62024" s="8"/>
      <c r="E62024" s="8"/>
      <c r="F62024" s="8"/>
      <c r="G62024" s="8"/>
      <c r="H62024" s="8"/>
      <c r="I62024" s="102"/>
      <c r="J62024" s="8"/>
      <c r="K62024" s="8"/>
      <c r="L62024" s="8"/>
      <c r="M62024" s="8"/>
      <c r="N62024" s="8"/>
      <c r="O62024" s="8"/>
      <c r="P62024" s="8"/>
      <c r="Q62024" s="8"/>
      <c r="R62024" s="103"/>
      <c r="S62024" s="8"/>
      <c r="T62024" s="8"/>
      <c r="U62024" s="8"/>
      <c r="V62024" s="8"/>
      <c r="W62024" s="8"/>
      <c r="X62024" s="8"/>
      <c r="Y62024" s="8"/>
      <c r="Z62024" s="8"/>
      <c r="AA62024" s="8"/>
    </row>
    <row r="62025" spans="1:27" x14ac:dyDescent="0.25">
      <c r="A62025" s="8"/>
      <c r="B62025" s="8"/>
      <c r="C62025" s="99"/>
      <c r="D62025" s="8"/>
      <c r="E62025" s="8"/>
      <c r="F62025" s="8"/>
      <c r="G62025" s="8"/>
      <c r="H62025" s="8"/>
      <c r="I62025" s="102"/>
      <c r="J62025" s="8"/>
      <c r="K62025" s="8"/>
      <c r="L62025" s="8"/>
      <c r="M62025" s="8"/>
      <c r="N62025" s="8"/>
      <c r="O62025" s="8"/>
      <c r="P62025" s="8"/>
      <c r="Q62025" s="8"/>
      <c r="R62025" s="103"/>
      <c r="S62025" s="8"/>
      <c r="T62025" s="8"/>
      <c r="U62025" s="8"/>
      <c r="V62025" s="8"/>
      <c r="W62025" s="8"/>
      <c r="X62025" s="8"/>
      <c r="Y62025" s="8"/>
      <c r="Z62025" s="8"/>
      <c r="AA62025" s="8"/>
    </row>
    <row r="62026" spans="1:27" x14ac:dyDescent="0.25">
      <c r="A62026" s="8"/>
      <c r="B62026" s="8"/>
      <c r="C62026" s="99"/>
      <c r="D62026" s="8"/>
      <c r="E62026" s="8"/>
      <c r="F62026" s="8"/>
      <c r="G62026" s="8"/>
      <c r="H62026" s="8"/>
      <c r="I62026" s="102"/>
      <c r="J62026" s="8"/>
      <c r="K62026" s="8"/>
      <c r="L62026" s="8"/>
      <c r="M62026" s="8"/>
      <c r="N62026" s="8"/>
      <c r="O62026" s="8"/>
      <c r="P62026" s="8"/>
      <c r="Q62026" s="8"/>
      <c r="R62026" s="103"/>
      <c r="S62026" s="8"/>
      <c r="T62026" s="8"/>
      <c r="U62026" s="8"/>
      <c r="V62026" s="8"/>
      <c r="W62026" s="8"/>
      <c r="X62026" s="8"/>
      <c r="Y62026" s="8"/>
      <c r="Z62026" s="8"/>
      <c r="AA62026" s="8"/>
    </row>
    <row r="62027" spans="1:27" x14ac:dyDescent="0.25">
      <c r="A62027" s="8"/>
      <c r="B62027" s="8"/>
      <c r="C62027" s="99"/>
      <c r="D62027" s="8"/>
      <c r="E62027" s="8"/>
      <c r="F62027" s="8"/>
      <c r="G62027" s="8"/>
      <c r="H62027" s="8"/>
      <c r="I62027" s="102"/>
      <c r="J62027" s="8"/>
      <c r="K62027" s="8"/>
      <c r="L62027" s="8"/>
      <c r="M62027" s="8"/>
      <c r="N62027" s="8"/>
      <c r="O62027" s="8"/>
      <c r="P62027" s="8"/>
      <c r="Q62027" s="8"/>
      <c r="R62027" s="103"/>
      <c r="S62027" s="8"/>
      <c r="T62027" s="8"/>
      <c r="U62027" s="8"/>
      <c r="V62027" s="8"/>
      <c r="W62027" s="8"/>
      <c r="X62027" s="8"/>
      <c r="Y62027" s="8"/>
      <c r="Z62027" s="8"/>
      <c r="AA62027" s="8"/>
    </row>
    <row r="62028" spans="1:27" x14ac:dyDescent="0.25">
      <c r="A62028" s="8"/>
      <c r="B62028" s="8"/>
      <c r="C62028" s="99"/>
      <c r="D62028" s="8"/>
      <c r="E62028" s="8"/>
      <c r="F62028" s="8"/>
      <c r="G62028" s="8"/>
      <c r="H62028" s="8"/>
      <c r="I62028" s="102"/>
      <c r="J62028" s="8"/>
      <c r="K62028" s="8"/>
      <c r="L62028" s="8"/>
      <c r="M62028" s="8"/>
      <c r="N62028" s="8"/>
      <c r="O62028" s="8"/>
      <c r="P62028" s="8"/>
      <c r="Q62028" s="8"/>
      <c r="R62028" s="103"/>
      <c r="S62028" s="8"/>
      <c r="T62028" s="8"/>
      <c r="U62028" s="8"/>
      <c r="V62028" s="8"/>
      <c r="W62028" s="8"/>
      <c r="X62028" s="8"/>
      <c r="Y62028" s="8"/>
      <c r="Z62028" s="8"/>
      <c r="AA62028" s="8"/>
    </row>
    <row r="62029" spans="1:27" x14ac:dyDescent="0.25">
      <c r="A62029" s="8"/>
      <c r="B62029" s="8"/>
      <c r="C62029" s="99"/>
      <c r="D62029" s="8"/>
      <c r="E62029" s="8"/>
      <c r="F62029" s="8"/>
      <c r="G62029" s="8"/>
      <c r="H62029" s="8"/>
      <c r="I62029" s="102"/>
      <c r="J62029" s="8"/>
      <c r="K62029" s="8"/>
      <c r="L62029" s="8"/>
      <c r="M62029" s="8"/>
      <c r="N62029" s="8"/>
      <c r="O62029" s="8"/>
      <c r="P62029" s="8"/>
      <c r="Q62029" s="8"/>
      <c r="R62029" s="103"/>
      <c r="S62029" s="8"/>
      <c r="T62029" s="8"/>
      <c r="U62029" s="8"/>
      <c r="V62029" s="8"/>
      <c r="W62029" s="8"/>
      <c r="X62029" s="8"/>
      <c r="Y62029" s="8"/>
      <c r="Z62029" s="8"/>
      <c r="AA62029" s="8"/>
    </row>
    <row r="62030" spans="1:27" x14ac:dyDescent="0.25">
      <c r="A62030" s="8"/>
      <c r="B62030" s="8"/>
      <c r="C62030" s="99"/>
      <c r="D62030" s="8"/>
      <c r="E62030" s="8"/>
      <c r="F62030" s="8"/>
      <c r="G62030" s="8"/>
      <c r="H62030" s="8"/>
      <c r="I62030" s="102"/>
      <c r="J62030" s="8"/>
      <c r="K62030" s="8"/>
      <c r="L62030" s="8"/>
      <c r="M62030" s="8"/>
      <c r="N62030" s="8"/>
      <c r="O62030" s="8"/>
      <c r="P62030" s="8"/>
      <c r="Q62030" s="8"/>
      <c r="R62030" s="103"/>
      <c r="S62030" s="8"/>
      <c r="T62030" s="8"/>
      <c r="U62030" s="8"/>
      <c r="V62030" s="8"/>
      <c r="W62030" s="8"/>
      <c r="X62030" s="8"/>
      <c r="Y62030" s="8"/>
      <c r="Z62030" s="8"/>
      <c r="AA62030" s="8"/>
    </row>
    <row r="62031" spans="1:27" x14ac:dyDescent="0.25">
      <c r="A62031" s="8"/>
      <c r="B62031" s="8"/>
      <c r="C62031" s="99"/>
      <c r="D62031" s="8"/>
      <c r="E62031" s="8"/>
      <c r="F62031" s="8"/>
      <c r="G62031" s="8"/>
      <c r="H62031" s="8"/>
      <c r="I62031" s="102"/>
      <c r="J62031" s="8"/>
      <c r="K62031" s="8"/>
      <c r="L62031" s="8"/>
      <c r="M62031" s="8"/>
      <c r="N62031" s="8"/>
      <c r="O62031" s="8"/>
      <c r="P62031" s="8"/>
      <c r="Q62031" s="8"/>
      <c r="R62031" s="103"/>
      <c r="S62031" s="8"/>
      <c r="T62031" s="8"/>
      <c r="U62031" s="8"/>
      <c r="V62031" s="8"/>
      <c r="W62031" s="8"/>
      <c r="X62031" s="8"/>
      <c r="Y62031" s="8"/>
      <c r="Z62031" s="8"/>
      <c r="AA62031" s="8"/>
    </row>
    <row r="62032" spans="1:27" x14ac:dyDescent="0.25">
      <c r="A62032" s="8"/>
      <c r="B62032" s="8"/>
      <c r="C62032" s="99"/>
      <c r="D62032" s="8"/>
      <c r="E62032" s="8"/>
      <c r="F62032" s="8"/>
      <c r="G62032" s="8"/>
      <c r="H62032" s="8"/>
      <c r="I62032" s="102"/>
      <c r="J62032" s="8"/>
      <c r="K62032" s="8"/>
      <c r="L62032" s="8"/>
      <c r="M62032" s="8"/>
      <c r="N62032" s="8"/>
      <c r="O62032" s="8"/>
      <c r="P62032" s="8"/>
      <c r="Q62032" s="8"/>
      <c r="R62032" s="103"/>
      <c r="S62032" s="8"/>
      <c r="T62032" s="8"/>
      <c r="U62032" s="8"/>
      <c r="V62032" s="8"/>
      <c r="W62032" s="8"/>
      <c r="X62032" s="8"/>
      <c r="Y62032" s="8"/>
      <c r="Z62032" s="8"/>
      <c r="AA62032" s="8"/>
    </row>
    <row r="62033" spans="1:27" x14ac:dyDescent="0.25">
      <c r="A62033" s="8"/>
      <c r="B62033" s="8"/>
      <c r="C62033" s="99"/>
      <c r="D62033" s="8"/>
      <c r="E62033" s="8"/>
      <c r="F62033" s="8"/>
      <c r="G62033" s="8"/>
      <c r="H62033" s="8"/>
      <c r="I62033" s="102"/>
      <c r="J62033" s="8"/>
      <c r="K62033" s="8"/>
      <c r="L62033" s="8"/>
      <c r="M62033" s="8"/>
      <c r="N62033" s="8"/>
      <c r="O62033" s="8"/>
      <c r="P62033" s="8"/>
      <c r="Q62033" s="8"/>
      <c r="R62033" s="103"/>
      <c r="S62033" s="8"/>
      <c r="T62033" s="8"/>
      <c r="U62033" s="8"/>
      <c r="V62033" s="8"/>
      <c r="W62033" s="8"/>
      <c r="X62033" s="8"/>
      <c r="Y62033" s="8"/>
      <c r="Z62033" s="8"/>
      <c r="AA62033" s="8"/>
    </row>
    <row r="62034" spans="1:27" x14ac:dyDescent="0.25">
      <c r="A62034" s="8"/>
      <c r="B62034" s="8"/>
      <c r="C62034" s="99"/>
      <c r="D62034" s="8"/>
      <c r="E62034" s="8"/>
      <c r="F62034" s="8"/>
      <c r="G62034" s="8"/>
      <c r="H62034" s="8"/>
      <c r="I62034" s="102"/>
      <c r="J62034" s="8"/>
      <c r="K62034" s="8"/>
      <c r="L62034" s="8"/>
      <c r="M62034" s="8"/>
      <c r="N62034" s="8"/>
      <c r="O62034" s="8"/>
      <c r="P62034" s="8"/>
      <c r="Q62034" s="8"/>
      <c r="R62034" s="103"/>
      <c r="S62034" s="8"/>
      <c r="T62034" s="8"/>
      <c r="U62034" s="8"/>
      <c r="V62034" s="8"/>
      <c r="W62034" s="8"/>
      <c r="X62034" s="8"/>
      <c r="Y62034" s="8"/>
      <c r="Z62034" s="8"/>
      <c r="AA62034" s="8"/>
    </row>
    <row r="62035" spans="1:27" x14ac:dyDescent="0.25">
      <c r="A62035" s="8"/>
      <c r="B62035" s="8"/>
      <c r="C62035" s="99"/>
      <c r="D62035" s="8"/>
      <c r="E62035" s="8"/>
      <c r="F62035" s="8"/>
      <c r="G62035" s="8"/>
      <c r="H62035" s="8"/>
      <c r="I62035" s="102"/>
      <c r="J62035" s="8"/>
      <c r="K62035" s="8"/>
      <c r="L62035" s="8"/>
      <c r="M62035" s="8"/>
      <c r="N62035" s="8"/>
      <c r="O62035" s="8"/>
      <c r="P62035" s="8"/>
      <c r="Q62035" s="8"/>
      <c r="R62035" s="103"/>
      <c r="S62035" s="8"/>
      <c r="T62035" s="8"/>
      <c r="U62035" s="8"/>
      <c r="V62035" s="8"/>
      <c r="W62035" s="8"/>
      <c r="X62035" s="8"/>
      <c r="Y62035" s="8"/>
      <c r="Z62035" s="8"/>
      <c r="AA62035" s="8"/>
    </row>
    <row r="62036" spans="1:27" x14ac:dyDescent="0.25">
      <c r="A62036" s="8"/>
      <c r="B62036" s="8"/>
      <c r="C62036" s="99"/>
      <c r="D62036" s="8"/>
      <c r="E62036" s="8"/>
      <c r="F62036" s="8"/>
      <c r="G62036" s="8"/>
      <c r="H62036" s="8"/>
      <c r="I62036" s="102"/>
      <c r="J62036" s="8"/>
      <c r="K62036" s="8"/>
      <c r="L62036" s="8"/>
      <c r="M62036" s="8"/>
      <c r="N62036" s="8"/>
      <c r="O62036" s="8"/>
      <c r="P62036" s="8"/>
      <c r="Q62036" s="8"/>
      <c r="R62036" s="103"/>
      <c r="S62036" s="8"/>
      <c r="T62036" s="8"/>
      <c r="U62036" s="8"/>
      <c r="V62036" s="8"/>
      <c r="W62036" s="8"/>
      <c r="X62036" s="8"/>
      <c r="Y62036" s="8"/>
      <c r="Z62036" s="8"/>
      <c r="AA62036" s="8"/>
    </row>
    <row r="62037" spans="1:27" x14ac:dyDescent="0.25">
      <c r="A62037" s="8"/>
      <c r="B62037" s="8"/>
      <c r="C62037" s="99"/>
      <c r="D62037" s="8"/>
      <c r="E62037" s="8"/>
      <c r="F62037" s="8"/>
      <c r="G62037" s="8"/>
      <c r="H62037" s="8"/>
      <c r="I62037" s="102"/>
      <c r="J62037" s="8"/>
      <c r="K62037" s="8"/>
      <c r="L62037" s="8"/>
      <c r="M62037" s="8"/>
      <c r="N62037" s="8"/>
      <c r="O62037" s="8"/>
      <c r="P62037" s="8"/>
      <c r="Q62037" s="8"/>
      <c r="R62037" s="103"/>
      <c r="S62037" s="8"/>
      <c r="T62037" s="8"/>
      <c r="U62037" s="8"/>
      <c r="V62037" s="8"/>
      <c r="W62037" s="8"/>
      <c r="X62037" s="8"/>
      <c r="Y62037" s="8"/>
      <c r="Z62037" s="8"/>
      <c r="AA62037" s="8"/>
    </row>
    <row r="62038" spans="1:27" x14ac:dyDescent="0.25">
      <c r="A62038" s="8"/>
      <c r="B62038" s="8"/>
      <c r="C62038" s="99"/>
      <c r="D62038" s="8"/>
      <c r="E62038" s="8"/>
      <c r="F62038" s="8"/>
      <c r="G62038" s="8"/>
      <c r="H62038" s="8"/>
      <c r="I62038" s="102"/>
      <c r="J62038" s="8"/>
      <c r="K62038" s="8"/>
      <c r="L62038" s="8"/>
      <c r="M62038" s="8"/>
      <c r="N62038" s="8"/>
      <c r="O62038" s="8"/>
      <c r="P62038" s="8"/>
      <c r="Q62038" s="8"/>
      <c r="R62038" s="103"/>
      <c r="S62038" s="8"/>
      <c r="T62038" s="8"/>
      <c r="U62038" s="8"/>
      <c r="V62038" s="8"/>
      <c r="W62038" s="8"/>
      <c r="X62038" s="8"/>
      <c r="Y62038" s="8"/>
      <c r="Z62038" s="8"/>
      <c r="AA62038" s="8"/>
    </row>
    <row r="62039" spans="1:27" x14ac:dyDescent="0.25">
      <c r="A62039" s="8"/>
      <c r="B62039" s="8"/>
      <c r="C62039" s="99"/>
      <c r="D62039" s="8"/>
      <c r="E62039" s="8"/>
      <c r="F62039" s="8"/>
      <c r="G62039" s="8"/>
      <c r="H62039" s="8"/>
      <c r="I62039" s="102"/>
      <c r="J62039" s="8"/>
      <c r="K62039" s="8"/>
      <c r="L62039" s="8"/>
      <c r="M62039" s="8"/>
      <c r="N62039" s="8"/>
      <c r="O62039" s="8"/>
      <c r="P62039" s="8"/>
      <c r="Q62039" s="8"/>
      <c r="R62039" s="103"/>
      <c r="S62039" s="8"/>
      <c r="T62039" s="8"/>
      <c r="U62039" s="8"/>
      <c r="V62039" s="8"/>
      <c r="W62039" s="8"/>
      <c r="X62039" s="8"/>
      <c r="Y62039" s="8"/>
      <c r="Z62039" s="8"/>
      <c r="AA62039" s="8"/>
    </row>
    <row r="62040" spans="1:27" x14ac:dyDescent="0.25">
      <c r="A62040" s="8"/>
      <c r="B62040" s="8"/>
      <c r="C62040" s="99"/>
      <c r="D62040" s="8"/>
      <c r="E62040" s="8"/>
      <c r="F62040" s="8"/>
      <c r="G62040" s="8"/>
      <c r="H62040" s="8"/>
      <c r="I62040" s="102"/>
      <c r="J62040" s="8"/>
      <c r="K62040" s="8"/>
      <c r="L62040" s="8"/>
      <c r="M62040" s="8"/>
      <c r="N62040" s="8"/>
      <c r="O62040" s="8"/>
      <c r="P62040" s="8"/>
      <c r="Q62040" s="8"/>
      <c r="R62040" s="103"/>
      <c r="S62040" s="8"/>
      <c r="T62040" s="8"/>
      <c r="U62040" s="8"/>
      <c r="V62040" s="8"/>
      <c r="W62040" s="8"/>
      <c r="X62040" s="8"/>
      <c r="Y62040" s="8"/>
      <c r="Z62040" s="8"/>
      <c r="AA62040" s="8"/>
    </row>
    <row r="62041" spans="1:27" x14ac:dyDescent="0.25">
      <c r="A62041" s="8"/>
      <c r="B62041" s="8"/>
      <c r="C62041" s="99"/>
      <c r="D62041" s="8"/>
      <c r="E62041" s="8"/>
      <c r="F62041" s="8"/>
      <c r="G62041" s="8"/>
      <c r="H62041" s="8"/>
      <c r="I62041" s="102"/>
      <c r="J62041" s="8"/>
      <c r="K62041" s="8"/>
      <c r="L62041" s="8"/>
      <c r="M62041" s="8"/>
      <c r="N62041" s="8"/>
      <c r="O62041" s="8"/>
      <c r="P62041" s="8"/>
      <c r="Q62041" s="8"/>
      <c r="R62041" s="103"/>
      <c r="S62041" s="8"/>
      <c r="T62041" s="8"/>
      <c r="U62041" s="8"/>
      <c r="V62041" s="8"/>
      <c r="W62041" s="8"/>
      <c r="X62041" s="8"/>
      <c r="Y62041" s="8"/>
      <c r="Z62041" s="8"/>
      <c r="AA62041" s="8"/>
    </row>
    <row r="62042" spans="1:27" x14ac:dyDescent="0.25">
      <c r="A62042" s="8"/>
      <c r="B62042" s="8"/>
      <c r="C62042" s="99"/>
      <c r="D62042" s="8"/>
      <c r="E62042" s="8"/>
      <c r="F62042" s="8"/>
      <c r="G62042" s="8"/>
      <c r="H62042" s="8"/>
      <c r="I62042" s="102"/>
      <c r="J62042" s="8"/>
      <c r="K62042" s="8"/>
      <c r="L62042" s="8"/>
      <c r="M62042" s="8"/>
      <c r="N62042" s="8"/>
      <c r="O62042" s="8"/>
      <c r="P62042" s="8"/>
      <c r="Q62042" s="8"/>
      <c r="R62042" s="103"/>
      <c r="S62042" s="8"/>
      <c r="T62042" s="8"/>
      <c r="U62042" s="8"/>
      <c r="V62042" s="8"/>
      <c r="W62042" s="8"/>
      <c r="X62042" s="8"/>
      <c r="Y62042" s="8"/>
      <c r="Z62042" s="8"/>
      <c r="AA62042" s="8"/>
    </row>
    <row r="62043" spans="1:27" x14ac:dyDescent="0.25">
      <c r="A62043" s="8"/>
      <c r="B62043" s="8"/>
      <c r="C62043" s="99"/>
      <c r="D62043" s="8"/>
      <c r="E62043" s="8"/>
      <c r="F62043" s="8"/>
      <c r="G62043" s="8"/>
      <c r="H62043" s="8"/>
      <c r="I62043" s="102"/>
      <c r="J62043" s="8"/>
      <c r="K62043" s="8"/>
      <c r="L62043" s="8"/>
      <c r="M62043" s="8"/>
      <c r="N62043" s="8"/>
      <c r="O62043" s="8"/>
      <c r="P62043" s="8"/>
      <c r="Q62043" s="8"/>
      <c r="R62043" s="103"/>
      <c r="S62043" s="8"/>
      <c r="T62043" s="8"/>
      <c r="U62043" s="8"/>
      <c r="V62043" s="8"/>
      <c r="W62043" s="8"/>
      <c r="X62043" s="8"/>
      <c r="Y62043" s="8"/>
      <c r="Z62043" s="8"/>
      <c r="AA62043" s="8"/>
    </row>
    <row r="62044" spans="1:27" x14ac:dyDescent="0.25">
      <c r="A62044" s="8"/>
      <c r="B62044" s="8"/>
      <c r="C62044" s="99"/>
      <c r="D62044" s="8"/>
      <c r="E62044" s="8"/>
      <c r="F62044" s="8"/>
      <c r="G62044" s="8"/>
      <c r="H62044" s="8"/>
      <c r="I62044" s="102"/>
      <c r="J62044" s="8"/>
      <c r="K62044" s="8"/>
      <c r="L62044" s="8"/>
      <c r="M62044" s="8"/>
      <c r="N62044" s="8"/>
      <c r="O62044" s="8"/>
      <c r="P62044" s="8"/>
      <c r="Q62044" s="8"/>
      <c r="R62044" s="103"/>
      <c r="S62044" s="8"/>
      <c r="T62044" s="8"/>
      <c r="U62044" s="8"/>
      <c r="V62044" s="8"/>
      <c r="W62044" s="8"/>
      <c r="X62044" s="8"/>
      <c r="Y62044" s="8"/>
      <c r="Z62044" s="8"/>
      <c r="AA62044" s="8"/>
    </row>
    <row r="62045" spans="1:27" x14ac:dyDescent="0.25">
      <c r="A62045" s="8"/>
      <c r="B62045" s="8"/>
      <c r="C62045" s="99"/>
      <c r="D62045" s="8"/>
      <c r="E62045" s="8"/>
      <c r="F62045" s="8"/>
      <c r="G62045" s="8"/>
      <c r="H62045" s="8"/>
      <c r="I62045" s="102"/>
      <c r="J62045" s="8"/>
      <c r="K62045" s="8"/>
      <c r="L62045" s="8"/>
      <c r="M62045" s="8"/>
      <c r="N62045" s="8"/>
      <c r="O62045" s="8"/>
      <c r="P62045" s="8"/>
      <c r="Q62045" s="8"/>
      <c r="R62045" s="103"/>
      <c r="S62045" s="8"/>
      <c r="T62045" s="8"/>
      <c r="U62045" s="8"/>
      <c r="V62045" s="8"/>
      <c r="W62045" s="8"/>
      <c r="X62045" s="8"/>
      <c r="Y62045" s="8"/>
      <c r="Z62045" s="8"/>
      <c r="AA62045" s="8"/>
    </row>
    <row r="62046" spans="1:27" x14ac:dyDescent="0.25">
      <c r="A62046" s="8"/>
      <c r="B62046" s="8"/>
      <c r="C62046" s="99"/>
      <c r="D62046" s="8"/>
      <c r="E62046" s="8"/>
      <c r="F62046" s="8"/>
      <c r="G62046" s="8"/>
      <c r="H62046" s="8"/>
      <c r="I62046" s="102"/>
      <c r="J62046" s="8"/>
      <c r="K62046" s="8"/>
      <c r="L62046" s="8"/>
      <c r="M62046" s="8"/>
      <c r="N62046" s="8"/>
      <c r="O62046" s="8"/>
      <c r="P62046" s="8"/>
      <c r="Q62046" s="8"/>
      <c r="R62046" s="103"/>
      <c r="S62046" s="8"/>
      <c r="T62046" s="8"/>
      <c r="U62046" s="8"/>
      <c r="V62046" s="8"/>
      <c r="W62046" s="8"/>
      <c r="X62046" s="8"/>
      <c r="Y62046" s="8"/>
      <c r="Z62046" s="8"/>
      <c r="AA62046" s="8"/>
    </row>
    <row r="62047" spans="1:27" x14ac:dyDescent="0.25">
      <c r="A62047" s="8"/>
      <c r="B62047" s="8"/>
      <c r="C62047" s="99"/>
      <c r="D62047" s="8"/>
      <c r="E62047" s="8"/>
      <c r="F62047" s="8"/>
      <c r="G62047" s="8"/>
      <c r="H62047" s="8"/>
      <c r="I62047" s="102"/>
      <c r="J62047" s="8"/>
      <c r="K62047" s="8"/>
      <c r="L62047" s="8"/>
      <c r="M62047" s="8"/>
      <c r="N62047" s="8"/>
      <c r="O62047" s="8"/>
      <c r="P62047" s="8"/>
      <c r="Q62047" s="8"/>
      <c r="R62047" s="103"/>
      <c r="S62047" s="8"/>
      <c r="T62047" s="8"/>
      <c r="U62047" s="8"/>
      <c r="V62047" s="8"/>
      <c r="W62047" s="8"/>
      <c r="X62047" s="8"/>
      <c r="Y62047" s="8"/>
      <c r="Z62047" s="8"/>
      <c r="AA62047" s="8"/>
    </row>
    <row r="62048" spans="1:27" x14ac:dyDescent="0.25">
      <c r="A62048" s="8"/>
      <c r="B62048" s="8"/>
      <c r="C62048" s="99"/>
      <c r="D62048" s="8"/>
      <c r="E62048" s="8"/>
      <c r="F62048" s="8"/>
      <c r="G62048" s="8"/>
      <c r="H62048" s="8"/>
      <c r="I62048" s="102"/>
      <c r="J62048" s="8"/>
      <c r="K62048" s="8"/>
      <c r="L62048" s="8"/>
      <c r="M62048" s="8"/>
      <c r="N62048" s="8"/>
      <c r="O62048" s="8"/>
      <c r="P62048" s="8"/>
      <c r="Q62048" s="8"/>
      <c r="R62048" s="103"/>
      <c r="S62048" s="8"/>
      <c r="T62048" s="8"/>
      <c r="U62048" s="8"/>
      <c r="V62048" s="8"/>
      <c r="W62048" s="8"/>
      <c r="X62048" s="8"/>
      <c r="Y62048" s="8"/>
      <c r="Z62048" s="8"/>
      <c r="AA62048" s="8"/>
    </row>
    <row r="62049" spans="1:27" x14ac:dyDescent="0.25">
      <c r="A62049" s="8"/>
      <c r="B62049" s="8"/>
      <c r="C62049" s="99"/>
      <c r="D62049" s="8"/>
      <c r="E62049" s="8"/>
      <c r="F62049" s="8"/>
      <c r="G62049" s="8"/>
      <c r="H62049" s="8"/>
      <c r="I62049" s="102"/>
      <c r="J62049" s="8"/>
      <c r="K62049" s="8"/>
      <c r="L62049" s="8"/>
      <c r="M62049" s="8"/>
      <c r="N62049" s="8"/>
      <c r="O62049" s="8"/>
      <c r="P62049" s="8"/>
      <c r="Q62049" s="8"/>
      <c r="R62049" s="103"/>
      <c r="S62049" s="8"/>
      <c r="T62049" s="8"/>
      <c r="U62049" s="8"/>
      <c r="V62049" s="8"/>
      <c r="W62049" s="8"/>
      <c r="X62049" s="8"/>
      <c r="Y62049" s="8"/>
      <c r="Z62049" s="8"/>
      <c r="AA62049" s="8"/>
    </row>
    <row r="62050" spans="1:27" x14ac:dyDescent="0.25">
      <c r="A62050" s="8"/>
      <c r="B62050" s="8"/>
      <c r="C62050" s="99"/>
      <c r="D62050" s="8"/>
      <c r="E62050" s="8"/>
      <c r="F62050" s="8"/>
      <c r="G62050" s="8"/>
      <c r="H62050" s="8"/>
      <c r="I62050" s="102"/>
      <c r="J62050" s="8"/>
      <c r="K62050" s="8"/>
      <c r="L62050" s="8"/>
      <c r="M62050" s="8"/>
      <c r="N62050" s="8"/>
      <c r="O62050" s="8"/>
      <c r="P62050" s="8"/>
      <c r="Q62050" s="8"/>
      <c r="R62050" s="103"/>
      <c r="S62050" s="8"/>
      <c r="T62050" s="8"/>
      <c r="U62050" s="8"/>
      <c r="V62050" s="8"/>
      <c r="W62050" s="8"/>
      <c r="X62050" s="8"/>
      <c r="Y62050" s="8"/>
      <c r="Z62050" s="8"/>
      <c r="AA62050" s="8"/>
    </row>
    <row r="62051" spans="1:27" x14ac:dyDescent="0.25">
      <c r="A62051" s="8"/>
      <c r="B62051" s="8"/>
      <c r="C62051" s="99"/>
      <c r="D62051" s="8"/>
      <c r="E62051" s="8"/>
      <c r="F62051" s="8"/>
      <c r="G62051" s="8"/>
      <c r="H62051" s="8"/>
      <c r="I62051" s="102"/>
      <c r="J62051" s="8"/>
      <c r="K62051" s="8"/>
      <c r="L62051" s="8"/>
      <c r="M62051" s="8"/>
      <c r="N62051" s="8"/>
      <c r="O62051" s="8"/>
      <c r="P62051" s="8"/>
      <c r="Q62051" s="8"/>
      <c r="R62051" s="103"/>
      <c r="S62051" s="8"/>
      <c r="T62051" s="8"/>
      <c r="U62051" s="8"/>
      <c r="V62051" s="8"/>
      <c r="W62051" s="8"/>
      <c r="X62051" s="8"/>
      <c r="Y62051" s="8"/>
      <c r="Z62051" s="8"/>
      <c r="AA62051" s="8"/>
    </row>
    <row r="62052" spans="1:27" x14ac:dyDescent="0.25">
      <c r="A62052" s="8"/>
      <c r="B62052" s="8"/>
      <c r="C62052" s="99"/>
      <c r="D62052" s="8"/>
      <c r="E62052" s="8"/>
      <c r="F62052" s="8"/>
      <c r="G62052" s="8"/>
      <c r="H62052" s="8"/>
      <c r="I62052" s="102"/>
      <c r="J62052" s="8"/>
      <c r="K62052" s="8"/>
      <c r="L62052" s="8"/>
      <c r="M62052" s="8"/>
      <c r="N62052" s="8"/>
      <c r="O62052" s="8"/>
      <c r="P62052" s="8"/>
      <c r="Q62052" s="8"/>
      <c r="R62052" s="103"/>
      <c r="S62052" s="8"/>
      <c r="T62052" s="8"/>
      <c r="U62052" s="8"/>
      <c r="V62052" s="8"/>
      <c r="W62052" s="8"/>
      <c r="X62052" s="8"/>
      <c r="Y62052" s="8"/>
      <c r="Z62052" s="8"/>
      <c r="AA62052" s="8"/>
    </row>
    <row r="62053" spans="1:27" x14ac:dyDescent="0.25">
      <c r="A62053" s="8"/>
      <c r="B62053" s="8"/>
      <c r="C62053" s="99"/>
      <c r="D62053" s="8"/>
      <c r="E62053" s="8"/>
      <c r="F62053" s="8"/>
      <c r="G62053" s="8"/>
      <c r="H62053" s="8"/>
      <c r="I62053" s="102"/>
      <c r="J62053" s="8"/>
      <c r="K62053" s="8"/>
      <c r="L62053" s="8"/>
      <c r="M62053" s="8"/>
      <c r="N62053" s="8"/>
      <c r="O62053" s="8"/>
      <c r="P62053" s="8"/>
      <c r="Q62053" s="8"/>
      <c r="R62053" s="103"/>
      <c r="S62053" s="8"/>
      <c r="T62053" s="8"/>
      <c r="U62053" s="8"/>
      <c r="V62053" s="8"/>
      <c r="W62053" s="8"/>
      <c r="X62053" s="8"/>
      <c r="Y62053" s="8"/>
      <c r="Z62053" s="8"/>
      <c r="AA62053" s="8"/>
    </row>
    <row r="62054" spans="1:27" x14ac:dyDescent="0.25">
      <c r="A62054" s="8"/>
      <c r="B62054" s="8"/>
      <c r="C62054" s="99"/>
      <c r="D62054" s="8"/>
      <c r="E62054" s="8"/>
      <c r="F62054" s="8"/>
      <c r="G62054" s="8"/>
      <c r="H62054" s="8"/>
      <c r="I62054" s="102"/>
      <c r="J62054" s="8"/>
      <c r="K62054" s="8"/>
      <c r="L62054" s="8"/>
      <c r="M62054" s="8"/>
      <c r="N62054" s="8"/>
      <c r="O62054" s="8"/>
      <c r="P62054" s="8"/>
      <c r="Q62054" s="8"/>
      <c r="R62054" s="103"/>
      <c r="S62054" s="8"/>
      <c r="T62054" s="8"/>
      <c r="U62054" s="8"/>
      <c r="V62054" s="8"/>
      <c r="W62054" s="8"/>
      <c r="X62054" s="8"/>
      <c r="Y62054" s="8"/>
      <c r="Z62054" s="8"/>
      <c r="AA62054" s="8"/>
    </row>
    <row r="62055" spans="1:27" x14ac:dyDescent="0.25">
      <c r="A62055" s="8"/>
      <c r="B62055" s="8"/>
      <c r="C62055" s="99"/>
      <c r="D62055" s="8"/>
      <c r="E62055" s="8"/>
      <c r="F62055" s="8"/>
      <c r="G62055" s="8"/>
      <c r="H62055" s="8"/>
      <c r="I62055" s="102"/>
      <c r="J62055" s="8"/>
      <c r="K62055" s="8"/>
      <c r="L62055" s="8"/>
      <c r="M62055" s="8"/>
      <c r="N62055" s="8"/>
      <c r="O62055" s="8"/>
      <c r="P62055" s="8"/>
      <c r="Q62055" s="8"/>
      <c r="R62055" s="103"/>
      <c r="S62055" s="8"/>
      <c r="T62055" s="8"/>
      <c r="U62055" s="8"/>
      <c r="V62055" s="8"/>
      <c r="W62055" s="8"/>
      <c r="X62055" s="8"/>
      <c r="Y62055" s="8"/>
      <c r="Z62055" s="8"/>
      <c r="AA62055" s="8"/>
    </row>
    <row r="62056" spans="1:27" x14ac:dyDescent="0.25">
      <c r="A62056" s="8"/>
      <c r="B62056" s="8"/>
      <c r="C62056" s="99"/>
      <c r="D62056" s="8"/>
      <c r="E62056" s="8"/>
      <c r="F62056" s="8"/>
      <c r="G62056" s="8"/>
      <c r="H62056" s="8"/>
      <c r="I62056" s="102"/>
      <c r="J62056" s="8"/>
      <c r="K62056" s="8"/>
      <c r="L62056" s="8"/>
      <c r="M62056" s="8"/>
      <c r="N62056" s="8"/>
      <c r="O62056" s="8"/>
      <c r="P62056" s="8"/>
      <c r="Q62056" s="8"/>
      <c r="R62056" s="103"/>
      <c r="S62056" s="8"/>
      <c r="T62056" s="8"/>
      <c r="U62056" s="8"/>
      <c r="V62056" s="8"/>
      <c r="W62056" s="8"/>
      <c r="X62056" s="8"/>
      <c r="Y62056" s="8"/>
      <c r="Z62056" s="8"/>
      <c r="AA62056" s="8"/>
    </row>
    <row r="62057" spans="1:27" x14ac:dyDescent="0.25">
      <c r="A62057" s="8"/>
      <c r="B62057" s="8"/>
      <c r="C62057" s="99"/>
      <c r="D62057" s="8"/>
      <c r="E62057" s="8"/>
      <c r="F62057" s="8"/>
      <c r="G62057" s="8"/>
      <c r="H62057" s="8"/>
      <c r="I62057" s="102"/>
      <c r="J62057" s="8"/>
      <c r="K62057" s="8"/>
      <c r="L62057" s="8"/>
      <c r="M62057" s="8"/>
      <c r="N62057" s="8"/>
      <c r="O62057" s="8"/>
      <c r="P62057" s="8"/>
      <c r="Q62057" s="8"/>
      <c r="R62057" s="103"/>
      <c r="S62057" s="8"/>
      <c r="T62057" s="8"/>
      <c r="U62057" s="8"/>
      <c r="V62057" s="8"/>
      <c r="W62057" s="8"/>
      <c r="X62057" s="8"/>
      <c r="Y62057" s="8"/>
      <c r="Z62057" s="8"/>
      <c r="AA62057" s="8"/>
    </row>
    <row r="62058" spans="1:27" x14ac:dyDescent="0.25">
      <c r="A62058" s="8"/>
      <c r="B62058" s="8"/>
      <c r="C62058" s="99"/>
      <c r="D62058" s="8"/>
      <c r="E62058" s="8"/>
      <c r="F62058" s="8"/>
      <c r="G62058" s="8"/>
      <c r="H62058" s="8"/>
      <c r="I62058" s="102"/>
      <c r="J62058" s="8"/>
      <c r="K62058" s="8"/>
      <c r="L62058" s="8"/>
      <c r="M62058" s="8"/>
      <c r="N62058" s="8"/>
      <c r="O62058" s="8"/>
      <c r="P62058" s="8"/>
      <c r="Q62058" s="8"/>
      <c r="R62058" s="103"/>
      <c r="S62058" s="8"/>
      <c r="T62058" s="8"/>
      <c r="U62058" s="8"/>
      <c r="V62058" s="8"/>
      <c r="W62058" s="8"/>
      <c r="X62058" s="8"/>
      <c r="Y62058" s="8"/>
      <c r="Z62058" s="8"/>
      <c r="AA62058" s="8"/>
    </row>
    <row r="62059" spans="1:27" x14ac:dyDescent="0.25">
      <c r="A62059" s="8"/>
      <c r="B62059" s="8"/>
      <c r="C62059" s="99"/>
      <c r="D62059" s="8"/>
      <c r="E62059" s="8"/>
      <c r="F62059" s="8"/>
      <c r="G62059" s="8"/>
      <c r="H62059" s="8"/>
      <c r="I62059" s="102"/>
      <c r="J62059" s="8"/>
      <c r="K62059" s="8"/>
      <c r="L62059" s="8"/>
      <c r="M62059" s="8"/>
      <c r="N62059" s="8"/>
      <c r="O62059" s="8"/>
      <c r="P62059" s="8"/>
      <c r="Q62059" s="8"/>
      <c r="R62059" s="103"/>
      <c r="S62059" s="8"/>
      <c r="T62059" s="8"/>
      <c r="U62059" s="8"/>
      <c r="V62059" s="8"/>
      <c r="W62059" s="8"/>
      <c r="X62059" s="8"/>
      <c r="Y62059" s="8"/>
      <c r="Z62059" s="8"/>
      <c r="AA62059" s="8"/>
    </row>
    <row r="62060" spans="1:27" x14ac:dyDescent="0.25">
      <c r="A62060" s="8"/>
      <c r="B62060" s="8"/>
      <c r="C62060" s="99"/>
      <c r="D62060" s="8"/>
      <c r="E62060" s="8"/>
      <c r="F62060" s="8"/>
      <c r="G62060" s="8"/>
      <c r="H62060" s="8"/>
      <c r="I62060" s="102"/>
      <c r="J62060" s="8"/>
      <c r="K62060" s="8"/>
      <c r="L62060" s="8"/>
      <c r="M62060" s="8"/>
      <c r="N62060" s="8"/>
      <c r="O62060" s="8"/>
      <c r="P62060" s="8"/>
      <c r="Q62060" s="8"/>
      <c r="R62060" s="103"/>
      <c r="S62060" s="8"/>
      <c r="T62060" s="8"/>
      <c r="U62060" s="8"/>
      <c r="V62060" s="8"/>
      <c r="W62060" s="8"/>
      <c r="X62060" s="8"/>
      <c r="Y62060" s="8"/>
      <c r="Z62060" s="8"/>
      <c r="AA62060" s="8"/>
    </row>
    <row r="62061" spans="1:27" x14ac:dyDescent="0.25">
      <c r="A62061" s="8"/>
      <c r="B62061" s="8"/>
      <c r="C62061" s="99"/>
      <c r="D62061" s="8"/>
      <c r="E62061" s="8"/>
      <c r="F62061" s="8"/>
      <c r="G62061" s="8"/>
      <c r="H62061" s="8"/>
      <c r="I62061" s="102"/>
      <c r="J62061" s="8"/>
      <c r="K62061" s="8"/>
      <c r="L62061" s="8"/>
      <c r="M62061" s="8"/>
      <c r="N62061" s="8"/>
      <c r="O62061" s="8"/>
      <c r="P62061" s="8"/>
      <c r="Q62061" s="8"/>
      <c r="R62061" s="103"/>
      <c r="S62061" s="8"/>
      <c r="T62061" s="8"/>
      <c r="U62061" s="8"/>
      <c r="V62061" s="8"/>
      <c r="W62061" s="8"/>
      <c r="X62061" s="8"/>
      <c r="Y62061" s="8"/>
      <c r="Z62061" s="8"/>
      <c r="AA62061" s="8"/>
    </row>
    <row r="62062" spans="1:27" x14ac:dyDescent="0.25">
      <c r="A62062" s="8"/>
      <c r="B62062" s="8"/>
      <c r="C62062" s="99"/>
      <c r="D62062" s="8"/>
      <c r="E62062" s="8"/>
      <c r="F62062" s="8"/>
      <c r="G62062" s="8"/>
      <c r="H62062" s="8"/>
      <c r="I62062" s="102"/>
      <c r="J62062" s="8"/>
      <c r="K62062" s="8"/>
      <c r="L62062" s="8"/>
      <c r="M62062" s="8"/>
      <c r="N62062" s="8"/>
      <c r="O62062" s="8"/>
      <c r="P62062" s="8"/>
      <c r="Q62062" s="8"/>
      <c r="R62062" s="103"/>
      <c r="S62062" s="8"/>
      <c r="T62062" s="8"/>
      <c r="U62062" s="8"/>
      <c r="V62062" s="8"/>
      <c r="W62062" s="8"/>
      <c r="X62062" s="8"/>
      <c r="Y62062" s="8"/>
      <c r="Z62062" s="8"/>
      <c r="AA62062" s="8"/>
    </row>
    <row r="62063" spans="1:27" x14ac:dyDescent="0.25">
      <c r="A62063" s="8"/>
      <c r="B62063" s="8"/>
      <c r="C62063" s="99"/>
      <c r="D62063" s="8"/>
      <c r="E62063" s="8"/>
      <c r="F62063" s="8"/>
      <c r="G62063" s="8"/>
      <c r="H62063" s="8"/>
      <c r="I62063" s="102"/>
      <c r="J62063" s="8"/>
      <c r="K62063" s="8"/>
      <c r="L62063" s="8"/>
      <c r="M62063" s="8"/>
      <c r="N62063" s="8"/>
      <c r="O62063" s="8"/>
      <c r="P62063" s="8"/>
      <c r="Q62063" s="8"/>
      <c r="R62063" s="103"/>
      <c r="S62063" s="8"/>
      <c r="T62063" s="8"/>
      <c r="U62063" s="8"/>
      <c r="V62063" s="8"/>
      <c r="W62063" s="8"/>
      <c r="X62063" s="8"/>
      <c r="Y62063" s="8"/>
      <c r="Z62063" s="8"/>
      <c r="AA62063" s="8"/>
    </row>
    <row r="62064" spans="1:27" x14ac:dyDescent="0.25">
      <c r="A62064" s="8"/>
      <c r="B62064" s="8"/>
      <c r="C62064" s="99"/>
      <c r="D62064" s="8"/>
      <c r="E62064" s="8"/>
      <c r="F62064" s="8"/>
      <c r="G62064" s="8"/>
      <c r="H62064" s="8"/>
      <c r="I62064" s="102"/>
      <c r="J62064" s="8"/>
      <c r="K62064" s="8"/>
      <c r="L62064" s="8"/>
      <c r="M62064" s="8"/>
      <c r="N62064" s="8"/>
      <c r="O62064" s="8"/>
      <c r="P62064" s="8"/>
      <c r="Q62064" s="8"/>
      <c r="R62064" s="103"/>
      <c r="S62064" s="8"/>
      <c r="T62064" s="8"/>
      <c r="U62064" s="8"/>
      <c r="V62064" s="8"/>
      <c r="W62064" s="8"/>
      <c r="X62064" s="8"/>
      <c r="Y62064" s="8"/>
      <c r="Z62064" s="8"/>
      <c r="AA62064" s="8"/>
    </row>
    <row r="62065" spans="1:27" x14ac:dyDescent="0.25">
      <c r="A62065" s="8"/>
      <c r="B62065" s="8"/>
      <c r="C62065" s="99"/>
      <c r="D62065" s="8"/>
      <c r="E62065" s="8"/>
      <c r="F62065" s="8"/>
      <c r="G62065" s="8"/>
      <c r="H62065" s="8"/>
      <c r="I62065" s="102"/>
      <c r="J62065" s="8"/>
      <c r="K62065" s="8"/>
      <c r="L62065" s="8"/>
      <c r="M62065" s="8"/>
      <c r="N62065" s="8"/>
      <c r="O62065" s="8"/>
      <c r="P62065" s="8"/>
      <c r="Q62065" s="8"/>
      <c r="R62065" s="103"/>
      <c r="S62065" s="8"/>
      <c r="T62065" s="8"/>
      <c r="U62065" s="8"/>
      <c r="V62065" s="8"/>
      <c r="W62065" s="8"/>
      <c r="X62065" s="8"/>
      <c r="Y62065" s="8"/>
      <c r="Z62065" s="8"/>
      <c r="AA62065" s="8"/>
    </row>
    <row r="62066" spans="1:27" x14ac:dyDescent="0.25">
      <c r="A62066" s="8"/>
      <c r="B62066" s="8"/>
      <c r="C62066" s="99"/>
      <c r="D62066" s="8"/>
      <c r="E62066" s="8"/>
      <c r="F62066" s="8"/>
      <c r="G62066" s="8"/>
      <c r="H62066" s="8"/>
      <c r="I62066" s="102"/>
      <c r="J62066" s="8"/>
      <c r="K62066" s="8"/>
      <c r="L62066" s="8"/>
      <c r="M62066" s="8"/>
      <c r="N62066" s="8"/>
      <c r="O62066" s="8"/>
      <c r="P62066" s="8"/>
      <c r="Q62066" s="8"/>
      <c r="R62066" s="103"/>
      <c r="S62066" s="8"/>
      <c r="T62066" s="8"/>
      <c r="U62066" s="8"/>
      <c r="V62066" s="8"/>
      <c r="W62066" s="8"/>
      <c r="X62066" s="8"/>
      <c r="Y62066" s="8"/>
      <c r="Z62066" s="8"/>
      <c r="AA62066" s="8"/>
    </row>
    <row r="62067" spans="1:27" x14ac:dyDescent="0.25">
      <c r="A62067" s="8"/>
      <c r="B62067" s="8"/>
      <c r="C62067" s="99"/>
      <c r="D62067" s="8"/>
      <c r="E62067" s="8"/>
      <c r="F62067" s="8"/>
      <c r="G62067" s="8"/>
      <c r="H62067" s="8"/>
      <c r="I62067" s="102"/>
      <c r="J62067" s="8"/>
      <c r="K62067" s="8"/>
      <c r="L62067" s="8"/>
      <c r="M62067" s="8"/>
      <c r="N62067" s="8"/>
      <c r="O62067" s="8"/>
      <c r="P62067" s="8"/>
      <c r="Q62067" s="8"/>
      <c r="R62067" s="103"/>
      <c r="S62067" s="8"/>
      <c r="T62067" s="8"/>
      <c r="U62067" s="8"/>
      <c r="V62067" s="8"/>
      <c r="W62067" s="8"/>
      <c r="X62067" s="8"/>
      <c r="Y62067" s="8"/>
      <c r="Z62067" s="8"/>
      <c r="AA62067" s="8"/>
    </row>
    <row r="62068" spans="1:27" x14ac:dyDescent="0.25">
      <c r="A62068" s="8"/>
      <c r="B62068" s="8"/>
      <c r="C62068" s="99"/>
      <c r="D62068" s="8"/>
      <c r="E62068" s="8"/>
      <c r="F62068" s="8"/>
      <c r="G62068" s="8"/>
      <c r="H62068" s="8"/>
      <c r="I62068" s="102"/>
      <c r="J62068" s="8"/>
      <c r="K62068" s="8"/>
      <c r="L62068" s="8"/>
      <c r="M62068" s="8"/>
      <c r="N62068" s="8"/>
      <c r="O62068" s="8"/>
      <c r="P62068" s="8"/>
      <c r="Q62068" s="8"/>
      <c r="R62068" s="103"/>
      <c r="S62068" s="8"/>
      <c r="T62068" s="8"/>
      <c r="U62068" s="8"/>
      <c r="V62068" s="8"/>
      <c r="W62068" s="8"/>
      <c r="X62068" s="8"/>
      <c r="Y62068" s="8"/>
      <c r="Z62068" s="8"/>
      <c r="AA62068" s="8"/>
    </row>
    <row r="62069" spans="1:27" x14ac:dyDescent="0.25">
      <c r="A62069" s="8"/>
      <c r="B62069" s="8"/>
      <c r="C62069" s="99"/>
      <c r="D62069" s="8"/>
      <c r="E62069" s="8"/>
      <c r="F62069" s="8"/>
      <c r="G62069" s="8"/>
      <c r="H62069" s="8"/>
      <c r="I62069" s="102"/>
      <c r="J62069" s="8"/>
      <c r="K62069" s="8"/>
      <c r="L62069" s="8"/>
      <c r="M62069" s="8"/>
      <c r="N62069" s="8"/>
      <c r="O62069" s="8"/>
      <c r="P62069" s="8"/>
      <c r="Q62069" s="8"/>
      <c r="R62069" s="103"/>
      <c r="S62069" s="8"/>
      <c r="T62069" s="8"/>
      <c r="U62069" s="8"/>
      <c r="V62069" s="8"/>
      <c r="W62069" s="8"/>
      <c r="X62069" s="8"/>
      <c r="Y62069" s="8"/>
      <c r="Z62069" s="8"/>
      <c r="AA62069" s="8"/>
    </row>
    <row r="62070" spans="1:27" x14ac:dyDescent="0.25">
      <c r="A62070" s="8"/>
      <c r="B62070" s="8"/>
      <c r="C62070" s="99"/>
      <c r="D62070" s="8"/>
      <c r="E62070" s="8"/>
      <c r="F62070" s="8"/>
      <c r="G62070" s="8"/>
      <c r="H62070" s="8"/>
      <c r="I62070" s="102"/>
      <c r="J62070" s="8"/>
      <c r="K62070" s="8"/>
      <c r="L62070" s="8"/>
      <c r="M62070" s="8"/>
      <c r="N62070" s="8"/>
      <c r="O62070" s="8"/>
      <c r="P62070" s="8"/>
      <c r="Q62070" s="8"/>
      <c r="R62070" s="103"/>
      <c r="S62070" s="8"/>
      <c r="T62070" s="8"/>
      <c r="U62070" s="8"/>
      <c r="V62070" s="8"/>
      <c r="W62070" s="8"/>
      <c r="X62070" s="8"/>
      <c r="Y62070" s="8"/>
      <c r="Z62070" s="8"/>
      <c r="AA62070" s="8"/>
    </row>
    <row r="62071" spans="1:27" x14ac:dyDescent="0.25">
      <c r="A62071" s="8"/>
      <c r="B62071" s="8"/>
      <c r="C62071" s="99"/>
      <c r="D62071" s="8"/>
      <c r="E62071" s="8"/>
      <c r="F62071" s="8"/>
      <c r="G62071" s="8"/>
      <c r="H62071" s="8"/>
      <c r="I62071" s="102"/>
      <c r="J62071" s="8"/>
      <c r="K62071" s="8"/>
      <c r="L62071" s="8"/>
      <c r="M62071" s="8"/>
      <c r="N62071" s="8"/>
      <c r="O62071" s="8"/>
      <c r="P62071" s="8"/>
      <c r="Q62071" s="8"/>
      <c r="R62071" s="103"/>
      <c r="S62071" s="8"/>
      <c r="T62071" s="8"/>
      <c r="U62071" s="8"/>
      <c r="V62071" s="8"/>
      <c r="W62071" s="8"/>
      <c r="X62071" s="8"/>
      <c r="Y62071" s="8"/>
      <c r="Z62071" s="8"/>
      <c r="AA62071" s="8"/>
    </row>
    <row r="62072" spans="1:27" x14ac:dyDescent="0.25">
      <c r="A62072" s="8"/>
      <c r="B62072" s="8"/>
      <c r="C62072" s="99"/>
      <c r="D62072" s="8"/>
      <c r="E62072" s="8"/>
      <c r="F62072" s="8"/>
      <c r="G62072" s="8"/>
      <c r="H62072" s="8"/>
      <c r="I62072" s="102"/>
      <c r="J62072" s="8"/>
      <c r="K62072" s="8"/>
      <c r="L62072" s="8"/>
      <c r="M62072" s="8"/>
      <c r="N62072" s="8"/>
      <c r="O62072" s="8"/>
      <c r="P62072" s="8"/>
      <c r="Q62072" s="8"/>
      <c r="R62072" s="103"/>
      <c r="S62072" s="8"/>
      <c r="T62072" s="8"/>
      <c r="U62072" s="8"/>
      <c r="V62072" s="8"/>
      <c r="W62072" s="8"/>
      <c r="X62072" s="8"/>
      <c r="Y62072" s="8"/>
      <c r="Z62072" s="8"/>
      <c r="AA62072" s="8"/>
    </row>
    <row r="62073" spans="1:27" x14ac:dyDescent="0.25">
      <c r="A62073" s="8"/>
      <c r="B62073" s="8"/>
      <c r="C62073" s="99"/>
      <c r="D62073" s="8"/>
      <c r="E62073" s="8"/>
      <c r="F62073" s="8"/>
      <c r="G62073" s="8"/>
      <c r="H62073" s="8"/>
      <c r="I62073" s="102"/>
      <c r="J62073" s="8"/>
      <c r="K62073" s="8"/>
      <c r="L62073" s="8"/>
      <c r="M62073" s="8"/>
      <c r="N62073" s="8"/>
      <c r="O62073" s="8"/>
      <c r="P62073" s="8"/>
      <c r="Q62073" s="8"/>
      <c r="R62073" s="103"/>
      <c r="S62073" s="8"/>
      <c r="T62073" s="8"/>
      <c r="U62073" s="8"/>
      <c r="V62073" s="8"/>
      <c r="W62073" s="8"/>
      <c r="X62073" s="8"/>
      <c r="Y62073" s="8"/>
      <c r="Z62073" s="8"/>
      <c r="AA62073" s="8"/>
    </row>
    <row r="62074" spans="1:27" x14ac:dyDescent="0.25">
      <c r="A62074" s="8"/>
      <c r="B62074" s="8"/>
      <c r="C62074" s="99"/>
      <c r="D62074" s="8"/>
      <c r="E62074" s="8"/>
      <c r="F62074" s="8"/>
      <c r="G62074" s="8"/>
      <c r="H62074" s="8"/>
      <c r="I62074" s="102"/>
      <c r="J62074" s="8"/>
      <c r="K62074" s="8"/>
      <c r="L62074" s="8"/>
      <c r="M62074" s="8"/>
      <c r="N62074" s="8"/>
      <c r="O62074" s="8"/>
      <c r="P62074" s="8"/>
      <c r="Q62074" s="8"/>
      <c r="R62074" s="103"/>
      <c r="S62074" s="8"/>
      <c r="T62074" s="8"/>
      <c r="U62074" s="8"/>
      <c r="V62074" s="8"/>
      <c r="W62074" s="8"/>
      <c r="X62074" s="8"/>
      <c r="Y62074" s="8"/>
      <c r="Z62074" s="8"/>
      <c r="AA62074" s="8"/>
    </row>
    <row r="62075" spans="1:27" x14ac:dyDescent="0.25">
      <c r="A62075" s="8"/>
      <c r="B62075" s="8"/>
      <c r="C62075" s="99"/>
      <c r="D62075" s="8"/>
      <c r="E62075" s="8"/>
      <c r="F62075" s="8"/>
      <c r="G62075" s="8"/>
      <c r="H62075" s="8"/>
      <c r="I62075" s="102"/>
      <c r="J62075" s="8"/>
      <c r="K62075" s="8"/>
      <c r="L62075" s="8"/>
      <c r="M62075" s="8"/>
      <c r="N62075" s="8"/>
      <c r="O62075" s="8"/>
      <c r="P62075" s="8"/>
      <c r="Q62075" s="8"/>
      <c r="R62075" s="103"/>
      <c r="S62075" s="8"/>
      <c r="T62075" s="8"/>
      <c r="U62075" s="8"/>
      <c r="V62075" s="8"/>
      <c r="W62075" s="8"/>
      <c r="X62075" s="8"/>
      <c r="Y62075" s="8"/>
      <c r="Z62075" s="8"/>
      <c r="AA62075" s="8"/>
    </row>
    <row r="62076" spans="1:27" x14ac:dyDescent="0.25">
      <c r="A62076" s="8"/>
      <c r="B62076" s="8"/>
      <c r="C62076" s="99"/>
      <c r="D62076" s="8"/>
      <c r="E62076" s="8"/>
      <c r="F62076" s="8"/>
      <c r="G62076" s="8"/>
      <c r="H62076" s="8"/>
      <c r="I62076" s="102"/>
      <c r="J62076" s="8"/>
      <c r="K62076" s="8"/>
      <c r="L62076" s="8"/>
      <c r="M62076" s="8"/>
      <c r="N62076" s="8"/>
      <c r="O62076" s="8"/>
      <c r="P62076" s="8"/>
      <c r="Q62076" s="8"/>
      <c r="R62076" s="103"/>
      <c r="S62076" s="8"/>
      <c r="T62076" s="8"/>
      <c r="U62076" s="8"/>
      <c r="V62076" s="8"/>
      <c r="W62076" s="8"/>
      <c r="X62076" s="8"/>
      <c r="Y62076" s="8"/>
      <c r="Z62076" s="8"/>
      <c r="AA62076" s="8"/>
    </row>
    <row r="62077" spans="1:27" x14ac:dyDescent="0.25">
      <c r="A62077" s="8"/>
      <c r="B62077" s="8"/>
      <c r="C62077" s="99"/>
      <c r="D62077" s="8"/>
      <c r="E62077" s="8"/>
      <c r="F62077" s="8"/>
      <c r="G62077" s="8"/>
      <c r="H62077" s="8"/>
      <c r="I62077" s="102"/>
      <c r="J62077" s="8"/>
      <c r="K62077" s="8"/>
      <c r="L62077" s="8"/>
      <c r="M62077" s="8"/>
      <c r="N62077" s="8"/>
      <c r="O62077" s="8"/>
      <c r="P62077" s="8"/>
      <c r="Q62077" s="8"/>
      <c r="R62077" s="103"/>
      <c r="S62077" s="8"/>
      <c r="T62077" s="8"/>
      <c r="U62077" s="8"/>
      <c r="V62077" s="8"/>
      <c r="W62077" s="8"/>
      <c r="X62077" s="8"/>
      <c r="Y62077" s="8"/>
      <c r="Z62077" s="8"/>
      <c r="AA62077" s="8"/>
    </row>
    <row r="62078" spans="1:27" x14ac:dyDescent="0.25">
      <c r="A62078" s="8"/>
      <c r="B62078" s="8"/>
      <c r="C62078" s="99"/>
      <c r="D62078" s="8"/>
      <c r="E62078" s="8"/>
      <c r="F62078" s="8"/>
      <c r="G62078" s="8"/>
      <c r="H62078" s="8"/>
      <c r="I62078" s="102"/>
      <c r="J62078" s="8"/>
      <c r="K62078" s="8"/>
      <c r="L62078" s="8"/>
      <c r="M62078" s="8"/>
      <c r="N62078" s="8"/>
      <c r="O62078" s="8"/>
      <c r="P62078" s="8"/>
      <c r="Q62078" s="8"/>
      <c r="R62078" s="103"/>
      <c r="S62078" s="8"/>
      <c r="T62078" s="8"/>
      <c r="U62078" s="8"/>
      <c r="V62078" s="8"/>
      <c r="W62078" s="8"/>
      <c r="X62078" s="8"/>
      <c r="Y62078" s="8"/>
      <c r="Z62078" s="8"/>
      <c r="AA62078" s="8"/>
    </row>
    <row r="62079" spans="1:27" x14ac:dyDescent="0.25">
      <c r="A62079" s="8"/>
      <c r="B62079" s="8"/>
      <c r="C62079" s="99"/>
      <c r="D62079" s="8"/>
      <c r="E62079" s="8"/>
      <c r="F62079" s="8"/>
      <c r="G62079" s="8"/>
      <c r="H62079" s="8"/>
      <c r="I62079" s="102"/>
      <c r="J62079" s="8"/>
      <c r="K62079" s="8"/>
      <c r="L62079" s="8"/>
      <c r="M62079" s="8"/>
      <c r="N62079" s="8"/>
      <c r="O62079" s="8"/>
      <c r="P62079" s="8"/>
      <c r="Q62079" s="8"/>
      <c r="R62079" s="103"/>
      <c r="S62079" s="8"/>
      <c r="T62079" s="8"/>
      <c r="U62079" s="8"/>
      <c r="V62079" s="8"/>
      <c r="W62079" s="8"/>
      <c r="X62079" s="8"/>
      <c r="Y62079" s="8"/>
      <c r="Z62079" s="8"/>
      <c r="AA62079" s="8"/>
    </row>
    <row r="62080" spans="1:27" x14ac:dyDescent="0.25">
      <c r="A62080" s="8"/>
      <c r="B62080" s="8"/>
      <c r="C62080" s="99"/>
      <c r="D62080" s="8"/>
      <c r="E62080" s="8"/>
      <c r="F62080" s="8"/>
      <c r="G62080" s="8"/>
      <c r="H62080" s="8"/>
      <c r="I62080" s="102"/>
      <c r="J62080" s="8"/>
      <c r="K62080" s="8"/>
      <c r="L62080" s="8"/>
      <c r="M62080" s="8"/>
      <c r="N62080" s="8"/>
      <c r="O62080" s="8"/>
      <c r="P62080" s="8"/>
      <c r="Q62080" s="8"/>
      <c r="R62080" s="103"/>
      <c r="S62080" s="8"/>
      <c r="T62080" s="8"/>
      <c r="U62080" s="8"/>
      <c r="V62080" s="8"/>
      <c r="W62080" s="8"/>
      <c r="X62080" s="8"/>
      <c r="Y62080" s="8"/>
      <c r="Z62080" s="8"/>
      <c r="AA62080" s="8"/>
    </row>
    <row r="62081" spans="1:27" x14ac:dyDescent="0.25">
      <c r="A62081" s="8"/>
      <c r="B62081" s="8"/>
      <c r="C62081" s="99"/>
      <c r="D62081" s="8"/>
      <c r="E62081" s="8"/>
      <c r="F62081" s="8"/>
      <c r="G62081" s="8"/>
      <c r="H62081" s="8"/>
      <c r="I62081" s="102"/>
      <c r="J62081" s="8"/>
      <c r="K62081" s="8"/>
      <c r="L62081" s="8"/>
      <c r="M62081" s="8"/>
      <c r="N62081" s="8"/>
      <c r="O62081" s="8"/>
      <c r="P62081" s="8"/>
      <c r="Q62081" s="8"/>
      <c r="R62081" s="103"/>
      <c r="S62081" s="8"/>
      <c r="T62081" s="8"/>
      <c r="U62081" s="8"/>
      <c r="V62081" s="8"/>
      <c r="W62081" s="8"/>
      <c r="X62081" s="8"/>
      <c r="Y62081" s="8"/>
      <c r="Z62081" s="8"/>
      <c r="AA62081" s="8"/>
    </row>
    <row r="62082" spans="1:27" x14ac:dyDescent="0.25">
      <c r="A62082" s="8"/>
      <c r="B62082" s="8"/>
      <c r="C62082" s="99"/>
      <c r="D62082" s="8"/>
      <c r="E62082" s="8"/>
      <c r="F62082" s="8"/>
      <c r="G62082" s="8"/>
      <c r="H62082" s="8"/>
      <c r="I62082" s="102"/>
      <c r="J62082" s="8"/>
      <c r="K62082" s="8"/>
      <c r="L62082" s="8"/>
      <c r="M62082" s="8"/>
      <c r="N62082" s="8"/>
      <c r="O62082" s="8"/>
      <c r="P62082" s="8"/>
      <c r="Q62082" s="8"/>
      <c r="R62082" s="103"/>
      <c r="S62082" s="8"/>
      <c r="T62082" s="8"/>
      <c r="U62082" s="8"/>
      <c r="V62082" s="8"/>
      <c r="W62082" s="8"/>
      <c r="X62082" s="8"/>
      <c r="Y62082" s="8"/>
      <c r="Z62082" s="8"/>
      <c r="AA62082" s="8"/>
    </row>
    <row r="62083" spans="1:27" x14ac:dyDescent="0.25">
      <c r="A62083" s="8"/>
      <c r="B62083" s="8"/>
      <c r="C62083" s="99"/>
      <c r="D62083" s="8"/>
      <c r="E62083" s="8"/>
      <c r="F62083" s="8"/>
      <c r="G62083" s="8"/>
      <c r="H62083" s="8"/>
      <c r="I62083" s="102"/>
      <c r="J62083" s="8"/>
      <c r="K62083" s="8"/>
      <c r="L62083" s="8"/>
      <c r="M62083" s="8"/>
      <c r="N62083" s="8"/>
      <c r="O62083" s="8"/>
      <c r="P62083" s="8"/>
      <c r="Q62083" s="8"/>
      <c r="R62083" s="103"/>
      <c r="S62083" s="8"/>
      <c r="T62083" s="8"/>
      <c r="U62083" s="8"/>
      <c r="V62083" s="8"/>
      <c r="W62083" s="8"/>
      <c r="X62083" s="8"/>
      <c r="Y62083" s="8"/>
      <c r="Z62083" s="8"/>
      <c r="AA62083" s="8"/>
    </row>
    <row r="62084" spans="1:27" x14ac:dyDescent="0.25">
      <c r="A62084" s="8"/>
      <c r="B62084" s="8"/>
      <c r="C62084" s="99"/>
      <c r="D62084" s="8"/>
      <c r="E62084" s="8"/>
      <c r="F62084" s="8"/>
      <c r="G62084" s="8"/>
      <c r="H62084" s="8"/>
      <c r="I62084" s="102"/>
      <c r="J62084" s="8"/>
      <c r="K62084" s="8"/>
      <c r="L62084" s="8"/>
      <c r="M62084" s="8"/>
      <c r="N62084" s="8"/>
      <c r="O62084" s="8"/>
      <c r="P62084" s="8"/>
      <c r="Q62084" s="8"/>
      <c r="R62084" s="103"/>
      <c r="S62084" s="8"/>
      <c r="T62084" s="8"/>
      <c r="U62084" s="8"/>
      <c r="V62084" s="8"/>
      <c r="W62084" s="8"/>
      <c r="X62084" s="8"/>
      <c r="Y62084" s="8"/>
      <c r="Z62084" s="8"/>
      <c r="AA62084" s="8"/>
    </row>
    <row r="62085" spans="1:27" x14ac:dyDescent="0.25">
      <c r="A62085" s="8"/>
      <c r="B62085" s="8"/>
      <c r="C62085" s="99"/>
      <c r="D62085" s="8"/>
      <c r="E62085" s="8"/>
      <c r="F62085" s="8"/>
      <c r="G62085" s="8"/>
      <c r="H62085" s="8"/>
      <c r="I62085" s="102"/>
      <c r="J62085" s="8"/>
      <c r="K62085" s="8"/>
      <c r="L62085" s="8"/>
      <c r="M62085" s="8"/>
      <c r="N62085" s="8"/>
      <c r="O62085" s="8"/>
      <c r="P62085" s="8"/>
      <c r="Q62085" s="8"/>
      <c r="R62085" s="103"/>
      <c r="S62085" s="8"/>
      <c r="T62085" s="8"/>
      <c r="U62085" s="8"/>
      <c r="V62085" s="8"/>
      <c r="W62085" s="8"/>
      <c r="X62085" s="8"/>
      <c r="Y62085" s="8"/>
      <c r="Z62085" s="8"/>
      <c r="AA62085" s="8"/>
    </row>
    <row r="62086" spans="1:27" x14ac:dyDescent="0.25">
      <c r="A62086" s="8"/>
      <c r="B62086" s="8"/>
      <c r="C62086" s="99"/>
      <c r="D62086" s="8"/>
      <c r="E62086" s="8"/>
      <c r="F62086" s="8"/>
      <c r="G62086" s="8"/>
      <c r="H62086" s="8"/>
      <c r="I62086" s="102"/>
      <c r="J62086" s="8"/>
      <c r="K62086" s="8"/>
      <c r="L62086" s="8"/>
      <c r="M62086" s="8"/>
      <c r="N62086" s="8"/>
      <c r="O62086" s="8"/>
      <c r="P62086" s="8"/>
      <c r="Q62086" s="8"/>
      <c r="R62086" s="103"/>
      <c r="S62086" s="8"/>
      <c r="T62086" s="8"/>
      <c r="U62086" s="8"/>
      <c r="V62086" s="8"/>
      <c r="W62086" s="8"/>
      <c r="X62086" s="8"/>
      <c r="Y62086" s="8"/>
      <c r="Z62086" s="8"/>
      <c r="AA62086" s="8"/>
    </row>
    <row r="62087" spans="1:27" x14ac:dyDescent="0.25">
      <c r="A62087" s="8"/>
      <c r="B62087" s="8"/>
      <c r="C62087" s="99"/>
      <c r="D62087" s="8"/>
      <c r="E62087" s="8"/>
      <c r="F62087" s="8"/>
      <c r="G62087" s="8"/>
      <c r="H62087" s="8"/>
      <c r="I62087" s="102"/>
      <c r="J62087" s="8"/>
      <c r="K62087" s="8"/>
      <c r="L62087" s="8"/>
      <c r="M62087" s="8"/>
      <c r="N62087" s="8"/>
      <c r="O62087" s="8"/>
      <c r="P62087" s="8"/>
      <c r="Q62087" s="8"/>
      <c r="R62087" s="103"/>
      <c r="S62087" s="8"/>
      <c r="T62087" s="8"/>
      <c r="U62087" s="8"/>
      <c r="V62087" s="8"/>
      <c r="W62087" s="8"/>
      <c r="X62087" s="8"/>
      <c r="Y62087" s="8"/>
      <c r="Z62087" s="8"/>
      <c r="AA62087" s="8"/>
    </row>
    <row r="62088" spans="1:27" x14ac:dyDescent="0.25">
      <c r="A62088" s="8"/>
      <c r="B62088" s="8"/>
      <c r="C62088" s="99"/>
      <c r="D62088" s="8"/>
      <c r="E62088" s="8"/>
      <c r="F62088" s="8"/>
      <c r="G62088" s="8"/>
      <c r="H62088" s="8"/>
      <c r="I62088" s="102"/>
      <c r="J62088" s="8"/>
      <c r="K62088" s="8"/>
      <c r="L62088" s="8"/>
      <c r="M62088" s="8"/>
      <c r="N62088" s="8"/>
      <c r="O62088" s="8"/>
      <c r="P62088" s="8"/>
      <c r="Q62088" s="8"/>
      <c r="R62088" s="103"/>
      <c r="S62088" s="8"/>
      <c r="T62088" s="8"/>
      <c r="U62088" s="8"/>
      <c r="V62088" s="8"/>
      <c r="W62088" s="8"/>
      <c r="X62088" s="8"/>
      <c r="Y62088" s="8"/>
      <c r="Z62088" s="8"/>
      <c r="AA62088" s="8"/>
    </row>
    <row r="62089" spans="1:27" x14ac:dyDescent="0.25">
      <c r="A62089" s="8"/>
      <c r="B62089" s="8"/>
      <c r="C62089" s="99"/>
      <c r="D62089" s="8"/>
      <c r="E62089" s="8"/>
      <c r="F62089" s="8"/>
      <c r="G62089" s="8"/>
      <c r="H62089" s="8"/>
      <c r="I62089" s="102"/>
      <c r="J62089" s="8"/>
      <c r="K62089" s="8"/>
      <c r="L62089" s="8"/>
      <c r="M62089" s="8"/>
      <c r="N62089" s="8"/>
      <c r="O62089" s="8"/>
      <c r="P62089" s="8"/>
      <c r="Q62089" s="8"/>
      <c r="R62089" s="103"/>
      <c r="S62089" s="8"/>
      <c r="T62089" s="8"/>
      <c r="U62089" s="8"/>
      <c r="V62089" s="8"/>
      <c r="W62089" s="8"/>
      <c r="X62089" s="8"/>
      <c r="Y62089" s="8"/>
      <c r="Z62089" s="8"/>
      <c r="AA62089" s="8"/>
    </row>
    <row r="62090" spans="1:27" x14ac:dyDescent="0.25">
      <c r="A62090" s="8"/>
      <c r="B62090" s="8"/>
      <c r="C62090" s="99"/>
      <c r="D62090" s="8"/>
      <c r="E62090" s="8"/>
      <c r="F62090" s="8"/>
      <c r="G62090" s="8"/>
      <c r="H62090" s="8"/>
      <c r="I62090" s="102"/>
      <c r="J62090" s="8"/>
      <c r="K62090" s="8"/>
      <c r="L62090" s="8"/>
      <c r="M62090" s="8"/>
      <c r="N62090" s="8"/>
      <c r="O62090" s="8"/>
      <c r="P62090" s="8"/>
      <c r="Q62090" s="8"/>
      <c r="R62090" s="103"/>
      <c r="S62090" s="8"/>
      <c r="T62090" s="8"/>
      <c r="U62090" s="8"/>
      <c r="V62090" s="8"/>
      <c r="W62090" s="8"/>
      <c r="X62090" s="8"/>
      <c r="Y62090" s="8"/>
      <c r="Z62090" s="8"/>
      <c r="AA62090" s="8"/>
    </row>
    <row r="62091" spans="1:27" x14ac:dyDescent="0.25">
      <c r="A62091" s="8"/>
      <c r="B62091" s="8"/>
      <c r="C62091" s="99"/>
      <c r="D62091" s="8"/>
      <c r="E62091" s="8"/>
      <c r="F62091" s="8"/>
      <c r="G62091" s="8"/>
      <c r="H62091" s="8"/>
      <c r="I62091" s="102"/>
      <c r="J62091" s="8"/>
      <c r="K62091" s="8"/>
      <c r="L62091" s="8"/>
      <c r="M62091" s="8"/>
      <c r="N62091" s="8"/>
      <c r="O62091" s="8"/>
      <c r="P62091" s="8"/>
      <c r="Q62091" s="8"/>
      <c r="R62091" s="103"/>
      <c r="S62091" s="8"/>
      <c r="T62091" s="8"/>
      <c r="U62091" s="8"/>
      <c r="V62091" s="8"/>
      <c r="W62091" s="8"/>
      <c r="X62091" s="8"/>
      <c r="Y62091" s="8"/>
      <c r="Z62091" s="8"/>
      <c r="AA62091" s="8"/>
    </row>
    <row r="62092" spans="1:27" x14ac:dyDescent="0.25">
      <c r="A62092" s="8"/>
      <c r="B62092" s="8"/>
      <c r="C62092" s="99"/>
      <c r="D62092" s="8"/>
      <c r="E62092" s="8"/>
      <c r="F62092" s="8"/>
      <c r="G62092" s="8"/>
      <c r="H62092" s="8"/>
      <c r="I62092" s="102"/>
      <c r="J62092" s="8"/>
      <c r="K62092" s="8"/>
      <c r="L62092" s="8"/>
      <c r="M62092" s="8"/>
      <c r="N62092" s="8"/>
      <c r="O62092" s="8"/>
      <c r="P62092" s="8"/>
      <c r="Q62092" s="8"/>
      <c r="R62092" s="103"/>
      <c r="S62092" s="8"/>
      <c r="T62092" s="8"/>
      <c r="U62092" s="8"/>
      <c r="V62092" s="8"/>
      <c r="W62092" s="8"/>
      <c r="X62092" s="8"/>
      <c r="Y62092" s="8"/>
      <c r="Z62092" s="8"/>
      <c r="AA62092" s="8"/>
    </row>
    <row r="62093" spans="1:27" x14ac:dyDescent="0.25">
      <c r="A62093" s="8"/>
      <c r="B62093" s="8"/>
      <c r="C62093" s="99"/>
      <c r="D62093" s="8"/>
      <c r="E62093" s="8"/>
      <c r="F62093" s="8"/>
      <c r="G62093" s="8"/>
      <c r="H62093" s="8"/>
      <c r="I62093" s="102"/>
      <c r="J62093" s="8"/>
      <c r="K62093" s="8"/>
      <c r="L62093" s="8"/>
      <c r="M62093" s="8"/>
      <c r="N62093" s="8"/>
      <c r="O62093" s="8"/>
      <c r="P62093" s="8"/>
      <c r="Q62093" s="8"/>
      <c r="R62093" s="103"/>
      <c r="S62093" s="8"/>
      <c r="T62093" s="8"/>
      <c r="U62093" s="8"/>
      <c r="V62093" s="8"/>
      <c r="W62093" s="8"/>
      <c r="X62093" s="8"/>
      <c r="Y62093" s="8"/>
      <c r="Z62093" s="8"/>
      <c r="AA62093" s="8"/>
    </row>
    <row r="62094" spans="1:27" x14ac:dyDescent="0.25">
      <c r="A62094" s="8"/>
      <c r="B62094" s="8"/>
      <c r="C62094" s="99"/>
      <c r="D62094" s="8"/>
      <c r="E62094" s="8"/>
      <c r="F62094" s="8"/>
      <c r="G62094" s="8"/>
      <c r="H62094" s="8"/>
      <c r="I62094" s="102"/>
      <c r="J62094" s="8"/>
      <c r="K62094" s="8"/>
      <c r="L62094" s="8"/>
      <c r="M62094" s="8"/>
      <c r="N62094" s="8"/>
      <c r="O62094" s="8"/>
      <c r="P62094" s="8"/>
      <c r="Q62094" s="8"/>
      <c r="R62094" s="103"/>
      <c r="S62094" s="8"/>
      <c r="T62094" s="8"/>
      <c r="U62094" s="8"/>
      <c r="V62094" s="8"/>
      <c r="W62094" s="8"/>
      <c r="X62094" s="8"/>
      <c r="Y62094" s="8"/>
      <c r="Z62094" s="8"/>
      <c r="AA62094" s="8"/>
    </row>
    <row r="62095" spans="1:27" x14ac:dyDescent="0.25">
      <c r="A62095" s="8"/>
      <c r="B62095" s="8"/>
      <c r="C62095" s="99"/>
      <c r="D62095" s="8"/>
      <c r="E62095" s="8"/>
      <c r="F62095" s="8"/>
      <c r="G62095" s="8"/>
      <c r="H62095" s="8"/>
      <c r="I62095" s="102"/>
      <c r="J62095" s="8"/>
      <c r="K62095" s="8"/>
      <c r="L62095" s="8"/>
      <c r="M62095" s="8"/>
      <c r="N62095" s="8"/>
      <c r="O62095" s="8"/>
      <c r="P62095" s="8"/>
      <c r="Q62095" s="8"/>
      <c r="R62095" s="103"/>
      <c r="S62095" s="8"/>
      <c r="T62095" s="8"/>
      <c r="U62095" s="8"/>
      <c r="V62095" s="8"/>
      <c r="W62095" s="8"/>
      <c r="X62095" s="8"/>
      <c r="Y62095" s="8"/>
      <c r="Z62095" s="8"/>
      <c r="AA62095" s="8"/>
    </row>
    <row r="62096" spans="1:27" x14ac:dyDescent="0.25">
      <c r="A62096" s="8"/>
      <c r="B62096" s="8"/>
      <c r="C62096" s="99"/>
      <c r="D62096" s="8"/>
      <c r="E62096" s="8"/>
      <c r="F62096" s="8"/>
      <c r="G62096" s="8"/>
      <c r="H62096" s="8"/>
      <c r="I62096" s="102"/>
      <c r="J62096" s="8"/>
      <c r="K62096" s="8"/>
      <c r="L62096" s="8"/>
      <c r="M62096" s="8"/>
      <c r="N62096" s="8"/>
      <c r="O62096" s="8"/>
      <c r="P62096" s="8"/>
      <c r="Q62096" s="8"/>
      <c r="R62096" s="103"/>
      <c r="S62096" s="8"/>
      <c r="T62096" s="8"/>
      <c r="U62096" s="8"/>
      <c r="V62096" s="8"/>
      <c r="W62096" s="8"/>
      <c r="X62096" s="8"/>
      <c r="Y62096" s="8"/>
      <c r="Z62096" s="8"/>
      <c r="AA62096" s="8"/>
    </row>
    <row r="62097" spans="1:27" x14ac:dyDescent="0.25">
      <c r="A62097" s="8"/>
      <c r="B62097" s="8"/>
      <c r="C62097" s="99"/>
      <c r="D62097" s="8"/>
      <c r="E62097" s="8"/>
      <c r="F62097" s="8"/>
      <c r="G62097" s="8"/>
      <c r="H62097" s="8"/>
      <c r="I62097" s="102"/>
      <c r="J62097" s="8"/>
      <c r="K62097" s="8"/>
      <c r="L62097" s="8"/>
      <c r="M62097" s="8"/>
      <c r="N62097" s="8"/>
      <c r="O62097" s="8"/>
      <c r="P62097" s="8"/>
      <c r="Q62097" s="8"/>
      <c r="R62097" s="103"/>
      <c r="S62097" s="8"/>
      <c r="T62097" s="8"/>
      <c r="U62097" s="8"/>
      <c r="V62097" s="8"/>
      <c r="W62097" s="8"/>
      <c r="X62097" s="8"/>
      <c r="Y62097" s="8"/>
      <c r="Z62097" s="8"/>
      <c r="AA62097" s="8"/>
    </row>
    <row r="62098" spans="1:27" x14ac:dyDescent="0.25">
      <c r="A62098" s="8"/>
      <c r="B62098" s="8"/>
      <c r="C62098" s="99"/>
      <c r="D62098" s="8"/>
      <c r="E62098" s="8"/>
      <c r="F62098" s="8"/>
      <c r="G62098" s="8"/>
      <c r="H62098" s="8"/>
      <c r="I62098" s="102"/>
      <c r="J62098" s="8"/>
      <c r="K62098" s="8"/>
      <c r="L62098" s="8"/>
      <c r="M62098" s="8"/>
      <c r="N62098" s="8"/>
      <c r="O62098" s="8"/>
      <c r="P62098" s="8"/>
      <c r="Q62098" s="8"/>
      <c r="R62098" s="103"/>
      <c r="S62098" s="8"/>
      <c r="T62098" s="8"/>
      <c r="U62098" s="8"/>
      <c r="V62098" s="8"/>
      <c r="W62098" s="8"/>
      <c r="X62098" s="8"/>
      <c r="Y62098" s="8"/>
      <c r="Z62098" s="8"/>
      <c r="AA62098" s="8"/>
    </row>
    <row r="62099" spans="1:27" x14ac:dyDescent="0.25">
      <c r="A62099" s="8"/>
      <c r="B62099" s="8"/>
      <c r="C62099" s="99"/>
      <c r="D62099" s="8"/>
      <c r="E62099" s="8"/>
      <c r="F62099" s="8"/>
      <c r="G62099" s="8"/>
      <c r="H62099" s="8"/>
      <c r="I62099" s="102"/>
      <c r="J62099" s="8"/>
      <c r="K62099" s="8"/>
      <c r="L62099" s="8"/>
      <c r="M62099" s="8"/>
      <c r="N62099" s="8"/>
      <c r="O62099" s="8"/>
      <c r="P62099" s="8"/>
      <c r="Q62099" s="8"/>
      <c r="R62099" s="103"/>
      <c r="S62099" s="8"/>
      <c r="T62099" s="8"/>
      <c r="U62099" s="8"/>
      <c r="V62099" s="8"/>
      <c r="W62099" s="8"/>
      <c r="X62099" s="8"/>
      <c r="Y62099" s="8"/>
      <c r="Z62099" s="8"/>
      <c r="AA62099" s="8"/>
    </row>
    <row r="62100" spans="1:27" x14ac:dyDescent="0.25">
      <c r="A62100" s="8"/>
      <c r="B62100" s="8"/>
      <c r="C62100" s="99"/>
      <c r="D62100" s="8"/>
      <c r="E62100" s="8"/>
      <c r="F62100" s="8"/>
      <c r="G62100" s="8"/>
      <c r="H62100" s="8"/>
      <c r="I62100" s="102"/>
      <c r="J62100" s="8"/>
      <c r="K62100" s="8"/>
      <c r="L62100" s="8"/>
      <c r="M62100" s="8"/>
      <c r="N62100" s="8"/>
      <c r="O62100" s="8"/>
      <c r="P62100" s="8"/>
      <c r="Q62100" s="8"/>
      <c r="R62100" s="103"/>
      <c r="S62100" s="8"/>
      <c r="T62100" s="8"/>
      <c r="U62100" s="8"/>
      <c r="V62100" s="8"/>
      <c r="W62100" s="8"/>
      <c r="X62100" s="8"/>
      <c r="Y62100" s="8"/>
      <c r="Z62100" s="8"/>
      <c r="AA62100" s="8"/>
    </row>
    <row r="62101" spans="1:27" x14ac:dyDescent="0.25">
      <c r="A62101" s="8"/>
      <c r="B62101" s="8"/>
      <c r="C62101" s="99"/>
      <c r="D62101" s="8"/>
      <c r="E62101" s="8"/>
      <c r="F62101" s="8"/>
      <c r="G62101" s="8"/>
      <c r="H62101" s="8"/>
      <c r="I62101" s="102"/>
      <c r="J62101" s="8"/>
      <c r="K62101" s="8"/>
      <c r="L62101" s="8"/>
      <c r="M62101" s="8"/>
      <c r="N62101" s="8"/>
      <c r="O62101" s="8"/>
      <c r="P62101" s="8"/>
      <c r="Q62101" s="8"/>
      <c r="R62101" s="103"/>
      <c r="S62101" s="8"/>
      <c r="T62101" s="8"/>
      <c r="U62101" s="8"/>
      <c r="V62101" s="8"/>
      <c r="W62101" s="8"/>
      <c r="X62101" s="8"/>
      <c r="Y62101" s="8"/>
      <c r="Z62101" s="8"/>
      <c r="AA62101" s="8"/>
    </row>
    <row r="62102" spans="1:27" x14ac:dyDescent="0.25">
      <c r="A62102" s="8"/>
      <c r="B62102" s="8"/>
      <c r="C62102" s="99"/>
      <c r="D62102" s="8"/>
      <c r="E62102" s="8"/>
      <c r="F62102" s="8"/>
      <c r="G62102" s="8"/>
      <c r="H62102" s="8"/>
      <c r="I62102" s="102"/>
      <c r="J62102" s="8"/>
      <c r="K62102" s="8"/>
      <c r="L62102" s="8"/>
      <c r="M62102" s="8"/>
      <c r="N62102" s="8"/>
      <c r="O62102" s="8"/>
      <c r="P62102" s="8"/>
      <c r="Q62102" s="8"/>
      <c r="R62102" s="103"/>
      <c r="S62102" s="8"/>
      <c r="T62102" s="8"/>
      <c r="U62102" s="8"/>
      <c r="V62102" s="8"/>
      <c r="W62102" s="8"/>
      <c r="X62102" s="8"/>
      <c r="Y62102" s="8"/>
      <c r="Z62102" s="8"/>
      <c r="AA62102" s="8"/>
    </row>
    <row r="62103" spans="1:27" x14ac:dyDescent="0.25">
      <c r="A62103" s="8"/>
      <c r="B62103" s="8"/>
      <c r="C62103" s="99"/>
      <c r="D62103" s="8"/>
      <c r="E62103" s="8"/>
      <c r="F62103" s="8"/>
      <c r="G62103" s="8"/>
      <c r="H62103" s="8"/>
      <c r="I62103" s="102"/>
      <c r="J62103" s="8"/>
      <c r="K62103" s="8"/>
      <c r="L62103" s="8"/>
      <c r="M62103" s="8"/>
      <c r="N62103" s="8"/>
      <c r="O62103" s="8"/>
      <c r="P62103" s="8"/>
      <c r="Q62103" s="8"/>
      <c r="R62103" s="103"/>
      <c r="S62103" s="8"/>
      <c r="T62103" s="8"/>
      <c r="U62103" s="8"/>
      <c r="V62103" s="8"/>
      <c r="W62103" s="8"/>
      <c r="X62103" s="8"/>
      <c r="Y62103" s="8"/>
      <c r="Z62103" s="8"/>
      <c r="AA62103" s="8"/>
    </row>
    <row r="62104" spans="1:27" x14ac:dyDescent="0.25">
      <c r="A62104" s="8"/>
      <c r="B62104" s="8"/>
      <c r="C62104" s="99"/>
      <c r="D62104" s="8"/>
      <c r="E62104" s="8"/>
      <c r="F62104" s="8"/>
      <c r="G62104" s="8"/>
      <c r="H62104" s="8"/>
      <c r="I62104" s="102"/>
      <c r="J62104" s="8"/>
      <c r="K62104" s="8"/>
      <c r="L62104" s="8"/>
      <c r="M62104" s="8"/>
      <c r="N62104" s="8"/>
      <c r="O62104" s="8"/>
      <c r="P62104" s="8"/>
      <c r="Q62104" s="8"/>
      <c r="R62104" s="103"/>
      <c r="S62104" s="8"/>
      <c r="T62104" s="8"/>
      <c r="U62104" s="8"/>
      <c r="V62104" s="8"/>
      <c r="W62104" s="8"/>
      <c r="X62104" s="8"/>
      <c r="Y62104" s="8"/>
      <c r="Z62104" s="8"/>
      <c r="AA62104" s="8"/>
    </row>
    <row r="62105" spans="1:27" x14ac:dyDescent="0.25">
      <c r="A62105" s="8"/>
      <c r="B62105" s="8"/>
      <c r="C62105" s="99"/>
      <c r="D62105" s="8"/>
      <c r="E62105" s="8"/>
      <c r="F62105" s="8"/>
      <c r="G62105" s="8"/>
      <c r="H62105" s="8"/>
      <c r="I62105" s="102"/>
      <c r="J62105" s="8"/>
      <c r="K62105" s="8"/>
      <c r="L62105" s="8"/>
      <c r="M62105" s="8"/>
      <c r="N62105" s="8"/>
      <c r="O62105" s="8"/>
      <c r="P62105" s="8"/>
      <c r="Q62105" s="8"/>
      <c r="R62105" s="103"/>
      <c r="S62105" s="8"/>
      <c r="T62105" s="8"/>
      <c r="U62105" s="8"/>
      <c r="V62105" s="8"/>
      <c r="W62105" s="8"/>
      <c r="X62105" s="8"/>
      <c r="Y62105" s="8"/>
      <c r="Z62105" s="8"/>
      <c r="AA62105" s="8"/>
    </row>
    <row r="62106" spans="1:27" x14ac:dyDescent="0.25">
      <c r="A62106" s="8"/>
      <c r="B62106" s="8"/>
      <c r="C62106" s="99"/>
      <c r="D62106" s="8"/>
      <c r="E62106" s="8"/>
      <c r="F62106" s="8"/>
      <c r="G62106" s="8"/>
      <c r="H62106" s="8"/>
      <c r="I62106" s="102"/>
      <c r="J62106" s="8"/>
      <c r="K62106" s="8"/>
      <c r="L62106" s="8"/>
      <c r="M62106" s="8"/>
      <c r="N62106" s="8"/>
      <c r="O62106" s="8"/>
      <c r="P62106" s="8"/>
      <c r="Q62106" s="8"/>
      <c r="R62106" s="103"/>
      <c r="S62106" s="8"/>
      <c r="T62106" s="8"/>
      <c r="U62106" s="8"/>
      <c r="V62106" s="8"/>
      <c r="W62106" s="8"/>
      <c r="X62106" s="8"/>
      <c r="Y62106" s="8"/>
      <c r="Z62106" s="8"/>
      <c r="AA62106" s="8"/>
    </row>
    <row r="62107" spans="1:27" x14ac:dyDescent="0.25">
      <c r="A62107" s="8"/>
      <c r="B62107" s="8"/>
      <c r="C62107" s="99"/>
      <c r="D62107" s="8"/>
      <c r="E62107" s="8"/>
      <c r="F62107" s="8"/>
      <c r="G62107" s="8"/>
      <c r="H62107" s="8"/>
      <c r="I62107" s="102"/>
      <c r="J62107" s="8"/>
      <c r="K62107" s="8"/>
      <c r="L62107" s="8"/>
      <c r="M62107" s="8"/>
      <c r="N62107" s="8"/>
      <c r="O62107" s="8"/>
      <c r="P62107" s="8"/>
      <c r="Q62107" s="8"/>
      <c r="R62107" s="103"/>
      <c r="S62107" s="8"/>
      <c r="T62107" s="8"/>
      <c r="U62107" s="8"/>
      <c r="V62107" s="8"/>
      <c r="W62107" s="8"/>
      <c r="X62107" s="8"/>
      <c r="Y62107" s="8"/>
      <c r="Z62107" s="8"/>
      <c r="AA62107" s="8"/>
    </row>
    <row r="62108" spans="1:27" x14ac:dyDescent="0.25">
      <c r="A62108" s="8"/>
      <c r="B62108" s="8"/>
      <c r="C62108" s="99"/>
      <c r="D62108" s="8"/>
      <c r="E62108" s="8"/>
      <c r="F62108" s="8"/>
      <c r="G62108" s="8"/>
      <c r="H62108" s="8"/>
      <c r="I62108" s="102"/>
      <c r="J62108" s="8"/>
      <c r="K62108" s="8"/>
      <c r="L62108" s="8"/>
      <c r="M62108" s="8"/>
      <c r="N62108" s="8"/>
      <c r="O62108" s="8"/>
      <c r="P62108" s="8"/>
      <c r="Q62108" s="8"/>
      <c r="R62108" s="103"/>
      <c r="S62108" s="8"/>
      <c r="T62108" s="8"/>
      <c r="U62108" s="8"/>
      <c r="V62108" s="8"/>
      <c r="W62108" s="8"/>
      <c r="X62108" s="8"/>
      <c r="Y62108" s="8"/>
      <c r="Z62108" s="8"/>
      <c r="AA62108" s="8"/>
    </row>
    <row r="62109" spans="1:27" x14ac:dyDescent="0.25">
      <c r="A62109" s="8"/>
      <c r="B62109" s="8"/>
      <c r="C62109" s="99"/>
      <c r="D62109" s="8"/>
      <c r="E62109" s="8"/>
      <c r="F62109" s="8"/>
      <c r="G62109" s="8"/>
      <c r="H62109" s="8"/>
      <c r="I62109" s="102"/>
      <c r="J62109" s="8"/>
      <c r="K62109" s="8"/>
      <c r="L62109" s="8"/>
      <c r="M62109" s="8"/>
      <c r="N62109" s="8"/>
      <c r="O62109" s="8"/>
      <c r="P62109" s="8"/>
      <c r="Q62109" s="8"/>
      <c r="R62109" s="103"/>
      <c r="S62109" s="8"/>
      <c r="T62109" s="8"/>
      <c r="U62109" s="8"/>
      <c r="V62109" s="8"/>
      <c r="W62109" s="8"/>
      <c r="X62109" s="8"/>
      <c r="Y62109" s="8"/>
      <c r="Z62109" s="8"/>
      <c r="AA62109" s="8"/>
    </row>
    <row r="62110" spans="1:27" x14ac:dyDescent="0.25">
      <c r="A62110" s="8"/>
      <c r="B62110" s="8"/>
      <c r="C62110" s="99"/>
      <c r="D62110" s="8"/>
      <c r="E62110" s="8"/>
      <c r="F62110" s="8"/>
      <c r="G62110" s="8"/>
      <c r="H62110" s="8"/>
      <c r="I62110" s="102"/>
      <c r="J62110" s="8"/>
      <c r="K62110" s="8"/>
      <c r="L62110" s="8"/>
      <c r="M62110" s="8"/>
      <c r="N62110" s="8"/>
      <c r="O62110" s="8"/>
      <c r="P62110" s="8"/>
      <c r="Q62110" s="8"/>
      <c r="R62110" s="103"/>
      <c r="S62110" s="8"/>
      <c r="T62110" s="8"/>
      <c r="U62110" s="8"/>
      <c r="V62110" s="8"/>
      <c r="W62110" s="8"/>
      <c r="X62110" s="8"/>
      <c r="Y62110" s="8"/>
      <c r="Z62110" s="8"/>
      <c r="AA62110" s="8"/>
    </row>
    <row r="62111" spans="1:27" x14ac:dyDescent="0.25">
      <c r="A62111" s="8"/>
      <c r="B62111" s="8"/>
      <c r="C62111" s="99"/>
      <c r="D62111" s="8"/>
      <c r="E62111" s="8"/>
      <c r="F62111" s="8"/>
      <c r="G62111" s="8"/>
      <c r="H62111" s="8"/>
      <c r="I62111" s="102"/>
      <c r="J62111" s="8"/>
      <c r="K62111" s="8"/>
      <c r="L62111" s="8"/>
      <c r="M62111" s="8"/>
      <c r="N62111" s="8"/>
      <c r="O62111" s="8"/>
      <c r="P62111" s="8"/>
      <c r="Q62111" s="8"/>
      <c r="R62111" s="103"/>
      <c r="S62111" s="8"/>
      <c r="T62111" s="8"/>
      <c r="U62111" s="8"/>
      <c r="V62111" s="8"/>
      <c r="W62111" s="8"/>
      <c r="X62111" s="8"/>
      <c r="Y62111" s="8"/>
      <c r="Z62111" s="8"/>
      <c r="AA62111" s="8"/>
    </row>
    <row r="62112" spans="1:27" x14ac:dyDescent="0.25">
      <c r="A62112" s="8"/>
      <c r="B62112" s="8"/>
      <c r="C62112" s="99"/>
      <c r="D62112" s="8"/>
      <c r="E62112" s="8"/>
      <c r="F62112" s="8"/>
      <c r="G62112" s="8"/>
      <c r="H62112" s="8"/>
      <c r="I62112" s="102"/>
      <c r="J62112" s="8"/>
      <c r="K62112" s="8"/>
      <c r="L62112" s="8"/>
      <c r="M62112" s="8"/>
      <c r="N62112" s="8"/>
      <c r="O62112" s="8"/>
      <c r="P62112" s="8"/>
      <c r="Q62112" s="8"/>
      <c r="R62112" s="103"/>
      <c r="S62112" s="8"/>
      <c r="T62112" s="8"/>
      <c r="U62112" s="8"/>
      <c r="V62112" s="8"/>
      <c r="W62112" s="8"/>
      <c r="X62112" s="8"/>
      <c r="Y62112" s="8"/>
      <c r="Z62112" s="8"/>
      <c r="AA62112" s="8"/>
    </row>
    <row r="62113" spans="1:27" x14ac:dyDescent="0.25">
      <c r="A62113" s="8"/>
      <c r="B62113" s="8"/>
      <c r="C62113" s="99"/>
      <c r="D62113" s="8"/>
      <c r="E62113" s="8"/>
      <c r="F62113" s="8"/>
      <c r="G62113" s="8"/>
      <c r="H62113" s="8"/>
      <c r="I62113" s="102"/>
      <c r="J62113" s="8"/>
      <c r="K62113" s="8"/>
      <c r="L62113" s="8"/>
      <c r="M62113" s="8"/>
      <c r="N62113" s="8"/>
      <c r="O62113" s="8"/>
      <c r="P62113" s="8"/>
      <c r="Q62113" s="8"/>
      <c r="R62113" s="103"/>
      <c r="S62113" s="8"/>
      <c r="T62113" s="8"/>
      <c r="U62113" s="8"/>
      <c r="V62113" s="8"/>
      <c r="W62113" s="8"/>
      <c r="X62113" s="8"/>
      <c r="Y62113" s="8"/>
      <c r="Z62113" s="8"/>
      <c r="AA62113" s="8"/>
    </row>
    <row r="62114" spans="1:27" x14ac:dyDescent="0.25">
      <c r="A62114" s="8"/>
      <c r="B62114" s="8"/>
      <c r="C62114" s="99"/>
      <c r="D62114" s="8"/>
      <c r="E62114" s="8"/>
      <c r="F62114" s="8"/>
      <c r="G62114" s="8"/>
      <c r="H62114" s="8"/>
      <c r="I62114" s="102"/>
      <c r="J62114" s="8"/>
      <c r="K62114" s="8"/>
      <c r="L62114" s="8"/>
      <c r="M62114" s="8"/>
      <c r="N62114" s="8"/>
      <c r="O62114" s="8"/>
      <c r="P62114" s="8"/>
      <c r="Q62114" s="8"/>
      <c r="R62114" s="103"/>
      <c r="S62114" s="8"/>
      <c r="T62114" s="8"/>
      <c r="U62114" s="8"/>
      <c r="V62114" s="8"/>
      <c r="W62114" s="8"/>
      <c r="X62114" s="8"/>
      <c r="Y62114" s="8"/>
      <c r="Z62114" s="8"/>
      <c r="AA62114" s="8"/>
    </row>
    <row r="62115" spans="1:27" x14ac:dyDescent="0.25">
      <c r="A62115" s="8"/>
      <c r="B62115" s="8"/>
      <c r="C62115" s="99"/>
      <c r="D62115" s="8"/>
      <c r="E62115" s="8"/>
      <c r="F62115" s="8"/>
      <c r="G62115" s="8"/>
      <c r="H62115" s="8"/>
      <c r="I62115" s="102"/>
      <c r="J62115" s="8"/>
      <c r="K62115" s="8"/>
      <c r="L62115" s="8"/>
      <c r="M62115" s="8"/>
      <c r="N62115" s="8"/>
      <c r="O62115" s="8"/>
      <c r="P62115" s="8"/>
      <c r="Q62115" s="8"/>
      <c r="R62115" s="103"/>
      <c r="S62115" s="8"/>
      <c r="T62115" s="8"/>
      <c r="U62115" s="8"/>
      <c r="V62115" s="8"/>
      <c r="W62115" s="8"/>
      <c r="X62115" s="8"/>
      <c r="Y62115" s="8"/>
      <c r="Z62115" s="8"/>
      <c r="AA62115" s="8"/>
    </row>
    <row r="62116" spans="1:27" x14ac:dyDescent="0.25">
      <c r="A62116" s="8"/>
      <c r="B62116" s="8"/>
      <c r="C62116" s="99"/>
      <c r="D62116" s="8"/>
      <c r="E62116" s="8"/>
      <c r="F62116" s="8"/>
      <c r="G62116" s="8"/>
      <c r="H62116" s="8"/>
      <c r="I62116" s="102"/>
      <c r="J62116" s="8"/>
      <c r="K62116" s="8"/>
      <c r="L62116" s="8"/>
      <c r="M62116" s="8"/>
      <c r="N62116" s="8"/>
      <c r="O62116" s="8"/>
      <c r="P62116" s="8"/>
      <c r="Q62116" s="8"/>
      <c r="R62116" s="103"/>
      <c r="S62116" s="8"/>
      <c r="T62116" s="8"/>
      <c r="U62116" s="8"/>
      <c r="V62116" s="8"/>
      <c r="W62116" s="8"/>
      <c r="X62116" s="8"/>
      <c r="Y62116" s="8"/>
      <c r="Z62116" s="8"/>
      <c r="AA62116" s="8"/>
    </row>
    <row r="62117" spans="1:27" x14ac:dyDescent="0.25">
      <c r="A62117" s="8"/>
      <c r="B62117" s="8"/>
      <c r="C62117" s="99"/>
      <c r="D62117" s="8"/>
      <c r="E62117" s="8"/>
      <c r="F62117" s="8"/>
      <c r="G62117" s="8"/>
      <c r="H62117" s="8"/>
      <c r="I62117" s="102"/>
      <c r="J62117" s="8"/>
      <c r="K62117" s="8"/>
      <c r="L62117" s="8"/>
      <c r="M62117" s="8"/>
      <c r="N62117" s="8"/>
      <c r="O62117" s="8"/>
      <c r="P62117" s="8"/>
      <c r="Q62117" s="8"/>
      <c r="R62117" s="103"/>
      <c r="S62117" s="8"/>
      <c r="T62117" s="8"/>
      <c r="U62117" s="8"/>
      <c r="V62117" s="8"/>
      <c r="W62117" s="8"/>
      <c r="X62117" s="8"/>
      <c r="Y62117" s="8"/>
      <c r="Z62117" s="8"/>
      <c r="AA62117" s="8"/>
    </row>
    <row r="62118" spans="1:27" x14ac:dyDescent="0.25">
      <c r="A62118" s="8"/>
      <c r="B62118" s="8"/>
      <c r="C62118" s="99"/>
      <c r="D62118" s="8"/>
      <c r="E62118" s="8"/>
      <c r="F62118" s="8"/>
      <c r="G62118" s="8"/>
      <c r="H62118" s="8"/>
      <c r="I62118" s="102"/>
      <c r="J62118" s="8"/>
      <c r="K62118" s="8"/>
      <c r="L62118" s="8"/>
      <c r="M62118" s="8"/>
      <c r="N62118" s="8"/>
      <c r="O62118" s="8"/>
      <c r="P62118" s="8"/>
      <c r="Q62118" s="8"/>
      <c r="R62118" s="103"/>
      <c r="S62118" s="8"/>
      <c r="T62118" s="8"/>
      <c r="U62118" s="8"/>
      <c r="V62118" s="8"/>
      <c r="W62118" s="8"/>
      <c r="X62118" s="8"/>
      <c r="Y62118" s="8"/>
      <c r="Z62118" s="8"/>
      <c r="AA62118" s="8"/>
    </row>
    <row r="62119" spans="1:27" x14ac:dyDescent="0.25">
      <c r="A62119" s="8"/>
      <c r="B62119" s="8"/>
      <c r="C62119" s="99"/>
      <c r="D62119" s="8"/>
      <c r="E62119" s="8"/>
      <c r="F62119" s="8"/>
      <c r="G62119" s="8"/>
      <c r="H62119" s="8"/>
      <c r="I62119" s="102"/>
      <c r="J62119" s="8"/>
      <c r="K62119" s="8"/>
      <c r="L62119" s="8"/>
      <c r="M62119" s="8"/>
      <c r="N62119" s="8"/>
      <c r="O62119" s="8"/>
      <c r="P62119" s="8"/>
      <c r="Q62119" s="8"/>
      <c r="R62119" s="103"/>
      <c r="S62119" s="8"/>
      <c r="T62119" s="8"/>
      <c r="U62119" s="8"/>
      <c r="V62119" s="8"/>
      <c r="W62119" s="8"/>
      <c r="X62119" s="8"/>
      <c r="Y62119" s="8"/>
      <c r="Z62119" s="8"/>
      <c r="AA62119" s="8"/>
    </row>
    <row r="62120" spans="1:27" x14ac:dyDescent="0.25">
      <c r="A62120" s="8"/>
      <c r="B62120" s="8"/>
      <c r="C62120" s="99"/>
      <c r="D62120" s="8"/>
      <c r="E62120" s="8"/>
      <c r="F62120" s="8"/>
      <c r="G62120" s="8"/>
      <c r="H62120" s="8"/>
      <c r="I62120" s="102"/>
      <c r="J62120" s="8"/>
      <c r="K62120" s="8"/>
      <c r="L62120" s="8"/>
      <c r="M62120" s="8"/>
      <c r="N62120" s="8"/>
      <c r="O62120" s="8"/>
      <c r="P62120" s="8"/>
      <c r="Q62120" s="8"/>
      <c r="R62120" s="103"/>
      <c r="S62120" s="8"/>
      <c r="T62120" s="8"/>
      <c r="U62120" s="8"/>
      <c r="V62120" s="8"/>
      <c r="W62120" s="8"/>
      <c r="X62120" s="8"/>
      <c r="Y62120" s="8"/>
      <c r="Z62120" s="8"/>
      <c r="AA62120" s="8"/>
    </row>
    <row r="62121" spans="1:27" x14ac:dyDescent="0.25">
      <c r="A62121" s="8"/>
      <c r="B62121" s="8"/>
      <c r="C62121" s="99"/>
      <c r="D62121" s="8"/>
      <c r="E62121" s="8"/>
      <c r="F62121" s="8"/>
      <c r="G62121" s="8"/>
      <c r="H62121" s="8"/>
      <c r="I62121" s="102"/>
      <c r="J62121" s="8"/>
      <c r="K62121" s="8"/>
      <c r="L62121" s="8"/>
      <c r="M62121" s="8"/>
      <c r="N62121" s="8"/>
      <c r="O62121" s="8"/>
      <c r="P62121" s="8"/>
      <c r="Q62121" s="8"/>
      <c r="R62121" s="103"/>
      <c r="S62121" s="8"/>
      <c r="T62121" s="8"/>
      <c r="U62121" s="8"/>
      <c r="V62121" s="8"/>
      <c r="W62121" s="8"/>
      <c r="X62121" s="8"/>
      <c r="Y62121" s="8"/>
      <c r="Z62121" s="8"/>
      <c r="AA62121" s="8"/>
    </row>
    <row r="62122" spans="1:27" x14ac:dyDescent="0.25">
      <c r="A62122" s="8"/>
      <c r="B62122" s="8"/>
      <c r="C62122" s="99"/>
      <c r="D62122" s="8"/>
      <c r="E62122" s="8"/>
      <c r="F62122" s="8"/>
      <c r="G62122" s="8"/>
      <c r="H62122" s="8"/>
      <c r="I62122" s="102"/>
      <c r="J62122" s="8"/>
      <c r="K62122" s="8"/>
      <c r="L62122" s="8"/>
      <c r="M62122" s="8"/>
      <c r="N62122" s="8"/>
      <c r="O62122" s="8"/>
      <c r="P62122" s="8"/>
      <c r="Q62122" s="8"/>
      <c r="R62122" s="103"/>
      <c r="S62122" s="8"/>
      <c r="T62122" s="8"/>
      <c r="U62122" s="8"/>
      <c r="V62122" s="8"/>
      <c r="W62122" s="8"/>
      <c r="X62122" s="8"/>
      <c r="Y62122" s="8"/>
      <c r="Z62122" s="8"/>
      <c r="AA62122" s="8"/>
    </row>
    <row r="62123" spans="1:27" x14ac:dyDescent="0.25">
      <c r="A62123" s="8"/>
      <c r="B62123" s="8"/>
      <c r="C62123" s="99"/>
      <c r="D62123" s="8"/>
      <c r="E62123" s="8"/>
      <c r="F62123" s="8"/>
      <c r="G62123" s="8"/>
      <c r="H62123" s="8"/>
      <c r="I62123" s="102"/>
      <c r="J62123" s="8"/>
      <c r="K62123" s="8"/>
      <c r="L62123" s="8"/>
      <c r="M62123" s="8"/>
      <c r="N62123" s="8"/>
      <c r="O62123" s="8"/>
      <c r="P62123" s="8"/>
      <c r="Q62123" s="8"/>
      <c r="R62123" s="103"/>
      <c r="S62123" s="8"/>
      <c r="T62123" s="8"/>
      <c r="U62123" s="8"/>
      <c r="V62123" s="8"/>
      <c r="W62123" s="8"/>
      <c r="X62123" s="8"/>
      <c r="Y62123" s="8"/>
      <c r="Z62123" s="8"/>
      <c r="AA62123" s="8"/>
    </row>
    <row r="62124" spans="1:27" x14ac:dyDescent="0.25">
      <c r="A62124" s="8"/>
      <c r="B62124" s="8"/>
      <c r="C62124" s="99"/>
      <c r="D62124" s="8"/>
      <c r="E62124" s="8"/>
      <c r="F62124" s="8"/>
      <c r="G62124" s="8"/>
      <c r="H62124" s="8"/>
      <c r="I62124" s="102"/>
      <c r="J62124" s="8"/>
      <c r="K62124" s="8"/>
      <c r="L62124" s="8"/>
      <c r="M62124" s="8"/>
      <c r="N62124" s="8"/>
      <c r="O62124" s="8"/>
      <c r="P62124" s="8"/>
      <c r="Q62124" s="8"/>
      <c r="R62124" s="103"/>
      <c r="S62124" s="8"/>
      <c r="T62124" s="8"/>
      <c r="U62124" s="8"/>
      <c r="V62124" s="8"/>
      <c r="W62124" s="8"/>
      <c r="X62124" s="8"/>
      <c r="Y62124" s="8"/>
      <c r="Z62124" s="8"/>
      <c r="AA62124" s="8"/>
    </row>
    <row r="62125" spans="1:27" x14ac:dyDescent="0.25">
      <c r="A62125" s="8"/>
      <c r="B62125" s="8"/>
      <c r="C62125" s="99"/>
      <c r="D62125" s="8"/>
      <c r="E62125" s="8"/>
      <c r="F62125" s="8"/>
      <c r="G62125" s="8"/>
      <c r="H62125" s="8"/>
      <c r="I62125" s="102"/>
      <c r="J62125" s="8"/>
      <c r="K62125" s="8"/>
      <c r="L62125" s="8"/>
      <c r="M62125" s="8"/>
      <c r="N62125" s="8"/>
      <c r="O62125" s="8"/>
      <c r="P62125" s="8"/>
      <c r="Q62125" s="8"/>
      <c r="R62125" s="103"/>
      <c r="S62125" s="8"/>
      <c r="T62125" s="8"/>
      <c r="U62125" s="8"/>
      <c r="V62125" s="8"/>
      <c r="W62125" s="8"/>
      <c r="X62125" s="8"/>
      <c r="Y62125" s="8"/>
      <c r="Z62125" s="8"/>
      <c r="AA62125" s="8"/>
    </row>
    <row r="62126" spans="1:27" x14ac:dyDescent="0.25">
      <c r="A62126" s="8"/>
      <c r="B62126" s="8"/>
      <c r="C62126" s="99"/>
      <c r="D62126" s="8"/>
      <c r="E62126" s="8"/>
      <c r="F62126" s="8"/>
      <c r="G62126" s="8"/>
      <c r="H62126" s="8"/>
      <c r="I62126" s="102"/>
      <c r="J62126" s="8"/>
      <c r="K62126" s="8"/>
      <c r="L62126" s="8"/>
      <c r="M62126" s="8"/>
      <c r="N62126" s="8"/>
      <c r="O62126" s="8"/>
      <c r="P62126" s="8"/>
      <c r="Q62126" s="8"/>
      <c r="R62126" s="103"/>
      <c r="S62126" s="8"/>
      <c r="T62126" s="8"/>
      <c r="U62126" s="8"/>
      <c r="V62126" s="8"/>
      <c r="W62126" s="8"/>
      <c r="X62126" s="8"/>
      <c r="Y62126" s="8"/>
      <c r="Z62126" s="8"/>
      <c r="AA62126" s="8"/>
    </row>
    <row r="62127" spans="1:27" x14ac:dyDescent="0.25">
      <c r="A62127" s="8"/>
      <c r="B62127" s="8"/>
      <c r="C62127" s="99"/>
      <c r="D62127" s="8"/>
      <c r="E62127" s="8"/>
      <c r="F62127" s="8"/>
      <c r="G62127" s="8"/>
      <c r="H62127" s="8"/>
      <c r="I62127" s="102"/>
      <c r="J62127" s="8"/>
      <c r="K62127" s="8"/>
      <c r="L62127" s="8"/>
      <c r="M62127" s="8"/>
      <c r="N62127" s="8"/>
      <c r="O62127" s="8"/>
      <c r="P62127" s="8"/>
      <c r="Q62127" s="8"/>
      <c r="R62127" s="103"/>
      <c r="S62127" s="8"/>
      <c r="T62127" s="8"/>
      <c r="U62127" s="8"/>
      <c r="V62127" s="8"/>
      <c r="W62127" s="8"/>
      <c r="X62127" s="8"/>
      <c r="Y62127" s="8"/>
      <c r="Z62127" s="8"/>
      <c r="AA62127" s="8"/>
    </row>
    <row r="62128" spans="1:27" x14ac:dyDescent="0.25">
      <c r="A62128" s="8"/>
      <c r="B62128" s="8"/>
      <c r="C62128" s="99"/>
      <c r="D62128" s="8"/>
      <c r="E62128" s="8"/>
      <c r="F62128" s="8"/>
      <c r="G62128" s="8"/>
      <c r="H62128" s="8"/>
      <c r="I62128" s="102"/>
      <c r="J62128" s="8"/>
      <c r="K62128" s="8"/>
      <c r="L62128" s="8"/>
      <c r="M62128" s="8"/>
      <c r="N62128" s="8"/>
      <c r="O62128" s="8"/>
      <c r="P62128" s="8"/>
      <c r="Q62128" s="8"/>
      <c r="R62128" s="103"/>
      <c r="S62128" s="8"/>
      <c r="T62128" s="8"/>
      <c r="U62128" s="8"/>
      <c r="V62128" s="8"/>
      <c r="W62128" s="8"/>
      <c r="X62128" s="8"/>
      <c r="Y62128" s="8"/>
      <c r="Z62128" s="8"/>
      <c r="AA62128" s="8"/>
    </row>
    <row r="62129" spans="1:27" x14ac:dyDescent="0.25">
      <c r="A62129" s="8"/>
      <c r="B62129" s="8"/>
      <c r="C62129" s="99"/>
      <c r="D62129" s="8"/>
      <c r="E62129" s="8"/>
      <c r="F62129" s="8"/>
      <c r="G62129" s="8"/>
      <c r="H62129" s="8"/>
      <c r="I62129" s="102"/>
      <c r="J62129" s="8"/>
      <c r="K62129" s="8"/>
      <c r="L62129" s="8"/>
      <c r="M62129" s="8"/>
      <c r="N62129" s="8"/>
      <c r="O62129" s="8"/>
      <c r="P62129" s="8"/>
      <c r="Q62129" s="8"/>
      <c r="R62129" s="103"/>
      <c r="S62129" s="8"/>
      <c r="T62129" s="8"/>
      <c r="U62129" s="8"/>
      <c r="V62129" s="8"/>
      <c r="W62129" s="8"/>
      <c r="X62129" s="8"/>
      <c r="Y62129" s="8"/>
      <c r="Z62129" s="8"/>
      <c r="AA62129" s="8"/>
    </row>
    <row r="62130" spans="1:27" x14ac:dyDescent="0.25">
      <c r="A62130" s="8"/>
      <c r="B62130" s="8"/>
      <c r="C62130" s="99"/>
      <c r="D62130" s="8"/>
      <c r="E62130" s="8"/>
      <c r="F62130" s="8"/>
      <c r="G62130" s="8"/>
      <c r="H62130" s="8"/>
      <c r="I62130" s="102"/>
      <c r="J62130" s="8"/>
      <c r="K62130" s="8"/>
      <c r="L62130" s="8"/>
      <c r="M62130" s="8"/>
      <c r="N62130" s="8"/>
      <c r="O62130" s="8"/>
      <c r="P62130" s="8"/>
      <c r="Q62130" s="8"/>
      <c r="R62130" s="103"/>
      <c r="S62130" s="8"/>
      <c r="T62130" s="8"/>
      <c r="U62130" s="8"/>
      <c r="V62130" s="8"/>
      <c r="W62130" s="8"/>
      <c r="X62130" s="8"/>
      <c r="Y62130" s="8"/>
      <c r="Z62130" s="8"/>
      <c r="AA62130" s="8"/>
    </row>
    <row r="62131" spans="1:27" x14ac:dyDescent="0.25">
      <c r="A62131" s="8"/>
      <c r="B62131" s="8"/>
      <c r="C62131" s="99"/>
      <c r="D62131" s="8"/>
      <c r="E62131" s="8"/>
      <c r="F62131" s="8"/>
      <c r="G62131" s="8"/>
      <c r="H62131" s="8"/>
      <c r="I62131" s="102"/>
      <c r="J62131" s="8"/>
      <c r="K62131" s="8"/>
      <c r="L62131" s="8"/>
      <c r="M62131" s="8"/>
      <c r="N62131" s="8"/>
      <c r="O62131" s="8"/>
      <c r="P62131" s="8"/>
      <c r="Q62131" s="8"/>
      <c r="R62131" s="103"/>
      <c r="S62131" s="8"/>
      <c r="T62131" s="8"/>
      <c r="U62131" s="8"/>
      <c r="V62131" s="8"/>
      <c r="W62131" s="8"/>
      <c r="X62131" s="8"/>
      <c r="Y62131" s="8"/>
      <c r="Z62131" s="8"/>
      <c r="AA62131" s="8"/>
    </row>
    <row r="62132" spans="1:27" x14ac:dyDescent="0.25">
      <c r="A62132" s="8"/>
      <c r="B62132" s="8"/>
      <c r="C62132" s="99"/>
      <c r="D62132" s="8"/>
      <c r="E62132" s="8"/>
      <c r="F62132" s="8"/>
      <c r="G62132" s="8"/>
      <c r="H62132" s="8"/>
      <c r="I62132" s="102"/>
      <c r="J62132" s="8"/>
      <c r="K62132" s="8"/>
      <c r="L62132" s="8"/>
      <c r="M62132" s="8"/>
      <c r="N62132" s="8"/>
      <c r="O62132" s="8"/>
      <c r="P62132" s="8"/>
      <c r="Q62132" s="8"/>
      <c r="R62132" s="103"/>
      <c r="S62132" s="8"/>
      <c r="T62132" s="8"/>
      <c r="U62132" s="8"/>
      <c r="V62132" s="8"/>
      <c r="W62132" s="8"/>
      <c r="X62132" s="8"/>
      <c r="Y62132" s="8"/>
      <c r="Z62132" s="8"/>
      <c r="AA62132" s="8"/>
    </row>
    <row r="62133" spans="1:27" x14ac:dyDescent="0.25">
      <c r="A62133" s="8"/>
      <c r="B62133" s="8"/>
      <c r="C62133" s="99"/>
      <c r="D62133" s="8"/>
      <c r="E62133" s="8"/>
      <c r="F62133" s="8"/>
      <c r="G62133" s="8"/>
      <c r="H62133" s="8"/>
      <c r="I62133" s="102"/>
      <c r="J62133" s="8"/>
      <c r="K62133" s="8"/>
      <c r="L62133" s="8"/>
      <c r="M62133" s="8"/>
      <c r="N62133" s="8"/>
      <c r="O62133" s="8"/>
      <c r="P62133" s="8"/>
      <c r="Q62133" s="8"/>
      <c r="R62133" s="103"/>
      <c r="S62133" s="8"/>
      <c r="T62133" s="8"/>
      <c r="U62133" s="8"/>
      <c r="V62133" s="8"/>
      <c r="W62133" s="8"/>
      <c r="X62133" s="8"/>
      <c r="Y62133" s="8"/>
      <c r="Z62133" s="8"/>
      <c r="AA62133" s="8"/>
    </row>
    <row r="62134" spans="1:27" x14ac:dyDescent="0.25">
      <c r="A62134" s="8"/>
      <c r="B62134" s="8"/>
      <c r="C62134" s="99"/>
      <c r="D62134" s="8"/>
      <c r="E62134" s="8"/>
      <c r="F62134" s="8"/>
      <c r="G62134" s="8"/>
      <c r="H62134" s="8"/>
      <c r="I62134" s="102"/>
      <c r="J62134" s="8"/>
      <c r="K62134" s="8"/>
      <c r="L62134" s="8"/>
      <c r="M62134" s="8"/>
      <c r="N62134" s="8"/>
      <c r="O62134" s="8"/>
      <c r="P62134" s="8"/>
      <c r="Q62134" s="8"/>
      <c r="R62134" s="103"/>
      <c r="S62134" s="8"/>
      <c r="T62134" s="8"/>
      <c r="U62134" s="8"/>
      <c r="V62134" s="8"/>
      <c r="W62134" s="8"/>
      <c r="X62134" s="8"/>
      <c r="Y62134" s="8"/>
      <c r="Z62134" s="8"/>
      <c r="AA62134" s="8"/>
    </row>
    <row r="62135" spans="1:27" x14ac:dyDescent="0.25">
      <c r="A62135" s="8"/>
      <c r="B62135" s="8"/>
      <c r="C62135" s="99"/>
      <c r="D62135" s="8"/>
      <c r="E62135" s="8"/>
      <c r="F62135" s="8"/>
      <c r="G62135" s="8"/>
      <c r="H62135" s="8"/>
      <c r="I62135" s="102"/>
      <c r="J62135" s="8"/>
      <c r="K62135" s="8"/>
      <c r="L62135" s="8"/>
      <c r="M62135" s="8"/>
      <c r="N62135" s="8"/>
      <c r="O62135" s="8"/>
      <c r="P62135" s="8"/>
      <c r="Q62135" s="8"/>
      <c r="R62135" s="103"/>
      <c r="S62135" s="8"/>
      <c r="T62135" s="8"/>
      <c r="U62135" s="8"/>
      <c r="V62135" s="8"/>
      <c r="W62135" s="8"/>
      <c r="X62135" s="8"/>
      <c r="Y62135" s="8"/>
      <c r="Z62135" s="8"/>
      <c r="AA62135" s="8"/>
    </row>
    <row r="62136" spans="1:27" x14ac:dyDescent="0.25">
      <c r="A62136" s="8"/>
      <c r="B62136" s="8"/>
      <c r="C62136" s="99"/>
      <c r="D62136" s="8"/>
      <c r="E62136" s="8"/>
      <c r="F62136" s="8"/>
      <c r="G62136" s="8"/>
      <c r="H62136" s="8"/>
      <c r="I62136" s="102"/>
      <c r="J62136" s="8"/>
      <c r="K62136" s="8"/>
      <c r="L62136" s="8"/>
      <c r="M62136" s="8"/>
      <c r="N62136" s="8"/>
      <c r="O62136" s="8"/>
      <c r="P62136" s="8"/>
      <c r="Q62136" s="8"/>
      <c r="R62136" s="103"/>
      <c r="S62136" s="8"/>
      <c r="T62136" s="8"/>
      <c r="U62136" s="8"/>
      <c r="V62136" s="8"/>
      <c r="W62136" s="8"/>
      <c r="X62136" s="8"/>
      <c r="Y62136" s="8"/>
      <c r="Z62136" s="8"/>
      <c r="AA62136" s="8"/>
    </row>
    <row r="62137" spans="1:27" x14ac:dyDescent="0.25">
      <c r="A62137" s="8"/>
      <c r="B62137" s="8"/>
      <c r="C62137" s="99"/>
      <c r="D62137" s="8"/>
      <c r="E62137" s="8"/>
      <c r="F62137" s="8"/>
      <c r="G62137" s="8"/>
      <c r="H62137" s="8"/>
      <c r="I62137" s="102"/>
      <c r="J62137" s="8"/>
      <c r="K62137" s="8"/>
      <c r="L62137" s="8"/>
      <c r="M62137" s="8"/>
      <c r="N62137" s="8"/>
      <c r="O62137" s="8"/>
      <c r="P62137" s="8"/>
      <c r="Q62137" s="8"/>
      <c r="R62137" s="103"/>
      <c r="S62137" s="8"/>
      <c r="T62137" s="8"/>
      <c r="U62137" s="8"/>
      <c r="V62137" s="8"/>
      <c r="W62137" s="8"/>
      <c r="X62137" s="8"/>
      <c r="Y62137" s="8"/>
      <c r="Z62137" s="8"/>
      <c r="AA62137" s="8"/>
    </row>
    <row r="62138" spans="1:27" x14ac:dyDescent="0.25">
      <c r="A62138" s="8"/>
      <c r="B62138" s="8"/>
      <c r="C62138" s="99"/>
      <c r="D62138" s="8"/>
      <c r="E62138" s="8"/>
      <c r="F62138" s="8"/>
      <c r="G62138" s="8"/>
      <c r="H62138" s="8"/>
      <c r="I62138" s="102"/>
      <c r="J62138" s="8"/>
      <c r="K62138" s="8"/>
      <c r="L62138" s="8"/>
      <c r="M62138" s="8"/>
      <c r="N62138" s="8"/>
      <c r="O62138" s="8"/>
      <c r="P62138" s="8"/>
      <c r="Q62138" s="8"/>
      <c r="R62138" s="103"/>
      <c r="S62138" s="8"/>
      <c r="T62138" s="8"/>
      <c r="U62138" s="8"/>
      <c r="V62138" s="8"/>
      <c r="W62138" s="8"/>
      <c r="X62138" s="8"/>
      <c r="Y62138" s="8"/>
      <c r="Z62138" s="8"/>
      <c r="AA62138" s="8"/>
    </row>
    <row r="62139" spans="1:27" x14ac:dyDescent="0.25">
      <c r="A62139" s="8"/>
      <c r="B62139" s="8"/>
      <c r="C62139" s="99"/>
      <c r="D62139" s="8"/>
      <c r="E62139" s="8"/>
      <c r="F62139" s="8"/>
      <c r="G62139" s="8"/>
      <c r="H62139" s="8"/>
      <c r="I62139" s="102"/>
      <c r="J62139" s="8"/>
      <c r="K62139" s="8"/>
      <c r="L62139" s="8"/>
      <c r="M62139" s="8"/>
      <c r="N62139" s="8"/>
      <c r="O62139" s="8"/>
      <c r="P62139" s="8"/>
      <c r="Q62139" s="8"/>
      <c r="R62139" s="103"/>
      <c r="S62139" s="8"/>
      <c r="T62139" s="8"/>
      <c r="U62139" s="8"/>
      <c r="V62139" s="8"/>
      <c r="W62139" s="8"/>
      <c r="X62139" s="8"/>
      <c r="Y62139" s="8"/>
      <c r="Z62139" s="8"/>
      <c r="AA62139" s="8"/>
    </row>
    <row r="62140" spans="1:27" x14ac:dyDescent="0.25">
      <c r="A62140" s="8"/>
      <c r="B62140" s="8"/>
      <c r="C62140" s="99"/>
      <c r="D62140" s="8"/>
      <c r="E62140" s="8"/>
      <c r="F62140" s="8"/>
      <c r="G62140" s="8"/>
      <c r="H62140" s="8"/>
      <c r="I62140" s="102"/>
      <c r="J62140" s="8"/>
      <c r="K62140" s="8"/>
      <c r="L62140" s="8"/>
      <c r="M62140" s="8"/>
      <c r="N62140" s="8"/>
      <c r="O62140" s="8"/>
      <c r="P62140" s="8"/>
      <c r="Q62140" s="8"/>
      <c r="R62140" s="103"/>
      <c r="S62140" s="8"/>
      <c r="T62140" s="8"/>
      <c r="U62140" s="8"/>
      <c r="V62140" s="8"/>
      <c r="W62140" s="8"/>
      <c r="X62140" s="8"/>
      <c r="Y62140" s="8"/>
      <c r="Z62140" s="8"/>
      <c r="AA62140" s="8"/>
    </row>
    <row r="62141" spans="1:27" x14ac:dyDescent="0.25">
      <c r="A62141" s="8"/>
      <c r="B62141" s="8"/>
      <c r="C62141" s="99"/>
      <c r="D62141" s="8"/>
      <c r="E62141" s="8"/>
      <c r="F62141" s="8"/>
      <c r="G62141" s="8"/>
      <c r="H62141" s="8"/>
      <c r="I62141" s="102"/>
      <c r="J62141" s="8"/>
      <c r="K62141" s="8"/>
      <c r="L62141" s="8"/>
      <c r="M62141" s="8"/>
      <c r="N62141" s="8"/>
      <c r="O62141" s="8"/>
      <c r="P62141" s="8"/>
      <c r="Q62141" s="8"/>
      <c r="R62141" s="103"/>
      <c r="S62141" s="8"/>
      <c r="T62141" s="8"/>
      <c r="U62141" s="8"/>
      <c r="V62141" s="8"/>
      <c r="W62141" s="8"/>
      <c r="X62141" s="8"/>
      <c r="Y62141" s="8"/>
      <c r="Z62141" s="8"/>
      <c r="AA62141" s="8"/>
    </row>
    <row r="62142" spans="1:27" x14ac:dyDescent="0.25">
      <c r="A62142" s="8"/>
      <c r="B62142" s="8"/>
      <c r="C62142" s="99"/>
      <c r="D62142" s="8"/>
      <c r="E62142" s="8"/>
      <c r="F62142" s="8"/>
      <c r="G62142" s="8"/>
      <c r="H62142" s="8"/>
      <c r="I62142" s="102"/>
      <c r="J62142" s="8"/>
      <c r="K62142" s="8"/>
      <c r="L62142" s="8"/>
      <c r="M62142" s="8"/>
      <c r="N62142" s="8"/>
      <c r="O62142" s="8"/>
      <c r="P62142" s="8"/>
      <c r="Q62142" s="8"/>
      <c r="R62142" s="103"/>
      <c r="S62142" s="8"/>
      <c r="T62142" s="8"/>
      <c r="U62142" s="8"/>
      <c r="V62142" s="8"/>
      <c r="W62142" s="8"/>
      <c r="X62142" s="8"/>
      <c r="Y62142" s="8"/>
      <c r="Z62142" s="8"/>
      <c r="AA62142" s="8"/>
    </row>
    <row r="62143" spans="1:27" x14ac:dyDescent="0.25">
      <c r="A62143" s="8"/>
      <c r="B62143" s="8"/>
      <c r="C62143" s="99"/>
      <c r="D62143" s="8"/>
      <c r="E62143" s="8"/>
      <c r="F62143" s="8"/>
      <c r="G62143" s="8"/>
      <c r="H62143" s="8"/>
      <c r="I62143" s="102"/>
      <c r="J62143" s="8"/>
      <c r="K62143" s="8"/>
      <c r="L62143" s="8"/>
      <c r="M62143" s="8"/>
      <c r="N62143" s="8"/>
      <c r="O62143" s="8"/>
      <c r="P62143" s="8"/>
      <c r="Q62143" s="8"/>
      <c r="R62143" s="103"/>
      <c r="S62143" s="8"/>
      <c r="T62143" s="8"/>
      <c r="U62143" s="8"/>
      <c r="V62143" s="8"/>
      <c r="W62143" s="8"/>
      <c r="X62143" s="8"/>
      <c r="Y62143" s="8"/>
      <c r="Z62143" s="8"/>
      <c r="AA62143" s="8"/>
    </row>
    <row r="62144" spans="1:27" x14ac:dyDescent="0.25">
      <c r="A62144" s="8"/>
      <c r="B62144" s="8"/>
      <c r="C62144" s="99"/>
      <c r="D62144" s="8"/>
      <c r="E62144" s="8"/>
      <c r="F62144" s="8"/>
      <c r="G62144" s="8"/>
      <c r="H62144" s="8"/>
      <c r="I62144" s="102"/>
      <c r="J62144" s="8"/>
      <c r="K62144" s="8"/>
      <c r="L62144" s="8"/>
      <c r="M62144" s="8"/>
      <c r="N62144" s="8"/>
      <c r="O62144" s="8"/>
      <c r="P62144" s="8"/>
      <c r="Q62144" s="8"/>
      <c r="R62144" s="103"/>
      <c r="S62144" s="8"/>
      <c r="T62144" s="8"/>
      <c r="U62144" s="8"/>
      <c r="V62144" s="8"/>
      <c r="W62144" s="8"/>
      <c r="X62144" s="8"/>
      <c r="Y62144" s="8"/>
      <c r="Z62144" s="8"/>
      <c r="AA62144" s="8"/>
    </row>
    <row r="62145" spans="1:27" x14ac:dyDescent="0.25">
      <c r="A62145" s="8"/>
      <c r="B62145" s="8"/>
      <c r="C62145" s="99"/>
      <c r="D62145" s="8"/>
      <c r="E62145" s="8"/>
      <c r="F62145" s="8"/>
      <c r="G62145" s="8"/>
      <c r="H62145" s="8"/>
      <c r="I62145" s="102"/>
      <c r="J62145" s="8"/>
      <c r="K62145" s="8"/>
      <c r="L62145" s="8"/>
      <c r="M62145" s="8"/>
      <c r="N62145" s="8"/>
      <c r="O62145" s="8"/>
      <c r="P62145" s="8"/>
      <c r="Q62145" s="8"/>
      <c r="R62145" s="103"/>
      <c r="S62145" s="8"/>
      <c r="T62145" s="8"/>
      <c r="U62145" s="8"/>
      <c r="V62145" s="8"/>
      <c r="W62145" s="8"/>
      <c r="X62145" s="8"/>
      <c r="Y62145" s="8"/>
      <c r="Z62145" s="8"/>
      <c r="AA62145" s="8"/>
    </row>
    <row r="62146" spans="1:27" x14ac:dyDescent="0.25">
      <c r="A62146" s="8"/>
      <c r="B62146" s="8"/>
      <c r="C62146" s="99"/>
      <c r="D62146" s="8"/>
      <c r="E62146" s="8"/>
      <c r="F62146" s="8"/>
      <c r="G62146" s="8"/>
      <c r="H62146" s="8"/>
      <c r="I62146" s="102"/>
      <c r="J62146" s="8"/>
      <c r="K62146" s="8"/>
      <c r="L62146" s="8"/>
      <c r="M62146" s="8"/>
      <c r="N62146" s="8"/>
      <c r="O62146" s="8"/>
      <c r="P62146" s="8"/>
      <c r="Q62146" s="8"/>
      <c r="R62146" s="103"/>
      <c r="S62146" s="8"/>
      <c r="T62146" s="8"/>
      <c r="U62146" s="8"/>
      <c r="V62146" s="8"/>
      <c r="W62146" s="8"/>
      <c r="X62146" s="8"/>
      <c r="Y62146" s="8"/>
      <c r="Z62146" s="8"/>
      <c r="AA62146" s="8"/>
    </row>
    <row r="62147" spans="1:27" x14ac:dyDescent="0.25">
      <c r="A62147" s="8"/>
      <c r="B62147" s="8"/>
      <c r="C62147" s="99"/>
      <c r="D62147" s="8"/>
      <c r="E62147" s="8"/>
      <c r="F62147" s="8"/>
      <c r="G62147" s="8"/>
      <c r="H62147" s="8"/>
      <c r="I62147" s="102"/>
      <c r="J62147" s="8"/>
      <c r="K62147" s="8"/>
      <c r="L62147" s="8"/>
      <c r="M62147" s="8"/>
      <c r="N62147" s="8"/>
      <c r="O62147" s="8"/>
      <c r="P62147" s="8"/>
      <c r="Q62147" s="8"/>
      <c r="R62147" s="103"/>
      <c r="S62147" s="8"/>
      <c r="T62147" s="8"/>
      <c r="U62147" s="8"/>
      <c r="V62147" s="8"/>
      <c r="W62147" s="8"/>
      <c r="X62147" s="8"/>
      <c r="Y62147" s="8"/>
      <c r="Z62147" s="8"/>
      <c r="AA62147" s="8"/>
    </row>
    <row r="62148" spans="1:27" x14ac:dyDescent="0.25">
      <c r="A62148" s="8"/>
      <c r="B62148" s="8"/>
      <c r="C62148" s="99"/>
      <c r="D62148" s="8"/>
      <c r="E62148" s="8"/>
      <c r="F62148" s="8"/>
      <c r="G62148" s="8"/>
      <c r="H62148" s="8"/>
      <c r="I62148" s="102"/>
      <c r="J62148" s="8"/>
      <c r="K62148" s="8"/>
      <c r="L62148" s="8"/>
      <c r="M62148" s="8"/>
      <c r="N62148" s="8"/>
      <c r="O62148" s="8"/>
      <c r="P62148" s="8"/>
      <c r="Q62148" s="8"/>
      <c r="R62148" s="103"/>
      <c r="S62148" s="8"/>
      <c r="T62148" s="8"/>
      <c r="U62148" s="8"/>
      <c r="V62148" s="8"/>
      <c r="W62148" s="8"/>
      <c r="X62148" s="8"/>
      <c r="Y62148" s="8"/>
      <c r="Z62148" s="8"/>
      <c r="AA62148" s="8"/>
    </row>
    <row r="62149" spans="1:27" x14ac:dyDescent="0.25">
      <c r="A62149" s="8"/>
      <c r="B62149" s="8"/>
      <c r="C62149" s="99"/>
      <c r="D62149" s="8"/>
      <c r="E62149" s="8"/>
      <c r="F62149" s="8"/>
      <c r="G62149" s="8"/>
      <c r="H62149" s="8"/>
      <c r="I62149" s="102"/>
      <c r="J62149" s="8"/>
      <c r="K62149" s="8"/>
      <c r="L62149" s="8"/>
      <c r="M62149" s="8"/>
      <c r="N62149" s="8"/>
      <c r="O62149" s="8"/>
      <c r="P62149" s="8"/>
      <c r="Q62149" s="8"/>
      <c r="R62149" s="103"/>
      <c r="S62149" s="8"/>
      <c r="T62149" s="8"/>
      <c r="U62149" s="8"/>
      <c r="V62149" s="8"/>
      <c r="W62149" s="8"/>
      <c r="X62149" s="8"/>
      <c r="Y62149" s="8"/>
      <c r="Z62149" s="8"/>
      <c r="AA62149" s="8"/>
    </row>
    <row r="62150" spans="1:27" x14ac:dyDescent="0.25">
      <c r="A62150" s="8"/>
      <c r="B62150" s="8"/>
      <c r="C62150" s="99"/>
      <c r="D62150" s="8"/>
      <c r="E62150" s="8"/>
      <c r="F62150" s="8"/>
      <c r="G62150" s="8"/>
      <c r="H62150" s="8"/>
      <c r="I62150" s="102"/>
      <c r="J62150" s="8"/>
      <c r="K62150" s="8"/>
      <c r="L62150" s="8"/>
      <c r="M62150" s="8"/>
      <c r="N62150" s="8"/>
      <c r="O62150" s="8"/>
      <c r="P62150" s="8"/>
      <c r="Q62150" s="8"/>
      <c r="R62150" s="103"/>
      <c r="S62150" s="8"/>
      <c r="T62150" s="8"/>
      <c r="U62150" s="8"/>
      <c r="V62150" s="8"/>
      <c r="W62150" s="8"/>
      <c r="X62150" s="8"/>
      <c r="Y62150" s="8"/>
      <c r="Z62150" s="8"/>
      <c r="AA62150" s="8"/>
    </row>
    <row r="62151" spans="1:27" x14ac:dyDescent="0.25">
      <c r="A62151" s="8"/>
      <c r="B62151" s="8"/>
      <c r="C62151" s="99"/>
      <c r="D62151" s="8"/>
      <c r="E62151" s="8"/>
      <c r="F62151" s="8"/>
      <c r="G62151" s="8"/>
      <c r="H62151" s="8"/>
      <c r="I62151" s="102"/>
      <c r="J62151" s="8"/>
      <c r="K62151" s="8"/>
      <c r="L62151" s="8"/>
      <c r="M62151" s="8"/>
      <c r="N62151" s="8"/>
      <c r="O62151" s="8"/>
      <c r="P62151" s="8"/>
      <c r="Q62151" s="8"/>
      <c r="R62151" s="103"/>
      <c r="S62151" s="8"/>
      <c r="T62151" s="8"/>
      <c r="U62151" s="8"/>
      <c r="V62151" s="8"/>
      <c r="W62151" s="8"/>
      <c r="X62151" s="8"/>
      <c r="Y62151" s="8"/>
      <c r="Z62151" s="8"/>
      <c r="AA62151" s="8"/>
    </row>
    <row r="62152" spans="1:27" x14ac:dyDescent="0.25">
      <c r="A62152" s="8"/>
      <c r="B62152" s="8"/>
      <c r="C62152" s="99"/>
      <c r="D62152" s="8"/>
      <c r="E62152" s="8"/>
      <c r="F62152" s="8"/>
      <c r="G62152" s="8"/>
      <c r="H62152" s="8"/>
      <c r="I62152" s="102"/>
      <c r="J62152" s="8"/>
      <c r="K62152" s="8"/>
      <c r="L62152" s="8"/>
      <c r="M62152" s="8"/>
      <c r="N62152" s="8"/>
      <c r="O62152" s="8"/>
      <c r="P62152" s="8"/>
      <c r="Q62152" s="8"/>
      <c r="R62152" s="103"/>
      <c r="S62152" s="8"/>
      <c r="T62152" s="8"/>
      <c r="U62152" s="8"/>
      <c r="V62152" s="8"/>
      <c r="W62152" s="8"/>
      <c r="X62152" s="8"/>
      <c r="Y62152" s="8"/>
      <c r="Z62152" s="8"/>
      <c r="AA62152" s="8"/>
    </row>
    <row r="62153" spans="1:27" x14ac:dyDescent="0.25">
      <c r="A62153" s="8"/>
      <c r="B62153" s="8"/>
      <c r="C62153" s="99"/>
      <c r="D62153" s="8"/>
      <c r="E62153" s="8"/>
      <c r="F62153" s="8"/>
      <c r="G62153" s="8"/>
      <c r="H62153" s="8"/>
      <c r="I62153" s="102"/>
      <c r="J62153" s="8"/>
      <c r="K62153" s="8"/>
      <c r="L62153" s="8"/>
      <c r="M62153" s="8"/>
      <c r="N62153" s="8"/>
      <c r="O62153" s="8"/>
      <c r="P62153" s="8"/>
      <c r="Q62153" s="8"/>
      <c r="R62153" s="103"/>
      <c r="S62153" s="8"/>
      <c r="T62153" s="8"/>
      <c r="U62153" s="8"/>
      <c r="V62153" s="8"/>
      <c r="W62153" s="8"/>
      <c r="X62153" s="8"/>
      <c r="Y62153" s="8"/>
      <c r="Z62153" s="8"/>
      <c r="AA62153" s="8"/>
    </row>
    <row r="62154" spans="1:27" x14ac:dyDescent="0.25">
      <c r="A62154" s="8"/>
      <c r="B62154" s="8"/>
      <c r="C62154" s="99"/>
      <c r="D62154" s="8"/>
      <c r="E62154" s="8"/>
      <c r="F62154" s="8"/>
      <c r="G62154" s="8"/>
      <c r="H62154" s="8"/>
      <c r="I62154" s="102"/>
      <c r="J62154" s="8"/>
      <c r="K62154" s="8"/>
      <c r="L62154" s="8"/>
      <c r="M62154" s="8"/>
      <c r="N62154" s="8"/>
      <c r="O62154" s="8"/>
      <c r="P62154" s="8"/>
      <c r="Q62154" s="8"/>
      <c r="R62154" s="103"/>
      <c r="S62154" s="8"/>
      <c r="T62154" s="8"/>
      <c r="U62154" s="8"/>
      <c r="V62154" s="8"/>
      <c r="W62154" s="8"/>
      <c r="X62154" s="8"/>
      <c r="Y62154" s="8"/>
      <c r="Z62154" s="8"/>
      <c r="AA62154" s="8"/>
    </row>
    <row r="62155" spans="1:27" x14ac:dyDescent="0.25">
      <c r="A62155" s="8"/>
      <c r="B62155" s="8"/>
      <c r="C62155" s="99"/>
      <c r="D62155" s="8"/>
      <c r="E62155" s="8"/>
      <c r="F62155" s="8"/>
      <c r="G62155" s="8"/>
      <c r="H62155" s="8"/>
      <c r="I62155" s="102"/>
      <c r="J62155" s="8"/>
      <c r="K62155" s="8"/>
      <c r="L62155" s="8"/>
      <c r="M62155" s="8"/>
      <c r="N62155" s="8"/>
      <c r="O62155" s="8"/>
      <c r="P62155" s="8"/>
      <c r="Q62155" s="8"/>
      <c r="R62155" s="103"/>
      <c r="S62155" s="8"/>
      <c r="T62155" s="8"/>
      <c r="U62155" s="8"/>
      <c r="V62155" s="8"/>
      <c r="W62155" s="8"/>
      <c r="X62155" s="8"/>
      <c r="Y62155" s="8"/>
      <c r="Z62155" s="8"/>
      <c r="AA62155" s="8"/>
    </row>
    <row r="62156" spans="1:27" x14ac:dyDescent="0.25">
      <c r="A62156" s="8"/>
      <c r="B62156" s="8"/>
      <c r="C62156" s="99"/>
      <c r="D62156" s="8"/>
      <c r="E62156" s="8"/>
      <c r="F62156" s="8"/>
      <c r="G62156" s="8"/>
      <c r="H62156" s="8"/>
      <c r="I62156" s="102"/>
      <c r="J62156" s="8"/>
      <c r="K62156" s="8"/>
      <c r="L62156" s="8"/>
      <c r="M62156" s="8"/>
      <c r="N62156" s="8"/>
      <c r="O62156" s="8"/>
      <c r="P62156" s="8"/>
      <c r="Q62156" s="8"/>
      <c r="R62156" s="103"/>
      <c r="S62156" s="8"/>
      <c r="T62156" s="8"/>
      <c r="U62156" s="8"/>
      <c r="V62156" s="8"/>
      <c r="W62156" s="8"/>
      <c r="X62156" s="8"/>
      <c r="Y62156" s="8"/>
      <c r="Z62156" s="8"/>
      <c r="AA62156" s="8"/>
    </row>
    <row r="62157" spans="1:27" x14ac:dyDescent="0.25">
      <c r="A62157" s="8"/>
      <c r="B62157" s="8"/>
      <c r="C62157" s="99"/>
      <c r="D62157" s="8"/>
      <c r="E62157" s="8"/>
      <c r="F62157" s="8"/>
      <c r="G62157" s="8"/>
      <c r="H62157" s="8"/>
      <c r="I62157" s="102"/>
      <c r="J62157" s="8"/>
      <c r="K62157" s="8"/>
      <c r="L62157" s="8"/>
      <c r="M62157" s="8"/>
      <c r="N62157" s="8"/>
      <c r="O62157" s="8"/>
      <c r="P62157" s="8"/>
      <c r="Q62157" s="8"/>
      <c r="R62157" s="103"/>
      <c r="S62157" s="8"/>
      <c r="T62157" s="8"/>
      <c r="U62157" s="8"/>
      <c r="V62157" s="8"/>
      <c r="W62157" s="8"/>
      <c r="X62157" s="8"/>
      <c r="Y62157" s="8"/>
      <c r="Z62157" s="8"/>
      <c r="AA62157" s="8"/>
    </row>
    <row r="62158" spans="1:27" x14ac:dyDescent="0.25">
      <c r="A62158" s="8"/>
      <c r="B62158" s="8"/>
      <c r="C62158" s="99"/>
      <c r="D62158" s="8"/>
      <c r="E62158" s="8"/>
      <c r="F62158" s="8"/>
      <c r="G62158" s="8"/>
      <c r="H62158" s="8"/>
      <c r="I62158" s="102"/>
      <c r="J62158" s="8"/>
      <c r="K62158" s="8"/>
      <c r="L62158" s="8"/>
      <c r="M62158" s="8"/>
      <c r="N62158" s="8"/>
      <c r="O62158" s="8"/>
      <c r="P62158" s="8"/>
      <c r="Q62158" s="8"/>
      <c r="R62158" s="103"/>
      <c r="S62158" s="8"/>
      <c r="T62158" s="8"/>
      <c r="U62158" s="8"/>
      <c r="V62158" s="8"/>
      <c r="W62158" s="8"/>
      <c r="X62158" s="8"/>
      <c r="Y62158" s="8"/>
      <c r="Z62158" s="8"/>
      <c r="AA62158" s="8"/>
    </row>
    <row r="62159" spans="1:27" x14ac:dyDescent="0.25">
      <c r="A62159" s="8"/>
      <c r="B62159" s="8"/>
      <c r="C62159" s="99"/>
      <c r="D62159" s="8"/>
      <c r="E62159" s="8"/>
      <c r="F62159" s="8"/>
      <c r="G62159" s="8"/>
      <c r="H62159" s="8"/>
      <c r="I62159" s="102"/>
      <c r="J62159" s="8"/>
      <c r="K62159" s="8"/>
      <c r="L62159" s="8"/>
      <c r="M62159" s="8"/>
      <c r="N62159" s="8"/>
      <c r="O62159" s="8"/>
      <c r="P62159" s="8"/>
      <c r="Q62159" s="8"/>
      <c r="R62159" s="103"/>
      <c r="S62159" s="8"/>
      <c r="T62159" s="8"/>
      <c r="U62159" s="8"/>
      <c r="V62159" s="8"/>
      <c r="W62159" s="8"/>
      <c r="X62159" s="8"/>
      <c r="Y62159" s="8"/>
      <c r="Z62159" s="8"/>
      <c r="AA62159" s="8"/>
    </row>
    <row r="62160" spans="1:27" x14ac:dyDescent="0.25">
      <c r="A62160" s="8"/>
      <c r="B62160" s="8"/>
      <c r="C62160" s="99"/>
      <c r="D62160" s="8"/>
      <c r="E62160" s="8"/>
      <c r="F62160" s="8"/>
      <c r="G62160" s="8"/>
      <c r="H62160" s="8"/>
      <c r="I62160" s="102"/>
      <c r="J62160" s="8"/>
      <c r="K62160" s="8"/>
      <c r="L62160" s="8"/>
      <c r="M62160" s="8"/>
      <c r="N62160" s="8"/>
      <c r="O62160" s="8"/>
      <c r="P62160" s="8"/>
      <c r="Q62160" s="8"/>
      <c r="R62160" s="103"/>
      <c r="S62160" s="8"/>
      <c r="T62160" s="8"/>
      <c r="U62160" s="8"/>
      <c r="V62160" s="8"/>
      <c r="W62160" s="8"/>
      <c r="X62160" s="8"/>
      <c r="Y62160" s="8"/>
      <c r="Z62160" s="8"/>
      <c r="AA62160" s="8"/>
    </row>
    <row r="62161" spans="1:27" x14ac:dyDescent="0.25">
      <c r="A62161" s="8"/>
      <c r="B62161" s="8"/>
      <c r="C62161" s="99"/>
      <c r="D62161" s="8"/>
      <c r="E62161" s="8"/>
      <c r="F62161" s="8"/>
      <c r="G62161" s="8"/>
      <c r="H62161" s="8"/>
      <c r="I62161" s="102"/>
      <c r="J62161" s="8"/>
      <c r="K62161" s="8"/>
      <c r="L62161" s="8"/>
      <c r="M62161" s="8"/>
      <c r="N62161" s="8"/>
      <c r="O62161" s="8"/>
      <c r="P62161" s="8"/>
      <c r="Q62161" s="8"/>
      <c r="R62161" s="103"/>
      <c r="S62161" s="8"/>
      <c r="T62161" s="8"/>
      <c r="U62161" s="8"/>
      <c r="V62161" s="8"/>
      <c r="W62161" s="8"/>
      <c r="X62161" s="8"/>
      <c r="Y62161" s="8"/>
      <c r="Z62161" s="8"/>
      <c r="AA62161" s="8"/>
    </row>
    <row r="62162" spans="1:27" x14ac:dyDescent="0.25">
      <c r="A62162" s="8"/>
      <c r="B62162" s="8"/>
      <c r="C62162" s="99"/>
      <c r="D62162" s="8"/>
      <c r="E62162" s="8"/>
      <c r="F62162" s="8"/>
      <c r="G62162" s="8"/>
      <c r="H62162" s="8"/>
      <c r="I62162" s="102"/>
      <c r="J62162" s="8"/>
      <c r="K62162" s="8"/>
      <c r="L62162" s="8"/>
      <c r="M62162" s="8"/>
      <c r="N62162" s="8"/>
      <c r="O62162" s="8"/>
      <c r="P62162" s="8"/>
      <c r="Q62162" s="8"/>
      <c r="R62162" s="103"/>
      <c r="S62162" s="8"/>
      <c r="T62162" s="8"/>
      <c r="U62162" s="8"/>
      <c r="V62162" s="8"/>
      <c r="W62162" s="8"/>
      <c r="X62162" s="8"/>
      <c r="Y62162" s="8"/>
      <c r="Z62162" s="8"/>
      <c r="AA62162" s="8"/>
    </row>
    <row r="62163" spans="1:27" x14ac:dyDescent="0.25">
      <c r="A62163" s="8"/>
      <c r="B62163" s="8"/>
      <c r="C62163" s="99"/>
      <c r="D62163" s="8"/>
      <c r="E62163" s="8"/>
      <c r="F62163" s="8"/>
      <c r="G62163" s="8"/>
      <c r="H62163" s="8"/>
      <c r="I62163" s="102"/>
      <c r="J62163" s="8"/>
      <c r="K62163" s="8"/>
      <c r="L62163" s="8"/>
      <c r="M62163" s="8"/>
      <c r="N62163" s="8"/>
      <c r="O62163" s="8"/>
      <c r="P62163" s="8"/>
      <c r="Q62163" s="8"/>
      <c r="R62163" s="103"/>
      <c r="S62163" s="8"/>
      <c r="T62163" s="8"/>
      <c r="U62163" s="8"/>
      <c r="V62163" s="8"/>
      <c r="W62163" s="8"/>
      <c r="X62163" s="8"/>
      <c r="Y62163" s="8"/>
      <c r="Z62163" s="8"/>
      <c r="AA62163" s="8"/>
    </row>
    <row r="62164" spans="1:27" x14ac:dyDescent="0.25">
      <c r="A62164" s="8"/>
      <c r="B62164" s="8"/>
      <c r="C62164" s="99"/>
      <c r="D62164" s="8"/>
      <c r="E62164" s="8"/>
      <c r="F62164" s="8"/>
      <c r="G62164" s="8"/>
      <c r="H62164" s="8"/>
      <c r="I62164" s="102"/>
      <c r="J62164" s="8"/>
      <c r="K62164" s="8"/>
      <c r="L62164" s="8"/>
      <c r="M62164" s="8"/>
      <c r="N62164" s="8"/>
      <c r="O62164" s="8"/>
      <c r="P62164" s="8"/>
      <c r="Q62164" s="8"/>
      <c r="R62164" s="103"/>
      <c r="S62164" s="8"/>
      <c r="T62164" s="8"/>
      <c r="U62164" s="8"/>
      <c r="V62164" s="8"/>
      <c r="W62164" s="8"/>
      <c r="X62164" s="8"/>
      <c r="Y62164" s="8"/>
      <c r="Z62164" s="8"/>
      <c r="AA62164" s="8"/>
    </row>
    <row r="62165" spans="1:27" x14ac:dyDescent="0.25">
      <c r="A62165" s="8"/>
      <c r="B62165" s="8"/>
      <c r="C62165" s="99"/>
      <c r="D62165" s="8"/>
      <c r="E62165" s="8"/>
      <c r="F62165" s="8"/>
      <c r="G62165" s="8"/>
      <c r="H62165" s="8"/>
      <c r="I62165" s="102"/>
      <c r="J62165" s="8"/>
      <c r="K62165" s="8"/>
      <c r="L62165" s="8"/>
      <c r="M62165" s="8"/>
      <c r="N62165" s="8"/>
      <c r="O62165" s="8"/>
      <c r="P62165" s="8"/>
      <c r="Q62165" s="8"/>
      <c r="R62165" s="103"/>
      <c r="S62165" s="8"/>
      <c r="T62165" s="8"/>
      <c r="U62165" s="8"/>
      <c r="V62165" s="8"/>
      <c r="W62165" s="8"/>
      <c r="X62165" s="8"/>
      <c r="Y62165" s="8"/>
      <c r="Z62165" s="8"/>
      <c r="AA62165" s="8"/>
    </row>
    <row r="62166" spans="1:27" x14ac:dyDescent="0.25">
      <c r="A62166" s="8"/>
      <c r="B62166" s="8"/>
      <c r="C62166" s="99"/>
      <c r="D62166" s="8"/>
      <c r="E62166" s="8"/>
      <c r="F62166" s="8"/>
      <c r="G62166" s="8"/>
      <c r="H62166" s="8"/>
      <c r="I62166" s="102"/>
      <c r="J62166" s="8"/>
      <c r="K62166" s="8"/>
      <c r="L62166" s="8"/>
      <c r="M62166" s="8"/>
      <c r="N62166" s="8"/>
      <c r="O62166" s="8"/>
      <c r="P62166" s="8"/>
      <c r="Q62166" s="8"/>
      <c r="R62166" s="103"/>
      <c r="S62166" s="8"/>
      <c r="T62166" s="8"/>
      <c r="U62166" s="8"/>
      <c r="V62166" s="8"/>
      <c r="W62166" s="8"/>
      <c r="X62166" s="8"/>
      <c r="Y62166" s="8"/>
      <c r="Z62166" s="8"/>
      <c r="AA62166" s="8"/>
    </row>
    <row r="62167" spans="1:27" x14ac:dyDescent="0.25">
      <c r="A62167" s="8"/>
      <c r="B62167" s="8"/>
      <c r="C62167" s="99"/>
      <c r="D62167" s="8"/>
      <c r="E62167" s="8"/>
      <c r="F62167" s="8"/>
      <c r="G62167" s="8"/>
      <c r="H62167" s="8"/>
      <c r="I62167" s="102"/>
      <c r="J62167" s="8"/>
      <c r="K62167" s="8"/>
      <c r="L62167" s="8"/>
      <c r="M62167" s="8"/>
      <c r="N62167" s="8"/>
      <c r="O62167" s="8"/>
      <c r="P62167" s="8"/>
      <c r="Q62167" s="8"/>
      <c r="R62167" s="103"/>
      <c r="S62167" s="8"/>
      <c r="T62167" s="8"/>
      <c r="U62167" s="8"/>
      <c r="V62167" s="8"/>
      <c r="W62167" s="8"/>
      <c r="X62167" s="8"/>
      <c r="Y62167" s="8"/>
      <c r="Z62167" s="8"/>
      <c r="AA62167" s="8"/>
    </row>
    <row r="62168" spans="1:27" x14ac:dyDescent="0.25">
      <c r="A62168" s="8"/>
      <c r="B62168" s="8"/>
      <c r="C62168" s="99"/>
      <c r="D62168" s="8"/>
      <c r="E62168" s="8"/>
      <c r="F62168" s="8"/>
      <c r="G62168" s="8"/>
      <c r="H62168" s="8"/>
      <c r="I62168" s="102"/>
      <c r="J62168" s="8"/>
      <c r="K62168" s="8"/>
      <c r="L62168" s="8"/>
      <c r="M62168" s="8"/>
      <c r="N62168" s="8"/>
      <c r="O62168" s="8"/>
      <c r="P62168" s="8"/>
      <c r="Q62168" s="8"/>
      <c r="R62168" s="103"/>
      <c r="S62168" s="8"/>
      <c r="T62168" s="8"/>
      <c r="U62168" s="8"/>
      <c r="V62168" s="8"/>
      <c r="W62168" s="8"/>
      <c r="X62168" s="8"/>
      <c r="Y62168" s="8"/>
      <c r="Z62168" s="8"/>
      <c r="AA62168" s="8"/>
    </row>
    <row r="62169" spans="1:27" x14ac:dyDescent="0.25">
      <c r="A62169" s="8"/>
      <c r="B62169" s="8"/>
      <c r="C62169" s="99"/>
      <c r="D62169" s="8"/>
      <c r="E62169" s="8"/>
      <c r="F62169" s="8"/>
      <c r="G62169" s="8"/>
      <c r="H62169" s="8"/>
      <c r="I62169" s="102"/>
      <c r="J62169" s="8"/>
      <c r="K62169" s="8"/>
      <c r="L62169" s="8"/>
      <c r="M62169" s="8"/>
      <c r="N62169" s="8"/>
      <c r="O62169" s="8"/>
      <c r="P62169" s="8"/>
      <c r="Q62169" s="8"/>
      <c r="R62169" s="103"/>
      <c r="S62169" s="8"/>
      <c r="T62169" s="8"/>
      <c r="U62169" s="8"/>
      <c r="V62169" s="8"/>
      <c r="W62169" s="8"/>
      <c r="X62169" s="8"/>
      <c r="Y62169" s="8"/>
      <c r="Z62169" s="8"/>
      <c r="AA62169" s="8"/>
    </row>
    <row r="62170" spans="1:27" x14ac:dyDescent="0.25">
      <c r="A62170" s="8"/>
      <c r="B62170" s="8"/>
      <c r="C62170" s="99"/>
      <c r="D62170" s="8"/>
      <c r="E62170" s="8"/>
      <c r="F62170" s="8"/>
      <c r="G62170" s="8"/>
      <c r="H62170" s="8"/>
      <c r="I62170" s="102"/>
      <c r="J62170" s="8"/>
      <c r="K62170" s="8"/>
      <c r="L62170" s="8"/>
      <c r="M62170" s="8"/>
      <c r="N62170" s="8"/>
      <c r="O62170" s="8"/>
      <c r="P62170" s="8"/>
      <c r="Q62170" s="8"/>
      <c r="R62170" s="103"/>
      <c r="S62170" s="8"/>
      <c r="T62170" s="8"/>
      <c r="U62170" s="8"/>
      <c r="V62170" s="8"/>
      <c r="W62170" s="8"/>
      <c r="X62170" s="8"/>
      <c r="Y62170" s="8"/>
      <c r="Z62170" s="8"/>
      <c r="AA62170" s="8"/>
    </row>
    <row r="62171" spans="1:27" x14ac:dyDescent="0.25">
      <c r="A62171" s="8"/>
      <c r="B62171" s="8"/>
      <c r="C62171" s="99"/>
      <c r="D62171" s="8"/>
      <c r="E62171" s="8"/>
      <c r="F62171" s="8"/>
      <c r="G62171" s="8"/>
      <c r="H62171" s="8"/>
      <c r="I62171" s="102"/>
      <c r="J62171" s="8"/>
      <c r="K62171" s="8"/>
      <c r="L62171" s="8"/>
      <c r="M62171" s="8"/>
      <c r="N62171" s="8"/>
      <c r="O62171" s="8"/>
      <c r="P62171" s="8"/>
      <c r="Q62171" s="8"/>
      <c r="R62171" s="103"/>
      <c r="S62171" s="8"/>
      <c r="T62171" s="8"/>
      <c r="U62171" s="8"/>
      <c r="V62171" s="8"/>
      <c r="W62171" s="8"/>
      <c r="X62171" s="8"/>
      <c r="Y62171" s="8"/>
      <c r="Z62171" s="8"/>
      <c r="AA62171" s="8"/>
    </row>
    <row r="62172" spans="1:27" x14ac:dyDescent="0.25">
      <c r="A62172" s="8"/>
      <c r="B62172" s="8"/>
      <c r="C62172" s="99"/>
      <c r="D62172" s="8"/>
      <c r="E62172" s="8"/>
      <c r="F62172" s="8"/>
      <c r="G62172" s="8"/>
      <c r="H62172" s="8"/>
      <c r="I62172" s="102"/>
      <c r="J62172" s="8"/>
      <c r="K62172" s="8"/>
      <c r="L62172" s="8"/>
      <c r="M62172" s="8"/>
      <c r="N62172" s="8"/>
      <c r="O62172" s="8"/>
      <c r="P62172" s="8"/>
      <c r="Q62172" s="8"/>
      <c r="R62172" s="103"/>
      <c r="S62172" s="8"/>
      <c r="T62172" s="8"/>
      <c r="U62172" s="8"/>
      <c r="V62172" s="8"/>
      <c r="W62172" s="8"/>
      <c r="X62172" s="8"/>
      <c r="Y62172" s="8"/>
      <c r="Z62172" s="8"/>
      <c r="AA62172" s="8"/>
    </row>
    <row r="62173" spans="1:27" x14ac:dyDescent="0.25">
      <c r="A62173" s="8"/>
      <c r="B62173" s="8"/>
      <c r="C62173" s="99"/>
      <c r="D62173" s="8"/>
      <c r="E62173" s="8"/>
      <c r="F62173" s="8"/>
      <c r="G62173" s="8"/>
      <c r="H62173" s="8"/>
      <c r="I62173" s="102"/>
      <c r="J62173" s="8"/>
      <c r="K62173" s="8"/>
      <c r="L62173" s="8"/>
      <c r="M62173" s="8"/>
      <c r="N62173" s="8"/>
      <c r="O62173" s="8"/>
      <c r="P62173" s="8"/>
      <c r="Q62173" s="8"/>
      <c r="R62173" s="103"/>
      <c r="S62173" s="8"/>
      <c r="T62173" s="8"/>
      <c r="U62173" s="8"/>
      <c r="V62173" s="8"/>
      <c r="W62173" s="8"/>
      <c r="X62173" s="8"/>
      <c r="Y62173" s="8"/>
      <c r="Z62173" s="8"/>
      <c r="AA62173" s="8"/>
    </row>
    <row r="62174" spans="1:27" x14ac:dyDescent="0.25">
      <c r="A62174" s="8"/>
      <c r="B62174" s="8"/>
      <c r="C62174" s="99"/>
      <c r="D62174" s="8"/>
      <c r="E62174" s="8"/>
      <c r="F62174" s="8"/>
      <c r="G62174" s="8"/>
      <c r="H62174" s="8"/>
      <c r="I62174" s="102"/>
      <c r="J62174" s="8"/>
      <c r="K62174" s="8"/>
      <c r="L62174" s="8"/>
      <c r="M62174" s="8"/>
      <c r="N62174" s="8"/>
      <c r="O62174" s="8"/>
      <c r="P62174" s="8"/>
      <c r="Q62174" s="8"/>
      <c r="R62174" s="103"/>
      <c r="S62174" s="8"/>
      <c r="T62174" s="8"/>
      <c r="U62174" s="8"/>
      <c r="V62174" s="8"/>
      <c r="W62174" s="8"/>
      <c r="X62174" s="8"/>
      <c r="Y62174" s="8"/>
      <c r="Z62174" s="8"/>
      <c r="AA62174" s="8"/>
    </row>
    <row r="62175" spans="1:27" x14ac:dyDescent="0.25">
      <c r="A62175" s="8"/>
      <c r="B62175" s="8"/>
      <c r="C62175" s="99"/>
      <c r="D62175" s="8"/>
      <c r="E62175" s="8"/>
      <c r="F62175" s="8"/>
      <c r="G62175" s="8"/>
      <c r="H62175" s="8"/>
      <c r="I62175" s="102"/>
      <c r="J62175" s="8"/>
      <c r="K62175" s="8"/>
      <c r="L62175" s="8"/>
      <c r="M62175" s="8"/>
      <c r="N62175" s="8"/>
      <c r="O62175" s="8"/>
      <c r="P62175" s="8"/>
      <c r="Q62175" s="8"/>
      <c r="R62175" s="103"/>
      <c r="S62175" s="8"/>
      <c r="T62175" s="8"/>
      <c r="U62175" s="8"/>
      <c r="V62175" s="8"/>
      <c r="W62175" s="8"/>
      <c r="X62175" s="8"/>
      <c r="Y62175" s="8"/>
      <c r="Z62175" s="8"/>
      <c r="AA62175" s="8"/>
    </row>
    <row r="62176" spans="1:27" x14ac:dyDescent="0.25">
      <c r="A62176" s="8"/>
      <c r="B62176" s="8"/>
      <c r="C62176" s="99"/>
      <c r="D62176" s="8"/>
      <c r="E62176" s="8"/>
      <c r="F62176" s="8"/>
      <c r="G62176" s="8"/>
      <c r="H62176" s="8"/>
      <c r="I62176" s="102"/>
      <c r="J62176" s="8"/>
      <c r="K62176" s="8"/>
      <c r="L62176" s="8"/>
      <c r="M62176" s="8"/>
      <c r="N62176" s="8"/>
      <c r="O62176" s="8"/>
      <c r="P62176" s="8"/>
      <c r="Q62176" s="8"/>
      <c r="R62176" s="103"/>
      <c r="S62176" s="8"/>
      <c r="T62176" s="8"/>
      <c r="U62176" s="8"/>
      <c r="V62176" s="8"/>
      <c r="W62176" s="8"/>
      <c r="X62176" s="8"/>
      <c r="Y62176" s="8"/>
      <c r="Z62176" s="8"/>
      <c r="AA62176" s="8"/>
    </row>
    <row r="62177" spans="1:27" x14ac:dyDescent="0.25">
      <c r="A62177" s="8"/>
      <c r="B62177" s="8"/>
      <c r="C62177" s="99"/>
      <c r="D62177" s="8"/>
      <c r="E62177" s="8"/>
      <c r="F62177" s="8"/>
      <c r="G62177" s="8"/>
      <c r="H62177" s="8"/>
      <c r="I62177" s="102"/>
      <c r="J62177" s="8"/>
      <c r="K62177" s="8"/>
      <c r="L62177" s="8"/>
      <c r="M62177" s="8"/>
      <c r="N62177" s="8"/>
      <c r="O62177" s="8"/>
      <c r="P62177" s="8"/>
      <c r="Q62177" s="8"/>
      <c r="R62177" s="103"/>
      <c r="S62177" s="8"/>
      <c r="T62177" s="8"/>
      <c r="U62177" s="8"/>
      <c r="V62177" s="8"/>
      <c r="W62177" s="8"/>
      <c r="X62177" s="8"/>
      <c r="Y62177" s="8"/>
      <c r="Z62177" s="8"/>
      <c r="AA62177" s="8"/>
    </row>
    <row r="62178" spans="1:27" x14ac:dyDescent="0.25">
      <c r="A62178" s="8"/>
      <c r="B62178" s="8"/>
      <c r="C62178" s="99"/>
      <c r="D62178" s="8"/>
      <c r="E62178" s="8"/>
      <c r="F62178" s="8"/>
      <c r="G62178" s="8"/>
      <c r="H62178" s="8"/>
      <c r="I62178" s="102"/>
      <c r="J62178" s="8"/>
      <c r="K62178" s="8"/>
      <c r="L62178" s="8"/>
      <c r="M62178" s="8"/>
      <c r="N62178" s="8"/>
      <c r="O62178" s="8"/>
      <c r="P62178" s="8"/>
      <c r="Q62178" s="8"/>
      <c r="R62178" s="103"/>
      <c r="S62178" s="8"/>
      <c r="T62178" s="8"/>
      <c r="U62178" s="8"/>
      <c r="V62178" s="8"/>
      <c r="W62178" s="8"/>
      <c r="X62178" s="8"/>
      <c r="Y62178" s="8"/>
      <c r="Z62178" s="8"/>
      <c r="AA62178" s="8"/>
    </row>
    <row r="62179" spans="1:27" x14ac:dyDescent="0.25">
      <c r="A62179" s="8"/>
      <c r="B62179" s="8"/>
      <c r="C62179" s="99"/>
      <c r="D62179" s="8"/>
      <c r="E62179" s="8"/>
      <c r="F62179" s="8"/>
      <c r="G62179" s="8"/>
      <c r="H62179" s="8"/>
      <c r="I62179" s="102"/>
      <c r="J62179" s="8"/>
      <c r="K62179" s="8"/>
      <c r="L62179" s="8"/>
      <c r="M62179" s="8"/>
      <c r="N62179" s="8"/>
      <c r="O62179" s="8"/>
      <c r="P62179" s="8"/>
      <c r="Q62179" s="8"/>
      <c r="R62179" s="103"/>
      <c r="S62179" s="8"/>
      <c r="T62179" s="8"/>
      <c r="U62179" s="8"/>
      <c r="V62179" s="8"/>
      <c r="W62179" s="8"/>
      <c r="X62179" s="8"/>
      <c r="Y62179" s="8"/>
      <c r="Z62179" s="8"/>
      <c r="AA62179" s="8"/>
    </row>
    <row r="62180" spans="1:27" x14ac:dyDescent="0.25">
      <c r="A62180" s="8"/>
      <c r="B62180" s="8"/>
      <c r="C62180" s="99"/>
      <c r="D62180" s="8"/>
      <c r="E62180" s="8"/>
      <c r="F62180" s="8"/>
      <c r="G62180" s="8"/>
      <c r="H62180" s="8"/>
      <c r="I62180" s="102"/>
      <c r="J62180" s="8"/>
      <c r="K62180" s="8"/>
      <c r="L62180" s="8"/>
      <c r="M62180" s="8"/>
      <c r="N62180" s="8"/>
      <c r="O62180" s="8"/>
      <c r="P62180" s="8"/>
      <c r="Q62180" s="8"/>
      <c r="R62180" s="103"/>
      <c r="S62180" s="8"/>
      <c r="T62180" s="8"/>
      <c r="U62180" s="8"/>
      <c r="V62180" s="8"/>
      <c r="W62180" s="8"/>
      <c r="X62180" s="8"/>
      <c r="Y62180" s="8"/>
      <c r="Z62180" s="8"/>
      <c r="AA62180" s="8"/>
    </row>
    <row r="62181" spans="1:27" x14ac:dyDescent="0.25">
      <c r="A62181" s="8"/>
      <c r="B62181" s="8"/>
      <c r="C62181" s="99"/>
      <c r="D62181" s="8"/>
      <c r="E62181" s="8"/>
      <c r="F62181" s="8"/>
      <c r="G62181" s="8"/>
      <c r="H62181" s="8"/>
      <c r="I62181" s="102"/>
      <c r="J62181" s="8"/>
      <c r="K62181" s="8"/>
      <c r="L62181" s="8"/>
      <c r="M62181" s="8"/>
      <c r="N62181" s="8"/>
      <c r="O62181" s="8"/>
      <c r="P62181" s="8"/>
      <c r="Q62181" s="8"/>
      <c r="R62181" s="103"/>
      <c r="S62181" s="8"/>
      <c r="T62181" s="8"/>
      <c r="U62181" s="8"/>
      <c r="V62181" s="8"/>
      <c r="W62181" s="8"/>
      <c r="X62181" s="8"/>
      <c r="Y62181" s="8"/>
      <c r="Z62181" s="8"/>
      <c r="AA62181" s="8"/>
    </row>
    <row r="62182" spans="1:27" x14ac:dyDescent="0.25">
      <c r="A62182" s="8"/>
      <c r="B62182" s="8"/>
      <c r="C62182" s="99"/>
      <c r="D62182" s="8"/>
      <c r="E62182" s="8"/>
      <c r="F62182" s="8"/>
      <c r="G62182" s="8"/>
      <c r="H62182" s="8"/>
      <c r="I62182" s="102"/>
      <c r="J62182" s="8"/>
      <c r="K62182" s="8"/>
      <c r="L62182" s="8"/>
      <c r="M62182" s="8"/>
      <c r="N62182" s="8"/>
      <c r="O62182" s="8"/>
      <c r="P62182" s="8"/>
      <c r="Q62182" s="8"/>
      <c r="R62182" s="103"/>
      <c r="S62182" s="8"/>
      <c r="T62182" s="8"/>
      <c r="U62182" s="8"/>
      <c r="V62182" s="8"/>
      <c r="W62182" s="8"/>
      <c r="X62182" s="8"/>
      <c r="Y62182" s="8"/>
      <c r="Z62182" s="8"/>
      <c r="AA62182" s="8"/>
    </row>
    <row r="62183" spans="1:27" x14ac:dyDescent="0.25">
      <c r="A62183" s="8"/>
      <c r="B62183" s="8"/>
      <c r="C62183" s="99"/>
      <c r="D62183" s="8"/>
      <c r="E62183" s="8"/>
      <c r="F62183" s="8"/>
      <c r="G62183" s="8"/>
      <c r="H62183" s="8"/>
      <c r="I62183" s="102"/>
      <c r="J62183" s="8"/>
      <c r="K62183" s="8"/>
      <c r="L62183" s="8"/>
      <c r="M62183" s="8"/>
      <c r="N62183" s="8"/>
      <c r="O62183" s="8"/>
      <c r="P62183" s="8"/>
      <c r="Q62183" s="8"/>
      <c r="R62183" s="103"/>
      <c r="S62183" s="8"/>
      <c r="T62183" s="8"/>
      <c r="U62183" s="8"/>
      <c r="V62183" s="8"/>
      <c r="W62183" s="8"/>
      <c r="X62183" s="8"/>
      <c r="Y62183" s="8"/>
      <c r="Z62183" s="8"/>
      <c r="AA62183" s="8"/>
    </row>
    <row r="62184" spans="1:27" x14ac:dyDescent="0.25">
      <c r="A62184" s="8"/>
      <c r="B62184" s="8"/>
      <c r="C62184" s="99"/>
      <c r="D62184" s="8"/>
      <c r="E62184" s="8"/>
      <c r="F62184" s="8"/>
      <c r="G62184" s="8"/>
      <c r="H62184" s="8"/>
      <c r="I62184" s="102"/>
      <c r="J62184" s="8"/>
      <c r="K62184" s="8"/>
      <c r="L62184" s="8"/>
      <c r="M62184" s="8"/>
      <c r="N62184" s="8"/>
      <c r="O62184" s="8"/>
      <c r="P62184" s="8"/>
      <c r="Q62184" s="8"/>
      <c r="R62184" s="103"/>
      <c r="S62184" s="8"/>
      <c r="T62184" s="8"/>
      <c r="U62184" s="8"/>
      <c r="V62184" s="8"/>
      <c r="W62184" s="8"/>
      <c r="X62184" s="8"/>
      <c r="Y62184" s="8"/>
      <c r="Z62184" s="8"/>
      <c r="AA62184" s="8"/>
    </row>
    <row r="62185" spans="1:27" x14ac:dyDescent="0.25">
      <c r="A62185" s="8"/>
      <c r="B62185" s="8"/>
      <c r="C62185" s="99"/>
      <c r="D62185" s="8"/>
      <c r="E62185" s="8"/>
      <c r="F62185" s="8"/>
      <c r="G62185" s="8"/>
      <c r="H62185" s="8"/>
      <c r="I62185" s="102"/>
      <c r="J62185" s="8"/>
      <c r="K62185" s="8"/>
      <c r="L62185" s="8"/>
      <c r="M62185" s="8"/>
      <c r="N62185" s="8"/>
      <c r="O62185" s="8"/>
      <c r="P62185" s="8"/>
      <c r="Q62185" s="8"/>
      <c r="R62185" s="103"/>
      <c r="S62185" s="8"/>
      <c r="T62185" s="8"/>
      <c r="U62185" s="8"/>
      <c r="V62185" s="8"/>
      <c r="W62185" s="8"/>
      <c r="X62185" s="8"/>
      <c r="Y62185" s="8"/>
      <c r="Z62185" s="8"/>
      <c r="AA62185" s="8"/>
    </row>
    <row r="62186" spans="1:27" x14ac:dyDescent="0.25">
      <c r="A62186" s="8"/>
      <c r="B62186" s="8"/>
      <c r="C62186" s="99"/>
      <c r="D62186" s="8"/>
      <c r="E62186" s="8"/>
      <c r="F62186" s="8"/>
      <c r="G62186" s="8"/>
      <c r="H62186" s="8"/>
      <c r="I62186" s="102"/>
      <c r="J62186" s="8"/>
      <c r="K62186" s="8"/>
      <c r="L62186" s="8"/>
      <c r="M62186" s="8"/>
      <c r="N62186" s="8"/>
      <c r="O62186" s="8"/>
      <c r="P62186" s="8"/>
      <c r="Q62186" s="8"/>
      <c r="R62186" s="103"/>
      <c r="S62186" s="8"/>
      <c r="T62186" s="8"/>
      <c r="U62186" s="8"/>
      <c r="V62186" s="8"/>
      <c r="W62186" s="8"/>
      <c r="X62186" s="8"/>
      <c r="Y62186" s="8"/>
      <c r="Z62186" s="8"/>
      <c r="AA62186" s="8"/>
    </row>
    <row r="62187" spans="1:27" x14ac:dyDescent="0.25">
      <c r="A62187" s="8"/>
      <c r="B62187" s="8"/>
      <c r="C62187" s="99"/>
      <c r="D62187" s="8"/>
      <c r="E62187" s="8"/>
      <c r="F62187" s="8"/>
      <c r="G62187" s="8"/>
      <c r="H62187" s="8"/>
      <c r="I62187" s="102"/>
      <c r="J62187" s="8"/>
      <c r="K62187" s="8"/>
      <c r="L62187" s="8"/>
      <c r="M62187" s="8"/>
      <c r="N62187" s="8"/>
      <c r="O62187" s="8"/>
      <c r="P62187" s="8"/>
      <c r="Q62187" s="8"/>
      <c r="R62187" s="103"/>
      <c r="S62187" s="8"/>
      <c r="T62187" s="8"/>
      <c r="U62187" s="8"/>
      <c r="V62187" s="8"/>
      <c r="W62187" s="8"/>
      <c r="X62187" s="8"/>
      <c r="Y62187" s="8"/>
      <c r="Z62187" s="8"/>
      <c r="AA62187" s="8"/>
    </row>
    <row r="62188" spans="1:27" x14ac:dyDescent="0.25">
      <c r="A62188" s="8"/>
      <c r="B62188" s="8"/>
      <c r="C62188" s="99"/>
      <c r="D62188" s="8"/>
      <c r="E62188" s="8"/>
      <c r="F62188" s="8"/>
      <c r="G62188" s="8"/>
      <c r="H62188" s="8"/>
      <c r="I62188" s="102"/>
      <c r="J62188" s="8"/>
      <c r="K62188" s="8"/>
      <c r="L62188" s="8"/>
      <c r="M62188" s="8"/>
      <c r="N62188" s="8"/>
      <c r="O62188" s="8"/>
      <c r="P62188" s="8"/>
      <c r="Q62188" s="8"/>
      <c r="R62188" s="103"/>
      <c r="S62188" s="8"/>
      <c r="T62188" s="8"/>
      <c r="U62188" s="8"/>
      <c r="V62188" s="8"/>
      <c r="W62188" s="8"/>
      <c r="X62188" s="8"/>
      <c r="Y62188" s="8"/>
      <c r="Z62188" s="8"/>
      <c r="AA62188" s="8"/>
    </row>
    <row r="62189" spans="1:27" x14ac:dyDescent="0.25">
      <c r="A62189" s="8"/>
      <c r="B62189" s="8"/>
      <c r="C62189" s="99"/>
      <c r="D62189" s="8"/>
      <c r="E62189" s="8"/>
      <c r="F62189" s="8"/>
      <c r="G62189" s="8"/>
      <c r="H62189" s="8"/>
      <c r="I62189" s="102"/>
      <c r="J62189" s="8"/>
      <c r="K62189" s="8"/>
      <c r="L62189" s="8"/>
      <c r="M62189" s="8"/>
      <c r="N62189" s="8"/>
      <c r="O62189" s="8"/>
      <c r="P62189" s="8"/>
      <c r="Q62189" s="8"/>
      <c r="R62189" s="103"/>
      <c r="S62189" s="8"/>
      <c r="T62189" s="8"/>
      <c r="U62189" s="8"/>
      <c r="V62189" s="8"/>
      <c r="W62189" s="8"/>
      <c r="X62189" s="8"/>
      <c r="Y62189" s="8"/>
      <c r="Z62189" s="8"/>
      <c r="AA62189" s="8"/>
    </row>
    <row r="62190" spans="1:27" x14ac:dyDescent="0.25">
      <c r="A62190" s="8"/>
      <c r="B62190" s="8"/>
      <c r="C62190" s="99"/>
      <c r="D62190" s="8"/>
      <c r="E62190" s="8"/>
      <c r="F62190" s="8"/>
      <c r="G62190" s="8"/>
      <c r="H62190" s="8"/>
      <c r="I62190" s="102"/>
      <c r="J62190" s="8"/>
      <c r="K62190" s="8"/>
      <c r="L62190" s="8"/>
      <c r="M62190" s="8"/>
      <c r="N62190" s="8"/>
      <c r="O62190" s="8"/>
      <c r="P62190" s="8"/>
      <c r="Q62190" s="8"/>
      <c r="R62190" s="103"/>
      <c r="S62190" s="8"/>
      <c r="T62190" s="8"/>
      <c r="U62190" s="8"/>
      <c r="V62190" s="8"/>
      <c r="W62190" s="8"/>
      <c r="X62190" s="8"/>
      <c r="Y62190" s="8"/>
      <c r="Z62190" s="8"/>
      <c r="AA62190" s="8"/>
    </row>
    <row r="62191" spans="1:27" x14ac:dyDescent="0.25">
      <c r="A62191" s="8"/>
      <c r="B62191" s="8"/>
      <c r="C62191" s="99"/>
      <c r="D62191" s="8"/>
      <c r="E62191" s="8"/>
      <c r="F62191" s="8"/>
      <c r="G62191" s="8"/>
      <c r="H62191" s="8"/>
      <c r="I62191" s="102"/>
      <c r="J62191" s="8"/>
      <c r="K62191" s="8"/>
      <c r="L62191" s="8"/>
      <c r="M62191" s="8"/>
      <c r="N62191" s="8"/>
      <c r="O62191" s="8"/>
      <c r="P62191" s="8"/>
      <c r="Q62191" s="8"/>
      <c r="R62191" s="103"/>
      <c r="S62191" s="8"/>
      <c r="T62191" s="8"/>
      <c r="U62191" s="8"/>
      <c r="V62191" s="8"/>
      <c r="W62191" s="8"/>
      <c r="X62191" s="8"/>
      <c r="Y62191" s="8"/>
      <c r="Z62191" s="8"/>
      <c r="AA62191" s="8"/>
    </row>
    <row r="62192" spans="1:27" x14ac:dyDescent="0.25">
      <c r="A62192" s="8"/>
      <c r="B62192" s="8"/>
      <c r="C62192" s="99"/>
      <c r="D62192" s="8"/>
      <c r="E62192" s="8"/>
      <c r="F62192" s="8"/>
      <c r="G62192" s="8"/>
      <c r="H62192" s="8"/>
      <c r="I62192" s="102"/>
      <c r="J62192" s="8"/>
      <c r="K62192" s="8"/>
      <c r="L62192" s="8"/>
      <c r="M62192" s="8"/>
      <c r="N62192" s="8"/>
      <c r="O62192" s="8"/>
      <c r="P62192" s="8"/>
      <c r="Q62192" s="8"/>
      <c r="R62192" s="103"/>
      <c r="S62192" s="8"/>
      <c r="T62192" s="8"/>
      <c r="U62192" s="8"/>
      <c r="V62192" s="8"/>
      <c r="W62192" s="8"/>
      <c r="X62192" s="8"/>
      <c r="Y62192" s="8"/>
      <c r="Z62192" s="8"/>
      <c r="AA62192" s="8"/>
    </row>
    <row r="62193" spans="1:27" x14ac:dyDescent="0.25">
      <c r="A62193" s="8"/>
      <c r="B62193" s="8"/>
      <c r="C62193" s="99"/>
      <c r="D62193" s="8"/>
      <c r="E62193" s="8"/>
      <c r="F62193" s="8"/>
      <c r="G62193" s="8"/>
      <c r="H62193" s="8"/>
      <c r="I62193" s="102"/>
      <c r="J62193" s="8"/>
      <c r="K62193" s="8"/>
      <c r="L62193" s="8"/>
      <c r="M62193" s="8"/>
      <c r="N62193" s="8"/>
      <c r="O62193" s="8"/>
      <c r="P62193" s="8"/>
      <c r="Q62193" s="8"/>
      <c r="R62193" s="103"/>
      <c r="S62193" s="8"/>
      <c r="T62193" s="8"/>
      <c r="U62193" s="8"/>
      <c r="V62193" s="8"/>
      <c r="W62193" s="8"/>
      <c r="X62193" s="8"/>
      <c r="Y62193" s="8"/>
      <c r="Z62193" s="8"/>
      <c r="AA62193" s="8"/>
    </row>
    <row r="62194" spans="1:27" x14ac:dyDescent="0.25">
      <c r="A62194" s="8"/>
      <c r="B62194" s="8"/>
      <c r="C62194" s="99"/>
      <c r="D62194" s="8"/>
      <c r="E62194" s="8"/>
      <c r="F62194" s="8"/>
      <c r="G62194" s="8"/>
      <c r="H62194" s="8"/>
      <c r="I62194" s="102"/>
      <c r="J62194" s="8"/>
      <c r="K62194" s="8"/>
      <c r="L62194" s="8"/>
      <c r="M62194" s="8"/>
      <c r="N62194" s="8"/>
      <c r="O62194" s="8"/>
      <c r="P62194" s="8"/>
      <c r="Q62194" s="8"/>
      <c r="R62194" s="103"/>
      <c r="S62194" s="8"/>
      <c r="T62194" s="8"/>
      <c r="U62194" s="8"/>
      <c r="V62194" s="8"/>
      <c r="W62194" s="8"/>
      <c r="X62194" s="8"/>
      <c r="Y62194" s="8"/>
      <c r="Z62194" s="8"/>
      <c r="AA62194" s="8"/>
    </row>
    <row r="62195" spans="1:27" x14ac:dyDescent="0.25">
      <c r="A62195" s="8"/>
      <c r="B62195" s="8"/>
      <c r="C62195" s="99"/>
      <c r="D62195" s="8"/>
      <c r="E62195" s="8"/>
      <c r="F62195" s="8"/>
      <c r="G62195" s="8"/>
      <c r="H62195" s="8"/>
      <c r="I62195" s="102"/>
      <c r="J62195" s="8"/>
      <c r="K62195" s="8"/>
      <c r="L62195" s="8"/>
      <c r="M62195" s="8"/>
      <c r="N62195" s="8"/>
      <c r="O62195" s="8"/>
      <c r="P62195" s="8"/>
      <c r="Q62195" s="8"/>
      <c r="R62195" s="103"/>
      <c r="S62195" s="8"/>
      <c r="T62195" s="8"/>
      <c r="U62195" s="8"/>
      <c r="V62195" s="8"/>
      <c r="W62195" s="8"/>
      <c r="X62195" s="8"/>
      <c r="Y62195" s="8"/>
      <c r="Z62195" s="8"/>
      <c r="AA62195" s="8"/>
    </row>
    <row r="62196" spans="1:27" x14ac:dyDescent="0.25">
      <c r="A62196" s="8"/>
      <c r="B62196" s="8"/>
      <c r="C62196" s="99"/>
      <c r="D62196" s="8"/>
      <c r="E62196" s="8"/>
      <c r="F62196" s="8"/>
      <c r="G62196" s="8"/>
      <c r="H62196" s="8"/>
      <c r="I62196" s="102"/>
      <c r="J62196" s="8"/>
      <c r="K62196" s="8"/>
      <c r="L62196" s="8"/>
      <c r="M62196" s="8"/>
      <c r="N62196" s="8"/>
      <c r="O62196" s="8"/>
      <c r="P62196" s="8"/>
      <c r="Q62196" s="8"/>
      <c r="R62196" s="103"/>
      <c r="S62196" s="8"/>
      <c r="T62196" s="8"/>
      <c r="U62196" s="8"/>
      <c r="V62196" s="8"/>
      <c r="W62196" s="8"/>
      <c r="X62196" s="8"/>
      <c r="Y62196" s="8"/>
      <c r="Z62196" s="8"/>
      <c r="AA62196" s="8"/>
    </row>
    <row r="62197" spans="1:27" x14ac:dyDescent="0.25">
      <c r="A62197" s="8"/>
      <c r="B62197" s="8"/>
      <c r="C62197" s="99"/>
      <c r="D62197" s="8"/>
      <c r="E62197" s="8"/>
      <c r="F62197" s="8"/>
      <c r="G62197" s="8"/>
      <c r="H62197" s="8"/>
      <c r="I62197" s="102"/>
      <c r="J62197" s="8"/>
      <c r="K62197" s="8"/>
      <c r="L62197" s="8"/>
      <c r="M62197" s="8"/>
      <c r="N62197" s="8"/>
      <c r="O62197" s="8"/>
      <c r="P62197" s="8"/>
      <c r="Q62197" s="8"/>
      <c r="R62197" s="103"/>
      <c r="S62197" s="8"/>
      <c r="T62197" s="8"/>
      <c r="U62197" s="8"/>
      <c r="V62197" s="8"/>
      <c r="W62197" s="8"/>
      <c r="X62197" s="8"/>
      <c r="Y62197" s="8"/>
      <c r="Z62197" s="8"/>
      <c r="AA62197" s="8"/>
    </row>
    <row r="62198" spans="1:27" x14ac:dyDescent="0.25">
      <c r="A62198" s="8"/>
      <c r="B62198" s="8"/>
      <c r="C62198" s="99"/>
      <c r="D62198" s="8"/>
      <c r="E62198" s="8"/>
      <c r="F62198" s="8"/>
      <c r="G62198" s="8"/>
      <c r="H62198" s="8"/>
      <c r="I62198" s="102"/>
      <c r="J62198" s="8"/>
      <c r="K62198" s="8"/>
      <c r="L62198" s="8"/>
      <c r="M62198" s="8"/>
      <c r="N62198" s="8"/>
      <c r="O62198" s="8"/>
      <c r="P62198" s="8"/>
      <c r="Q62198" s="8"/>
      <c r="R62198" s="103"/>
      <c r="S62198" s="8"/>
      <c r="T62198" s="8"/>
      <c r="U62198" s="8"/>
      <c r="V62198" s="8"/>
      <c r="W62198" s="8"/>
      <c r="X62198" s="8"/>
      <c r="Y62198" s="8"/>
      <c r="Z62198" s="8"/>
      <c r="AA62198" s="8"/>
    </row>
    <row r="62199" spans="1:27" x14ac:dyDescent="0.25">
      <c r="A62199" s="8"/>
      <c r="B62199" s="8"/>
      <c r="C62199" s="99"/>
      <c r="D62199" s="8"/>
      <c r="E62199" s="8"/>
      <c r="F62199" s="8"/>
      <c r="G62199" s="8"/>
      <c r="H62199" s="8"/>
      <c r="I62199" s="102"/>
      <c r="J62199" s="8"/>
      <c r="K62199" s="8"/>
      <c r="L62199" s="8"/>
      <c r="M62199" s="8"/>
      <c r="N62199" s="8"/>
      <c r="O62199" s="8"/>
      <c r="P62199" s="8"/>
      <c r="Q62199" s="8"/>
      <c r="R62199" s="103"/>
      <c r="S62199" s="8"/>
      <c r="T62199" s="8"/>
      <c r="U62199" s="8"/>
      <c r="V62199" s="8"/>
      <c r="W62199" s="8"/>
      <c r="X62199" s="8"/>
      <c r="Y62199" s="8"/>
      <c r="Z62199" s="8"/>
      <c r="AA62199" s="8"/>
    </row>
    <row r="62200" spans="1:27" x14ac:dyDescent="0.25">
      <c r="A62200" s="8"/>
      <c r="B62200" s="8"/>
      <c r="C62200" s="99"/>
      <c r="D62200" s="8"/>
      <c r="E62200" s="8"/>
      <c r="F62200" s="8"/>
      <c r="G62200" s="8"/>
      <c r="H62200" s="8"/>
      <c r="I62200" s="102"/>
      <c r="J62200" s="8"/>
      <c r="K62200" s="8"/>
      <c r="L62200" s="8"/>
      <c r="M62200" s="8"/>
      <c r="N62200" s="8"/>
      <c r="O62200" s="8"/>
      <c r="P62200" s="8"/>
      <c r="Q62200" s="8"/>
      <c r="R62200" s="103"/>
      <c r="S62200" s="8"/>
      <c r="T62200" s="8"/>
      <c r="U62200" s="8"/>
      <c r="V62200" s="8"/>
      <c r="W62200" s="8"/>
      <c r="X62200" s="8"/>
      <c r="Y62200" s="8"/>
      <c r="Z62200" s="8"/>
      <c r="AA62200" s="8"/>
    </row>
    <row r="62201" spans="1:27" x14ac:dyDescent="0.25">
      <c r="A62201" s="8"/>
      <c r="B62201" s="8"/>
      <c r="C62201" s="99"/>
      <c r="D62201" s="8"/>
      <c r="E62201" s="8"/>
      <c r="F62201" s="8"/>
      <c r="G62201" s="8"/>
      <c r="H62201" s="8"/>
      <c r="I62201" s="102"/>
      <c r="J62201" s="8"/>
      <c r="K62201" s="8"/>
      <c r="L62201" s="8"/>
      <c r="M62201" s="8"/>
      <c r="N62201" s="8"/>
      <c r="O62201" s="8"/>
      <c r="P62201" s="8"/>
      <c r="Q62201" s="8"/>
      <c r="R62201" s="103"/>
      <c r="S62201" s="8"/>
      <c r="T62201" s="8"/>
      <c r="U62201" s="8"/>
      <c r="V62201" s="8"/>
      <c r="W62201" s="8"/>
      <c r="X62201" s="8"/>
      <c r="Y62201" s="8"/>
      <c r="Z62201" s="8"/>
      <c r="AA62201" s="8"/>
    </row>
    <row r="62202" spans="1:27" x14ac:dyDescent="0.25">
      <c r="A62202" s="8"/>
      <c r="B62202" s="8"/>
      <c r="C62202" s="99"/>
      <c r="D62202" s="8"/>
      <c r="E62202" s="8"/>
      <c r="F62202" s="8"/>
      <c r="G62202" s="8"/>
      <c r="H62202" s="8"/>
      <c r="I62202" s="102"/>
      <c r="J62202" s="8"/>
      <c r="K62202" s="8"/>
      <c r="L62202" s="8"/>
      <c r="M62202" s="8"/>
      <c r="N62202" s="8"/>
      <c r="O62202" s="8"/>
      <c r="P62202" s="8"/>
      <c r="Q62202" s="8"/>
      <c r="R62202" s="103"/>
      <c r="S62202" s="8"/>
      <c r="T62202" s="8"/>
      <c r="U62202" s="8"/>
      <c r="V62202" s="8"/>
      <c r="W62202" s="8"/>
      <c r="X62202" s="8"/>
      <c r="Y62202" s="8"/>
      <c r="Z62202" s="8"/>
      <c r="AA62202" s="8"/>
    </row>
    <row r="62203" spans="1:27" x14ac:dyDescent="0.25">
      <c r="A62203" s="8"/>
      <c r="B62203" s="8"/>
      <c r="C62203" s="99"/>
      <c r="D62203" s="8"/>
      <c r="E62203" s="8"/>
      <c r="F62203" s="8"/>
      <c r="G62203" s="8"/>
      <c r="H62203" s="8"/>
      <c r="I62203" s="102"/>
      <c r="J62203" s="8"/>
      <c r="K62203" s="8"/>
      <c r="L62203" s="8"/>
      <c r="M62203" s="8"/>
      <c r="N62203" s="8"/>
      <c r="O62203" s="8"/>
      <c r="P62203" s="8"/>
      <c r="Q62203" s="8"/>
      <c r="R62203" s="103"/>
      <c r="S62203" s="8"/>
      <c r="T62203" s="8"/>
      <c r="U62203" s="8"/>
      <c r="V62203" s="8"/>
      <c r="W62203" s="8"/>
      <c r="X62203" s="8"/>
      <c r="Y62203" s="8"/>
      <c r="Z62203" s="8"/>
      <c r="AA62203" s="8"/>
    </row>
    <row r="62204" spans="1:27" x14ac:dyDescent="0.25">
      <c r="A62204" s="8"/>
      <c r="B62204" s="8"/>
      <c r="C62204" s="99"/>
      <c r="D62204" s="8"/>
      <c r="E62204" s="8"/>
      <c r="F62204" s="8"/>
      <c r="G62204" s="8"/>
      <c r="H62204" s="8"/>
      <c r="I62204" s="102"/>
      <c r="J62204" s="8"/>
      <c r="K62204" s="8"/>
      <c r="L62204" s="8"/>
      <c r="M62204" s="8"/>
      <c r="N62204" s="8"/>
      <c r="O62204" s="8"/>
      <c r="P62204" s="8"/>
      <c r="Q62204" s="8"/>
      <c r="R62204" s="103"/>
      <c r="S62204" s="8"/>
      <c r="T62204" s="8"/>
      <c r="U62204" s="8"/>
      <c r="V62204" s="8"/>
      <c r="W62204" s="8"/>
      <c r="X62204" s="8"/>
      <c r="Y62204" s="8"/>
      <c r="Z62204" s="8"/>
      <c r="AA62204" s="8"/>
    </row>
    <row r="62205" spans="1:27" x14ac:dyDescent="0.25">
      <c r="A62205" s="8"/>
      <c r="B62205" s="8"/>
      <c r="C62205" s="99"/>
      <c r="D62205" s="8"/>
      <c r="E62205" s="8"/>
      <c r="F62205" s="8"/>
      <c r="G62205" s="8"/>
      <c r="H62205" s="8"/>
      <c r="I62205" s="102"/>
      <c r="J62205" s="8"/>
      <c r="K62205" s="8"/>
      <c r="L62205" s="8"/>
      <c r="M62205" s="8"/>
      <c r="N62205" s="8"/>
      <c r="O62205" s="8"/>
      <c r="P62205" s="8"/>
      <c r="Q62205" s="8"/>
      <c r="R62205" s="103"/>
      <c r="S62205" s="8"/>
      <c r="T62205" s="8"/>
      <c r="U62205" s="8"/>
      <c r="V62205" s="8"/>
      <c r="W62205" s="8"/>
      <c r="X62205" s="8"/>
      <c r="Y62205" s="8"/>
      <c r="Z62205" s="8"/>
      <c r="AA62205" s="8"/>
    </row>
    <row r="62206" spans="1:27" x14ac:dyDescent="0.25">
      <c r="A62206" s="8"/>
      <c r="B62206" s="8"/>
      <c r="C62206" s="99"/>
      <c r="D62206" s="8"/>
      <c r="E62206" s="8"/>
      <c r="F62206" s="8"/>
      <c r="G62206" s="8"/>
      <c r="H62206" s="8"/>
      <c r="I62206" s="102"/>
      <c r="J62206" s="8"/>
      <c r="K62206" s="8"/>
      <c r="L62206" s="8"/>
      <c r="M62206" s="8"/>
      <c r="N62206" s="8"/>
      <c r="O62206" s="8"/>
      <c r="P62206" s="8"/>
      <c r="Q62206" s="8"/>
      <c r="R62206" s="103"/>
      <c r="S62206" s="8"/>
      <c r="T62206" s="8"/>
      <c r="U62206" s="8"/>
      <c r="V62206" s="8"/>
      <c r="W62206" s="8"/>
      <c r="X62206" s="8"/>
      <c r="Y62206" s="8"/>
      <c r="Z62206" s="8"/>
      <c r="AA62206" s="8"/>
    </row>
    <row r="62207" spans="1:27" x14ac:dyDescent="0.25">
      <c r="A62207" s="8"/>
      <c r="B62207" s="8"/>
      <c r="C62207" s="99"/>
      <c r="D62207" s="8"/>
      <c r="E62207" s="8"/>
      <c r="F62207" s="8"/>
      <c r="G62207" s="8"/>
      <c r="H62207" s="8"/>
      <c r="I62207" s="102"/>
      <c r="J62207" s="8"/>
      <c r="K62207" s="8"/>
      <c r="L62207" s="8"/>
      <c r="M62207" s="8"/>
      <c r="N62207" s="8"/>
      <c r="O62207" s="8"/>
      <c r="P62207" s="8"/>
      <c r="Q62207" s="8"/>
      <c r="R62207" s="103"/>
      <c r="S62207" s="8"/>
      <c r="T62207" s="8"/>
      <c r="U62207" s="8"/>
      <c r="V62207" s="8"/>
      <c r="W62207" s="8"/>
      <c r="X62207" s="8"/>
      <c r="Y62207" s="8"/>
      <c r="Z62207" s="8"/>
      <c r="AA62207" s="8"/>
    </row>
    <row r="62208" spans="1:27" x14ac:dyDescent="0.25">
      <c r="A62208" s="8"/>
      <c r="B62208" s="8"/>
      <c r="C62208" s="99"/>
      <c r="D62208" s="8"/>
      <c r="E62208" s="8"/>
      <c r="F62208" s="8"/>
      <c r="G62208" s="8"/>
      <c r="H62208" s="8"/>
      <c r="I62208" s="102"/>
      <c r="J62208" s="8"/>
      <c r="K62208" s="8"/>
      <c r="L62208" s="8"/>
      <c r="M62208" s="8"/>
      <c r="N62208" s="8"/>
      <c r="O62208" s="8"/>
      <c r="P62208" s="8"/>
      <c r="Q62208" s="8"/>
      <c r="R62208" s="103"/>
      <c r="S62208" s="8"/>
      <c r="T62208" s="8"/>
      <c r="U62208" s="8"/>
      <c r="V62208" s="8"/>
      <c r="W62208" s="8"/>
      <c r="X62208" s="8"/>
      <c r="Y62208" s="8"/>
      <c r="Z62208" s="8"/>
      <c r="AA62208" s="8"/>
    </row>
    <row r="62209" spans="1:27" x14ac:dyDescent="0.25">
      <c r="A62209" s="8"/>
      <c r="B62209" s="8"/>
      <c r="C62209" s="99"/>
      <c r="D62209" s="8"/>
      <c r="E62209" s="8"/>
      <c r="F62209" s="8"/>
      <c r="G62209" s="8"/>
      <c r="H62209" s="8"/>
      <c r="I62209" s="102"/>
      <c r="J62209" s="8"/>
      <c r="K62209" s="8"/>
      <c r="L62209" s="8"/>
      <c r="M62209" s="8"/>
      <c r="N62209" s="8"/>
      <c r="O62209" s="8"/>
      <c r="P62209" s="8"/>
      <c r="Q62209" s="8"/>
      <c r="R62209" s="103"/>
      <c r="S62209" s="8"/>
      <c r="T62209" s="8"/>
      <c r="U62209" s="8"/>
      <c r="V62209" s="8"/>
      <c r="W62209" s="8"/>
      <c r="X62209" s="8"/>
      <c r="Y62209" s="8"/>
      <c r="Z62209" s="8"/>
      <c r="AA62209" s="8"/>
    </row>
    <row r="62210" spans="1:27" x14ac:dyDescent="0.25">
      <c r="A62210" s="8"/>
      <c r="B62210" s="8"/>
      <c r="C62210" s="99"/>
      <c r="D62210" s="8"/>
      <c r="E62210" s="8"/>
      <c r="F62210" s="8"/>
      <c r="G62210" s="8"/>
      <c r="H62210" s="8"/>
      <c r="I62210" s="102"/>
      <c r="J62210" s="8"/>
      <c r="K62210" s="8"/>
      <c r="L62210" s="8"/>
      <c r="M62210" s="8"/>
      <c r="N62210" s="8"/>
      <c r="O62210" s="8"/>
      <c r="P62210" s="8"/>
      <c r="Q62210" s="8"/>
      <c r="R62210" s="103"/>
      <c r="S62210" s="8"/>
      <c r="T62210" s="8"/>
      <c r="U62210" s="8"/>
      <c r="V62210" s="8"/>
      <c r="W62210" s="8"/>
      <c r="X62210" s="8"/>
      <c r="Y62210" s="8"/>
      <c r="Z62210" s="8"/>
      <c r="AA62210" s="8"/>
    </row>
    <row r="62211" spans="1:27" x14ac:dyDescent="0.25">
      <c r="A62211" s="8"/>
      <c r="B62211" s="8"/>
      <c r="C62211" s="99"/>
      <c r="D62211" s="8"/>
      <c r="E62211" s="8"/>
      <c r="F62211" s="8"/>
      <c r="G62211" s="8"/>
      <c r="H62211" s="8"/>
      <c r="I62211" s="102"/>
      <c r="J62211" s="8"/>
      <c r="K62211" s="8"/>
      <c r="L62211" s="8"/>
      <c r="M62211" s="8"/>
      <c r="N62211" s="8"/>
      <c r="O62211" s="8"/>
      <c r="P62211" s="8"/>
      <c r="Q62211" s="8"/>
      <c r="R62211" s="103"/>
      <c r="S62211" s="8"/>
      <c r="T62211" s="8"/>
      <c r="U62211" s="8"/>
      <c r="V62211" s="8"/>
      <c r="W62211" s="8"/>
      <c r="X62211" s="8"/>
      <c r="Y62211" s="8"/>
      <c r="Z62211" s="8"/>
      <c r="AA62211" s="8"/>
    </row>
    <row r="62212" spans="1:27" x14ac:dyDescent="0.25">
      <c r="A62212" s="8"/>
      <c r="B62212" s="8"/>
      <c r="C62212" s="99"/>
      <c r="D62212" s="8"/>
      <c r="E62212" s="8"/>
      <c r="F62212" s="8"/>
      <c r="G62212" s="8"/>
      <c r="H62212" s="8"/>
      <c r="I62212" s="102"/>
      <c r="J62212" s="8"/>
      <c r="K62212" s="8"/>
      <c r="L62212" s="8"/>
      <c r="M62212" s="8"/>
      <c r="N62212" s="8"/>
      <c r="O62212" s="8"/>
      <c r="P62212" s="8"/>
      <c r="Q62212" s="8"/>
      <c r="R62212" s="103"/>
      <c r="S62212" s="8"/>
      <c r="T62212" s="8"/>
      <c r="U62212" s="8"/>
      <c r="V62212" s="8"/>
      <c r="W62212" s="8"/>
      <c r="X62212" s="8"/>
      <c r="Y62212" s="8"/>
      <c r="Z62212" s="8"/>
      <c r="AA62212" s="8"/>
    </row>
    <row r="62213" spans="1:27" x14ac:dyDescent="0.25">
      <c r="A62213" s="8"/>
      <c r="B62213" s="8"/>
      <c r="C62213" s="99"/>
      <c r="D62213" s="8"/>
      <c r="E62213" s="8"/>
      <c r="F62213" s="8"/>
      <c r="G62213" s="8"/>
      <c r="H62213" s="8"/>
      <c r="I62213" s="102"/>
      <c r="J62213" s="8"/>
      <c r="K62213" s="8"/>
      <c r="L62213" s="8"/>
      <c r="M62213" s="8"/>
      <c r="N62213" s="8"/>
      <c r="O62213" s="8"/>
      <c r="P62213" s="8"/>
      <c r="Q62213" s="8"/>
      <c r="R62213" s="103"/>
      <c r="S62213" s="8"/>
      <c r="T62213" s="8"/>
      <c r="U62213" s="8"/>
      <c r="V62213" s="8"/>
      <c r="W62213" s="8"/>
      <c r="X62213" s="8"/>
      <c r="Y62213" s="8"/>
      <c r="Z62213" s="8"/>
      <c r="AA62213" s="8"/>
    </row>
    <row r="62214" spans="1:27" x14ac:dyDescent="0.25">
      <c r="A62214" s="8"/>
      <c r="B62214" s="8"/>
      <c r="C62214" s="99"/>
      <c r="D62214" s="8"/>
      <c r="E62214" s="8"/>
      <c r="F62214" s="8"/>
      <c r="G62214" s="8"/>
      <c r="H62214" s="8"/>
      <c r="I62214" s="102"/>
      <c r="J62214" s="8"/>
      <c r="K62214" s="8"/>
      <c r="L62214" s="8"/>
      <c r="M62214" s="8"/>
      <c r="N62214" s="8"/>
      <c r="O62214" s="8"/>
      <c r="P62214" s="8"/>
      <c r="Q62214" s="8"/>
      <c r="R62214" s="103"/>
      <c r="S62214" s="8"/>
      <c r="T62214" s="8"/>
      <c r="U62214" s="8"/>
      <c r="V62214" s="8"/>
      <c r="W62214" s="8"/>
      <c r="X62214" s="8"/>
      <c r="Y62214" s="8"/>
      <c r="Z62214" s="8"/>
      <c r="AA62214" s="8"/>
    </row>
    <row r="62215" spans="1:27" x14ac:dyDescent="0.25">
      <c r="A62215" s="8"/>
      <c r="B62215" s="8"/>
      <c r="C62215" s="99"/>
      <c r="D62215" s="8"/>
      <c r="E62215" s="8"/>
      <c r="F62215" s="8"/>
      <c r="G62215" s="8"/>
      <c r="H62215" s="8"/>
      <c r="I62215" s="102"/>
      <c r="J62215" s="8"/>
      <c r="K62215" s="8"/>
      <c r="L62215" s="8"/>
      <c r="M62215" s="8"/>
      <c r="N62215" s="8"/>
      <c r="O62215" s="8"/>
      <c r="P62215" s="8"/>
      <c r="Q62215" s="8"/>
      <c r="R62215" s="103"/>
      <c r="S62215" s="8"/>
      <c r="T62215" s="8"/>
      <c r="U62215" s="8"/>
      <c r="V62215" s="8"/>
      <c r="W62215" s="8"/>
      <c r="X62215" s="8"/>
      <c r="Y62215" s="8"/>
      <c r="Z62215" s="8"/>
      <c r="AA62215" s="8"/>
    </row>
    <row r="62216" spans="1:27" x14ac:dyDescent="0.25">
      <c r="A62216" s="8"/>
      <c r="B62216" s="8"/>
      <c r="C62216" s="99"/>
      <c r="D62216" s="8"/>
      <c r="E62216" s="8"/>
      <c r="F62216" s="8"/>
      <c r="G62216" s="8"/>
      <c r="H62216" s="8"/>
      <c r="I62216" s="102"/>
      <c r="J62216" s="8"/>
      <c r="K62216" s="8"/>
      <c r="L62216" s="8"/>
      <c r="M62216" s="8"/>
      <c r="N62216" s="8"/>
      <c r="O62216" s="8"/>
      <c r="P62216" s="8"/>
      <c r="Q62216" s="8"/>
      <c r="R62216" s="103"/>
      <c r="S62216" s="8"/>
      <c r="T62216" s="8"/>
      <c r="U62216" s="8"/>
      <c r="V62216" s="8"/>
      <c r="W62216" s="8"/>
      <c r="X62216" s="8"/>
      <c r="Y62216" s="8"/>
      <c r="Z62216" s="8"/>
      <c r="AA62216" s="8"/>
    </row>
    <row r="62217" spans="1:27" x14ac:dyDescent="0.25">
      <c r="A62217" s="8"/>
      <c r="B62217" s="8"/>
      <c r="C62217" s="99"/>
      <c r="D62217" s="8"/>
      <c r="E62217" s="8"/>
      <c r="F62217" s="8"/>
      <c r="G62217" s="8"/>
      <c r="H62217" s="8"/>
      <c r="I62217" s="102"/>
      <c r="J62217" s="8"/>
      <c r="K62217" s="8"/>
      <c r="L62217" s="8"/>
      <c r="M62217" s="8"/>
      <c r="N62217" s="8"/>
      <c r="O62217" s="8"/>
      <c r="P62217" s="8"/>
      <c r="Q62217" s="8"/>
      <c r="R62217" s="103"/>
      <c r="S62217" s="8"/>
      <c r="T62217" s="8"/>
      <c r="U62217" s="8"/>
      <c r="V62217" s="8"/>
      <c r="W62217" s="8"/>
      <c r="X62217" s="8"/>
      <c r="Y62217" s="8"/>
      <c r="Z62217" s="8"/>
      <c r="AA62217" s="8"/>
    </row>
    <row r="62218" spans="1:27" x14ac:dyDescent="0.25">
      <c r="A62218" s="8"/>
      <c r="B62218" s="8"/>
      <c r="C62218" s="99"/>
      <c r="D62218" s="8"/>
      <c r="E62218" s="8"/>
      <c r="F62218" s="8"/>
      <c r="G62218" s="8"/>
      <c r="H62218" s="8"/>
      <c r="I62218" s="102"/>
      <c r="J62218" s="8"/>
      <c r="K62218" s="8"/>
      <c r="L62218" s="8"/>
      <c r="M62218" s="8"/>
      <c r="N62218" s="8"/>
      <c r="O62218" s="8"/>
      <c r="P62218" s="8"/>
      <c r="Q62218" s="8"/>
      <c r="R62218" s="103"/>
      <c r="S62218" s="8"/>
      <c r="T62218" s="8"/>
      <c r="U62218" s="8"/>
      <c r="V62218" s="8"/>
      <c r="W62218" s="8"/>
      <c r="X62218" s="8"/>
      <c r="Y62218" s="8"/>
      <c r="Z62218" s="8"/>
      <c r="AA62218" s="8"/>
    </row>
    <row r="62219" spans="1:27" x14ac:dyDescent="0.25">
      <c r="A62219" s="8"/>
      <c r="B62219" s="8"/>
      <c r="C62219" s="99"/>
      <c r="D62219" s="8"/>
      <c r="E62219" s="8"/>
      <c r="F62219" s="8"/>
      <c r="G62219" s="8"/>
      <c r="H62219" s="8"/>
      <c r="I62219" s="102"/>
      <c r="J62219" s="8"/>
      <c r="K62219" s="8"/>
      <c r="L62219" s="8"/>
      <c r="M62219" s="8"/>
      <c r="N62219" s="8"/>
      <c r="O62219" s="8"/>
      <c r="P62219" s="8"/>
      <c r="Q62219" s="8"/>
      <c r="R62219" s="103"/>
      <c r="S62219" s="8"/>
      <c r="T62219" s="8"/>
      <c r="U62219" s="8"/>
      <c r="V62219" s="8"/>
      <c r="W62219" s="8"/>
      <c r="X62219" s="8"/>
      <c r="Y62219" s="8"/>
      <c r="Z62219" s="8"/>
      <c r="AA62219" s="8"/>
    </row>
    <row r="62220" spans="1:27" x14ac:dyDescent="0.25">
      <c r="A62220" s="8"/>
      <c r="B62220" s="8"/>
      <c r="C62220" s="99"/>
      <c r="D62220" s="8"/>
      <c r="E62220" s="8"/>
      <c r="F62220" s="8"/>
      <c r="G62220" s="8"/>
      <c r="H62220" s="8"/>
      <c r="I62220" s="102"/>
      <c r="J62220" s="8"/>
      <c r="K62220" s="8"/>
      <c r="L62220" s="8"/>
      <c r="M62220" s="8"/>
      <c r="N62220" s="8"/>
      <c r="O62220" s="8"/>
      <c r="P62220" s="8"/>
      <c r="Q62220" s="8"/>
      <c r="R62220" s="103"/>
      <c r="S62220" s="8"/>
      <c r="T62220" s="8"/>
      <c r="U62220" s="8"/>
      <c r="V62220" s="8"/>
      <c r="W62220" s="8"/>
      <c r="X62220" s="8"/>
      <c r="Y62220" s="8"/>
      <c r="Z62220" s="8"/>
      <c r="AA62220" s="8"/>
    </row>
    <row r="62221" spans="1:27" x14ac:dyDescent="0.25">
      <c r="A62221" s="8"/>
      <c r="B62221" s="8"/>
      <c r="C62221" s="99"/>
      <c r="D62221" s="8"/>
      <c r="E62221" s="8"/>
      <c r="F62221" s="8"/>
      <c r="G62221" s="8"/>
      <c r="H62221" s="8"/>
      <c r="I62221" s="102"/>
      <c r="J62221" s="8"/>
      <c r="K62221" s="8"/>
      <c r="L62221" s="8"/>
      <c r="M62221" s="8"/>
      <c r="N62221" s="8"/>
      <c r="O62221" s="8"/>
      <c r="P62221" s="8"/>
      <c r="Q62221" s="8"/>
      <c r="R62221" s="103"/>
      <c r="S62221" s="8"/>
      <c r="T62221" s="8"/>
      <c r="U62221" s="8"/>
      <c r="V62221" s="8"/>
      <c r="W62221" s="8"/>
      <c r="X62221" s="8"/>
      <c r="Y62221" s="8"/>
      <c r="Z62221" s="8"/>
      <c r="AA62221" s="8"/>
    </row>
    <row r="62222" spans="1:27" x14ac:dyDescent="0.25">
      <c r="A62222" s="8"/>
      <c r="B62222" s="8"/>
      <c r="C62222" s="99"/>
      <c r="D62222" s="8"/>
      <c r="E62222" s="8"/>
      <c r="F62222" s="8"/>
      <c r="G62222" s="8"/>
      <c r="H62222" s="8"/>
      <c r="I62222" s="102"/>
      <c r="J62222" s="8"/>
      <c r="K62222" s="8"/>
      <c r="L62222" s="8"/>
      <c r="M62222" s="8"/>
      <c r="N62222" s="8"/>
      <c r="O62222" s="8"/>
      <c r="P62222" s="8"/>
      <c r="Q62222" s="8"/>
      <c r="R62222" s="103"/>
      <c r="S62222" s="8"/>
      <c r="T62222" s="8"/>
      <c r="U62222" s="8"/>
      <c r="V62222" s="8"/>
      <c r="W62222" s="8"/>
      <c r="X62222" s="8"/>
      <c r="Y62222" s="8"/>
      <c r="Z62222" s="8"/>
      <c r="AA62222" s="8"/>
    </row>
    <row r="62223" spans="1:27" x14ac:dyDescent="0.25">
      <c r="A62223" s="8"/>
      <c r="B62223" s="8"/>
      <c r="C62223" s="99"/>
      <c r="D62223" s="8"/>
      <c r="E62223" s="8"/>
      <c r="F62223" s="8"/>
      <c r="G62223" s="8"/>
      <c r="H62223" s="8"/>
      <c r="I62223" s="102"/>
      <c r="J62223" s="8"/>
      <c r="K62223" s="8"/>
      <c r="L62223" s="8"/>
      <c r="M62223" s="8"/>
      <c r="N62223" s="8"/>
      <c r="O62223" s="8"/>
      <c r="P62223" s="8"/>
      <c r="Q62223" s="8"/>
      <c r="R62223" s="103"/>
      <c r="S62223" s="8"/>
      <c r="T62223" s="8"/>
      <c r="U62223" s="8"/>
      <c r="V62223" s="8"/>
      <c r="W62223" s="8"/>
      <c r="X62223" s="8"/>
      <c r="Y62223" s="8"/>
      <c r="Z62223" s="8"/>
      <c r="AA62223" s="8"/>
    </row>
    <row r="62224" spans="1:27" x14ac:dyDescent="0.25">
      <c r="A62224" s="8"/>
      <c r="B62224" s="8"/>
      <c r="C62224" s="99"/>
      <c r="D62224" s="8"/>
      <c r="E62224" s="8"/>
      <c r="F62224" s="8"/>
      <c r="G62224" s="8"/>
      <c r="H62224" s="8"/>
      <c r="I62224" s="102"/>
      <c r="J62224" s="8"/>
      <c r="K62224" s="8"/>
      <c r="L62224" s="8"/>
      <c r="M62224" s="8"/>
      <c r="N62224" s="8"/>
      <c r="O62224" s="8"/>
      <c r="P62224" s="8"/>
      <c r="Q62224" s="8"/>
      <c r="R62224" s="103"/>
      <c r="S62224" s="8"/>
      <c r="T62224" s="8"/>
      <c r="U62224" s="8"/>
      <c r="V62224" s="8"/>
      <c r="W62224" s="8"/>
      <c r="X62224" s="8"/>
      <c r="Y62224" s="8"/>
      <c r="Z62224" s="8"/>
      <c r="AA62224" s="8"/>
    </row>
    <row r="62225" spans="1:27" x14ac:dyDescent="0.25">
      <c r="A62225" s="8"/>
      <c r="B62225" s="8"/>
      <c r="C62225" s="99"/>
      <c r="D62225" s="8"/>
      <c r="E62225" s="8"/>
      <c r="F62225" s="8"/>
      <c r="G62225" s="8"/>
      <c r="H62225" s="8"/>
      <c r="I62225" s="102"/>
      <c r="J62225" s="8"/>
      <c r="K62225" s="8"/>
      <c r="L62225" s="8"/>
      <c r="M62225" s="8"/>
      <c r="N62225" s="8"/>
      <c r="O62225" s="8"/>
      <c r="P62225" s="8"/>
      <c r="Q62225" s="8"/>
      <c r="R62225" s="103"/>
      <c r="S62225" s="8"/>
      <c r="T62225" s="8"/>
      <c r="U62225" s="8"/>
      <c r="V62225" s="8"/>
      <c r="W62225" s="8"/>
      <c r="X62225" s="8"/>
      <c r="Y62225" s="8"/>
      <c r="Z62225" s="8"/>
      <c r="AA62225" s="8"/>
    </row>
    <row r="62226" spans="1:27" x14ac:dyDescent="0.25">
      <c r="A62226" s="8"/>
      <c r="B62226" s="8"/>
      <c r="C62226" s="99"/>
      <c r="D62226" s="8"/>
      <c r="E62226" s="8"/>
      <c r="F62226" s="8"/>
      <c r="G62226" s="8"/>
      <c r="H62226" s="8"/>
      <c r="I62226" s="102"/>
      <c r="J62226" s="8"/>
      <c r="K62226" s="8"/>
      <c r="L62226" s="8"/>
      <c r="M62226" s="8"/>
      <c r="N62226" s="8"/>
      <c r="O62226" s="8"/>
      <c r="P62226" s="8"/>
      <c r="Q62226" s="8"/>
      <c r="R62226" s="103"/>
      <c r="S62226" s="8"/>
      <c r="T62226" s="8"/>
      <c r="U62226" s="8"/>
      <c r="V62226" s="8"/>
      <c r="W62226" s="8"/>
      <c r="X62226" s="8"/>
      <c r="Y62226" s="8"/>
      <c r="Z62226" s="8"/>
      <c r="AA62226" s="8"/>
    </row>
    <row r="62227" spans="1:27" x14ac:dyDescent="0.25">
      <c r="A62227" s="8"/>
      <c r="B62227" s="8"/>
      <c r="C62227" s="99"/>
      <c r="D62227" s="8"/>
      <c r="E62227" s="8"/>
      <c r="F62227" s="8"/>
      <c r="G62227" s="8"/>
      <c r="H62227" s="8"/>
      <c r="I62227" s="102"/>
      <c r="J62227" s="8"/>
      <c r="K62227" s="8"/>
      <c r="L62227" s="8"/>
      <c r="M62227" s="8"/>
      <c r="N62227" s="8"/>
      <c r="O62227" s="8"/>
      <c r="P62227" s="8"/>
      <c r="Q62227" s="8"/>
      <c r="R62227" s="103"/>
      <c r="S62227" s="8"/>
      <c r="T62227" s="8"/>
      <c r="U62227" s="8"/>
      <c r="V62227" s="8"/>
      <c r="W62227" s="8"/>
      <c r="X62227" s="8"/>
      <c r="Y62227" s="8"/>
      <c r="Z62227" s="8"/>
      <c r="AA62227" s="8"/>
    </row>
    <row r="62228" spans="1:27" x14ac:dyDescent="0.25">
      <c r="A62228" s="8"/>
      <c r="B62228" s="8"/>
      <c r="C62228" s="99"/>
      <c r="D62228" s="8"/>
      <c r="E62228" s="8"/>
      <c r="F62228" s="8"/>
      <c r="G62228" s="8"/>
      <c r="H62228" s="8"/>
      <c r="I62228" s="102"/>
      <c r="J62228" s="8"/>
      <c r="K62228" s="8"/>
      <c r="L62228" s="8"/>
      <c r="M62228" s="8"/>
      <c r="N62228" s="8"/>
      <c r="O62228" s="8"/>
      <c r="P62228" s="8"/>
      <c r="Q62228" s="8"/>
      <c r="R62228" s="103"/>
      <c r="S62228" s="8"/>
      <c r="T62228" s="8"/>
      <c r="U62228" s="8"/>
      <c r="V62228" s="8"/>
      <c r="W62228" s="8"/>
      <c r="X62228" s="8"/>
      <c r="Y62228" s="8"/>
      <c r="Z62228" s="8"/>
      <c r="AA62228" s="8"/>
    </row>
    <row r="62229" spans="1:27" x14ac:dyDescent="0.25">
      <c r="A62229" s="8"/>
      <c r="B62229" s="8"/>
      <c r="C62229" s="99"/>
      <c r="D62229" s="8"/>
      <c r="E62229" s="8"/>
      <c r="F62229" s="8"/>
      <c r="G62229" s="8"/>
      <c r="H62229" s="8"/>
      <c r="I62229" s="102"/>
      <c r="J62229" s="8"/>
      <c r="K62229" s="8"/>
      <c r="L62229" s="8"/>
      <c r="M62229" s="8"/>
      <c r="N62229" s="8"/>
      <c r="O62229" s="8"/>
      <c r="P62229" s="8"/>
      <c r="Q62229" s="8"/>
      <c r="R62229" s="103"/>
      <c r="S62229" s="8"/>
      <c r="T62229" s="8"/>
      <c r="U62229" s="8"/>
      <c r="V62229" s="8"/>
      <c r="W62229" s="8"/>
      <c r="X62229" s="8"/>
      <c r="Y62229" s="8"/>
      <c r="Z62229" s="8"/>
      <c r="AA62229" s="8"/>
    </row>
    <row r="62230" spans="1:27" x14ac:dyDescent="0.25">
      <c r="A62230" s="8"/>
      <c r="B62230" s="8"/>
      <c r="C62230" s="99"/>
      <c r="D62230" s="8"/>
      <c r="E62230" s="8"/>
      <c r="F62230" s="8"/>
      <c r="G62230" s="8"/>
      <c r="H62230" s="8"/>
      <c r="I62230" s="102"/>
      <c r="J62230" s="8"/>
      <c r="K62230" s="8"/>
      <c r="L62230" s="8"/>
      <c r="M62230" s="8"/>
      <c r="N62230" s="8"/>
      <c r="O62230" s="8"/>
      <c r="P62230" s="8"/>
      <c r="Q62230" s="8"/>
      <c r="R62230" s="103"/>
      <c r="S62230" s="8"/>
      <c r="T62230" s="8"/>
      <c r="U62230" s="8"/>
      <c r="V62230" s="8"/>
      <c r="W62230" s="8"/>
      <c r="X62230" s="8"/>
      <c r="Y62230" s="8"/>
      <c r="Z62230" s="8"/>
      <c r="AA62230" s="8"/>
    </row>
    <row r="62231" spans="1:27" x14ac:dyDescent="0.25">
      <c r="A62231" s="8"/>
      <c r="B62231" s="8"/>
      <c r="C62231" s="99"/>
      <c r="D62231" s="8"/>
      <c r="E62231" s="8"/>
      <c r="F62231" s="8"/>
      <c r="G62231" s="8"/>
      <c r="H62231" s="8"/>
      <c r="I62231" s="102"/>
      <c r="J62231" s="8"/>
      <c r="K62231" s="8"/>
      <c r="L62231" s="8"/>
      <c r="M62231" s="8"/>
      <c r="N62231" s="8"/>
      <c r="O62231" s="8"/>
      <c r="P62231" s="8"/>
      <c r="Q62231" s="8"/>
      <c r="R62231" s="103"/>
      <c r="S62231" s="8"/>
      <c r="T62231" s="8"/>
      <c r="U62231" s="8"/>
      <c r="V62231" s="8"/>
      <c r="W62231" s="8"/>
      <c r="X62231" s="8"/>
      <c r="Y62231" s="8"/>
      <c r="Z62231" s="8"/>
      <c r="AA62231" s="8"/>
    </row>
    <row r="62232" spans="1:27" x14ac:dyDescent="0.25">
      <c r="A62232" s="8"/>
      <c r="B62232" s="8"/>
      <c r="C62232" s="99"/>
      <c r="D62232" s="8"/>
      <c r="E62232" s="8"/>
      <c r="F62232" s="8"/>
      <c r="G62232" s="8"/>
      <c r="H62232" s="8"/>
      <c r="I62232" s="102"/>
      <c r="J62232" s="8"/>
      <c r="K62232" s="8"/>
      <c r="L62232" s="8"/>
      <c r="M62232" s="8"/>
      <c r="N62232" s="8"/>
      <c r="O62232" s="8"/>
      <c r="P62232" s="8"/>
      <c r="Q62232" s="8"/>
      <c r="R62232" s="103"/>
      <c r="S62232" s="8"/>
      <c r="T62232" s="8"/>
      <c r="U62232" s="8"/>
      <c r="V62232" s="8"/>
      <c r="W62232" s="8"/>
      <c r="X62232" s="8"/>
      <c r="Y62232" s="8"/>
      <c r="Z62232" s="8"/>
      <c r="AA62232" s="8"/>
    </row>
    <row r="62233" spans="1:27" x14ac:dyDescent="0.25">
      <c r="A62233" s="8"/>
      <c r="B62233" s="8"/>
      <c r="C62233" s="99"/>
      <c r="D62233" s="8"/>
      <c r="E62233" s="8"/>
      <c r="F62233" s="8"/>
      <c r="G62233" s="8"/>
      <c r="H62233" s="8"/>
      <c r="I62233" s="102"/>
      <c r="J62233" s="8"/>
      <c r="K62233" s="8"/>
      <c r="L62233" s="8"/>
      <c r="M62233" s="8"/>
      <c r="N62233" s="8"/>
      <c r="O62233" s="8"/>
      <c r="P62233" s="8"/>
      <c r="Q62233" s="8"/>
      <c r="R62233" s="103"/>
      <c r="S62233" s="8"/>
      <c r="T62233" s="8"/>
      <c r="U62233" s="8"/>
      <c r="V62233" s="8"/>
      <c r="W62233" s="8"/>
      <c r="X62233" s="8"/>
      <c r="Y62233" s="8"/>
      <c r="Z62233" s="8"/>
      <c r="AA62233" s="8"/>
    </row>
    <row r="62234" spans="1:27" x14ac:dyDescent="0.25">
      <c r="A62234" s="8"/>
      <c r="B62234" s="8"/>
      <c r="C62234" s="99"/>
      <c r="D62234" s="8"/>
      <c r="E62234" s="8"/>
      <c r="F62234" s="8"/>
      <c r="G62234" s="8"/>
      <c r="H62234" s="8"/>
      <c r="I62234" s="102"/>
      <c r="J62234" s="8"/>
      <c r="K62234" s="8"/>
      <c r="L62234" s="8"/>
      <c r="M62234" s="8"/>
      <c r="N62234" s="8"/>
      <c r="O62234" s="8"/>
      <c r="P62234" s="8"/>
      <c r="Q62234" s="8"/>
      <c r="R62234" s="103"/>
      <c r="S62234" s="8"/>
      <c r="T62234" s="8"/>
      <c r="U62234" s="8"/>
      <c r="V62234" s="8"/>
      <c r="W62234" s="8"/>
      <c r="X62234" s="8"/>
      <c r="Y62234" s="8"/>
      <c r="Z62234" s="8"/>
      <c r="AA62234" s="8"/>
    </row>
    <row r="62235" spans="1:27" x14ac:dyDescent="0.25">
      <c r="A62235" s="8"/>
      <c r="B62235" s="8"/>
      <c r="C62235" s="99"/>
      <c r="D62235" s="8"/>
      <c r="E62235" s="8"/>
      <c r="F62235" s="8"/>
      <c r="G62235" s="8"/>
      <c r="H62235" s="8"/>
      <c r="I62235" s="102"/>
      <c r="J62235" s="8"/>
      <c r="K62235" s="8"/>
      <c r="L62235" s="8"/>
      <c r="M62235" s="8"/>
      <c r="N62235" s="8"/>
      <c r="O62235" s="8"/>
      <c r="P62235" s="8"/>
      <c r="Q62235" s="8"/>
      <c r="R62235" s="103"/>
      <c r="S62235" s="8"/>
      <c r="T62235" s="8"/>
      <c r="U62235" s="8"/>
      <c r="V62235" s="8"/>
      <c r="W62235" s="8"/>
      <c r="X62235" s="8"/>
      <c r="Y62235" s="8"/>
      <c r="Z62235" s="8"/>
      <c r="AA62235" s="8"/>
    </row>
    <row r="62236" spans="1:27" x14ac:dyDescent="0.25">
      <c r="A62236" s="8"/>
      <c r="B62236" s="8"/>
      <c r="C62236" s="99"/>
      <c r="D62236" s="8"/>
      <c r="E62236" s="8"/>
      <c r="F62236" s="8"/>
      <c r="G62236" s="8"/>
      <c r="H62236" s="8"/>
      <c r="I62236" s="102"/>
      <c r="J62236" s="8"/>
      <c r="K62236" s="8"/>
      <c r="L62236" s="8"/>
      <c r="M62236" s="8"/>
      <c r="N62236" s="8"/>
      <c r="O62236" s="8"/>
      <c r="P62236" s="8"/>
      <c r="Q62236" s="8"/>
      <c r="R62236" s="103"/>
      <c r="S62236" s="8"/>
      <c r="T62236" s="8"/>
      <c r="U62236" s="8"/>
      <c r="V62236" s="8"/>
      <c r="W62236" s="8"/>
      <c r="X62236" s="8"/>
      <c r="Y62236" s="8"/>
      <c r="Z62236" s="8"/>
      <c r="AA62236" s="8"/>
    </row>
    <row r="62237" spans="1:27" x14ac:dyDescent="0.25">
      <c r="A62237" s="8"/>
      <c r="B62237" s="8"/>
      <c r="C62237" s="99"/>
      <c r="D62237" s="8"/>
      <c r="E62237" s="8"/>
      <c r="F62237" s="8"/>
      <c r="G62237" s="8"/>
      <c r="H62237" s="8"/>
      <c r="I62237" s="102"/>
      <c r="J62237" s="8"/>
      <c r="K62237" s="8"/>
      <c r="L62237" s="8"/>
      <c r="M62237" s="8"/>
      <c r="N62237" s="8"/>
      <c r="O62237" s="8"/>
      <c r="P62237" s="8"/>
      <c r="Q62237" s="8"/>
      <c r="R62237" s="103"/>
      <c r="S62237" s="8"/>
      <c r="T62237" s="8"/>
      <c r="U62237" s="8"/>
      <c r="V62237" s="8"/>
      <c r="W62237" s="8"/>
      <c r="X62237" s="8"/>
      <c r="Y62237" s="8"/>
      <c r="Z62237" s="8"/>
      <c r="AA62237" s="8"/>
    </row>
    <row r="62238" spans="1:27" x14ac:dyDescent="0.25">
      <c r="A62238" s="8"/>
      <c r="B62238" s="8"/>
      <c r="C62238" s="99"/>
      <c r="D62238" s="8"/>
      <c r="E62238" s="8"/>
      <c r="F62238" s="8"/>
      <c r="G62238" s="8"/>
      <c r="H62238" s="8"/>
      <c r="I62238" s="102"/>
      <c r="J62238" s="8"/>
      <c r="K62238" s="8"/>
      <c r="L62238" s="8"/>
      <c r="M62238" s="8"/>
      <c r="N62238" s="8"/>
      <c r="O62238" s="8"/>
      <c r="P62238" s="8"/>
      <c r="Q62238" s="8"/>
      <c r="R62238" s="103"/>
      <c r="S62238" s="8"/>
      <c r="T62238" s="8"/>
      <c r="U62238" s="8"/>
      <c r="V62238" s="8"/>
      <c r="W62238" s="8"/>
      <c r="X62238" s="8"/>
      <c r="Y62238" s="8"/>
      <c r="Z62238" s="8"/>
      <c r="AA62238" s="8"/>
    </row>
    <row r="62239" spans="1:27" x14ac:dyDescent="0.25">
      <c r="A62239" s="8"/>
      <c r="B62239" s="8"/>
      <c r="C62239" s="99"/>
      <c r="D62239" s="8"/>
      <c r="E62239" s="8"/>
      <c r="F62239" s="8"/>
      <c r="G62239" s="8"/>
      <c r="H62239" s="8"/>
      <c r="I62239" s="102"/>
      <c r="J62239" s="8"/>
      <c r="K62239" s="8"/>
      <c r="L62239" s="8"/>
      <c r="M62239" s="8"/>
      <c r="N62239" s="8"/>
      <c r="O62239" s="8"/>
      <c r="P62239" s="8"/>
      <c r="Q62239" s="8"/>
      <c r="R62239" s="103"/>
      <c r="S62239" s="8"/>
      <c r="T62239" s="8"/>
      <c r="U62239" s="8"/>
      <c r="V62239" s="8"/>
      <c r="W62239" s="8"/>
      <c r="X62239" s="8"/>
      <c r="Y62239" s="8"/>
      <c r="Z62239" s="8"/>
      <c r="AA62239" s="8"/>
    </row>
    <row r="62240" spans="1:27" x14ac:dyDescent="0.25">
      <c r="A62240" s="8"/>
      <c r="B62240" s="8"/>
      <c r="C62240" s="99"/>
      <c r="D62240" s="8"/>
      <c r="E62240" s="8"/>
      <c r="F62240" s="8"/>
      <c r="G62240" s="8"/>
      <c r="H62240" s="8"/>
      <c r="I62240" s="102"/>
      <c r="J62240" s="8"/>
      <c r="K62240" s="8"/>
      <c r="L62240" s="8"/>
      <c r="M62240" s="8"/>
      <c r="N62240" s="8"/>
      <c r="O62240" s="8"/>
      <c r="P62240" s="8"/>
      <c r="Q62240" s="8"/>
      <c r="R62240" s="103"/>
      <c r="S62240" s="8"/>
      <c r="T62240" s="8"/>
      <c r="U62240" s="8"/>
      <c r="V62240" s="8"/>
      <c r="W62240" s="8"/>
      <c r="X62240" s="8"/>
      <c r="Y62240" s="8"/>
      <c r="Z62240" s="8"/>
      <c r="AA62240" s="8"/>
    </row>
    <row r="62241" spans="1:27" x14ac:dyDescent="0.25">
      <c r="A62241" s="8"/>
      <c r="B62241" s="8"/>
      <c r="C62241" s="99"/>
      <c r="D62241" s="8"/>
      <c r="E62241" s="8"/>
      <c r="F62241" s="8"/>
      <c r="G62241" s="8"/>
      <c r="H62241" s="8"/>
      <c r="I62241" s="102"/>
      <c r="J62241" s="8"/>
      <c r="K62241" s="8"/>
      <c r="L62241" s="8"/>
      <c r="M62241" s="8"/>
      <c r="N62241" s="8"/>
      <c r="O62241" s="8"/>
      <c r="P62241" s="8"/>
      <c r="Q62241" s="8"/>
      <c r="R62241" s="103"/>
      <c r="S62241" s="8"/>
      <c r="T62241" s="8"/>
      <c r="U62241" s="8"/>
      <c r="V62241" s="8"/>
      <c r="W62241" s="8"/>
      <c r="X62241" s="8"/>
      <c r="Y62241" s="8"/>
      <c r="Z62241" s="8"/>
      <c r="AA62241" s="8"/>
    </row>
    <row r="62242" spans="1:27" x14ac:dyDescent="0.25">
      <c r="A62242" s="8"/>
      <c r="B62242" s="8"/>
      <c r="C62242" s="99"/>
      <c r="D62242" s="8"/>
      <c r="E62242" s="8"/>
      <c r="F62242" s="8"/>
      <c r="G62242" s="8"/>
      <c r="H62242" s="8"/>
      <c r="I62242" s="102"/>
      <c r="J62242" s="8"/>
      <c r="K62242" s="8"/>
      <c r="L62242" s="8"/>
      <c r="M62242" s="8"/>
      <c r="N62242" s="8"/>
      <c r="O62242" s="8"/>
      <c r="P62242" s="8"/>
      <c r="Q62242" s="8"/>
      <c r="R62242" s="103"/>
      <c r="S62242" s="8"/>
      <c r="T62242" s="8"/>
      <c r="U62242" s="8"/>
      <c r="V62242" s="8"/>
      <c r="W62242" s="8"/>
      <c r="X62242" s="8"/>
      <c r="Y62242" s="8"/>
      <c r="Z62242" s="8"/>
      <c r="AA62242" s="8"/>
    </row>
    <row r="62243" spans="1:27" x14ac:dyDescent="0.25">
      <c r="A62243" s="8"/>
      <c r="B62243" s="8"/>
      <c r="C62243" s="99"/>
      <c r="D62243" s="8"/>
      <c r="E62243" s="8"/>
      <c r="F62243" s="8"/>
      <c r="G62243" s="8"/>
      <c r="H62243" s="8"/>
      <c r="I62243" s="102"/>
      <c r="J62243" s="8"/>
      <c r="K62243" s="8"/>
      <c r="L62243" s="8"/>
      <c r="M62243" s="8"/>
      <c r="N62243" s="8"/>
      <c r="O62243" s="8"/>
      <c r="P62243" s="8"/>
      <c r="Q62243" s="8"/>
      <c r="R62243" s="103"/>
      <c r="S62243" s="8"/>
      <c r="T62243" s="8"/>
      <c r="U62243" s="8"/>
      <c r="V62243" s="8"/>
      <c r="W62243" s="8"/>
      <c r="X62243" s="8"/>
      <c r="Y62243" s="8"/>
      <c r="Z62243" s="8"/>
      <c r="AA62243" s="8"/>
    </row>
    <row r="62244" spans="1:27" x14ac:dyDescent="0.25">
      <c r="A62244" s="8"/>
      <c r="B62244" s="8"/>
      <c r="C62244" s="99"/>
      <c r="D62244" s="8"/>
      <c r="E62244" s="8"/>
      <c r="F62244" s="8"/>
      <c r="G62244" s="8"/>
      <c r="H62244" s="8"/>
      <c r="I62244" s="102"/>
      <c r="J62244" s="8"/>
      <c r="K62244" s="8"/>
      <c r="L62244" s="8"/>
      <c r="M62244" s="8"/>
      <c r="N62244" s="8"/>
      <c r="O62244" s="8"/>
      <c r="P62244" s="8"/>
      <c r="Q62244" s="8"/>
      <c r="R62244" s="103"/>
      <c r="S62244" s="8"/>
      <c r="T62244" s="8"/>
      <c r="U62244" s="8"/>
      <c r="V62244" s="8"/>
      <c r="W62244" s="8"/>
      <c r="X62244" s="8"/>
      <c r="Y62244" s="8"/>
      <c r="Z62244" s="8"/>
      <c r="AA62244" s="8"/>
    </row>
    <row r="62245" spans="1:27" x14ac:dyDescent="0.25">
      <c r="A62245" s="8"/>
      <c r="B62245" s="8"/>
      <c r="C62245" s="99"/>
      <c r="D62245" s="8"/>
      <c r="E62245" s="8"/>
      <c r="F62245" s="8"/>
      <c r="G62245" s="8"/>
      <c r="H62245" s="8"/>
      <c r="I62245" s="102"/>
      <c r="J62245" s="8"/>
      <c r="K62245" s="8"/>
      <c r="L62245" s="8"/>
      <c r="M62245" s="8"/>
      <c r="N62245" s="8"/>
      <c r="O62245" s="8"/>
      <c r="P62245" s="8"/>
      <c r="Q62245" s="8"/>
      <c r="R62245" s="103"/>
      <c r="S62245" s="8"/>
      <c r="T62245" s="8"/>
      <c r="U62245" s="8"/>
      <c r="V62245" s="8"/>
      <c r="W62245" s="8"/>
      <c r="X62245" s="8"/>
      <c r="Y62245" s="8"/>
      <c r="Z62245" s="8"/>
      <c r="AA62245" s="8"/>
    </row>
    <row r="62246" spans="1:27" x14ac:dyDescent="0.25">
      <c r="A62246" s="8"/>
      <c r="B62246" s="8"/>
      <c r="C62246" s="99"/>
      <c r="D62246" s="8"/>
      <c r="E62246" s="8"/>
      <c r="F62246" s="8"/>
      <c r="G62246" s="8"/>
      <c r="H62246" s="8"/>
      <c r="I62246" s="102"/>
      <c r="J62246" s="8"/>
      <c r="K62246" s="8"/>
      <c r="L62246" s="8"/>
      <c r="M62246" s="8"/>
      <c r="N62246" s="8"/>
      <c r="O62246" s="8"/>
      <c r="P62246" s="8"/>
      <c r="Q62246" s="8"/>
      <c r="R62246" s="103"/>
      <c r="S62246" s="8"/>
      <c r="T62246" s="8"/>
      <c r="U62246" s="8"/>
      <c r="V62246" s="8"/>
      <c r="W62246" s="8"/>
      <c r="X62246" s="8"/>
      <c r="Y62246" s="8"/>
      <c r="Z62246" s="8"/>
      <c r="AA62246" s="8"/>
    </row>
    <row r="62247" spans="1:27" x14ac:dyDescent="0.25">
      <c r="A62247" s="8"/>
      <c r="B62247" s="8"/>
      <c r="C62247" s="99"/>
      <c r="D62247" s="8"/>
      <c r="E62247" s="8"/>
      <c r="F62247" s="8"/>
      <c r="G62247" s="8"/>
      <c r="H62247" s="8"/>
      <c r="I62247" s="102"/>
      <c r="J62247" s="8"/>
      <c r="K62247" s="8"/>
      <c r="L62247" s="8"/>
      <c r="M62247" s="8"/>
      <c r="N62247" s="8"/>
      <c r="O62247" s="8"/>
      <c r="P62247" s="8"/>
      <c r="Q62247" s="8"/>
      <c r="R62247" s="103"/>
      <c r="S62247" s="8"/>
      <c r="T62247" s="8"/>
      <c r="U62247" s="8"/>
      <c r="V62247" s="8"/>
      <c r="W62247" s="8"/>
      <c r="X62247" s="8"/>
      <c r="Y62247" s="8"/>
      <c r="Z62247" s="8"/>
      <c r="AA62247" s="8"/>
    </row>
    <row r="62248" spans="1:27" x14ac:dyDescent="0.25">
      <c r="A62248" s="8"/>
      <c r="B62248" s="8"/>
      <c r="C62248" s="99"/>
      <c r="D62248" s="8"/>
      <c r="E62248" s="8"/>
      <c r="F62248" s="8"/>
      <c r="G62248" s="8"/>
      <c r="H62248" s="8"/>
      <c r="I62248" s="102"/>
      <c r="J62248" s="8"/>
      <c r="K62248" s="8"/>
      <c r="L62248" s="8"/>
      <c r="M62248" s="8"/>
      <c r="N62248" s="8"/>
      <c r="O62248" s="8"/>
      <c r="P62248" s="8"/>
      <c r="Q62248" s="8"/>
      <c r="R62248" s="103"/>
      <c r="S62248" s="8"/>
      <c r="T62248" s="8"/>
      <c r="U62248" s="8"/>
      <c r="V62248" s="8"/>
      <c r="W62248" s="8"/>
      <c r="X62248" s="8"/>
      <c r="Y62248" s="8"/>
      <c r="Z62248" s="8"/>
      <c r="AA62248" s="8"/>
    </row>
    <row r="62249" spans="1:27" x14ac:dyDescent="0.25">
      <c r="A62249" s="8"/>
      <c r="B62249" s="8"/>
      <c r="C62249" s="99"/>
      <c r="D62249" s="8"/>
      <c r="E62249" s="8"/>
      <c r="F62249" s="8"/>
      <c r="G62249" s="8"/>
      <c r="H62249" s="8"/>
      <c r="I62249" s="102"/>
      <c r="J62249" s="8"/>
      <c r="K62249" s="8"/>
      <c r="L62249" s="8"/>
      <c r="M62249" s="8"/>
      <c r="N62249" s="8"/>
      <c r="O62249" s="8"/>
      <c r="P62249" s="8"/>
      <c r="Q62249" s="8"/>
      <c r="R62249" s="103"/>
      <c r="S62249" s="8"/>
      <c r="T62249" s="8"/>
      <c r="U62249" s="8"/>
      <c r="V62249" s="8"/>
      <c r="W62249" s="8"/>
      <c r="X62249" s="8"/>
      <c r="Y62249" s="8"/>
      <c r="Z62249" s="8"/>
      <c r="AA62249" s="8"/>
    </row>
    <row r="62250" spans="1:27" x14ac:dyDescent="0.25">
      <c r="A62250" s="8"/>
      <c r="B62250" s="8"/>
      <c r="C62250" s="99"/>
      <c r="D62250" s="8"/>
      <c r="E62250" s="8"/>
      <c r="F62250" s="8"/>
      <c r="G62250" s="8"/>
      <c r="H62250" s="8"/>
      <c r="I62250" s="102"/>
      <c r="J62250" s="8"/>
      <c r="K62250" s="8"/>
      <c r="L62250" s="8"/>
      <c r="M62250" s="8"/>
      <c r="N62250" s="8"/>
      <c r="O62250" s="8"/>
      <c r="P62250" s="8"/>
      <c r="Q62250" s="8"/>
      <c r="R62250" s="103"/>
      <c r="S62250" s="8"/>
      <c r="T62250" s="8"/>
      <c r="U62250" s="8"/>
      <c r="V62250" s="8"/>
      <c r="W62250" s="8"/>
      <c r="X62250" s="8"/>
      <c r="Y62250" s="8"/>
      <c r="Z62250" s="8"/>
      <c r="AA62250" s="8"/>
    </row>
    <row r="62251" spans="1:27" x14ac:dyDescent="0.25">
      <c r="A62251" s="8"/>
      <c r="B62251" s="8"/>
      <c r="C62251" s="99"/>
      <c r="D62251" s="8"/>
      <c r="E62251" s="8"/>
      <c r="F62251" s="8"/>
      <c r="G62251" s="8"/>
      <c r="H62251" s="8"/>
      <c r="I62251" s="102"/>
      <c r="J62251" s="8"/>
      <c r="K62251" s="8"/>
      <c r="L62251" s="8"/>
      <c r="M62251" s="8"/>
      <c r="N62251" s="8"/>
      <c r="O62251" s="8"/>
      <c r="P62251" s="8"/>
      <c r="Q62251" s="8"/>
      <c r="R62251" s="103"/>
      <c r="S62251" s="8"/>
      <c r="T62251" s="8"/>
      <c r="U62251" s="8"/>
      <c r="V62251" s="8"/>
      <c r="W62251" s="8"/>
      <c r="X62251" s="8"/>
      <c r="Y62251" s="8"/>
      <c r="Z62251" s="8"/>
      <c r="AA62251" s="8"/>
    </row>
    <row r="62252" spans="1:27" x14ac:dyDescent="0.25">
      <c r="A62252" s="8"/>
      <c r="B62252" s="8"/>
      <c r="C62252" s="99"/>
      <c r="D62252" s="8"/>
      <c r="E62252" s="8"/>
      <c r="F62252" s="8"/>
      <c r="G62252" s="8"/>
      <c r="H62252" s="8"/>
      <c r="I62252" s="102"/>
      <c r="J62252" s="8"/>
      <c r="K62252" s="8"/>
      <c r="L62252" s="8"/>
      <c r="M62252" s="8"/>
      <c r="N62252" s="8"/>
      <c r="O62252" s="8"/>
      <c r="P62252" s="8"/>
      <c r="Q62252" s="8"/>
      <c r="R62252" s="103"/>
      <c r="S62252" s="8"/>
      <c r="T62252" s="8"/>
      <c r="U62252" s="8"/>
      <c r="V62252" s="8"/>
      <c r="W62252" s="8"/>
      <c r="X62252" s="8"/>
      <c r="Y62252" s="8"/>
      <c r="Z62252" s="8"/>
      <c r="AA62252" s="8"/>
    </row>
    <row r="62253" spans="1:27" x14ac:dyDescent="0.25">
      <c r="A62253" s="8"/>
      <c r="B62253" s="8"/>
      <c r="C62253" s="99"/>
      <c r="D62253" s="8"/>
      <c r="E62253" s="8"/>
      <c r="F62253" s="8"/>
      <c r="G62253" s="8"/>
      <c r="H62253" s="8"/>
      <c r="I62253" s="102"/>
      <c r="J62253" s="8"/>
      <c r="K62253" s="8"/>
      <c r="L62253" s="8"/>
      <c r="M62253" s="8"/>
      <c r="N62253" s="8"/>
      <c r="O62253" s="8"/>
      <c r="P62253" s="8"/>
      <c r="Q62253" s="8"/>
      <c r="R62253" s="103"/>
      <c r="S62253" s="8"/>
      <c r="T62253" s="8"/>
      <c r="U62253" s="8"/>
      <c r="V62253" s="8"/>
      <c r="W62253" s="8"/>
      <c r="X62253" s="8"/>
      <c r="Y62253" s="8"/>
      <c r="Z62253" s="8"/>
      <c r="AA62253" s="8"/>
    </row>
    <row r="62254" spans="1:27" x14ac:dyDescent="0.25">
      <c r="A62254" s="8"/>
      <c r="B62254" s="8"/>
      <c r="C62254" s="99"/>
      <c r="D62254" s="8"/>
      <c r="E62254" s="8"/>
      <c r="F62254" s="8"/>
      <c r="G62254" s="8"/>
      <c r="H62254" s="8"/>
      <c r="I62254" s="102"/>
      <c r="J62254" s="8"/>
      <c r="K62254" s="8"/>
      <c r="L62254" s="8"/>
      <c r="M62254" s="8"/>
      <c r="N62254" s="8"/>
      <c r="O62254" s="8"/>
      <c r="P62254" s="8"/>
      <c r="Q62254" s="8"/>
      <c r="R62254" s="103"/>
      <c r="S62254" s="8"/>
      <c r="T62254" s="8"/>
      <c r="U62254" s="8"/>
      <c r="V62254" s="8"/>
      <c r="W62254" s="8"/>
      <c r="X62254" s="8"/>
      <c r="Y62254" s="8"/>
      <c r="Z62254" s="8"/>
      <c r="AA62254" s="8"/>
    </row>
    <row r="62255" spans="1:27" x14ac:dyDescent="0.25">
      <c r="A62255" s="8"/>
      <c r="B62255" s="8"/>
      <c r="C62255" s="99"/>
      <c r="D62255" s="8"/>
      <c r="E62255" s="8"/>
      <c r="F62255" s="8"/>
      <c r="G62255" s="8"/>
      <c r="H62255" s="8"/>
      <c r="I62255" s="102"/>
      <c r="J62255" s="8"/>
      <c r="K62255" s="8"/>
      <c r="L62255" s="8"/>
      <c r="M62255" s="8"/>
      <c r="N62255" s="8"/>
      <c r="O62255" s="8"/>
      <c r="P62255" s="8"/>
      <c r="Q62255" s="8"/>
      <c r="R62255" s="103"/>
      <c r="S62255" s="8"/>
      <c r="T62255" s="8"/>
      <c r="U62255" s="8"/>
      <c r="V62255" s="8"/>
      <c r="W62255" s="8"/>
      <c r="X62255" s="8"/>
      <c r="Y62255" s="8"/>
      <c r="Z62255" s="8"/>
      <c r="AA62255" s="8"/>
    </row>
    <row r="62256" spans="1:27" x14ac:dyDescent="0.25">
      <c r="A62256" s="8"/>
      <c r="B62256" s="8"/>
      <c r="C62256" s="99"/>
      <c r="D62256" s="8"/>
      <c r="E62256" s="8"/>
      <c r="F62256" s="8"/>
      <c r="G62256" s="8"/>
      <c r="H62256" s="8"/>
      <c r="I62256" s="102"/>
      <c r="J62256" s="8"/>
      <c r="K62256" s="8"/>
      <c r="L62256" s="8"/>
      <c r="M62256" s="8"/>
      <c r="N62256" s="8"/>
      <c r="O62256" s="8"/>
      <c r="P62256" s="8"/>
      <c r="Q62256" s="8"/>
      <c r="R62256" s="103"/>
      <c r="S62256" s="8"/>
      <c r="T62256" s="8"/>
      <c r="U62256" s="8"/>
      <c r="V62256" s="8"/>
      <c r="W62256" s="8"/>
      <c r="X62256" s="8"/>
      <c r="Y62256" s="8"/>
      <c r="Z62256" s="8"/>
      <c r="AA62256" s="8"/>
    </row>
    <row r="62257" spans="1:27" x14ac:dyDescent="0.25">
      <c r="A62257" s="8"/>
      <c r="B62257" s="8"/>
      <c r="C62257" s="99"/>
      <c r="D62257" s="8"/>
      <c r="E62257" s="8"/>
      <c r="F62257" s="8"/>
      <c r="G62257" s="8"/>
      <c r="H62257" s="8"/>
      <c r="I62257" s="102"/>
      <c r="J62257" s="8"/>
      <c r="K62257" s="8"/>
      <c r="L62257" s="8"/>
      <c r="M62257" s="8"/>
      <c r="N62257" s="8"/>
      <c r="O62257" s="8"/>
      <c r="P62257" s="8"/>
      <c r="Q62257" s="8"/>
      <c r="R62257" s="103"/>
      <c r="S62257" s="8"/>
      <c r="T62257" s="8"/>
      <c r="U62257" s="8"/>
      <c r="V62257" s="8"/>
      <c r="W62257" s="8"/>
      <c r="X62257" s="8"/>
      <c r="Y62257" s="8"/>
      <c r="Z62257" s="8"/>
      <c r="AA62257" s="8"/>
    </row>
    <row r="62258" spans="1:27" x14ac:dyDescent="0.25">
      <c r="A62258" s="8"/>
      <c r="B62258" s="8"/>
      <c r="C62258" s="99"/>
      <c r="D62258" s="8"/>
      <c r="E62258" s="8"/>
      <c r="F62258" s="8"/>
      <c r="G62258" s="8"/>
      <c r="H62258" s="8"/>
      <c r="I62258" s="102"/>
      <c r="J62258" s="8"/>
      <c r="K62258" s="8"/>
      <c r="L62258" s="8"/>
      <c r="M62258" s="8"/>
      <c r="N62258" s="8"/>
      <c r="O62258" s="8"/>
      <c r="P62258" s="8"/>
      <c r="Q62258" s="8"/>
      <c r="R62258" s="103"/>
      <c r="S62258" s="8"/>
      <c r="T62258" s="8"/>
      <c r="U62258" s="8"/>
      <c r="V62258" s="8"/>
      <c r="W62258" s="8"/>
      <c r="X62258" s="8"/>
      <c r="Y62258" s="8"/>
      <c r="Z62258" s="8"/>
      <c r="AA62258" s="8"/>
    </row>
    <row r="62259" spans="1:27" x14ac:dyDescent="0.25">
      <c r="A62259" s="8"/>
      <c r="B62259" s="8"/>
      <c r="C62259" s="99"/>
      <c r="D62259" s="8"/>
      <c r="E62259" s="8"/>
      <c r="F62259" s="8"/>
      <c r="G62259" s="8"/>
      <c r="H62259" s="8"/>
      <c r="I62259" s="102"/>
      <c r="J62259" s="8"/>
      <c r="K62259" s="8"/>
      <c r="L62259" s="8"/>
      <c r="M62259" s="8"/>
      <c r="N62259" s="8"/>
      <c r="O62259" s="8"/>
      <c r="P62259" s="8"/>
      <c r="Q62259" s="8"/>
      <c r="R62259" s="103"/>
      <c r="S62259" s="8"/>
      <c r="T62259" s="8"/>
      <c r="U62259" s="8"/>
      <c r="V62259" s="8"/>
      <c r="W62259" s="8"/>
      <c r="X62259" s="8"/>
      <c r="Y62259" s="8"/>
      <c r="Z62259" s="8"/>
      <c r="AA62259" s="8"/>
    </row>
    <row r="62260" spans="1:27" x14ac:dyDescent="0.25">
      <c r="A62260" s="8"/>
      <c r="B62260" s="8"/>
      <c r="C62260" s="99"/>
      <c r="D62260" s="8"/>
      <c r="E62260" s="8"/>
      <c r="F62260" s="8"/>
      <c r="G62260" s="8"/>
      <c r="H62260" s="8"/>
      <c r="I62260" s="102"/>
      <c r="J62260" s="8"/>
      <c r="K62260" s="8"/>
      <c r="L62260" s="8"/>
      <c r="M62260" s="8"/>
      <c r="N62260" s="8"/>
      <c r="O62260" s="8"/>
      <c r="P62260" s="8"/>
      <c r="Q62260" s="8"/>
      <c r="R62260" s="103"/>
      <c r="S62260" s="8"/>
      <c r="T62260" s="8"/>
      <c r="U62260" s="8"/>
      <c r="V62260" s="8"/>
      <c r="W62260" s="8"/>
      <c r="X62260" s="8"/>
      <c r="Y62260" s="8"/>
      <c r="Z62260" s="8"/>
      <c r="AA62260" s="8"/>
    </row>
    <row r="62261" spans="1:27" x14ac:dyDescent="0.25">
      <c r="A62261" s="8"/>
      <c r="B62261" s="8"/>
      <c r="C62261" s="99"/>
      <c r="D62261" s="8"/>
      <c r="E62261" s="8"/>
      <c r="F62261" s="8"/>
      <c r="G62261" s="8"/>
      <c r="H62261" s="8"/>
      <c r="I62261" s="102"/>
      <c r="J62261" s="8"/>
      <c r="K62261" s="8"/>
      <c r="L62261" s="8"/>
      <c r="M62261" s="8"/>
      <c r="N62261" s="8"/>
      <c r="O62261" s="8"/>
      <c r="P62261" s="8"/>
      <c r="Q62261" s="8"/>
      <c r="R62261" s="103"/>
      <c r="S62261" s="8"/>
      <c r="T62261" s="8"/>
      <c r="U62261" s="8"/>
      <c r="V62261" s="8"/>
      <c r="W62261" s="8"/>
      <c r="X62261" s="8"/>
      <c r="Y62261" s="8"/>
      <c r="Z62261" s="8"/>
      <c r="AA62261" s="8"/>
    </row>
    <row r="62262" spans="1:27" x14ac:dyDescent="0.25">
      <c r="A62262" s="8"/>
      <c r="B62262" s="8"/>
      <c r="C62262" s="99"/>
      <c r="D62262" s="8"/>
      <c r="E62262" s="8"/>
      <c r="F62262" s="8"/>
      <c r="G62262" s="8"/>
      <c r="H62262" s="8"/>
      <c r="I62262" s="102"/>
      <c r="J62262" s="8"/>
      <c r="K62262" s="8"/>
      <c r="L62262" s="8"/>
      <c r="M62262" s="8"/>
      <c r="N62262" s="8"/>
      <c r="O62262" s="8"/>
      <c r="P62262" s="8"/>
      <c r="Q62262" s="8"/>
      <c r="R62262" s="103"/>
      <c r="S62262" s="8"/>
      <c r="T62262" s="8"/>
      <c r="U62262" s="8"/>
      <c r="V62262" s="8"/>
      <c r="W62262" s="8"/>
      <c r="X62262" s="8"/>
      <c r="Y62262" s="8"/>
      <c r="Z62262" s="8"/>
      <c r="AA62262" s="8"/>
    </row>
    <row r="62263" spans="1:27" x14ac:dyDescent="0.25">
      <c r="A62263" s="8"/>
      <c r="B62263" s="8"/>
      <c r="C62263" s="99"/>
      <c r="D62263" s="8"/>
      <c r="E62263" s="8"/>
      <c r="F62263" s="8"/>
      <c r="G62263" s="8"/>
      <c r="H62263" s="8"/>
      <c r="I62263" s="102"/>
      <c r="J62263" s="8"/>
      <c r="K62263" s="8"/>
      <c r="L62263" s="8"/>
      <c r="M62263" s="8"/>
      <c r="N62263" s="8"/>
      <c r="O62263" s="8"/>
      <c r="P62263" s="8"/>
      <c r="Q62263" s="8"/>
      <c r="R62263" s="103"/>
      <c r="S62263" s="8"/>
      <c r="T62263" s="8"/>
      <c r="U62263" s="8"/>
      <c r="V62263" s="8"/>
      <c r="W62263" s="8"/>
      <c r="X62263" s="8"/>
      <c r="Y62263" s="8"/>
      <c r="Z62263" s="8"/>
      <c r="AA62263" s="8"/>
    </row>
    <row r="62264" spans="1:27" x14ac:dyDescent="0.25">
      <c r="A62264" s="8"/>
      <c r="B62264" s="8"/>
      <c r="C62264" s="99"/>
      <c r="D62264" s="8"/>
      <c r="E62264" s="8"/>
      <c r="F62264" s="8"/>
      <c r="G62264" s="8"/>
      <c r="H62264" s="8"/>
      <c r="I62264" s="102"/>
      <c r="J62264" s="8"/>
      <c r="K62264" s="8"/>
      <c r="L62264" s="8"/>
      <c r="M62264" s="8"/>
      <c r="N62264" s="8"/>
      <c r="O62264" s="8"/>
      <c r="P62264" s="8"/>
      <c r="Q62264" s="8"/>
      <c r="R62264" s="103"/>
      <c r="S62264" s="8"/>
      <c r="T62264" s="8"/>
      <c r="U62264" s="8"/>
      <c r="V62264" s="8"/>
      <c r="W62264" s="8"/>
      <c r="X62264" s="8"/>
      <c r="Y62264" s="8"/>
      <c r="Z62264" s="8"/>
      <c r="AA62264" s="8"/>
    </row>
    <row r="62265" spans="1:27" x14ac:dyDescent="0.25">
      <c r="A62265" s="8"/>
      <c r="B62265" s="8"/>
      <c r="C62265" s="99"/>
      <c r="D62265" s="8"/>
      <c r="E62265" s="8"/>
      <c r="F62265" s="8"/>
      <c r="G62265" s="8"/>
      <c r="H62265" s="8"/>
      <c r="I62265" s="102"/>
      <c r="J62265" s="8"/>
      <c r="K62265" s="8"/>
      <c r="L62265" s="8"/>
      <c r="M62265" s="8"/>
      <c r="N62265" s="8"/>
      <c r="O62265" s="8"/>
      <c r="P62265" s="8"/>
      <c r="Q62265" s="8"/>
      <c r="R62265" s="103"/>
      <c r="S62265" s="8"/>
      <c r="T62265" s="8"/>
      <c r="U62265" s="8"/>
      <c r="V62265" s="8"/>
      <c r="W62265" s="8"/>
      <c r="X62265" s="8"/>
      <c r="Y62265" s="8"/>
      <c r="Z62265" s="8"/>
      <c r="AA62265" s="8"/>
    </row>
    <row r="62266" spans="1:27" x14ac:dyDescent="0.25">
      <c r="A62266" s="8"/>
      <c r="B62266" s="8"/>
      <c r="C62266" s="99"/>
      <c r="D62266" s="8"/>
      <c r="E62266" s="8"/>
      <c r="F62266" s="8"/>
      <c r="G62266" s="8"/>
      <c r="H62266" s="8"/>
      <c r="I62266" s="102"/>
      <c r="J62266" s="8"/>
      <c r="K62266" s="8"/>
      <c r="L62266" s="8"/>
      <c r="M62266" s="8"/>
      <c r="N62266" s="8"/>
      <c r="O62266" s="8"/>
      <c r="P62266" s="8"/>
      <c r="Q62266" s="8"/>
      <c r="R62266" s="103"/>
      <c r="S62266" s="8"/>
      <c r="T62266" s="8"/>
      <c r="U62266" s="8"/>
      <c r="V62266" s="8"/>
      <c r="W62266" s="8"/>
      <c r="X62266" s="8"/>
      <c r="Y62266" s="8"/>
      <c r="Z62266" s="8"/>
      <c r="AA62266" s="8"/>
    </row>
    <row r="62267" spans="1:27" x14ac:dyDescent="0.25">
      <c r="A62267" s="8"/>
      <c r="B62267" s="8"/>
      <c r="C62267" s="99"/>
      <c r="D62267" s="8"/>
      <c r="E62267" s="8"/>
      <c r="F62267" s="8"/>
      <c r="G62267" s="8"/>
      <c r="H62267" s="8"/>
      <c r="I62267" s="102"/>
      <c r="J62267" s="8"/>
      <c r="K62267" s="8"/>
      <c r="L62267" s="8"/>
      <c r="M62267" s="8"/>
      <c r="N62267" s="8"/>
      <c r="O62267" s="8"/>
      <c r="P62267" s="8"/>
      <c r="Q62267" s="8"/>
      <c r="R62267" s="103"/>
      <c r="S62267" s="8"/>
      <c r="T62267" s="8"/>
      <c r="U62267" s="8"/>
      <c r="V62267" s="8"/>
      <c r="W62267" s="8"/>
      <c r="X62267" s="8"/>
      <c r="Y62267" s="8"/>
      <c r="Z62267" s="8"/>
      <c r="AA62267" s="8"/>
    </row>
    <row r="62268" spans="1:27" x14ac:dyDescent="0.25">
      <c r="A62268" s="8"/>
      <c r="B62268" s="8"/>
      <c r="C62268" s="99"/>
      <c r="D62268" s="8"/>
      <c r="E62268" s="8"/>
      <c r="F62268" s="8"/>
      <c r="G62268" s="8"/>
      <c r="H62268" s="8"/>
      <c r="I62268" s="102"/>
      <c r="J62268" s="8"/>
      <c r="K62268" s="8"/>
      <c r="L62268" s="8"/>
      <c r="M62268" s="8"/>
      <c r="N62268" s="8"/>
      <c r="O62268" s="8"/>
      <c r="P62268" s="8"/>
      <c r="Q62268" s="8"/>
      <c r="R62268" s="103"/>
      <c r="S62268" s="8"/>
      <c r="T62268" s="8"/>
      <c r="U62268" s="8"/>
      <c r="V62268" s="8"/>
      <c r="W62268" s="8"/>
      <c r="X62268" s="8"/>
      <c r="Y62268" s="8"/>
      <c r="Z62268" s="8"/>
      <c r="AA62268" s="8"/>
    </row>
    <row r="62269" spans="1:27" x14ac:dyDescent="0.25">
      <c r="A62269" s="8"/>
      <c r="B62269" s="8"/>
      <c r="C62269" s="99"/>
      <c r="D62269" s="8"/>
      <c r="E62269" s="8"/>
      <c r="F62269" s="8"/>
      <c r="G62269" s="8"/>
      <c r="H62269" s="8"/>
      <c r="I62269" s="102"/>
      <c r="J62269" s="8"/>
      <c r="K62269" s="8"/>
      <c r="L62269" s="8"/>
      <c r="M62269" s="8"/>
      <c r="N62269" s="8"/>
      <c r="O62269" s="8"/>
      <c r="P62269" s="8"/>
      <c r="Q62269" s="8"/>
      <c r="R62269" s="103"/>
      <c r="S62269" s="8"/>
      <c r="T62269" s="8"/>
      <c r="U62269" s="8"/>
      <c r="V62269" s="8"/>
      <c r="W62269" s="8"/>
      <c r="X62269" s="8"/>
      <c r="Y62269" s="8"/>
      <c r="Z62269" s="8"/>
      <c r="AA62269" s="8"/>
    </row>
    <row r="62270" spans="1:27" x14ac:dyDescent="0.25">
      <c r="A62270" s="8"/>
      <c r="B62270" s="8"/>
      <c r="C62270" s="99"/>
      <c r="D62270" s="8"/>
      <c r="E62270" s="8"/>
      <c r="F62270" s="8"/>
      <c r="G62270" s="8"/>
      <c r="H62270" s="8"/>
      <c r="I62270" s="102"/>
      <c r="J62270" s="8"/>
      <c r="K62270" s="8"/>
      <c r="L62270" s="8"/>
      <c r="M62270" s="8"/>
      <c r="N62270" s="8"/>
      <c r="O62270" s="8"/>
      <c r="P62270" s="8"/>
      <c r="Q62270" s="8"/>
      <c r="R62270" s="103"/>
      <c r="S62270" s="8"/>
      <c r="T62270" s="8"/>
      <c r="U62270" s="8"/>
      <c r="V62270" s="8"/>
      <c r="W62270" s="8"/>
      <c r="X62270" s="8"/>
      <c r="Y62270" s="8"/>
      <c r="Z62270" s="8"/>
      <c r="AA62270" s="8"/>
    </row>
    <row r="62271" spans="1:27" x14ac:dyDescent="0.25">
      <c r="A62271" s="8"/>
      <c r="B62271" s="8"/>
      <c r="C62271" s="99"/>
      <c r="D62271" s="8"/>
      <c r="E62271" s="8"/>
      <c r="F62271" s="8"/>
      <c r="G62271" s="8"/>
      <c r="H62271" s="8"/>
      <c r="I62271" s="102"/>
      <c r="J62271" s="8"/>
      <c r="K62271" s="8"/>
      <c r="L62271" s="8"/>
      <c r="M62271" s="8"/>
      <c r="N62271" s="8"/>
      <c r="O62271" s="8"/>
      <c r="P62271" s="8"/>
      <c r="Q62271" s="8"/>
      <c r="R62271" s="103"/>
      <c r="S62271" s="8"/>
      <c r="T62271" s="8"/>
      <c r="U62271" s="8"/>
      <c r="V62271" s="8"/>
      <c r="W62271" s="8"/>
      <c r="X62271" s="8"/>
      <c r="Y62271" s="8"/>
      <c r="Z62271" s="8"/>
      <c r="AA62271" s="8"/>
    </row>
    <row r="62272" spans="1:27" x14ac:dyDescent="0.25">
      <c r="A62272" s="8"/>
      <c r="B62272" s="8"/>
      <c r="C62272" s="99"/>
      <c r="D62272" s="8"/>
      <c r="E62272" s="8"/>
      <c r="F62272" s="8"/>
      <c r="G62272" s="8"/>
      <c r="H62272" s="8"/>
      <c r="I62272" s="102"/>
      <c r="J62272" s="8"/>
      <c r="K62272" s="8"/>
      <c r="L62272" s="8"/>
      <c r="M62272" s="8"/>
      <c r="N62272" s="8"/>
      <c r="O62272" s="8"/>
      <c r="P62272" s="8"/>
      <c r="Q62272" s="8"/>
      <c r="R62272" s="103"/>
      <c r="S62272" s="8"/>
      <c r="T62272" s="8"/>
      <c r="U62272" s="8"/>
      <c r="V62272" s="8"/>
      <c r="W62272" s="8"/>
      <c r="X62272" s="8"/>
      <c r="Y62272" s="8"/>
      <c r="Z62272" s="8"/>
      <c r="AA62272" s="8"/>
    </row>
    <row r="62273" spans="1:27" x14ac:dyDescent="0.25">
      <c r="A62273" s="8"/>
      <c r="B62273" s="8"/>
      <c r="C62273" s="99"/>
      <c r="D62273" s="8"/>
      <c r="E62273" s="8"/>
      <c r="F62273" s="8"/>
      <c r="G62273" s="8"/>
      <c r="H62273" s="8"/>
      <c r="I62273" s="102"/>
      <c r="J62273" s="8"/>
      <c r="K62273" s="8"/>
      <c r="L62273" s="8"/>
      <c r="M62273" s="8"/>
      <c r="N62273" s="8"/>
      <c r="O62273" s="8"/>
      <c r="P62273" s="8"/>
      <c r="Q62273" s="8"/>
      <c r="R62273" s="103"/>
      <c r="S62273" s="8"/>
      <c r="T62273" s="8"/>
      <c r="U62273" s="8"/>
      <c r="V62273" s="8"/>
      <c r="W62273" s="8"/>
      <c r="X62273" s="8"/>
      <c r="Y62273" s="8"/>
      <c r="Z62273" s="8"/>
      <c r="AA62273" s="8"/>
    </row>
    <row r="62274" spans="1:27" x14ac:dyDescent="0.25">
      <c r="A62274" s="8"/>
      <c r="B62274" s="8"/>
      <c r="C62274" s="99"/>
      <c r="D62274" s="8"/>
      <c r="E62274" s="8"/>
      <c r="F62274" s="8"/>
      <c r="G62274" s="8"/>
      <c r="H62274" s="8"/>
      <c r="I62274" s="102"/>
      <c r="J62274" s="8"/>
      <c r="K62274" s="8"/>
      <c r="L62274" s="8"/>
      <c r="M62274" s="8"/>
      <c r="N62274" s="8"/>
      <c r="O62274" s="8"/>
      <c r="P62274" s="8"/>
      <c r="Q62274" s="8"/>
      <c r="R62274" s="103"/>
      <c r="S62274" s="8"/>
      <c r="T62274" s="8"/>
      <c r="U62274" s="8"/>
      <c r="V62274" s="8"/>
      <c r="W62274" s="8"/>
      <c r="X62274" s="8"/>
      <c r="Y62274" s="8"/>
      <c r="Z62274" s="8"/>
      <c r="AA62274" s="8"/>
    </row>
    <row r="62275" spans="1:27" x14ac:dyDescent="0.25">
      <c r="A62275" s="8"/>
      <c r="B62275" s="8"/>
      <c r="C62275" s="99"/>
      <c r="D62275" s="8"/>
      <c r="E62275" s="8"/>
      <c r="F62275" s="8"/>
      <c r="G62275" s="8"/>
      <c r="H62275" s="8"/>
      <c r="I62275" s="102"/>
      <c r="J62275" s="8"/>
      <c r="K62275" s="8"/>
      <c r="L62275" s="8"/>
      <c r="M62275" s="8"/>
      <c r="N62275" s="8"/>
      <c r="O62275" s="8"/>
      <c r="P62275" s="8"/>
      <c r="Q62275" s="8"/>
      <c r="R62275" s="103"/>
      <c r="S62275" s="8"/>
      <c r="T62275" s="8"/>
      <c r="U62275" s="8"/>
      <c r="V62275" s="8"/>
      <c r="W62275" s="8"/>
      <c r="X62275" s="8"/>
      <c r="Y62275" s="8"/>
      <c r="Z62275" s="8"/>
      <c r="AA62275" s="8"/>
    </row>
    <row r="62276" spans="1:27" x14ac:dyDescent="0.25">
      <c r="A62276" s="8"/>
      <c r="B62276" s="8"/>
      <c r="C62276" s="99"/>
      <c r="D62276" s="8"/>
      <c r="E62276" s="8"/>
      <c r="F62276" s="8"/>
      <c r="G62276" s="8"/>
      <c r="H62276" s="8"/>
      <c r="I62276" s="102"/>
      <c r="J62276" s="8"/>
      <c r="K62276" s="8"/>
      <c r="L62276" s="8"/>
      <c r="M62276" s="8"/>
      <c r="N62276" s="8"/>
      <c r="O62276" s="8"/>
      <c r="P62276" s="8"/>
      <c r="Q62276" s="8"/>
      <c r="R62276" s="103"/>
      <c r="S62276" s="8"/>
      <c r="T62276" s="8"/>
      <c r="U62276" s="8"/>
      <c r="V62276" s="8"/>
      <c r="W62276" s="8"/>
      <c r="X62276" s="8"/>
      <c r="Y62276" s="8"/>
      <c r="Z62276" s="8"/>
      <c r="AA62276" s="8"/>
    </row>
    <row r="62277" spans="1:27" x14ac:dyDescent="0.25">
      <c r="A62277" s="8"/>
      <c r="B62277" s="8"/>
      <c r="C62277" s="99"/>
      <c r="D62277" s="8"/>
      <c r="E62277" s="8"/>
      <c r="F62277" s="8"/>
      <c r="G62277" s="8"/>
      <c r="H62277" s="8"/>
      <c r="I62277" s="102"/>
      <c r="J62277" s="8"/>
      <c r="K62277" s="8"/>
      <c r="L62277" s="8"/>
      <c r="M62277" s="8"/>
      <c r="N62277" s="8"/>
      <c r="O62277" s="8"/>
      <c r="P62277" s="8"/>
      <c r="Q62277" s="8"/>
      <c r="R62277" s="103"/>
      <c r="S62277" s="8"/>
      <c r="T62277" s="8"/>
      <c r="U62277" s="8"/>
      <c r="V62277" s="8"/>
      <c r="W62277" s="8"/>
      <c r="X62277" s="8"/>
      <c r="Y62277" s="8"/>
      <c r="Z62277" s="8"/>
      <c r="AA62277" s="8"/>
    </row>
    <row r="62278" spans="1:27" x14ac:dyDescent="0.25">
      <c r="A62278" s="8"/>
      <c r="B62278" s="8"/>
      <c r="C62278" s="99"/>
      <c r="D62278" s="8"/>
      <c r="E62278" s="8"/>
      <c r="F62278" s="8"/>
      <c r="G62278" s="8"/>
      <c r="H62278" s="8"/>
      <c r="I62278" s="102"/>
      <c r="J62278" s="8"/>
      <c r="K62278" s="8"/>
      <c r="L62278" s="8"/>
      <c r="M62278" s="8"/>
      <c r="N62278" s="8"/>
      <c r="O62278" s="8"/>
      <c r="P62278" s="8"/>
      <c r="Q62278" s="8"/>
      <c r="R62278" s="103"/>
      <c r="S62278" s="8"/>
      <c r="T62278" s="8"/>
      <c r="U62278" s="8"/>
      <c r="V62278" s="8"/>
      <c r="W62278" s="8"/>
      <c r="X62278" s="8"/>
      <c r="Y62278" s="8"/>
      <c r="Z62278" s="8"/>
      <c r="AA62278" s="8"/>
    </row>
    <row r="62279" spans="1:27" x14ac:dyDescent="0.25">
      <c r="A62279" s="8"/>
      <c r="B62279" s="8"/>
      <c r="C62279" s="99"/>
      <c r="D62279" s="8"/>
      <c r="E62279" s="8"/>
      <c r="F62279" s="8"/>
      <c r="G62279" s="8"/>
      <c r="H62279" s="8"/>
      <c r="I62279" s="102"/>
      <c r="J62279" s="8"/>
      <c r="K62279" s="8"/>
      <c r="L62279" s="8"/>
      <c r="M62279" s="8"/>
      <c r="N62279" s="8"/>
      <c r="O62279" s="8"/>
      <c r="P62279" s="8"/>
      <c r="Q62279" s="8"/>
      <c r="R62279" s="103"/>
      <c r="S62279" s="8"/>
      <c r="T62279" s="8"/>
      <c r="U62279" s="8"/>
      <c r="V62279" s="8"/>
      <c r="W62279" s="8"/>
      <c r="X62279" s="8"/>
      <c r="Y62279" s="8"/>
      <c r="Z62279" s="8"/>
      <c r="AA62279" s="8"/>
    </row>
    <row r="62280" spans="1:27" x14ac:dyDescent="0.25">
      <c r="A62280" s="8"/>
      <c r="B62280" s="8"/>
      <c r="C62280" s="99"/>
      <c r="D62280" s="8"/>
      <c r="E62280" s="8"/>
      <c r="F62280" s="8"/>
      <c r="G62280" s="8"/>
      <c r="H62280" s="8"/>
      <c r="I62280" s="102"/>
      <c r="J62280" s="8"/>
      <c r="K62280" s="8"/>
      <c r="L62280" s="8"/>
      <c r="M62280" s="8"/>
      <c r="N62280" s="8"/>
      <c r="O62280" s="8"/>
      <c r="P62280" s="8"/>
      <c r="Q62280" s="8"/>
      <c r="R62280" s="103"/>
      <c r="S62280" s="8"/>
      <c r="T62280" s="8"/>
      <c r="U62280" s="8"/>
      <c r="V62280" s="8"/>
      <c r="W62280" s="8"/>
      <c r="X62280" s="8"/>
      <c r="Y62280" s="8"/>
      <c r="Z62280" s="8"/>
      <c r="AA62280" s="8"/>
    </row>
    <row r="62281" spans="1:27" x14ac:dyDescent="0.25">
      <c r="A62281" s="8"/>
      <c r="B62281" s="8"/>
      <c r="C62281" s="99"/>
      <c r="D62281" s="8"/>
      <c r="E62281" s="8"/>
      <c r="F62281" s="8"/>
      <c r="G62281" s="8"/>
      <c r="H62281" s="8"/>
      <c r="I62281" s="102"/>
      <c r="J62281" s="8"/>
      <c r="K62281" s="8"/>
      <c r="L62281" s="8"/>
      <c r="M62281" s="8"/>
      <c r="N62281" s="8"/>
      <c r="O62281" s="8"/>
      <c r="P62281" s="8"/>
      <c r="Q62281" s="8"/>
      <c r="R62281" s="103"/>
      <c r="S62281" s="8"/>
      <c r="T62281" s="8"/>
      <c r="U62281" s="8"/>
      <c r="V62281" s="8"/>
      <c r="W62281" s="8"/>
      <c r="X62281" s="8"/>
      <c r="Y62281" s="8"/>
      <c r="Z62281" s="8"/>
      <c r="AA62281" s="8"/>
    </row>
    <row r="62282" spans="1:27" x14ac:dyDescent="0.25">
      <c r="A62282" s="8"/>
      <c r="B62282" s="8"/>
      <c r="C62282" s="99"/>
      <c r="D62282" s="8"/>
      <c r="E62282" s="8"/>
      <c r="F62282" s="8"/>
      <c r="G62282" s="8"/>
      <c r="H62282" s="8"/>
      <c r="I62282" s="102"/>
      <c r="J62282" s="8"/>
      <c r="K62282" s="8"/>
      <c r="L62282" s="8"/>
      <c r="M62282" s="8"/>
      <c r="N62282" s="8"/>
      <c r="O62282" s="8"/>
      <c r="P62282" s="8"/>
      <c r="Q62282" s="8"/>
      <c r="R62282" s="103"/>
      <c r="S62282" s="8"/>
      <c r="T62282" s="8"/>
      <c r="U62282" s="8"/>
      <c r="V62282" s="8"/>
      <c r="W62282" s="8"/>
      <c r="X62282" s="8"/>
      <c r="Y62282" s="8"/>
      <c r="Z62282" s="8"/>
      <c r="AA62282" s="8"/>
    </row>
    <row r="62283" spans="1:27" x14ac:dyDescent="0.25">
      <c r="A62283" s="8"/>
      <c r="B62283" s="8"/>
      <c r="C62283" s="99"/>
      <c r="D62283" s="8"/>
      <c r="E62283" s="8"/>
      <c r="F62283" s="8"/>
      <c r="G62283" s="8"/>
      <c r="H62283" s="8"/>
      <c r="I62283" s="102"/>
      <c r="J62283" s="8"/>
      <c r="K62283" s="8"/>
      <c r="L62283" s="8"/>
      <c r="M62283" s="8"/>
      <c r="N62283" s="8"/>
      <c r="O62283" s="8"/>
      <c r="P62283" s="8"/>
      <c r="Q62283" s="8"/>
      <c r="R62283" s="103"/>
      <c r="S62283" s="8"/>
      <c r="T62283" s="8"/>
      <c r="U62283" s="8"/>
      <c r="V62283" s="8"/>
      <c r="W62283" s="8"/>
      <c r="X62283" s="8"/>
      <c r="Y62283" s="8"/>
      <c r="Z62283" s="8"/>
      <c r="AA62283" s="8"/>
    </row>
    <row r="62284" spans="1:27" x14ac:dyDescent="0.25">
      <c r="A62284" s="8"/>
      <c r="B62284" s="8"/>
      <c r="C62284" s="99"/>
      <c r="D62284" s="8"/>
      <c r="E62284" s="8"/>
      <c r="F62284" s="8"/>
      <c r="G62284" s="8"/>
      <c r="H62284" s="8"/>
      <c r="I62284" s="102"/>
      <c r="J62284" s="8"/>
      <c r="K62284" s="8"/>
      <c r="L62284" s="8"/>
      <c r="M62284" s="8"/>
      <c r="N62284" s="8"/>
      <c r="O62284" s="8"/>
      <c r="P62284" s="8"/>
      <c r="Q62284" s="8"/>
      <c r="R62284" s="103"/>
      <c r="S62284" s="8"/>
      <c r="T62284" s="8"/>
      <c r="U62284" s="8"/>
      <c r="V62284" s="8"/>
      <c r="W62284" s="8"/>
      <c r="X62284" s="8"/>
      <c r="Y62284" s="8"/>
      <c r="Z62284" s="8"/>
      <c r="AA62284" s="8"/>
    </row>
    <row r="62285" spans="1:27" x14ac:dyDescent="0.25">
      <c r="A62285" s="8"/>
      <c r="B62285" s="8"/>
      <c r="C62285" s="99"/>
      <c r="D62285" s="8"/>
      <c r="E62285" s="8"/>
      <c r="F62285" s="8"/>
      <c r="G62285" s="8"/>
      <c r="H62285" s="8"/>
      <c r="I62285" s="102"/>
      <c r="J62285" s="8"/>
      <c r="K62285" s="8"/>
      <c r="L62285" s="8"/>
      <c r="M62285" s="8"/>
      <c r="N62285" s="8"/>
      <c r="O62285" s="8"/>
      <c r="P62285" s="8"/>
      <c r="Q62285" s="8"/>
      <c r="R62285" s="103"/>
      <c r="S62285" s="8"/>
      <c r="T62285" s="8"/>
      <c r="U62285" s="8"/>
      <c r="V62285" s="8"/>
      <c r="W62285" s="8"/>
      <c r="X62285" s="8"/>
      <c r="Y62285" s="8"/>
      <c r="Z62285" s="8"/>
      <c r="AA62285" s="8"/>
    </row>
    <row r="62286" spans="1:27" x14ac:dyDescent="0.25">
      <c r="A62286" s="8"/>
      <c r="B62286" s="8"/>
      <c r="C62286" s="99"/>
      <c r="D62286" s="8"/>
      <c r="E62286" s="8"/>
      <c r="F62286" s="8"/>
      <c r="G62286" s="8"/>
      <c r="H62286" s="8"/>
      <c r="I62286" s="102"/>
      <c r="J62286" s="8"/>
      <c r="K62286" s="8"/>
      <c r="L62286" s="8"/>
      <c r="M62286" s="8"/>
      <c r="N62286" s="8"/>
      <c r="O62286" s="8"/>
      <c r="P62286" s="8"/>
      <c r="Q62286" s="8"/>
      <c r="R62286" s="103"/>
      <c r="S62286" s="8"/>
      <c r="T62286" s="8"/>
      <c r="U62286" s="8"/>
      <c r="V62286" s="8"/>
      <c r="W62286" s="8"/>
      <c r="X62286" s="8"/>
      <c r="Y62286" s="8"/>
      <c r="Z62286" s="8"/>
      <c r="AA62286" s="8"/>
    </row>
    <row r="62287" spans="1:27" x14ac:dyDescent="0.25">
      <c r="A62287" s="8"/>
      <c r="B62287" s="8"/>
      <c r="C62287" s="99"/>
      <c r="D62287" s="8"/>
      <c r="E62287" s="8"/>
      <c r="F62287" s="8"/>
      <c r="G62287" s="8"/>
      <c r="H62287" s="8"/>
      <c r="I62287" s="102"/>
      <c r="J62287" s="8"/>
      <c r="K62287" s="8"/>
      <c r="L62287" s="8"/>
      <c r="M62287" s="8"/>
      <c r="N62287" s="8"/>
      <c r="O62287" s="8"/>
      <c r="P62287" s="8"/>
      <c r="Q62287" s="8"/>
      <c r="R62287" s="103"/>
      <c r="S62287" s="8"/>
      <c r="T62287" s="8"/>
      <c r="U62287" s="8"/>
      <c r="V62287" s="8"/>
      <c r="W62287" s="8"/>
      <c r="X62287" s="8"/>
      <c r="Y62287" s="8"/>
      <c r="Z62287" s="8"/>
      <c r="AA62287" s="8"/>
    </row>
    <row r="62288" spans="1:27" x14ac:dyDescent="0.25">
      <c r="A62288" s="8"/>
      <c r="B62288" s="8"/>
      <c r="C62288" s="99"/>
      <c r="D62288" s="8"/>
      <c r="E62288" s="8"/>
      <c r="F62288" s="8"/>
      <c r="G62288" s="8"/>
      <c r="H62288" s="8"/>
      <c r="I62288" s="102"/>
      <c r="J62288" s="8"/>
      <c r="K62288" s="8"/>
      <c r="L62288" s="8"/>
      <c r="M62288" s="8"/>
      <c r="N62288" s="8"/>
      <c r="O62288" s="8"/>
      <c r="P62288" s="8"/>
      <c r="Q62288" s="8"/>
      <c r="R62288" s="103"/>
      <c r="S62288" s="8"/>
      <c r="T62288" s="8"/>
      <c r="U62288" s="8"/>
      <c r="V62288" s="8"/>
      <c r="W62288" s="8"/>
      <c r="X62288" s="8"/>
      <c r="Y62288" s="8"/>
      <c r="Z62288" s="8"/>
      <c r="AA62288" s="8"/>
    </row>
    <row r="62289" spans="1:27" x14ac:dyDescent="0.25">
      <c r="A62289" s="8"/>
      <c r="B62289" s="8"/>
      <c r="C62289" s="99"/>
      <c r="D62289" s="8"/>
      <c r="E62289" s="8"/>
      <c r="F62289" s="8"/>
      <c r="G62289" s="8"/>
      <c r="H62289" s="8"/>
      <c r="I62289" s="102"/>
      <c r="J62289" s="8"/>
      <c r="K62289" s="8"/>
      <c r="L62289" s="8"/>
      <c r="M62289" s="8"/>
      <c r="N62289" s="8"/>
      <c r="O62289" s="8"/>
      <c r="P62289" s="8"/>
      <c r="Q62289" s="8"/>
      <c r="R62289" s="103"/>
      <c r="S62289" s="8"/>
      <c r="T62289" s="8"/>
      <c r="U62289" s="8"/>
      <c r="V62289" s="8"/>
      <c r="W62289" s="8"/>
      <c r="X62289" s="8"/>
      <c r="Y62289" s="8"/>
      <c r="Z62289" s="8"/>
      <c r="AA62289" s="8"/>
    </row>
    <row r="62290" spans="1:27" x14ac:dyDescent="0.25">
      <c r="A62290" s="8"/>
      <c r="B62290" s="8"/>
      <c r="C62290" s="99"/>
      <c r="D62290" s="8"/>
      <c r="E62290" s="8"/>
      <c r="F62290" s="8"/>
      <c r="G62290" s="8"/>
      <c r="H62290" s="8"/>
      <c r="I62290" s="102"/>
      <c r="J62290" s="8"/>
      <c r="K62290" s="8"/>
      <c r="L62290" s="8"/>
      <c r="M62290" s="8"/>
      <c r="N62290" s="8"/>
      <c r="O62290" s="8"/>
      <c r="P62290" s="8"/>
      <c r="Q62290" s="8"/>
      <c r="R62290" s="103"/>
      <c r="S62290" s="8"/>
      <c r="T62290" s="8"/>
      <c r="U62290" s="8"/>
      <c r="V62290" s="8"/>
      <c r="W62290" s="8"/>
      <c r="X62290" s="8"/>
      <c r="Y62290" s="8"/>
      <c r="Z62290" s="8"/>
      <c r="AA62290" s="8"/>
    </row>
    <row r="62291" spans="1:27" x14ac:dyDescent="0.25">
      <c r="A62291" s="8"/>
      <c r="B62291" s="8"/>
      <c r="C62291" s="99"/>
      <c r="D62291" s="8"/>
      <c r="E62291" s="8"/>
      <c r="F62291" s="8"/>
      <c r="G62291" s="8"/>
      <c r="H62291" s="8"/>
      <c r="I62291" s="102"/>
      <c r="J62291" s="8"/>
      <c r="K62291" s="8"/>
      <c r="L62291" s="8"/>
      <c r="M62291" s="8"/>
      <c r="N62291" s="8"/>
      <c r="O62291" s="8"/>
      <c r="P62291" s="8"/>
      <c r="Q62291" s="8"/>
      <c r="R62291" s="103"/>
      <c r="S62291" s="8"/>
      <c r="T62291" s="8"/>
      <c r="U62291" s="8"/>
      <c r="V62291" s="8"/>
      <c r="W62291" s="8"/>
      <c r="X62291" s="8"/>
      <c r="Y62291" s="8"/>
      <c r="Z62291" s="8"/>
      <c r="AA62291" s="8"/>
    </row>
    <row r="62292" spans="1:27" x14ac:dyDescent="0.25">
      <c r="A62292" s="8"/>
      <c r="B62292" s="8"/>
      <c r="C62292" s="99"/>
      <c r="D62292" s="8"/>
      <c r="E62292" s="8"/>
      <c r="F62292" s="8"/>
      <c r="G62292" s="8"/>
      <c r="H62292" s="8"/>
      <c r="I62292" s="102"/>
      <c r="J62292" s="8"/>
      <c r="K62292" s="8"/>
      <c r="L62292" s="8"/>
      <c r="M62292" s="8"/>
      <c r="N62292" s="8"/>
      <c r="O62292" s="8"/>
      <c r="P62292" s="8"/>
      <c r="Q62292" s="8"/>
      <c r="R62292" s="103"/>
      <c r="S62292" s="8"/>
      <c r="T62292" s="8"/>
      <c r="U62292" s="8"/>
      <c r="V62292" s="8"/>
      <c r="W62292" s="8"/>
      <c r="X62292" s="8"/>
      <c r="Y62292" s="8"/>
      <c r="Z62292" s="8"/>
      <c r="AA62292" s="8"/>
    </row>
    <row r="62293" spans="1:27" x14ac:dyDescent="0.25">
      <c r="A62293" s="8"/>
      <c r="B62293" s="8"/>
      <c r="C62293" s="99"/>
      <c r="D62293" s="8"/>
      <c r="E62293" s="8"/>
      <c r="F62293" s="8"/>
      <c r="G62293" s="8"/>
      <c r="H62293" s="8"/>
      <c r="I62293" s="102"/>
      <c r="J62293" s="8"/>
      <c r="K62293" s="8"/>
      <c r="L62293" s="8"/>
      <c r="M62293" s="8"/>
      <c r="N62293" s="8"/>
      <c r="O62293" s="8"/>
      <c r="P62293" s="8"/>
      <c r="Q62293" s="8"/>
      <c r="R62293" s="103"/>
      <c r="S62293" s="8"/>
      <c r="T62293" s="8"/>
      <c r="U62293" s="8"/>
      <c r="V62293" s="8"/>
      <c r="W62293" s="8"/>
      <c r="X62293" s="8"/>
      <c r="Y62293" s="8"/>
      <c r="Z62293" s="8"/>
      <c r="AA62293" s="8"/>
    </row>
    <row r="62294" spans="1:27" x14ac:dyDescent="0.25">
      <c r="A62294" s="8"/>
      <c r="B62294" s="8"/>
      <c r="C62294" s="99"/>
      <c r="D62294" s="8"/>
      <c r="E62294" s="8"/>
      <c r="F62294" s="8"/>
      <c r="G62294" s="8"/>
      <c r="H62294" s="8"/>
      <c r="I62294" s="102"/>
      <c r="J62294" s="8"/>
      <c r="K62294" s="8"/>
      <c r="L62294" s="8"/>
      <c r="M62294" s="8"/>
      <c r="N62294" s="8"/>
      <c r="O62294" s="8"/>
      <c r="P62294" s="8"/>
      <c r="Q62294" s="8"/>
      <c r="R62294" s="103"/>
      <c r="S62294" s="8"/>
      <c r="T62294" s="8"/>
      <c r="U62294" s="8"/>
      <c r="V62294" s="8"/>
      <c r="W62294" s="8"/>
      <c r="X62294" s="8"/>
      <c r="Y62294" s="8"/>
      <c r="Z62294" s="8"/>
      <c r="AA62294" s="8"/>
    </row>
    <row r="62295" spans="1:27" x14ac:dyDescent="0.25">
      <c r="A62295" s="8"/>
      <c r="B62295" s="8"/>
      <c r="C62295" s="99"/>
      <c r="D62295" s="8"/>
      <c r="E62295" s="8"/>
      <c r="F62295" s="8"/>
      <c r="G62295" s="8"/>
      <c r="H62295" s="8"/>
      <c r="I62295" s="102"/>
      <c r="J62295" s="8"/>
      <c r="K62295" s="8"/>
      <c r="L62295" s="8"/>
      <c r="M62295" s="8"/>
      <c r="N62295" s="8"/>
      <c r="O62295" s="8"/>
      <c r="P62295" s="8"/>
      <c r="Q62295" s="8"/>
      <c r="R62295" s="103"/>
      <c r="S62295" s="8"/>
      <c r="T62295" s="8"/>
      <c r="U62295" s="8"/>
      <c r="V62295" s="8"/>
      <c r="W62295" s="8"/>
      <c r="X62295" s="8"/>
      <c r="Y62295" s="8"/>
      <c r="Z62295" s="8"/>
      <c r="AA62295" s="8"/>
    </row>
    <row r="62296" spans="1:27" x14ac:dyDescent="0.25">
      <c r="A62296" s="8"/>
      <c r="B62296" s="8"/>
      <c r="C62296" s="99"/>
      <c r="D62296" s="8"/>
      <c r="E62296" s="8"/>
      <c r="F62296" s="8"/>
      <c r="G62296" s="8"/>
      <c r="H62296" s="8"/>
      <c r="I62296" s="102"/>
      <c r="J62296" s="8"/>
      <c r="K62296" s="8"/>
      <c r="L62296" s="8"/>
      <c r="M62296" s="8"/>
      <c r="N62296" s="8"/>
      <c r="O62296" s="8"/>
      <c r="P62296" s="8"/>
      <c r="Q62296" s="8"/>
      <c r="R62296" s="103"/>
      <c r="S62296" s="8"/>
      <c r="T62296" s="8"/>
      <c r="U62296" s="8"/>
      <c r="V62296" s="8"/>
      <c r="W62296" s="8"/>
      <c r="X62296" s="8"/>
      <c r="Y62296" s="8"/>
      <c r="Z62296" s="8"/>
      <c r="AA62296" s="8"/>
    </row>
    <row r="62297" spans="1:27" x14ac:dyDescent="0.25">
      <c r="A62297" s="8"/>
      <c r="B62297" s="8"/>
      <c r="C62297" s="99"/>
      <c r="D62297" s="8"/>
      <c r="E62297" s="8"/>
      <c r="F62297" s="8"/>
      <c r="G62297" s="8"/>
      <c r="H62297" s="8"/>
      <c r="I62297" s="102"/>
      <c r="J62297" s="8"/>
      <c r="K62297" s="8"/>
      <c r="L62297" s="8"/>
      <c r="M62297" s="8"/>
      <c r="N62297" s="8"/>
      <c r="O62297" s="8"/>
      <c r="P62297" s="8"/>
      <c r="Q62297" s="8"/>
      <c r="R62297" s="103"/>
      <c r="S62297" s="8"/>
      <c r="T62297" s="8"/>
      <c r="U62297" s="8"/>
      <c r="V62297" s="8"/>
      <c r="W62297" s="8"/>
      <c r="X62297" s="8"/>
      <c r="Y62297" s="8"/>
      <c r="Z62297" s="8"/>
      <c r="AA62297" s="8"/>
    </row>
    <row r="62298" spans="1:27" x14ac:dyDescent="0.25">
      <c r="A62298" s="8"/>
      <c r="B62298" s="8"/>
      <c r="C62298" s="99"/>
      <c r="D62298" s="8"/>
      <c r="E62298" s="8"/>
      <c r="F62298" s="8"/>
      <c r="G62298" s="8"/>
      <c r="H62298" s="8"/>
      <c r="I62298" s="102"/>
      <c r="J62298" s="8"/>
      <c r="K62298" s="8"/>
      <c r="L62298" s="8"/>
      <c r="M62298" s="8"/>
      <c r="N62298" s="8"/>
      <c r="O62298" s="8"/>
      <c r="P62298" s="8"/>
      <c r="Q62298" s="8"/>
      <c r="R62298" s="103"/>
      <c r="S62298" s="8"/>
      <c r="T62298" s="8"/>
      <c r="U62298" s="8"/>
      <c r="V62298" s="8"/>
      <c r="W62298" s="8"/>
      <c r="X62298" s="8"/>
      <c r="Y62298" s="8"/>
      <c r="Z62298" s="8"/>
      <c r="AA62298" s="8"/>
    </row>
    <row r="62299" spans="1:27" x14ac:dyDescent="0.25">
      <c r="A62299" s="8"/>
      <c r="B62299" s="8"/>
      <c r="C62299" s="99"/>
      <c r="D62299" s="8"/>
      <c r="E62299" s="8"/>
      <c r="F62299" s="8"/>
      <c r="G62299" s="8"/>
      <c r="H62299" s="8"/>
      <c r="I62299" s="102"/>
      <c r="J62299" s="8"/>
      <c r="K62299" s="8"/>
      <c r="L62299" s="8"/>
      <c r="M62299" s="8"/>
      <c r="N62299" s="8"/>
      <c r="O62299" s="8"/>
      <c r="P62299" s="8"/>
      <c r="Q62299" s="8"/>
      <c r="R62299" s="103"/>
      <c r="S62299" s="8"/>
      <c r="T62299" s="8"/>
      <c r="U62299" s="8"/>
      <c r="V62299" s="8"/>
      <c r="W62299" s="8"/>
      <c r="X62299" s="8"/>
      <c r="Y62299" s="8"/>
      <c r="Z62299" s="8"/>
      <c r="AA62299" s="8"/>
    </row>
    <row r="62300" spans="1:27" x14ac:dyDescent="0.25">
      <c r="A62300" s="8"/>
      <c r="B62300" s="8"/>
      <c r="C62300" s="99"/>
      <c r="D62300" s="8"/>
      <c r="E62300" s="8"/>
      <c r="F62300" s="8"/>
      <c r="G62300" s="8"/>
      <c r="H62300" s="8"/>
      <c r="I62300" s="102"/>
      <c r="J62300" s="8"/>
      <c r="K62300" s="8"/>
      <c r="L62300" s="8"/>
      <c r="M62300" s="8"/>
      <c r="N62300" s="8"/>
      <c r="O62300" s="8"/>
      <c r="P62300" s="8"/>
      <c r="Q62300" s="8"/>
      <c r="R62300" s="103"/>
      <c r="S62300" s="8"/>
      <c r="T62300" s="8"/>
      <c r="U62300" s="8"/>
      <c r="V62300" s="8"/>
      <c r="W62300" s="8"/>
      <c r="X62300" s="8"/>
      <c r="Y62300" s="8"/>
      <c r="Z62300" s="8"/>
      <c r="AA62300" s="8"/>
    </row>
    <row r="62301" spans="1:27" x14ac:dyDescent="0.25">
      <c r="A62301" s="8"/>
      <c r="B62301" s="8"/>
      <c r="C62301" s="99"/>
      <c r="D62301" s="8"/>
      <c r="E62301" s="8"/>
      <c r="F62301" s="8"/>
      <c r="G62301" s="8"/>
      <c r="H62301" s="8"/>
      <c r="I62301" s="102"/>
      <c r="J62301" s="8"/>
      <c r="K62301" s="8"/>
      <c r="L62301" s="8"/>
      <c r="M62301" s="8"/>
      <c r="N62301" s="8"/>
      <c r="O62301" s="8"/>
      <c r="P62301" s="8"/>
      <c r="Q62301" s="8"/>
      <c r="R62301" s="103"/>
      <c r="S62301" s="8"/>
      <c r="T62301" s="8"/>
      <c r="U62301" s="8"/>
      <c r="V62301" s="8"/>
      <c r="W62301" s="8"/>
      <c r="X62301" s="8"/>
      <c r="Y62301" s="8"/>
      <c r="Z62301" s="8"/>
      <c r="AA62301" s="8"/>
    </row>
    <row r="62302" spans="1:27" x14ac:dyDescent="0.25">
      <c r="A62302" s="8"/>
      <c r="B62302" s="8"/>
      <c r="C62302" s="99"/>
      <c r="D62302" s="8"/>
      <c r="E62302" s="8"/>
      <c r="F62302" s="8"/>
      <c r="G62302" s="8"/>
      <c r="H62302" s="8"/>
      <c r="I62302" s="102"/>
      <c r="J62302" s="8"/>
      <c r="K62302" s="8"/>
      <c r="L62302" s="8"/>
      <c r="M62302" s="8"/>
      <c r="N62302" s="8"/>
      <c r="O62302" s="8"/>
      <c r="P62302" s="8"/>
      <c r="Q62302" s="8"/>
      <c r="R62302" s="103"/>
      <c r="S62302" s="8"/>
      <c r="T62302" s="8"/>
      <c r="U62302" s="8"/>
      <c r="V62302" s="8"/>
      <c r="W62302" s="8"/>
      <c r="X62302" s="8"/>
      <c r="Y62302" s="8"/>
      <c r="Z62302" s="8"/>
      <c r="AA62302" s="8"/>
    </row>
    <row r="62303" spans="1:27" x14ac:dyDescent="0.25">
      <c r="A62303" s="8"/>
      <c r="B62303" s="8"/>
      <c r="C62303" s="99"/>
      <c r="D62303" s="8"/>
      <c r="E62303" s="8"/>
      <c r="F62303" s="8"/>
      <c r="G62303" s="8"/>
      <c r="H62303" s="8"/>
      <c r="I62303" s="102"/>
      <c r="J62303" s="8"/>
      <c r="K62303" s="8"/>
      <c r="L62303" s="8"/>
      <c r="M62303" s="8"/>
      <c r="N62303" s="8"/>
      <c r="O62303" s="8"/>
      <c r="P62303" s="8"/>
      <c r="Q62303" s="8"/>
      <c r="R62303" s="103"/>
      <c r="S62303" s="8"/>
      <c r="T62303" s="8"/>
      <c r="U62303" s="8"/>
      <c r="V62303" s="8"/>
      <c r="W62303" s="8"/>
      <c r="X62303" s="8"/>
      <c r="Y62303" s="8"/>
      <c r="Z62303" s="8"/>
      <c r="AA62303" s="8"/>
    </row>
    <row r="62304" spans="1:27" x14ac:dyDescent="0.25">
      <c r="A62304" s="8"/>
      <c r="B62304" s="8"/>
      <c r="C62304" s="99"/>
      <c r="D62304" s="8"/>
      <c r="E62304" s="8"/>
      <c r="F62304" s="8"/>
      <c r="G62304" s="8"/>
      <c r="H62304" s="8"/>
      <c r="I62304" s="102"/>
      <c r="J62304" s="8"/>
      <c r="K62304" s="8"/>
      <c r="L62304" s="8"/>
      <c r="M62304" s="8"/>
      <c r="N62304" s="8"/>
      <c r="O62304" s="8"/>
      <c r="P62304" s="8"/>
      <c r="Q62304" s="8"/>
      <c r="R62304" s="103"/>
      <c r="S62304" s="8"/>
      <c r="T62304" s="8"/>
      <c r="U62304" s="8"/>
      <c r="V62304" s="8"/>
      <c r="W62304" s="8"/>
      <c r="X62304" s="8"/>
      <c r="Y62304" s="8"/>
      <c r="Z62304" s="8"/>
      <c r="AA62304" s="8"/>
    </row>
    <row r="62305" spans="1:27" x14ac:dyDescent="0.25">
      <c r="A62305" s="8"/>
      <c r="B62305" s="8"/>
      <c r="C62305" s="99"/>
      <c r="D62305" s="8"/>
      <c r="E62305" s="8"/>
      <c r="F62305" s="8"/>
      <c r="G62305" s="8"/>
      <c r="H62305" s="8"/>
      <c r="I62305" s="102"/>
      <c r="J62305" s="8"/>
      <c r="K62305" s="8"/>
      <c r="L62305" s="8"/>
      <c r="M62305" s="8"/>
      <c r="N62305" s="8"/>
      <c r="O62305" s="8"/>
      <c r="P62305" s="8"/>
      <c r="Q62305" s="8"/>
      <c r="R62305" s="103"/>
      <c r="S62305" s="8"/>
      <c r="T62305" s="8"/>
      <c r="U62305" s="8"/>
      <c r="V62305" s="8"/>
      <c r="W62305" s="8"/>
      <c r="X62305" s="8"/>
      <c r="Y62305" s="8"/>
      <c r="Z62305" s="8"/>
      <c r="AA62305" s="8"/>
    </row>
    <row r="62306" spans="1:27" x14ac:dyDescent="0.25">
      <c r="A62306" s="8"/>
      <c r="B62306" s="8"/>
      <c r="C62306" s="99"/>
      <c r="D62306" s="8"/>
      <c r="E62306" s="8"/>
      <c r="F62306" s="8"/>
      <c r="G62306" s="8"/>
      <c r="H62306" s="8"/>
      <c r="I62306" s="102"/>
      <c r="J62306" s="8"/>
      <c r="K62306" s="8"/>
      <c r="L62306" s="8"/>
      <c r="M62306" s="8"/>
      <c r="N62306" s="8"/>
      <c r="O62306" s="8"/>
      <c r="P62306" s="8"/>
      <c r="Q62306" s="8"/>
      <c r="R62306" s="103"/>
      <c r="S62306" s="8"/>
      <c r="T62306" s="8"/>
      <c r="U62306" s="8"/>
      <c r="V62306" s="8"/>
      <c r="W62306" s="8"/>
      <c r="X62306" s="8"/>
      <c r="Y62306" s="8"/>
      <c r="Z62306" s="8"/>
      <c r="AA62306" s="8"/>
    </row>
    <row r="62307" spans="1:27" x14ac:dyDescent="0.25">
      <c r="A62307" s="8"/>
      <c r="B62307" s="8"/>
      <c r="C62307" s="99"/>
      <c r="D62307" s="8"/>
      <c r="E62307" s="8"/>
      <c r="F62307" s="8"/>
      <c r="G62307" s="8"/>
      <c r="H62307" s="8"/>
      <c r="I62307" s="102"/>
      <c r="J62307" s="8"/>
      <c r="K62307" s="8"/>
      <c r="L62307" s="8"/>
      <c r="M62307" s="8"/>
      <c r="N62307" s="8"/>
      <c r="O62307" s="8"/>
      <c r="P62307" s="8"/>
      <c r="Q62307" s="8"/>
      <c r="R62307" s="103"/>
      <c r="S62307" s="8"/>
      <c r="T62307" s="8"/>
      <c r="U62307" s="8"/>
      <c r="V62307" s="8"/>
      <c r="W62307" s="8"/>
      <c r="X62307" s="8"/>
      <c r="Y62307" s="8"/>
      <c r="Z62307" s="8"/>
      <c r="AA62307" s="8"/>
    </row>
    <row r="62308" spans="1:27" x14ac:dyDescent="0.25">
      <c r="A62308" s="8"/>
      <c r="B62308" s="8"/>
      <c r="C62308" s="99"/>
      <c r="D62308" s="8"/>
      <c r="E62308" s="8"/>
      <c r="F62308" s="8"/>
      <c r="G62308" s="8"/>
      <c r="H62308" s="8"/>
      <c r="I62308" s="102"/>
      <c r="J62308" s="8"/>
      <c r="K62308" s="8"/>
      <c r="L62308" s="8"/>
      <c r="M62308" s="8"/>
      <c r="N62308" s="8"/>
      <c r="O62308" s="8"/>
      <c r="P62308" s="8"/>
      <c r="Q62308" s="8"/>
      <c r="R62308" s="103"/>
      <c r="S62308" s="8"/>
      <c r="T62308" s="8"/>
      <c r="U62308" s="8"/>
      <c r="V62308" s="8"/>
      <c r="W62308" s="8"/>
      <c r="X62308" s="8"/>
      <c r="Y62308" s="8"/>
      <c r="Z62308" s="8"/>
      <c r="AA62308" s="8"/>
    </row>
    <row r="62309" spans="1:27" x14ac:dyDescent="0.25">
      <c r="A62309" s="8"/>
      <c r="B62309" s="8"/>
      <c r="C62309" s="99"/>
      <c r="D62309" s="8"/>
      <c r="E62309" s="8"/>
      <c r="F62309" s="8"/>
      <c r="G62309" s="8"/>
      <c r="H62309" s="8"/>
      <c r="I62309" s="102"/>
      <c r="J62309" s="8"/>
      <c r="K62309" s="8"/>
      <c r="L62309" s="8"/>
      <c r="M62309" s="8"/>
      <c r="N62309" s="8"/>
      <c r="O62309" s="8"/>
      <c r="P62309" s="8"/>
      <c r="Q62309" s="8"/>
      <c r="R62309" s="103"/>
      <c r="S62309" s="8"/>
      <c r="T62309" s="8"/>
      <c r="U62309" s="8"/>
      <c r="V62309" s="8"/>
      <c r="W62309" s="8"/>
      <c r="X62309" s="8"/>
      <c r="Y62309" s="8"/>
      <c r="Z62309" s="8"/>
      <c r="AA62309" s="8"/>
    </row>
    <row r="62310" spans="1:27" x14ac:dyDescent="0.25">
      <c r="A62310" s="8"/>
      <c r="B62310" s="8"/>
      <c r="C62310" s="99"/>
      <c r="D62310" s="8"/>
      <c r="E62310" s="8"/>
      <c r="F62310" s="8"/>
      <c r="G62310" s="8"/>
      <c r="H62310" s="8"/>
      <c r="I62310" s="102"/>
      <c r="J62310" s="8"/>
      <c r="K62310" s="8"/>
      <c r="L62310" s="8"/>
      <c r="M62310" s="8"/>
      <c r="N62310" s="8"/>
      <c r="O62310" s="8"/>
      <c r="P62310" s="8"/>
      <c r="Q62310" s="8"/>
      <c r="R62310" s="103"/>
      <c r="S62310" s="8"/>
      <c r="T62310" s="8"/>
      <c r="U62310" s="8"/>
      <c r="V62310" s="8"/>
      <c r="W62310" s="8"/>
      <c r="X62310" s="8"/>
      <c r="Y62310" s="8"/>
      <c r="Z62310" s="8"/>
      <c r="AA62310" s="8"/>
    </row>
    <row r="62311" spans="1:27" x14ac:dyDescent="0.25">
      <c r="A62311" s="8"/>
      <c r="B62311" s="8"/>
      <c r="C62311" s="99"/>
      <c r="D62311" s="8"/>
      <c r="E62311" s="8"/>
      <c r="F62311" s="8"/>
      <c r="G62311" s="8"/>
      <c r="H62311" s="8"/>
      <c r="I62311" s="102"/>
      <c r="J62311" s="8"/>
      <c r="K62311" s="8"/>
      <c r="L62311" s="8"/>
      <c r="M62311" s="8"/>
      <c r="N62311" s="8"/>
      <c r="O62311" s="8"/>
      <c r="P62311" s="8"/>
      <c r="Q62311" s="8"/>
      <c r="R62311" s="103"/>
      <c r="S62311" s="8"/>
      <c r="T62311" s="8"/>
      <c r="U62311" s="8"/>
      <c r="V62311" s="8"/>
      <c r="W62311" s="8"/>
      <c r="X62311" s="8"/>
      <c r="Y62311" s="8"/>
      <c r="Z62311" s="8"/>
      <c r="AA62311" s="8"/>
    </row>
    <row r="62312" spans="1:27" x14ac:dyDescent="0.25">
      <c r="A62312" s="8"/>
      <c r="B62312" s="8"/>
      <c r="C62312" s="99"/>
      <c r="D62312" s="8"/>
      <c r="E62312" s="8"/>
      <c r="F62312" s="8"/>
      <c r="G62312" s="8"/>
      <c r="H62312" s="8"/>
      <c r="I62312" s="102"/>
      <c r="J62312" s="8"/>
      <c r="K62312" s="8"/>
      <c r="L62312" s="8"/>
      <c r="M62312" s="8"/>
      <c r="N62312" s="8"/>
      <c r="O62312" s="8"/>
      <c r="P62312" s="8"/>
      <c r="Q62312" s="8"/>
      <c r="R62312" s="103"/>
      <c r="S62312" s="8"/>
      <c r="T62312" s="8"/>
      <c r="U62312" s="8"/>
      <c r="V62312" s="8"/>
      <c r="W62312" s="8"/>
      <c r="X62312" s="8"/>
      <c r="Y62312" s="8"/>
      <c r="Z62312" s="8"/>
      <c r="AA62312" s="8"/>
    </row>
    <row r="62313" spans="1:27" x14ac:dyDescent="0.25">
      <c r="A62313" s="8"/>
      <c r="B62313" s="8"/>
      <c r="C62313" s="99"/>
      <c r="D62313" s="8"/>
      <c r="E62313" s="8"/>
      <c r="F62313" s="8"/>
      <c r="G62313" s="8"/>
      <c r="H62313" s="8"/>
      <c r="I62313" s="102"/>
      <c r="J62313" s="8"/>
      <c r="K62313" s="8"/>
      <c r="L62313" s="8"/>
      <c r="M62313" s="8"/>
      <c r="N62313" s="8"/>
      <c r="O62313" s="8"/>
      <c r="P62313" s="8"/>
      <c r="Q62313" s="8"/>
      <c r="R62313" s="103"/>
      <c r="S62313" s="8"/>
      <c r="T62313" s="8"/>
      <c r="U62313" s="8"/>
      <c r="V62313" s="8"/>
      <c r="W62313" s="8"/>
      <c r="X62313" s="8"/>
      <c r="Y62313" s="8"/>
      <c r="Z62313" s="8"/>
      <c r="AA62313" s="8"/>
    </row>
    <row r="62314" spans="1:27" x14ac:dyDescent="0.25">
      <c r="A62314" s="8"/>
      <c r="B62314" s="8"/>
      <c r="C62314" s="99"/>
      <c r="D62314" s="8"/>
      <c r="E62314" s="8"/>
      <c r="F62314" s="8"/>
      <c r="G62314" s="8"/>
      <c r="H62314" s="8"/>
      <c r="I62314" s="102"/>
      <c r="J62314" s="8"/>
      <c r="K62314" s="8"/>
      <c r="L62314" s="8"/>
      <c r="M62314" s="8"/>
      <c r="N62314" s="8"/>
      <c r="O62314" s="8"/>
      <c r="P62314" s="8"/>
      <c r="Q62314" s="8"/>
      <c r="R62314" s="103"/>
      <c r="S62314" s="8"/>
      <c r="T62314" s="8"/>
      <c r="U62314" s="8"/>
      <c r="V62314" s="8"/>
      <c r="W62314" s="8"/>
      <c r="X62314" s="8"/>
      <c r="Y62314" s="8"/>
      <c r="Z62314" s="8"/>
      <c r="AA62314" s="8"/>
    </row>
    <row r="62315" spans="1:27" x14ac:dyDescent="0.25">
      <c r="A62315" s="8"/>
      <c r="B62315" s="8"/>
      <c r="C62315" s="99"/>
      <c r="D62315" s="8"/>
      <c r="E62315" s="8"/>
      <c r="F62315" s="8"/>
      <c r="G62315" s="8"/>
      <c r="H62315" s="8"/>
      <c r="I62315" s="102"/>
      <c r="J62315" s="8"/>
      <c r="K62315" s="8"/>
      <c r="L62315" s="8"/>
      <c r="M62315" s="8"/>
      <c r="N62315" s="8"/>
      <c r="O62315" s="8"/>
      <c r="P62315" s="8"/>
      <c r="Q62315" s="8"/>
      <c r="R62315" s="103"/>
      <c r="S62315" s="8"/>
      <c r="T62315" s="8"/>
      <c r="U62315" s="8"/>
      <c r="V62315" s="8"/>
      <c r="W62315" s="8"/>
      <c r="X62315" s="8"/>
      <c r="Y62315" s="8"/>
      <c r="Z62315" s="8"/>
      <c r="AA62315" s="8"/>
    </row>
    <row r="62316" spans="1:27" x14ac:dyDescent="0.25">
      <c r="A62316" s="8"/>
      <c r="B62316" s="8"/>
      <c r="C62316" s="99"/>
      <c r="D62316" s="8"/>
      <c r="E62316" s="8"/>
      <c r="F62316" s="8"/>
      <c r="G62316" s="8"/>
      <c r="H62316" s="8"/>
      <c r="I62316" s="102"/>
      <c r="J62316" s="8"/>
      <c r="K62316" s="8"/>
      <c r="L62316" s="8"/>
      <c r="M62316" s="8"/>
      <c r="N62316" s="8"/>
      <c r="O62316" s="8"/>
      <c r="P62316" s="8"/>
      <c r="Q62316" s="8"/>
      <c r="R62316" s="103"/>
      <c r="S62316" s="8"/>
      <c r="T62316" s="8"/>
      <c r="U62316" s="8"/>
      <c r="V62316" s="8"/>
      <c r="W62316" s="8"/>
      <c r="X62316" s="8"/>
      <c r="Y62316" s="8"/>
      <c r="Z62316" s="8"/>
      <c r="AA62316" s="8"/>
    </row>
    <row r="62317" spans="1:27" x14ac:dyDescent="0.25">
      <c r="A62317" s="8"/>
      <c r="B62317" s="8"/>
      <c r="C62317" s="99"/>
      <c r="D62317" s="8"/>
      <c r="E62317" s="8"/>
      <c r="F62317" s="8"/>
      <c r="G62317" s="8"/>
      <c r="H62317" s="8"/>
      <c r="I62317" s="102"/>
      <c r="J62317" s="8"/>
      <c r="K62317" s="8"/>
      <c r="L62317" s="8"/>
      <c r="M62317" s="8"/>
      <c r="N62317" s="8"/>
      <c r="O62317" s="8"/>
      <c r="P62317" s="8"/>
      <c r="Q62317" s="8"/>
      <c r="R62317" s="103"/>
      <c r="S62317" s="8"/>
      <c r="T62317" s="8"/>
      <c r="U62317" s="8"/>
      <c r="V62317" s="8"/>
      <c r="W62317" s="8"/>
      <c r="X62317" s="8"/>
      <c r="Y62317" s="8"/>
      <c r="Z62317" s="8"/>
      <c r="AA62317" s="8"/>
    </row>
    <row r="62318" spans="1:27" x14ac:dyDescent="0.25">
      <c r="A62318" s="8"/>
      <c r="B62318" s="8"/>
      <c r="C62318" s="99"/>
      <c r="D62318" s="8"/>
      <c r="E62318" s="8"/>
      <c r="F62318" s="8"/>
      <c r="G62318" s="8"/>
      <c r="H62318" s="8"/>
      <c r="I62318" s="102"/>
      <c r="J62318" s="8"/>
      <c r="K62318" s="8"/>
      <c r="L62318" s="8"/>
      <c r="M62318" s="8"/>
      <c r="N62318" s="8"/>
      <c r="O62318" s="8"/>
      <c r="P62318" s="8"/>
      <c r="Q62318" s="8"/>
      <c r="R62318" s="103"/>
      <c r="S62318" s="8"/>
      <c r="T62318" s="8"/>
      <c r="U62318" s="8"/>
      <c r="V62318" s="8"/>
      <c r="W62318" s="8"/>
      <c r="X62318" s="8"/>
      <c r="Y62318" s="8"/>
      <c r="Z62318" s="8"/>
      <c r="AA62318" s="8"/>
    </row>
    <row r="62319" spans="1:27" x14ac:dyDescent="0.25">
      <c r="A62319" s="8"/>
      <c r="B62319" s="8"/>
      <c r="C62319" s="99"/>
      <c r="D62319" s="8"/>
      <c r="E62319" s="8"/>
      <c r="F62319" s="8"/>
      <c r="G62319" s="8"/>
      <c r="H62319" s="8"/>
      <c r="I62319" s="102"/>
      <c r="J62319" s="8"/>
      <c r="K62319" s="8"/>
      <c r="L62319" s="8"/>
      <c r="M62319" s="8"/>
      <c r="N62319" s="8"/>
      <c r="O62319" s="8"/>
      <c r="P62319" s="8"/>
      <c r="Q62319" s="8"/>
      <c r="R62319" s="103"/>
      <c r="S62319" s="8"/>
      <c r="T62319" s="8"/>
      <c r="U62319" s="8"/>
      <c r="V62319" s="8"/>
      <c r="W62319" s="8"/>
      <c r="X62319" s="8"/>
      <c r="Y62319" s="8"/>
      <c r="Z62319" s="8"/>
      <c r="AA62319" s="8"/>
    </row>
    <row r="62320" spans="1:27" x14ac:dyDescent="0.25">
      <c r="A62320" s="8"/>
      <c r="B62320" s="8"/>
      <c r="C62320" s="99"/>
      <c r="D62320" s="8"/>
      <c r="E62320" s="8"/>
      <c r="F62320" s="8"/>
      <c r="G62320" s="8"/>
      <c r="H62320" s="8"/>
      <c r="I62320" s="102"/>
      <c r="J62320" s="8"/>
      <c r="K62320" s="8"/>
      <c r="L62320" s="8"/>
      <c r="M62320" s="8"/>
      <c r="N62320" s="8"/>
      <c r="O62320" s="8"/>
      <c r="P62320" s="8"/>
      <c r="Q62320" s="8"/>
      <c r="R62320" s="103"/>
      <c r="S62320" s="8"/>
      <c r="T62320" s="8"/>
      <c r="U62320" s="8"/>
      <c r="V62320" s="8"/>
      <c r="W62320" s="8"/>
      <c r="X62320" s="8"/>
      <c r="Y62320" s="8"/>
      <c r="Z62320" s="8"/>
      <c r="AA62320" s="8"/>
    </row>
    <row r="62321" spans="1:27" x14ac:dyDescent="0.25">
      <c r="A62321" s="8"/>
      <c r="B62321" s="8"/>
      <c r="C62321" s="99"/>
      <c r="D62321" s="8"/>
      <c r="E62321" s="8"/>
      <c r="F62321" s="8"/>
      <c r="G62321" s="8"/>
      <c r="H62321" s="8"/>
      <c r="I62321" s="102"/>
      <c r="J62321" s="8"/>
      <c r="K62321" s="8"/>
      <c r="L62321" s="8"/>
      <c r="M62321" s="8"/>
      <c r="N62321" s="8"/>
      <c r="O62321" s="8"/>
      <c r="P62321" s="8"/>
      <c r="Q62321" s="8"/>
      <c r="R62321" s="103"/>
      <c r="S62321" s="8"/>
      <c r="T62321" s="8"/>
      <c r="U62321" s="8"/>
      <c r="V62321" s="8"/>
      <c r="W62321" s="8"/>
      <c r="X62321" s="8"/>
      <c r="Y62321" s="8"/>
      <c r="Z62321" s="8"/>
      <c r="AA62321" s="8"/>
    </row>
    <row r="62322" spans="1:27" x14ac:dyDescent="0.25">
      <c r="A62322" s="8"/>
      <c r="B62322" s="8"/>
      <c r="C62322" s="99"/>
      <c r="D62322" s="8"/>
      <c r="E62322" s="8"/>
      <c r="F62322" s="8"/>
      <c r="G62322" s="8"/>
      <c r="H62322" s="8"/>
      <c r="I62322" s="102"/>
      <c r="J62322" s="8"/>
      <c r="K62322" s="8"/>
      <c r="L62322" s="8"/>
      <c r="M62322" s="8"/>
      <c r="N62322" s="8"/>
      <c r="O62322" s="8"/>
      <c r="P62322" s="8"/>
      <c r="Q62322" s="8"/>
      <c r="R62322" s="103"/>
      <c r="S62322" s="8"/>
      <c r="T62322" s="8"/>
      <c r="U62322" s="8"/>
      <c r="V62322" s="8"/>
      <c r="W62322" s="8"/>
      <c r="X62322" s="8"/>
      <c r="Y62322" s="8"/>
      <c r="Z62322" s="8"/>
      <c r="AA62322" s="8"/>
    </row>
    <row r="62323" spans="1:27" x14ac:dyDescent="0.25">
      <c r="A62323" s="8"/>
      <c r="B62323" s="8"/>
      <c r="C62323" s="99"/>
      <c r="D62323" s="8"/>
      <c r="E62323" s="8"/>
      <c r="F62323" s="8"/>
      <c r="G62323" s="8"/>
      <c r="H62323" s="8"/>
      <c r="I62323" s="102"/>
      <c r="J62323" s="8"/>
      <c r="K62323" s="8"/>
      <c r="L62323" s="8"/>
      <c r="M62323" s="8"/>
      <c r="N62323" s="8"/>
      <c r="O62323" s="8"/>
      <c r="P62323" s="8"/>
      <c r="Q62323" s="8"/>
      <c r="R62323" s="103"/>
      <c r="S62323" s="8"/>
      <c r="T62323" s="8"/>
      <c r="U62323" s="8"/>
      <c r="V62323" s="8"/>
      <c r="W62323" s="8"/>
      <c r="X62323" s="8"/>
      <c r="Y62323" s="8"/>
      <c r="Z62323" s="8"/>
      <c r="AA62323" s="8"/>
    </row>
    <row r="62324" spans="1:27" x14ac:dyDescent="0.25">
      <c r="A62324" s="8"/>
      <c r="B62324" s="8"/>
      <c r="C62324" s="99"/>
      <c r="D62324" s="8"/>
      <c r="E62324" s="8"/>
      <c r="F62324" s="8"/>
      <c r="G62324" s="8"/>
      <c r="H62324" s="8"/>
      <c r="I62324" s="102"/>
      <c r="J62324" s="8"/>
      <c r="K62324" s="8"/>
      <c r="L62324" s="8"/>
      <c r="M62324" s="8"/>
      <c r="N62324" s="8"/>
      <c r="O62324" s="8"/>
      <c r="P62324" s="8"/>
      <c r="Q62324" s="8"/>
      <c r="R62324" s="103"/>
      <c r="S62324" s="8"/>
      <c r="T62324" s="8"/>
      <c r="U62324" s="8"/>
      <c r="V62324" s="8"/>
      <c r="W62324" s="8"/>
      <c r="X62324" s="8"/>
      <c r="Y62324" s="8"/>
      <c r="Z62324" s="8"/>
      <c r="AA62324" s="8"/>
    </row>
    <row r="62325" spans="1:27" x14ac:dyDescent="0.25">
      <c r="A62325" s="8"/>
      <c r="B62325" s="8"/>
      <c r="C62325" s="99"/>
      <c r="D62325" s="8"/>
      <c r="E62325" s="8"/>
      <c r="F62325" s="8"/>
      <c r="G62325" s="8"/>
      <c r="H62325" s="8"/>
      <c r="I62325" s="102"/>
      <c r="J62325" s="8"/>
      <c r="K62325" s="8"/>
      <c r="L62325" s="8"/>
      <c r="M62325" s="8"/>
      <c r="N62325" s="8"/>
      <c r="O62325" s="8"/>
      <c r="P62325" s="8"/>
      <c r="Q62325" s="8"/>
      <c r="R62325" s="103"/>
      <c r="S62325" s="8"/>
      <c r="T62325" s="8"/>
      <c r="U62325" s="8"/>
      <c r="V62325" s="8"/>
      <c r="W62325" s="8"/>
      <c r="X62325" s="8"/>
      <c r="Y62325" s="8"/>
      <c r="Z62325" s="8"/>
      <c r="AA62325" s="8"/>
    </row>
    <row r="62326" spans="1:27" x14ac:dyDescent="0.25">
      <c r="A62326" s="8"/>
      <c r="B62326" s="8"/>
      <c r="C62326" s="99"/>
      <c r="D62326" s="8"/>
      <c r="E62326" s="8"/>
      <c r="F62326" s="8"/>
      <c r="G62326" s="8"/>
      <c r="H62326" s="8"/>
      <c r="I62326" s="102"/>
      <c r="J62326" s="8"/>
      <c r="K62326" s="8"/>
      <c r="L62326" s="8"/>
      <c r="M62326" s="8"/>
      <c r="N62326" s="8"/>
      <c r="O62326" s="8"/>
      <c r="P62326" s="8"/>
      <c r="Q62326" s="8"/>
      <c r="R62326" s="103"/>
      <c r="S62326" s="8"/>
      <c r="T62326" s="8"/>
      <c r="U62326" s="8"/>
      <c r="V62326" s="8"/>
      <c r="W62326" s="8"/>
      <c r="X62326" s="8"/>
      <c r="Y62326" s="8"/>
      <c r="Z62326" s="8"/>
      <c r="AA62326" s="8"/>
    </row>
    <row r="62327" spans="1:27" x14ac:dyDescent="0.25">
      <c r="A62327" s="8"/>
      <c r="B62327" s="8"/>
      <c r="C62327" s="99"/>
      <c r="D62327" s="8"/>
      <c r="E62327" s="8"/>
      <c r="F62327" s="8"/>
      <c r="G62327" s="8"/>
      <c r="H62327" s="8"/>
      <c r="I62327" s="102"/>
      <c r="J62327" s="8"/>
      <c r="K62327" s="8"/>
      <c r="L62327" s="8"/>
      <c r="M62327" s="8"/>
      <c r="N62327" s="8"/>
      <c r="O62327" s="8"/>
      <c r="P62327" s="8"/>
      <c r="Q62327" s="8"/>
      <c r="R62327" s="103"/>
      <c r="S62327" s="8"/>
      <c r="T62327" s="8"/>
      <c r="U62327" s="8"/>
      <c r="V62327" s="8"/>
      <c r="W62327" s="8"/>
      <c r="X62327" s="8"/>
      <c r="Y62327" s="8"/>
      <c r="Z62327" s="8"/>
      <c r="AA62327" s="8"/>
    </row>
    <row r="62328" spans="1:27" x14ac:dyDescent="0.25">
      <c r="A62328" s="8"/>
      <c r="B62328" s="8"/>
      <c r="C62328" s="99"/>
      <c r="D62328" s="8"/>
      <c r="E62328" s="8"/>
      <c r="F62328" s="8"/>
      <c r="G62328" s="8"/>
      <c r="H62328" s="8"/>
      <c r="I62328" s="102"/>
      <c r="J62328" s="8"/>
      <c r="K62328" s="8"/>
      <c r="L62328" s="8"/>
      <c r="M62328" s="8"/>
      <c r="N62328" s="8"/>
      <c r="O62328" s="8"/>
      <c r="P62328" s="8"/>
      <c r="Q62328" s="8"/>
      <c r="R62328" s="103"/>
      <c r="S62328" s="8"/>
      <c r="T62328" s="8"/>
      <c r="U62328" s="8"/>
      <c r="V62328" s="8"/>
      <c r="W62328" s="8"/>
      <c r="X62328" s="8"/>
      <c r="Y62328" s="8"/>
      <c r="Z62328" s="8"/>
      <c r="AA62328" s="8"/>
    </row>
    <row r="62329" spans="1:27" x14ac:dyDescent="0.25">
      <c r="A62329" s="8"/>
      <c r="B62329" s="8"/>
      <c r="C62329" s="99"/>
      <c r="D62329" s="8"/>
      <c r="E62329" s="8"/>
      <c r="F62329" s="8"/>
      <c r="G62329" s="8"/>
      <c r="H62329" s="8"/>
      <c r="I62329" s="102"/>
      <c r="J62329" s="8"/>
      <c r="K62329" s="8"/>
      <c r="L62329" s="8"/>
      <c r="M62329" s="8"/>
      <c r="N62329" s="8"/>
      <c r="O62329" s="8"/>
      <c r="P62329" s="8"/>
      <c r="Q62329" s="8"/>
      <c r="R62329" s="103"/>
      <c r="S62329" s="8"/>
      <c r="T62329" s="8"/>
      <c r="U62329" s="8"/>
      <c r="V62329" s="8"/>
      <c r="W62329" s="8"/>
      <c r="X62329" s="8"/>
      <c r="Y62329" s="8"/>
      <c r="Z62329" s="8"/>
      <c r="AA62329" s="8"/>
    </row>
    <row r="62330" spans="1:27" x14ac:dyDescent="0.25">
      <c r="A62330" s="8"/>
      <c r="B62330" s="8"/>
      <c r="C62330" s="99"/>
      <c r="D62330" s="8"/>
      <c r="E62330" s="8"/>
      <c r="F62330" s="8"/>
      <c r="G62330" s="8"/>
      <c r="H62330" s="8"/>
      <c r="I62330" s="102"/>
      <c r="J62330" s="8"/>
      <c r="K62330" s="8"/>
      <c r="L62330" s="8"/>
      <c r="M62330" s="8"/>
      <c r="N62330" s="8"/>
      <c r="O62330" s="8"/>
      <c r="P62330" s="8"/>
      <c r="Q62330" s="8"/>
      <c r="R62330" s="103"/>
      <c r="S62330" s="8"/>
      <c r="T62330" s="8"/>
      <c r="U62330" s="8"/>
      <c r="V62330" s="8"/>
      <c r="W62330" s="8"/>
      <c r="X62330" s="8"/>
      <c r="Y62330" s="8"/>
      <c r="Z62330" s="8"/>
      <c r="AA62330" s="8"/>
    </row>
    <row r="62331" spans="1:27" x14ac:dyDescent="0.25">
      <c r="A62331" s="8"/>
      <c r="B62331" s="8"/>
      <c r="C62331" s="99"/>
      <c r="D62331" s="8"/>
      <c r="E62331" s="8"/>
      <c r="F62331" s="8"/>
      <c r="G62331" s="8"/>
      <c r="H62331" s="8"/>
      <c r="I62331" s="102"/>
      <c r="J62331" s="8"/>
      <c r="K62331" s="8"/>
      <c r="L62331" s="8"/>
      <c r="M62331" s="8"/>
      <c r="N62331" s="8"/>
      <c r="O62331" s="8"/>
      <c r="P62331" s="8"/>
      <c r="Q62331" s="8"/>
      <c r="R62331" s="103"/>
      <c r="S62331" s="8"/>
      <c r="T62331" s="8"/>
      <c r="U62331" s="8"/>
      <c r="V62331" s="8"/>
      <c r="W62331" s="8"/>
      <c r="X62331" s="8"/>
      <c r="Y62331" s="8"/>
      <c r="Z62331" s="8"/>
      <c r="AA62331" s="8"/>
    </row>
    <row r="62332" spans="1:27" x14ac:dyDescent="0.25">
      <c r="A62332" s="8"/>
      <c r="B62332" s="8"/>
      <c r="C62332" s="99"/>
      <c r="D62332" s="8"/>
      <c r="E62332" s="8"/>
      <c r="F62332" s="8"/>
      <c r="G62332" s="8"/>
      <c r="H62332" s="8"/>
      <c r="I62332" s="102"/>
      <c r="J62332" s="8"/>
      <c r="K62332" s="8"/>
      <c r="L62332" s="8"/>
      <c r="M62332" s="8"/>
      <c r="N62332" s="8"/>
      <c r="O62332" s="8"/>
      <c r="P62332" s="8"/>
      <c r="Q62332" s="8"/>
      <c r="R62332" s="103"/>
      <c r="S62332" s="8"/>
      <c r="T62332" s="8"/>
      <c r="U62332" s="8"/>
      <c r="V62332" s="8"/>
      <c r="W62332" s="8"/>
      <c r="X62332" s="8"/>
      <c r="Y62332" s="8"/>
      <c r="Z62332" s="8"/>
      <c r="AA62332" s="8"/>
    </row>
    <row r="62333" spans="1:27" x14ac:dyDescent="0.25">
      <c r="A62333" s="8"/>
      <c r="B62333" s="8"/>
      <c r="C62333" s="99"/>
      <c r="D62333" s="8"/>
      <c r="E62333" s="8"/>
      <c r="F62333" s="8"/>
      <c r="G62333" s="8"/>
      <c r="H62333" s="8"/>
      <c r="I62333" s="102"/>
      <c r="J62333" s="8"/>
      <c r="K62333" s="8"/>
      <c r="L62333" s="8"/>
      <c r="M62333" s="8"/>
      <c r="N62333" s="8"/>
      <c r="O62333" s="8"/>
      <c r="P62333" s="8"/>
      <c r="Q62333" s="8"/>
      <c r="R62333" s="103"/>
      <c r="S62333" s="8"/>
      <c r="T62333" s="8"/>
      <c r="U62333" s="8"/>
      <c r="V62333" s="8"/>
      <c r="W62333" s="8"/>
      <c r="X62333" s="8"/>
      <c r="Y62333" s="8"/>
      <c r="Z62333" s="8"/>
      <c r="AA62333" s="8"/>
    </row>
    <row r="62334" spans="1:27" x14ac:dyDescent="0.25">
      <c r="A62334" s="8"/>
      <c r="B62334" s="8"/>
      <c r="C62334" s="99"/>
      <c r="D62334" s="8"/>
      <c r="E62334" s="8"/>
      <c r="F62334" s="8"/>
      <c r="G62334" s="8"/>
      <c r="H62334" s="8"/>
      <c r="I62334" s="102"/>
      <c r="J62334" s="8"/>
      <c r="K62334" s="8"/>
      <c r="L62334" s="8"/>
      <c r="M62334" s="8"/>
      <c r="N62334" s="8"/>
      <c r="O62334" s="8"/>
      <c r="P62334" s="8"/>
      <c r="Q62334" s="8"/>
      <c r="R62334" s="103"/>
      <c r="S62334" s="8"/>
      <c r="T62334" s="8"/>
      <c r="U62334" s="8"/>
      <c r="V62334" s="8"/>
      <c r="W62334" s="8"/>
      <c r="X62334" s="8"/>
      <c r="Y62334" s="8"/>
      <c r="Z62334" s="8"/>
      <c r="AA62334" s="8"/>
    </row>
    <row r="62335" spans="1:27" x14ac:dyDescent="0.25">
      <c r="A62335" s="8"/>
      <c r="B62335" s="8"/>
      <c r="C62335" s="99"/>
      <c r="D62335" s="8"/>
      <c r="E62335" s="8"/>
      <c r="F62335" s="8"/>
      <c r="G62335" s="8"/>
      <c r="H62335" s="8"/>
      <c r="I62335" s="102"/>
      <c r="J62335" s="8"/>
      <c r="K62335" s="8"/>
      <c r="L62335" s="8"/>
      <c r="M62335" s="8"/>
      <c r="N62335" s="8"/>
      <c r="O62335" s="8"/>
      <c r="P62335" s="8"/>
      <c r="Q62335" s="8"/>
      <c r="R62335" s="103"/>
      <c r="S62335" s="8"/>
      <c r="T62335" s="8"/>
      <c r="U62335" s="8"/>
      <c r="V62335" s="8"/>
      <c r="W62335" s="8"/>
      <c r="X62335" s="8"/>
      <c r="Y62335" s="8"/>
      <c r="Z62335" s="8"/>
      <c r="AA62335" s="8"/>
    </row>
    <row r="62336" spans="1:27" x14ac:dyDescent="0.25">
      <c r="A62336" s="8"/>
      <c r="B62336" s="8"/>
      <c r="C62336" s="99"/>
      <c r="D62336" s="8"/>
      <c r="E62336" s="8"/>
      <c r="F62336" s="8"/>
      <c r="G62336" s="8"/>
      <c r="H62336" s="8"/>
      <c r="I62336" s="102"/>
      <c r="J62336" s="8"/>
      <c r="K62336" s="8"/>
      <c r="L62336" s="8"/>
      <c r="M62336" s="8"/>
      <c r="N62336" s="8"/>
      <c r="O62336" s="8"/>
      <c r="P62336" s="8"/>
      <c r="Q62336" s="8"/>
      <c r="R62336" s="103"/>
      <c r="S62336" s="8"/>
      <c r="T62336" s="8"/>
      <c r="U62336" s="8"/>
      <c r="V62336" s="8"/>
      <c r="W62336" s="8"/>
      <c r="X62336" s="8"/>
      <c r="Y62336" s="8"/>
      <c r="Z62336" s="8"/>
      <c r="AA62336" s="8"/>
    </row>
    <row r="62337" spans="1:27" x14ac:dyDescent="0.25">
      <c r="A62337" s="8"/>
      <c r="B62337" s="8"/>
      <c r="C62337" s="99"/>
      <c r="D62337" s="8"/>
      <c r="E62337" s="8"/>
      <c r="F62337" s="8"/>
      <c r="G62337" s="8"/>
      <c r="H62337" s="8"/>
      <c r="I62337" s="102"/>
      <c r="J62337" s="8"/>
      <c r="K62337" s="8"/>
      <c r="L62337" s="8"/>
      <c r="M62337" s="8"/>
      <c r="N62337" s="8"/>
      <c r="O62337" s="8"/>
      <c r="P62337" s="8"/>
      <c r="Q62337" s="8"/>
      <c r="R62337" s="103"/>
      <c r="S62337" s="8"/>
      <c r="T62337" s="8"/>
      <c r="U62337" s="8"/>
      <c r="V62337" s="8"/>
      <c r="W62337" s="8"/>
      <c r="X62337" s="8"/>
      <c r="Y62337" s="8"/>
      <c r="Z62337" s="8"/>
      <c r="AA62337" s="8"/>
    </row>
    <row r="62338" spans="1:27" x14ac:dyDescent="0.25">
      <c r="A62338" s="8"/>
      <c r="B62338" s="8"/>
      <c r="C62338" s="99"/>
      <c r="D62338" s="8"/>
      <c r="E62338" s="8"/>
      <c r="F62338" s="8"/>
      <c r="G62338" s="8"/>
      <c r="H62338" s="8"/>
      <c r="I62338" s="102"/>
      <c r="J62338" s="8"/>
      <c r="K62338" s="8"/>
      <c r="L62338" s="8"/>
      <c r="M62338" s="8"/>
      <c r="N62338" s="8"/>
      <c r="O62338" s="8"/>
      <c r="P62338" s="8"/>
      <c r="Q62338" s="8"/>
      <c r="R62338" s="103"/>
      <c r="S62338" s="8"/>
      <c r="T62338" s="8"/>
      <c r="U62338" s="8"/>
      <c r="V62338" s="8"/>
      <c r="W62338" s="8"/>
      <c r="X62338" s="8"/>
      <c r="Y62338" s="8"/>
      <c r="Z62338" s="8"/>
      <c r="AA62338" s="8"/>
    </row>
    <row r="62339" spans="1:27" x14ac:dyDescent="0.25">
      <c r="A62339" s="8"/>
      <c r="B62339" s="8"/>
      <c r="C62339" s="99"/>
      <c r="D62339" s="8"/>
      <c r="E62339" s="8"/>
      <c r="F62339" s="8"/>
      <c r="G62339" s="8"/>
      <c r="H62339" s="8"/>
      <c r="I62339" s="102"/>
      <c r="J62339" s="8"/>
      <c r="K62339" s="8"/>
      <c r="L62339" s="8"/>
      <c r="M62339" s="8"/>
      <c r="N62339" s="8"/>
      <c r="O62339" s="8"/>
      <c r="P62339" s="8"/>
      <c r="Q62339" s="8"/>
      <c r="R62339" s="103"/>
      <c r="S62339" s="8"/>
      <c r="T62339" s="8"/>
      <c r="U62339" s="8"/>
      <c r="V62339" s="8"/>
      <c r="W62339" s="8"/>
      <c r="X62339" s="8"/>
      <c r="Y62339" s="8"/>
      <c r="Z62339" s="8"/>
      <c r="AA62339" s="8"/>
    </row>
    <row r="62340" spans="1:27" x14ac:dyDescent="0.25">
      <c r="A62340" s="8"/>
      <c r="B62340" s="8"/>
      <c r="C62340" s="99"/>
      <c r="D62340" s="8"/>
      <c r="E62340" s="8"/>
      <c r="F62340" s="8"/>
      <c r="G62340" s="8"/>
      <c r="H62340" s="8"/>
      <c r="I62340" s="102"/>
      <c r="J62340" s="8"/>
      <c r="K62340" s="8"/>
      <c r="L62340" s="8"/>
      <c r="M62340" s="8"/>
      <c r="N62340" s="8"/>
      <c r="O62340" s="8"/>
      <c r="P62340" s="8"/>
      <c r="Q62340" s="8"/>
      <c r="R62340" s="103"/>
      <c r="S62340" s="8"/>
      <c r="T62340" s="8"/>
      <c r="U62340" s="8"/>
      <c r="V62340" s="8"/>
      <c r="W62340" s="8"/>
      <c r="X62340" s="8"/>
      <c r="Y62340" s="8"/>
      <c r="Z62340" s="8"/>
      <c r="AA62340" s="8"/>
    </row>
    <row r="62341" spans="1:27" x14ac:dyDescent="0.25">
      <c r="A62341" s="8"/>
      <c r="B62341" s="8"/>
      <c r="C62341" s="99"/>
      <c r="D62341" s="8"/>
      <c r="E62341" s="8"/>
      <c r="F62341" s="8"/>
      <c r="G62341" s="8"/>
      <c r="H62341" s="8"/>
      <c r="I62341" s="102"/>
      <c r="J62341" s="8"/>
      <c r="K62341" s="8"/>
      <c r="L62341" s="8"/>
      <c r="M62341" s="8"/>
      <c r="N62341" s="8"/>
      <c r="O62341" s="8"/>
      <c r="P62341" s="8"/>
      <c r="Q62341" s="8"/>
      <c r="R62341" s="103"/>
      <c r="S62341" s="8"/>
      <c r="T62341" s="8"/>
      <c r="U62341" s="8"/>
      <c r="V62341" s="8"/>
      <c r="W62341" s="8"/>
      <c r="X62341" s="8"/>
      <c r="Y62341" s="8"/>
      <c r="Z62341" s="8"/>
      <c r="AA62341" s="8"/>
    </row>
    <row r="62342" spans="1:27" x14ac:dyDescent="0.25">
      <c r="A62342" s="8"/>
      <c r="B62342" s="8"/>
      <c r="C62342" s="99"/>
      <c r="D62342" s="8"/>
      <c r="E62342" s="8"/>
      <c r="F62342" s="8"/>
      <c r="G62342" s="8"/>
      <c r="H62342" s="8"/>
      <c r="I62342" s="102"/>
      <c r="J62342" s="8"/>
      <c r="K62342" s="8"/>
      <c r="L62342" s="8"/>
      <c r="M62342" s="8"/>
      <c r="N62342" s="8"/>
      <c r="O62342" s="8"/>
      <c r="P62342" s="8"/>
      <c r="Q62342" s="8"/>
      <c r="R62342" s="103"/>
      <c r="S62342" s="8"/>
      <c r="T62342" s="8"/>
      <c r="U62342" s="8"/>
      <c r="V62342" s="8"/>
      <c r="W62342" s="8"/>
      <c r="X62342" s="8"/>
      <c r="Y62342" s="8"/>
      <c r="Z62342" s="8"/>
      <c r="AA62342" s="8"/>
    </row>
    <row r="62343" spans="1:27" x14ac:dyDescent="0.25">
      <c r="A62343" s="8"/>
      <c r="B62343" s="8"/>
      <c r="C62343" s="99"/>
      <c r="D62343" s="8"/>
      <c r="E62343" s="8"/>
      <c r="F62343" s="8"/>
      <c r="G62343" s="8"/>
      <c r="H62343" s="8"/>
      <c r="I62343" s="102"/>
      <c r="J62343" s="8"/>
      <c r="K62343" s="8"/>
      <c r="L62343" s="8"/>
      <c r="M62343" s="8"/>
      <c r="N62343" s="8"/>
      <c r="O62343" s="8"/>
      <c r="P62343" s="8"/>
      <c r="Q62343" s="8"/>
      <c r="R62343" s="103"/>
      <c r="S62343" s="8"/>
      <c r="T62343" s="8"/>
      <c r="U62343" s="8"/>
      <c r="V62343" s="8"/>
      <c r="W62343" s="8"/>
      <c r="X62343" s="8"/>
      <c r="Y62343" s="8"/>
      <c r="Z62343" s="8"/>
      <c r="AA62343" s="8"/>
    </row>
    <row r="62344" spans="1:27" x14ac:dyDescent="0.25">
      <c r="A62344" s="8"/>
      <c r="B62344" s="8"/>
      <c r="C62344" s="99"/>
      <c r="D62344" s="8"/>
      <c r="E62344" s="8"/>
      <c r="F62344" s="8"/>
      <c r="G62344" s="8"/>
      <c r="H62344" s="8"/>
      <c r="I62344" s="102"/>
      <c r="J62344" s="8"/>
      <c r="K62344" s="8"/>
      <c r="L62344" s="8"/>
      <c r="M62344" s="8"/>
      <c r="N62344" s="8"/>
      <c r="O62344" s="8"/>
      <c r="P62344" s="8"/>
      <c r="Q62344" s="8"/>
      <c r="R62344" s="103"/>
      <c r="S62344" s="8"/>
      <c r="T62344" s="8"/>
      <c r="U62344" s="8"/>
      <c r="V62344" s="8"/>
      <c r="W62344" s="8"/>
      <c r="X62344" s="8"/>
      <c r="Y62344" s="8"/>
      <c r="Z62344" s="8"/>
      <c r="AA62344" s="8"/>
    </row>
    <row r="62345" spans="1:27" x14ac:dyDescent="0.25">
      <c r="A62345" s="8"/>
      <c r="B62345" s="8"/>
      <c r="C62345" s="99"/>
      <c r="D62345" s="8"/>
      <c r="E62345" s="8"/>
      <c r="F62345" s="8"/>
      <c r="G62345" s="8"/>
      <c r="H62345" s="8"/>
      <c r="I62345" s="102"/>
      <c r="J62345" s="8"/>
      <c r="K62345" s="8"/>
      <c r="L62345" s="8"/>
      <c r="M62345" s="8"/>
      <c r="N62345" s="8"/>
      <c r="O62345" s="8"/>
      <c r="P62345" s="8"/>
      <c r="Q62345" s="8"/>
      <c r="R62345" s="103"/>
      <c r="S62345" s="8"/>
      <c r="T62345" s="8"/>
      <c r="U62345" s="8"/>
      <c r="V62345" s="8"/>
      <c r="W62345" s="8"/>
      <c r="X62345" s="8"/>
      <c r="Y62345" s="8"/>
      <c r="Z62345" s="8"/>
      <c r="AA62345" s="8"/>
    </row>
    <row r="62346" spans="1:27" x14ac:dyDescent="0.25">
      <c r="A62346" s="8"/>
      <c r="B62346" s="8"/>
      <c r="C62346" s="99"/>
      <c r="D62346" s="8"/>
      <c r="E62346" s="8"/>
      <c r="F62346" s="8"/>
      <c r="G62346" s="8"/>
      <c r="H62346" s="8"/>
      <c r="I62346" s="102"/>
      <c r="J62346" s="8"/>
      <c r="K62346" s="8"/>
      <c r="L62346" s="8"/>
      <c r="M62346" s="8"/>
      <c r="N62346" s="8"/>
      <c r="O62346" s="8"/>
      <c r="P62346" s="8"/>
      <c r="Q62346" s="8"/>
      <c r="R62346" s="103"/>
      <c r="S62346" s="8"/>
      <c r="T62346" s="8"/>
      <c r="U62346" s="8"/>
      <c r="V62346" s="8"/>
      <c r="W62346" s="8"/>
      <c r="X62346" s="8"/>
      <c r="Y62346" s="8"/>
      <c r="Z62346" s="8"/>
      <c r="AA62346" s="8"/>
    </row>
    <row r="62347" spans="1:27" x14ac:dyDescent="0.25">
      <c r="A62347" s="8"/>
      <c r="B62347" s="8"/>
      <c r="C62347" s="99"/>
      <c r="D62347" s="8"/>
      <c r="E62347" s="8"/>
      <c r="F62347" s="8"/>
      <c r="G62347" s="8"/>
      <c r="H62347" s="8"/>
      <c r="I62347" s="102"/>
      <c r="J62347" s="8"/>
      <c r="K62347" s="8"/>
      <c r="L62347" s="8"/>
      <c r="M62347" s="8"/>
      <c r="N62347" s="8"/>
      <c r="O62347" s="8"/>
      <c r="P62347" s="8"/>
      <c r="Q62347" s="8"/>
      <c r="R62347" s="103"/>
      <c r="S62347" s="8"/>
      <c r="T62347" s="8"/>
      <c r="U62347" s="8"/>
      <c r="V62347" s="8"/>
      <c r="W62347" s="8"/>
      <c r="X62347" s="8"/>
      <c r="Y62347" s="8"/>
      <c r="Z62347" s="8"/>
      <c r="AA62347" s="8"/>
    </row>
    <row r="62348" spans="1:27" x14ac:dyDescent="0.25">
      <c r="A62348" s="8"/>
      <c r="B62348" s="8"/>
      <c r="C62348" s="99"/>
      <c r="D62348" s="8"/>
      <c r="E62348" s="8"/>
      <c r="F62348" s="8"/>
      <c r="G62348" s="8"/>
      <c r="H62348" s="8"/>
      <c r="I62348" s="102"/>
      <c r="J62348" s="8"/>
      <c r="K62348" s="8"/>
      <c r="L62348" s="8"/>
      <c r="M62348" s="8"/>
      <c r="N62348" s="8"/>
      <c r="O62348" s="8"/>
      <c r="P62348" s="8"/>
      <c r="Q62348" s="8"/>
      <c r="R62348" s="103"/>
      <c r="S62348" s="8"/>
      <c r="T62348" s="8"/>
      <c r="U62348" s="8"/>
      <c r="V62348" s="8"/>
      <c r="W62348" s="8"/>
      <c r="X62348" s="8"/>
      <c r="Y62348" s="8"/>
      <c r="Z62348" s="8"/>
      <c r="AA62348" s="8"/>
    </row>
    <row r="62349" spans="1:27" x14ac:dyDescent="0.25">
      <c r="A62349" s="8"/>
      <c r="B62349" s="8"/>
      <c r="C62349" s="99"/>
      <c r="D62349" s="8"/>
      <c r="E62349" s="8"/>
      <c r="F62349" s="8"/>
      <c r="G62349" s="8"/>
      <c r="H62349" s="8"/>
      <c r="I62349" s="102"/>
      <c r="J62349" s="8"/>
      <c r="K62349" s="8"/>
      <c r="L62349" s="8"/>
      <c r="M62349" s="8"/>
      <c r="N62349" s="8"/>
      <c r="O62349" s="8"/>
      <c r="P62349" s="8"/>
      <c r="Q62349" s="8"/>
      <c r="R62349" s="103"/>
      <c r="S62349" s="8"/>
      <c r="T62349" s="8"/>
      <c r="U62349" s="8"/>
      <c r="V62349" s="8"/>
      <c r="W62349" s="8"/>
      <c r="X62349" s="8"/>
      <c r="Y62349" s="8"/>
      <c r="Z62349" s="8"/>
      <c r="AA62349" s="8"/>
    </row>
    <row r="62350" spans="1:27" x14ac:dyDescent="0.25">
      <c r="A62350" s="8"/>
      <c r="B62350" s="8"/>
      <c r="C62350" s="99"/>
      <c r="D62350" s="8"/>
      <c r="E62350" s="8"/>
      <c r="F62350" s="8"/>
      <c r="G62350" s="8"/>
      <c r="H62350" s="8"/>
      <c r="I62350" s="102"/>
      <c r="J62350" s="8"/>
      <c r="K62350" s="8"/>
      <c r="L62350" s="8"/>
      <c r="M62350" s="8"/>
      <c r="N62350" s="8"/>
      <c r="O62350" s="8"/>
      <c r="P62350" s="8"/>
      <c r="Q62350" s="8"/>
      <c r="R62350" s="103"/>
      <c r="S62350" s="8"/>
      <c r="T62350" s="8"/>
      <c r="U62350" s="8"/>
      <c r="V62350" s="8"/>
      <c r="W62350" s="8"/>
      <c r="X62350" s="8"/>
      <c r="Y62350" s="8"/>
      <c r="Z62350" s="8"/>
      <c r="AA62350" s="8"/>
    </row>
    <row r="62351" spans="1:27" x14ac:dyDescent="0.25">
      <c r="A62351" s="8"/>
      <c r="B62351" s="8"/>
      <c r="C62351" s="99"/>
      <c r="D62351" s="8"/>
      <c r="E62351" s="8"/>
      <c r="F62351" s="8"/>
      <c r="G62351" s="8"/>
      <c r="H62351" s="8"/>
      <c r="I62351" s="102"/>
      <c r="J62351" s="8"/>
      <c r="K62351" s="8"/>
      <c r="L62351" s="8"/>
      <c r="M62351" s="8"/>
      <c r="N62351" s="8"/>
      <c r="O62351" s="8"/>
      <c r="P62351" s="8"/>
      <c r="Q62351" s="8"/>
      <c r="R62351" s="103"/>
      <c r="S62351" s="8"/>
      <c r="T62351" s="8"/>
      <c r="U62351" s="8"/>
      <c r="V62351" s="8"/>
      <c r="W62351" s="8"/>
      <c r="X62351" s="8"/>
      <c r="Y62351" s="8"/>
      <c r="Z62351" s="8"/>
      <c r="AA62351" s="8"/>
    </row>
    <row r="62352" spans="1:27" x14ac:dyDescent="0.25">
      <c r="A62352" s="8"/>
      <c r="B62352" s="8"/>
      <c r="C62352" s="99"/>
      <c r="D62352" s="8"/>
      <c r="E62352" s="8"/>
      <c r="F62352" s="8"/>
      <c r="G62352" s="8"/>
      <c r="H62352" s="8"/>
      <c r="I62352" s="102"/>
      <c r="J62352" s="8"/>
      <c r="K62352" s="8"/>
      <c r="L62352" s="8"/>
      <c r="M62352" s="8"/>
      <c r="N62352" s="8"/>
      <c r="O62352" s="8"/>
      <c r="P62352" s="8"/>
      <c r="Q62352" s="8"/>
      <c r="R62352" s="103"/>
      <c r="S62352" s="8"/>
      <c r="T62352" s="8"/>
      <c r="U62352" s="8"/>
      <c r="V62352" s="8"/>
      <c r="W62352" s="8"/>
      <c r="X62352" s="8"/>
      <c r="Y62352" s="8"/>
      <c r="Z62352" s="8"/>
      <c r="AA62352" s="8"/>
    </row>
    <row r="62353" spans="1:27" x14ac:dyDescent="0.25">
      <c r="A62353" s="8"/>
      <c r="B62353" s="8"/>
      <c r="C62353" s="99"/>
      <c r="D62353" s="8"/>
      <c r="E62353" s="8"/>
      <c r="F62353" s="8"/>
      <c r="G62353" s="8"/>
      <c r="H62353" s="8"/>
      <c r="I62353" s="102"/>
      <c r="J62353" s="8"/>
      <c r="K62353" s="8"/>
      <c r="L62353" s="8"/>
      <c r="M62353" s="8"/>
      <c r="N62353" s="8"/>
      <c r="O62353" s="8"/>
      <c r="P62353" s="8"/>
      <c r="Q62353" s="8"/>
      <c r="R62353" s="103"/>
      <c r="S62353" s="8"/>
      <c r="T62353" s="8"/>
      <c r="U62353" s="8"/>
      <c r="V62353" s="8"/>
      <c r="W62353" s="8"/>
      <c r="X62353" s="8"/>
      <c r="Y62353" s="8"/>
      <c r="Z62353" s="8"/>
      <c r="AA62353" s="8"/>
    </row>
    <row r="62354" spans="1:27" x14ac:dyDescent="0.25">
      <c r="A62354" s="8"/>
      <c r="B62354" s="8"/>
      <c r="C62354" s="99"/>
      <c r="D62354" s="8"/>
      <c r="E62354" s="8"/>
      <c r="F62354" s="8"/>
      <c r="G62354" s="8"/>
      <c r="H62354" s="8"/>
      <c r="I62354" s="102"/>
      <c r="J62354" s="8"/>
      <c r="K62354" s="8"/>
      <c r="L62354" s="8"/>
      <c r="M62354" s="8"/>
      <c r="N62354" s="8"/>
      <c r="O62354" s="8"/>
      <c r="P62354" s="8"/>
      <c r="Q62354" s="8"/>
      <c r="R62354" s="103"/>
      <c r="S62354" s="8"/>
      <c r="T62354" s="8"/>
      <c r="U62354" s="8"/>
      <c r="V62354" s="8"/>
      <c r="W62354" s="8"/>
      <c r="X62354" s="8"/>
      <c r="Y62354" s="8"/>
      <c r="Z62354" s="8"/>
      <c r="AA62354" s="8"/>
    </row>
    <row r="62355" spans="1:27" x14ac:dyDescent="0.25">
      <c r="A62355" s="8"/>
      <c r="B62355" s="8"/>
      <c r="C62355" s="99"/>
      <c r="D62355" s="8"/>
      <c r="E62355" s="8"/>
      <c r="F62355" s="8"/>
      <c r="G62355" s="8"/>
      <c r="H62355" s="8"/>
      <c r="I62355" s="102"/>
      <c r="J62355" s="8"/>
      <c r="K62355" s="8"/>
      <c r="L62355" s="8"/>
      <c r="M62355" s="8"/>
      <c r="N62355" s="8"/>
      <c r="O62355" s="8"/>
      <c r="P62355" s="8"/>
      <c r="Q62355" s="8"/>
      <c r="R62355" s="103"/>
      <c r="S62355" s="8"/>
      <c r="T62355" s="8"/>
      <c r="U62355" s="8"/>
      <c r="V62355" s="8"/>
      <c r="W62355" s="8"/>
      <c r="X62355" s="8"/>
      <c r="Y62355" s="8"/>
      <c r="Z62355" s="8"/>
      <c r="AA62355" s="8"/>
    </row>
    <row r="62356" spans="1:27" x14ac:dyDescent="0.25">
      <c r="A62356" s="8"/>
      <c r="B62356" s="8"/>
      <c r="C62356" s="99"/>
      <c r="D62356" s="8"/>
      <c r="E62356" s="8"/>
      <c r="F62356" s="8"/>
      <c r="G62356" s="8"/>
      <c r="H62356" s="8"/>
      <c r="I62356" s="102"/>
      <c r="J62356" s="8"/>
      <c r="K62356" s="8"/>
      <c r="L62356" s="8"/>
      <c r="M62356" s="8"/>
      <c r="N62356" s="8"/>
      <c r="O62356" s="8"/>
      <c r="P62356" s="8"/>
      <c r="Q62356" s="8"/>
      <c r="R62356" s="103"/>
      <c r="S62356" s="8"/>
      <c r="T62356" s="8"/>
      <c r="U62356" s="8"/>
      <c r="V62356" s="8"/>
      <c r="W62356" s="8"/>
      <c r="X62356" s="8"/>
      <c r="Y62356" s="8"/>
      <c r="Z62356" s="8"/>
      <c r="AA62356" s="8"/>
    </row>
    <row r="62357" spans="1:27" x14ac:dyDescent="0.25">
      <c r="A62357" s="8"/>
      <c r="B62357" s="8"/>
      <c r="C62357" s="99"/>
      <c r="D62357" s="8"/>
      <c r="E62357" s="8"/>
      <c r="F62357" s="8"/>
      <c r="G62357" s="8"/>
      <c r="H62357" s="8"/>
      <c r="I62357" s="102"/>
      <c r="J62357" s="8"/>
      <c r="K62357" s="8"/>
      <c r="L62357" s="8"/>
      <c r="M62357" s="8"/>
      <c r="N62357" s="8"/>
      <c r="O62357" s="8"/>
      <c r="P62357" s="8"/>
      <c r="Q62357" s="8"/>
      <c r="R62357" s="103"/>
      <c r="S62357" s="8"/>
      <c r="T62357" s="8"/>
      <c r="U62357" s="8"/>
      <c r="V62357" s="8"/>
      <c r="W62357" s="8"/>
      <c r="X62357" s="8"/>
      <c r="Y62357" s="8"/>
      <c r="Z62357" s="8"/>
      <c r="AA62357" s="8"/>
    </row>
    <row r="62358" spans="1:27" x14ac:dyDescent="0.25">
      <c r="A62358" s="8"/>
      <c r="B62358" s="8"/>
      <c r="C62358" s="99"/>
      <c r="D62358" s="8"/>
      <c r="E62358" s="8"/>
      <c r="F62358" s="8"/>
      <c r="G62358" s="8"/>
      <c r="H62358" s="8"/>
      <c r="I62358" s="102"/>
      <c r="J62358" s="8"/>
      <c r="K62358" s="8"/>
      <c r="L62358" s="8"/>
      <c r="M62358" s="8"/>
      <c r="N62358" s="8"/>
      <c r="O62358" s="8"/>
      <c r="P62358" s="8"/>
      <c r="Q62358" s="8"/>
      <c r="R62358" s="103"/>
      <c r="S62358" s="8"/>
      <c r="T62358" s="8"/>
      <c r="U62358" s="8"/>
      <c r="V62358" s="8"/>
      <c r="W62358" s="8"/>
      <c r="X62358" s="8"/>
      <c r="Y62358" s="8"/>
      <c r="Z62358" s="8"/>
      <c r="AA62358" s="8"/>
    </row>
    <row r="62359" spans="1:27" x14ac:dyDescent="0.25">
      <c r="A62359" s="8"/>
      <c r="B62359" s="8"/>
      <c r="C62359" s="99"/>
      <c r="D62359" s="8"/>
      <c r="E62359" s="8"/>
      <c r="F62359" s="8"/>
      <c r="G62359" s="8"/>
      <c r="H62359" s="8"/>
      <c r="I62359" s="102"/>
      <c r="J62359" s="8"/>
      <c r="K62359" s="8"/>
      <c r="L62359" s="8"/>
      <c r="M62359" s="8"/>
      <c r="N62359" s="8"/>
      <c r="O62359" s="8"/>
      <c r="P62359" s="8"/>
      <c r="Q62359" s="8"/>
      <c r="R62359" s="103"/>
      <c r="S62359" s="8"/>
      <c r="T62359" s="8"/>
      <c r="U62359" s="8"/>
      <c r="V62359" s="8"/>
      <c r="W62359" s="8"/>
      <c r="X62359" s="8"/>
      <c r="Y62359" s="8"/>
      <c r="Z62359" s="8"/>
      <c r="AA62359" s="8"/>
    </row>
    <row r="62360" spans="1:27" x14ac:dyDescent="0.25">
      <c r="A62360" s="8"/>
      <c r="B62360" s="8"/>
      <c r="C62360" s="99"/>
      <c r="D62360" s="8"/>
      <c r="E62360" s="8"/>
      <c r="F62360" s="8"/>
      <c r="G62360" s="8"/>
      <c r="H62360" s="8"/>
      <c r="I62360" s="102"/>
      <c r="J62360" s="8"/>
      <c r="K62360" s="8"/>
      <c r="L62360" s="8"/>
      <c r="M62360" s="8"/>
      <c r="N62360" s="8"/>
      <c r="O62360" s="8"/>
      <c r="P62360" s="8"/>
      <c r="Q62360" s="8"/>
      <c r="R62360" s="103"/>
      <c r="S62360" s="8"/>
      <c r="T62360" s="8"/>
      <c r="U62360" s="8"/>
      <c r="V62360" s="8"/>
      <c r="W62360" s="8"/>
      <c r="X62360" s="8"/>
      <c r="Y62360" s="8"/>
      <c r="Z62360" s="8"/>
      <c r="AA62360" s="8"/>
    </row>
    <row r="62361" spans="1:27" x14ac:dyDescent="0.25">
      <c r="A62361" s="8"/>
      <c r="B62361" s="8"/>
      <c r="C62361" s="99"/>
      <c r="D62361" s="8"/>
      <c r="E62361" s="8"/>
      <c r="F62361" s="8"/>
      <c r="G62361" s="8"/>
      <c r="H62361" s="8"/>
      <c r="I62361" s="102"/>
      <c r="J62361" s="8"/>
      <c r="K62361" s="8"/>
      <c r="L62361" s="8"/>
      <c r="M62361" s="8"/>
      <c r="N62361" s="8"/>
      <c r="O62361" s="8"/>
      <c r="P62361" s="8"/>
      <c r="Q62361" s="8"/>
      <c r="R62361" s="103"/>
      <c r="S62361" s="8"/>
      <c r="T62361" s="8"/>
      <c r="U62361" s="8"/>
      <c r="V62361" s="8"/>
      <c r="W62361" s="8"/>
      <c r="X62361" s="8"/>
      <c r="Y62361" s="8"/>
      <c r="Z62361" s="8"/>
      <c r="AA62361" s="8"/>
    </row>
    <row r="62362" spans="1:27" x14ac:dyDescent="0.25">
      <c r="A62362" s="8"/>
      <c r="B62362" s="8"/>
      <c r="C62362" s="99"/>
      <c r="D62362" s="8"/>
      <c r="E62362" s="8"/>
      <c r="F62362" s="8"/>
      <c r="G62362" s="8"/>
      <c r="H62362" s="8"/>
      <c r="I62362" s="102"/>
      <c r="J62362" s="8"/>
      <c r="K62362" s="8"/>
      <c r="L62362" s="8"/>
      <c r="M62362" s="8"/>
      <c r="N62362" s="8"/>
      <c r="O62362" s="8"/>
      <c r="P62362" s="8"/>
      <c r="Q62362" s="8"/>
      <c r="R62362" s="103"/>
      <c r="S62362" s="8"/>
      <c r="T62362" s="8"/>
      <c r="U62362" s="8"/>
      <c r="V62362" s="8"/>
      <c r="W62362" s="8"/>
      <c r="X62362" s="8"/>
      <c r="Y62362" s="8"/>
      <c r="Z62362" s="8"/>
      <c r="AA62362" s="8"/>
    </row>
    <row r="62363" spans="1:27" x14ac:dyDescent="0.25">
      <c r="A62363" s="8"/>
      <c r="B62363" s="8"/>
      <c r="C62363" s="99"/>
      <c r="D62363" s="8"/>
      <c r="E62363" s="8"/>
      <c r="F62363" s="8"/>
      <c r="G62363" s="8"/>
      <c r="H62363" s="8"/>
      <c r="I62363" s="102"/>
      <c r="J62363" s="8"/>
      <c r="K62363" s="8"/>
      <c r="L62363" s="8"/>
      <c r="M62363" s="8"/>
      <c r="N62363" s="8"/>
      <c r="O62363" s="8"/>
      <c r="P62363" s="8"/>
      <c r="Q62363" s="8"/>
      <c r="R62363" s="103"/>
      <c r="S62363" s="8"/>
      <c r="T62363" s="8"/>
      <c r="U62363" s="8"/>
      <c r="V62363" s="8"/>
      <c r="W62363" s="8"/>
      <c r="X62363" s="8"/>
      <c r="Y62363" s="8"/>
      <c r="Z62363" s="8"/>
      <c r="AA62363" s="8"/>
    </row>
    <row r="62364" spans="1:27" x14ac:dyDescent="0.25">
      <c r="A62364" s="8"/>
      <c r="B62364" s="8"/>
      <c r="C62364" s="99"/>
      <c r="D62364" s="8"/>
      <c r="E62364" s="8"/>
      <c r="F62364" s="8"/>
      <c r="G62364" s="8"/>
      <c r="H62364" s="8"/>
      <c r="I62364" s="102"/>
      <c r="J62364" s="8"/>
      <c r="K62364" s="8"/>
      <c r="L62364" s="8"/>
      <c r="M62364" s="8"/>
      <c r="N62364" s="8"/>
      <c r="O62364" s="8"/>
      <c r="P62364" s="8"/>
      <c r="Q62364" s="8"/>
      <c r="R62364" s="103"/>
      <c r="S62364" s="8"/>
      <c r="T62364" s="8"/>
      <c r="U62364" s="8"/>
      <c r="V62364" s="8"/>
      <c r="W62364" s="8"/>
      <c r="X62364" s="8"/>
      <c r="Y62364" s="8"/>
      <c r="Z62364" s="8"/>
      <c r="AA62364" s="8"/>
    </row>
    <row r="62365" spans="1:27" x14ac:dyDescent="0.25">
      <c r="A62365" s="8"/>
      <c r="B62365" s="8"/>
      <c r="C62365" s="99"/>
      <c r="D62365" s="8"/>
      <c r="E62365" s="8"/>
      <c r="F62365" s="8"/>
      <c r="G62365" s="8"/>
      <c r="H62365" s="8"/>
      <c r="I62365" s="102"/>
      <c r="J62365" s="8"/>
      <c r="K62365" s="8"/>
      <c r="L62365" s="8"/>
      <c r="M62365" s="8"/>
      <c r="N62365" s="8"/>
      <c r="O62365" s="8"/>
      <c r="P62365" s="8"/>
      <c r="Q62365" s="8"/>
      <c r="R62365" s="103"/>
      <c r="S62365" s="8"/>
      <c r="T62365" s="8"/>
      <c r="U62365" s="8"/>
      <c r="V62365" s="8"/>
      <c r="W62365" s="8"/>
      <c r="X62365" s="8"/>
      <c r="Y62365" s="8"/>
      <c r="Z62365" s="8"/>
      <c r="AA62365" s="8"/>
    </row>
    <row r="62366" spans="1:27" x14ac:dyDescent="0.25">
      <c r="A62366" s="8"/>
      <c r="B62366" s="8"/>
      <c r="C62366" s="99"/>
      <c r="D62366" s="8"/>
      <c r="E62366" s="8"/>
      <c r="F62366" s="8"/>
      <c r="G62366" s="8"/>
      <c r="H62366" s="8"/>
      <c r="I62366" s="102"/>
      <c r="J62366" s="8"/>
      <c r="K62366" s="8"/>
      <c r="L62366" s="8"/>
      <c r="M62366" s="8"/>
      <c r="N62366" s="8"/>
      <c r="O62366" s="8"/>
      <c r="P62366" s="8"/>
      <c r="Q62366" s="8"/>
      <c r="R62366" s="103"/>
      <c r="S62366" s="8"/>
      <c r="T62366" s="8"/>
      <c r="U62366" s="8"/>
      <c r="V62366" s="8"/>
      <c r="W62366" s="8"/>
      <c r="X62366" s="8"/>
      <c r="Y62366" s="8"/>
      <c r="Z62366" s="8"/>
      <c r="AA62366" s="8"/>
    </row>
    <row r="62367" spans="1:27" x14ac:dyDescent="0.25">
      <c r="A62367" s="8"/>
      <c r="B62367" s="8"/>
      <c r="C62367" s="99"/>
      <c r="D62367" s="8"/>
      <c r="E62367" s="8"/>
      <c r="F62367" s="8"/>
      <c r="G62367" s="8"/>
      <c r="H62367" s="8"/>
      <c r="I62367" s="102"/>
      <c r="J62367" s="8"/>
      <c r="K62367" s="8"/>
      <c r="L62367" s="8"/>
      <c r="M62367" s="8"/>
      <c r="N62367" s="8"/>
      <c r="O62367" s="8"/>
      <c r="P62367" s="8"/>
      <c r="Q62367" s="8"/>
      <c r="R62367" s="103"/>
      <c r="S62367" s="8"/>
      <c r="T62367" s="8"/>
      <c r="U62367" s="8"/>
      <c r="V62367" s="8"/>
      <c r="W62367" s="8"/>
      <c r="X62367" s="8"/>
      <c r="Y62367" s="8"/>
      <c r="Z62367" s="8"/>
      <c r="AA62367" s="8"/>
    </row>
    <row r="62368" spans="1:27" x14ac:dyDescent="0.25">
      <c r="A62368" s="8"/>
      <c r="B62368" s="8"/>
      <c r="C62368" s="99"/>
      <c r="D62368" s="8"/>
      <c r="E62368" s="8"/>
      <c r="F62368" s="8"/>
      <c r="G62368" s="8"/>
      <c r="H62368" s="8"/>
      <c r="I62368" s="102"/>
      <c r="J62368" s="8"/>
      <c r="K62368" s="8"/>
      <c r="L62368" s="8"/>
      <c r="M62368" s="8"/>
      <c r="N62368" s="8"/>
      <c r="O62368" s="8"/>
      <c r="P62368" s="8"/>
      <c r="Q62368" s="8"/>
      <c r="R62368" s="103"/>
      <c r="S62368" s="8"/>
      <c r="T62368" s="8"/>
      <c r="U62368" s="8"/>
      <c r="V62368" s="8"/>
      <c r="W62368" s="8"/>
      <c r="X62368" s="8"/>
      <c r="Y62368" s="8"/>
      <c r="Z62368" s="8"/>
      <c r="AA62368" s="8"/>
    </row>
    <row r="62369" spans="1:27" x14ac:dyDescent="0.25">
      <c r="A62369" s="8"/>
      <c r="B62369" s="8"/>
      <c r="C62369" s="99"/>
      <c r="D62369" s="8"/>
      <c r="E62369" s="8"/>
      <c r="F62369" s="8"/>
      <c r="G62369" s="8"/>
      <c r="H62369" s="8"/>
      <c r="I62369" s="102"/>
      <c r="J62369" s="8"/>
      <c r="K62369" s="8"/>
      <c r="L62369" s="8"/>
      <c r="M62369" s="8"/>
      <c r="N62369" s="8"/>
      <c r="O62369" s="8"/>
      <c r="P62369" s="8"/>
      <c r="Q62369" s="8"/>
      <c r="R62369" s="103"/>
      <c r="S62369" s="8"/>
      <c r="T62369" s="8"/>
      <c r="U62369" s="8"/>
      <c r="V62369" s="8"/>
      <c r="W62369" s="8"/>
      <c r="X62369" s="8"/>
      <c r="Y62369" s="8"/>
      <c r="Z62369" s="8"/>
      <c r="AA62369" s="8"/>
    </row>
    <row r="62370" spans="1:27" x14ac:dyDescent="0.25">
      <c r="A62370" s="8"/>
      <c r="B62370" s="8"/>
      <c r="C62370" s="99"/>
      <c r="D62370" s="8"/>
      <c r="E62370" s="8"/>
      <c r="F62370" s="8"/>
      <c r="G62370" s="8"/>
      <c r="H62370" s="8"/>
      <c r="I62370" s="102"/>
      <c r="J62370" s="8"/>
      <c r="K62370" s="8"/>
      <c r="L62370" s="8"/>
      <c r="M62370" s="8"/>
      <c r="N62370" s="8"/>
      <c r="O62370" s="8"/>
      <c r="P62370" s="8"/>
      <c r="Q62370" s="8"/>
      <c r="R62370" s="103"/>
      <c r="S62370" s="8"/>
      <c r="T62370" s="8"/>
      <c r="U62370" s="8"/>
      <c r="V62370" s="8"/>
      <c r="W62370" s="8"/>
      <c r="X62370" s="8"/>
      <c r="Y62370" s="8"/>
      <c r="Z62370" s="8"/>
      <c r="AA62370" s="8"/>
    </row>
    <row r="62371" spans="1:27" x14ac:dyDescent="0.25">
      <c r="A62371" s="8"/>
      <c r="B62371" s="8"/>
      <c r="C62371" s="99"/>
      <c r="D62371" s="8"/>
      <c r="E62371" s="8"/>
      <c r="F62371" s="8"/>
      <c r="G62371" s="8"/>
      <c r="H62371" s="8"/>
      <c r="I62371" s="102"/>
      <c r="J62371" s="8"/>
      <c r="K62371" s="8"/>
      <c r="L62371" s="8"/>
      <c r="M62371" s="8"/>
      <c r="N62371" s="8"/>
      <c r="O62371" s="8"/>
      <c r="P62371" s="8"/>
      <c r="Q62371" s="8"/>
      <c r="R62371" s="103"/>
      <c r="S62371" s="8"/>
      <c r="T62371" s="8"/>
      <c r="U62371" s="8"/>
      <c r="V62371" s="8"/>
      <c r="W62371" s="8"/>
      <c r="X62371" s="8"/>
      <c r="Y62371" s="8"/>
      <c r="Z62371" s="8"/>
      <c r="AA62371" s="8"/>
    </row>
    <row r="62372" spans="1:27" x14ac:dyDescent="0.25">
      <c r="A62372" s="8"/>
      <c r="B62372" s="8"/>
      <c r="C62372" s="99"/>
      <c r="D62372" s="8"/>
      <c r="E62372" s="8"/>
      <c r="F62372" s="8"/>
      <c r="G62372" s="8"/>
      <c r="H62372" s="8"/>
      <c r="I62372" s="102"/>
      <c r="J62372" s="8"/>
      <c r="K62372" s="8"/>
      <c r="L62372" s="8"/>
      <c r="M62372" s="8"/>
      <c r="N62372" s="8"/>
      <c r="O62372" s="8"/>
      <c r="P62372" s="8"/>
      <c r="Q62372" s="8"/>
      <c r="R62372" s="103"/>
      <c r="S62372" s="8"/>
      <c r="T62372" s="8"/>
      <c r="U62372" s="8"/>
      <c r="V62372" s="8"/>
      <c r="W62372" s="8"/>
      <c r="X62372" s="8"/>
      <c r="Y62372" s="8"/>
      <c r="Z62372" s="8"/>
      <c r="AA62372" s="8"/>
    </row>
    <row r="62373" spans="1:27" x14ac:dyDescent="0.25">
      <c r="A62373" s="8"/>
      <c r="B62373" s="8"/>
      <c r="C62373" s="99"/>
      <c r="D62373" s="8"/>
      <c r="E62373" s="8"/>
      <c r="F62373" s="8"/>
      <c r="G62373" s="8"/>
      <c r="H62373" s="8"/>
      <c r="I62373" s="102"/>
      <c r="J62373" s="8"/>
      <c r="K62373" s="8"/>
      <c r="L62373" s="8"/>
      <c r="M62373" s="8"/>
      <c r="N62373" s="8"/>
      <c r="O62373" s="8"/>
      <c r="P62373" s="8"/>
      <c r="Q62373" s="8"/>
      <c r="R62373" s="103"/>
      <c r="S62373" s="8"/>
      <c r="T62373" s="8"/>
      <c r="U62373" s="8"/>
      <c r="V62373" s="8"/>
      <c r="W62373" s="8"/>
      <c r="X62373" s="8"/>
      <c r="Y62373" s="8"/>
      <c r="Z62373" s="8"/>
      <c r="AA62373" s="8"/>
    </row>
    <row r="62374" spans="1:27" x14ac:dyDescent="0.25">
      <c r="A62374" s="8"/>
      <c r="B62374" s="8"/>
      <c r="C62374" s="99"/>
      <c r="D62374" s="8"/>
      <c r="E62374" s="8"/>
      <c r="F62374" s="8"/>
      <c r="G62374" s="8"/>
      <c r="H62374" s="8"/>
      <c r="I62374" s="102"/>
      <c r="J62374" s="8"/>
      <c r="K62374" s="8"/>
      <c r="L62374" s="8"/>
      <c r="M62374" s="8"/>
      <c r="N62374" s="8"/>
      <c r="O62374" s="8"/>
      <c r="P62374" s="8"/>
      <c r="Q62374" s="8"/>
      <c r="R62374" s="103"/>
      <c r="S62374" s="8"/>
      <c r="T62374" s="8"/>
      <c r="U62374" s="8"/>
      <c r="V62374" s="8"/>
      <c r="W62374" s="8"/>
      <c r="X62374" s="8"/>
      <c r="Y62374" s="8"/>
      <c r="Z62374" s="8"/>
      <c r="AA62374" s="8"/>
    </row>
    <row r="62375" spans="1:27" x14ac:dyDescent="0.25">
      <c r="A62375" s="8"/>
      <c r="B62375" s="8"/>
      <c r="C62375" s="99"/>
      <c r="D62375" s="8"/>
      <c r="E62375" s="8"/>
      <c r="F62375" s="8"/>
      <c r="G62375" s="8"/>
      <c r="H62375" s="8"/>
      <c r="I62375" s="102"/>
      <c r="J62375" s="8"/>
      <c r="K62375" s="8"/>
      <c r="L62375" s="8"/>
      <c r="M62375" s="8"/>
      <c r="N62375" s="8"/>
      <c r="O62375" s="8"/>
      <c r="P62375" s="8"/>
      <c r="Q62375" s="8"/>
      <c r="R62375" s="103"/>
      <c r="S62375" s="8"/>
      <c r="T62375" s="8"/>
      <c r="U62375" s="8"/>
      <c r="V62375" s="8"/>
      <c r="W62375" s="8"/>
      <c r="X62375" s="8"/>
      <c r="Y62375" s="8"/>
      <c r="Z62375" s="8"/>
      <c r="AA62375" s="8"/>
    </row>
    <row r="62376" spans="1:27" x14ac:dyDescent="0.25">
      <c r="A62376" s="8"/>
      <c r="B62376" s="8"/>
      <c r="C62376" s="99"/>
      <c r="D62376" s="8"/>
      <c r="E62376" s="8"/>
      <c r="F62376" s="8"/>
      <c r="G62376" s="8"/>
      <c r="H62376" s="8"/>
      <c r="I62376" s="102"/>
      <c r="J62376" s="8"/>
      <c r="K62376" s="8"/>
      <c r="L62376" s="8"/>
      <c r="M62376" s="8"/>
      <c r="N62376" s="8"/>
      <c r="O62376" s="8"/>
      <c r="P62376" s="8"/>
      <c r="Q62376" s="8"/>
      <c r="R62376" s="103"/>
      <c r="S62376" s="8"/>
      <c r="T62376" s="8"/>
      <c r="U62376" s="8"/>
      <c r="V62376" s="8"/>
      <c r="W62376" s="8"/>
      <c r="X62376" s="8"/>
      <c r="Y62376" s="8"/>
      <c r="Z62376" s="8"/>
      <c r="AA62376" s="8"/>
    </row>
    <row r="62377" spans="1:27" x14ac:dyDescent="0.25">
      <c r="A62377" s="8"/>
      <c r="B62377" s="8"/>
      <c r="C62377" s="99"/>
      <c r="D62377" s="8"/>
      <c r="E62377" s="8"/>
      <c r="F62377" s="8"/>
      <c r="G62377" s="8"/>
      <c r="H62377" s="8"/>
      <c r="I62377" s="102"/>
      <c r="J62377" s="8"/>
      <c r="K62377" s="8"/>
      <c r="L62377" s="8"/>
      <c r="M62377" s="8"/>
      <c r="N62377" s="8"/>
      <c r="O62377" s="8"/>
      <c r="P62377" s="8"/>
      <c r="Q62377" s="8"/>
      <c r="R62377" s="103"/>
      <c r="S62377" s="8"/>
      <c r="T62377" s="8"/>
      <c r="U62377" s="8"/>
      <c r="V62377" s="8"/>
      <c r="W62377" s="8"/>
      <c r="X62377" s="8"/>
      <c r="Y62377" s="8"/>
      <c r="Z62377" s="8"/>
      <c r="AA62377" s="8"/>
    </row>
    <row r="62378" spans="1:27" x14ac:dyDescent="0.25">
      <c r="A62378" s="8"/>
      <c r="B62378" s="8"/>
      <c r="C62378" s="99"/>
      <c r="D62378" s="8"/>
      <c r="E62378" s="8"/>
      <c r="F62378" s="8"/>
      <c r="G62378" s="8"/>
      <c r="H62378" s="8"/>
      <c r="I62378" s="102"/>
      <c r="J62378" s="8"/>
      <c r="K62378" s="8"/>
      <c r="L62378" s="8"/>
      <c r="M62378" s="8"/>
      <c r="N62378" s="8"/>
      <c r="O62378" s="8"/>
      <c r="P62378" s="8"/>
      <c r="Q62378" s="8"/>
      <c r="R62378" s="103"/>
      <c r="S62378" s="8"/>
      <c r="T62378" s="8"/>
      <c r="U62378" s="8"/>
      <c r="V62378" s="8"/>
      <c r="W62378" s="8"/>
      <c r="X62378" s="8"/>
      <c r="Y62378" s="8"/>
      <c r="Z62378" s="8"/>
      <c r="AA62378" s="8"/>
    </row>
    <row r="62379" spans="1:27" x14ac:dyDescent="0.25">
      <c r="A62379" s="8"/>
      <c r="B62379" s="8"/>
      <c r="C62379" s="99"/>
      <c r="D62379" s="8"/>
      <c r="E62379" s="8"/>
      <c r="F62379" s="8"/>
      <c r="G62379" s="8"/>
      <c r="H62379" s="8"/>
      <c r="I62379" s="102"/>
      <c r="J62379" s="8"/>
      <c r="K62379" s="8"/>
      <c r="L62379" s="8"/>
      <c r="M62379" s="8"/>
      <c r="N62379" s="8"/>
      <c r="O62379" s="8"/>
      <c r="P62379" s="8"/>
      <c r="Q62379" s="8"/>
      <c r="R62379" s="103"/>
      <c r="S62379" s="8"/>
      <c r="T62379" s="8"/>
      <c r="U62379" s="8"/>
      <c r="V62379" s="8"/>
      <c r="W62379" s="8"/>
      <c r="X62379" s="8"/>
      <c r="Y62379" s="8"/>
      <c r="Z62379" s="8"/>
      <c r="AA62379" s="8"/>
    </row>
    <row r="62380" spans="1:27" x14ac:dyDescent="0.25">
      <c r="A62380" s="8"/>
      <c r="B62380" s="8"/>
      <c r="C62380" s="99"/>
      <c r="D62380" s="8"/>
      <c r="E62380" s="8"/>
      <c r="F62380" s="8"/>
      <c r="G62380" s="8"/>
      <c r="H62380" s="8"/>
      <c r="I62380" s="102"/>
      <c r="J62380" s="8"/>
      <c r="K62380" s="8"/>
      <c r="L62380" s="8"/>
      <c r="M62380" s="8"/>
      <c r="N62380" s="8"/>
      <c r="O62380" s="8"/>
      <c r="P62380" s="8"/>
      <c r="Q62380" s="8"/>
      <c r="R62380" s="103"/>
      <c r="S62380" s="8"/>
      <c r="T62380" s="8"/>
      <c r="U62380" s="8"/>
      <c r="V62380" s="8"/>
      <c r="W62380" s="8"/>
      <c r="X62380" s="8"/>
      <c r="Y62380" s="8"/>
      <c r="Z62380" s="8"/>
      <c r="AA62380" s="8"/>
    </row>
    <row r="62381" spans="1:27" x14ac:dyDescent="0.25">
      <c r="A62381" s="8"/>
      <c r="B62381" s="8"/>
      <c r="C62381" s="99"/>
      <c r="D62381" s="8"/>
      <c r="E62381" s="8"/>
      <c r="F62381" s="8"/>
      <c r="G62381" s="8"/>
      <c r="H62381" s="8"/>
      <c r="I62381" s="102"/>
      <c r="J62381" s="8"/>
      <c r="K62381" s="8"/>
      <c r="L62381" s="8"/>
      <c r="M62381" s="8"/>
      <c r="N62381" s="8"/>
      <c r="O62381" s="8"/>
      <c r="P62381" s="8"/>
      <c r="Q62381" s="8"/>
      <c r="R62381" s="103"/>
      <c r="S62381" s="8"/>
      <c r="T62381" s="8"/>
      <c r="U62381" s="8"/>
      <c r="V62381" s="8"/>
      <c r="W62381" s="8"/>
      <c r="X62381" s="8"/>
      <c r="Y62381" s="8"/>
      <c r="Z62381" s="8"/>
      <c r="AA62381" s="8"/>
    </row>
    <row r="62382" spans="1:27" x14ac:dyDescent="0.25">
      <c r="A62382" s="8"/>
      <c r="B62382" s="8"/>
      <c r="C62382" s="99"/>
      <c r="D62382" s="8"/>
      <c r="E62382" s="8"/>
      <c r="F62382" s="8"/>
      <c r="G62382" s="8"/>
      <c r="H62382" s="8"/>
      <c r="I62382" s="102"/>
      <c r="J62382" s="8"/>
      <c r="K62382" s="8"/>
      <c r="L62382" s="8"/>
      <c r="M62382" s="8"/>
      <c r="N62382" s="8"/>
      <c r="O62382" s="8"/>
      <c r="P62382" s="8"/>
      <c r="Q62382" s="8"/>
      <c r="R62382" s="103"/>
      <c r="S62382" s="8"/>
      <c r="T62382" s="8"/>
      <c r="U62382" s="8"/>
      <c r="V62382" s="8"/>
      <c r="W62382" s="8"/>
      <c r="X62382" s="8"/>
      <c r="Y62382" s="8"/>
      <c r="Z62382" s="8"/>
      <c r="AA62382" s="8"/>
    </row>
    <row r="62383" spans="1:27" x14ac:dyDescent="0.25">
      <c r="A62383" s="8"/>
      <c r="B62383" s="8"/>
      <c r="C62383" s="99"/>
      <c r="D62383" s="8"/>
      <c r="E62383" s="8"/>
      <c r="F62383" s="8"/>
      <c r="G62383" s="8"/>
      <c r="H62383" s="8"/>
      <c r="I62383" s="102"/>
      <c r="J62383" s="8"/>
      <c r="K62383" s="8"/>
      <c r="L62383" s="8"/>
      <c r="M62383" s="8"/>
      <c r="N62383" s="8"/>
      <c r="O62383" s="8"/>
      <c r="P62383" s="8"/>
      <c r="Q62383" s="8"/>
      <c r="R62383" s="103"/>
      <c r="S62383" s="8"/>
      <c r="T62383" s="8"/>
      <c r="U62383" s="8"/>
      <c r="V62383" s="8"/>
      <c r="W62383" s="8"/>
      <c r="X62383" s="8"/>
      <c r="Y62383" s="8"/>
      <c r="Z62383" s="8"/>
      <c r="AA62383" s="8"/>
    </row>
    <row r="62384" spans="1:27" x14ac:dyDescent="0.25">
      <c r="A62384" s="8"/>
      <c r="B62384" s="8"/>
      <c r="C62384" s="99"/>
      <c r="D62384" s="8"/>
      <c r="E62384" s="8"/>
      <c r="F62384" s="8"/>
      <c r="G62384" s="8"/>
      <c r="H62384" s="8"/>
      <c r="I62384" s="102"/>
      <c r="J62384" s="8"/>
      <c r="K62384" s="8"/>
      <c r="L62384" s="8"/>
      <c r="M62384" s="8"/>
      <c r="N62384" s="8"/>
      <c r="O62384" s="8"/>
      <c r="P62384" s="8"/>
      <c r="Q62384" s="8"/>
      <c r="R62384" s="103"/>
      <c r="S62384" s="8"/>
      <c r="T62384" s="8"/>
      <c r="U62384" s="8"/>
      <c r="V62384" s="8"/>
      <c r="W62384" s="8"/>
      <c r="X62384" s="8"/>
      <c r="Y62384" s="8"/>
      <c r="Z62384" s="8"/>
      <c r="AA62384" s="8"/>
    </row>
    <row r="62385" spans="1:27" x14ac:dyDescent="0.25">
      <c r="A62385" s="8"/>
      <c r="B62385" s="8"/>
      <c r="C62385" s="99"/>
      <c r="D62385" s="8"/>
      <c r="E62385" s="8"/>
      <c r="F62385" s="8"/>
      <c r="G62385" s="8"/>
      <c r="H62385" s="8"/>
      <c r="I62385" s="102"/>
      <c r="J62385" s="8"/>
      <c r="K62385" s="8"/>
      <c r="L62385" s="8"/>
      <c r="M62385" s="8"/>
      <c r="N62385" s="8"/>
      <c r="O62385" s="8"/>
      <c r="P62385" s="8"/>
      <c r="Q62385" s="8"/>
      <c r="R62385" s="103"/>
      <c r="S62385" s="8"/>
      <c r="T62385" s="8"/>
      <c r="U62385" s="8"/>
      <c r="V62385" s="8"/>
      <c r="W62385" s="8"/>
      <c r="X62385" s="8"/>
      <c r="Y62385" s="8"/>
      <c r="Z62385" s="8"/>
      <c r="AA62385" s="8"/>
    </row>
    <row r="62386" spans="1:27" x14ac:dyDescent="0.25">
      <c r="A62386" s="8"/>
      <c r="B62386" s="8"/>
      <c r="C62386" s="99"/>
      <c r="D62386" s="8"/>
      <c r="E62386" s="8"/>
      <c r="F62386" s="8"/>
      <c r="G62386" s="8"/>
      <c r="H62386" s="8"/>
      <c r="I62386" s="102"/>
      <c r="J62386" s="8"/>
      <c r="K62386" s="8"/>
      <c r="L62386" s="8"/>
      <c r="M62386" s="8"/>
      <c r="N62386" s="8"/>
      <c r="O62386" s="8"/>
      <c r="P62386" s="8"/>
      <c r="Q62386" s="8"/>
      <c r="R62386" s="103"/>
      <c r="S62386" s="8"/>
      <c r="T62386" s="8"/>
      <c r="U62386" s="8"/>
      <c r="V62386" s="8"/>
      <c r="W62386" s="8"/>
      <c r="X62386" s="8"/>
      <c r="Y62386" s="8"/>
      <c r="Z62386" s="8"/>
      <c r="AA62386" s="8"/>
    </row>
    <row r="62387" spans="1:27" x14ac:dyDescent="0.25">
      <c r="A62387" s="8"/>
      <c r="B62387" s="8"/>
      <c r="C62387" s="99"/>
      <c r="D62387" s="8"/>
      <c r="E62387" s="8"/>
      <c r="F62387" s="8"/>
      <c r="G62387" s="8"/>
      <c r="H62387" s="8"/>
      <c r="I62387" s="102"/>
      <c r="J62387" s="8"/>
      <c r="K62387" s="8"/>
      <c r="L62387" s="8"/>
      <c r="M62387" s="8"/>
      <c r="N62387" s="8"/>
      <c r="O62387" s="8"/>
      <c r="P62387" s="8"/>
      <c r="Q62387" s="8"/>
      <c r="R62387" s="103"/>
      <c r="S62387" s="8"/>
      <c r="T62387" s="8"/>
      <c r="U62387" s="8"/>
      <c r="V62387" s="8"/>
      <c r="W62387" s="8"/>
      <c r="X62387" s="8"/>
      <c r="Y62387" s="8"/>
      <c r="Z62387" s="8"/>
      <c r="AA62387" s="8"/>
    </row>
    <row r="62388" spans="1:27" x14ac:dyDescent="0.25">
      <c r="A62388" s="8"/>
      <c r="B62388" s="8"/>
      <c r="C62388" s="99"/>
      <c r="D62388" s="8"/>
      <c r="E62388" s="8"/>
      <c r="F62388" s="8"/>
      <c r="G62388" s="8"/>
      <c r="H62388" s="8"/>
      <c r="I62388" s="102"/>
      <c r="J62388" s="8"/>
      <c r="K62388" s="8"/>
      <c r="L62388" s="8"/>
      <c r="M62388" s="8"/>
      <c r="N62388" s="8"/>
      <c r="O62388" s="8"/>
      <c r="P62388" s="8"/>
      <c r="Q62388" s="8"/>
      <c r="R62388" s="103"/>
      <c r="S62388" s="8"/>
      <c r="T62388" s="8"/>
      <c r="U62388" s="8"/>
      <c r="V62388" s="8"/>
      <c r="W62388" s="8"/>
      <c r="X62388" s="8"/>
      <c r="Y62388" s="8"/>
      <c r="Z62388" s="8"/>
      <c r="AA62388" s="8"/>
    </row>
    <row r="62389" spans="1:27" x14ac:dyDescent="0.25">
      <c r="A62389" s="8"/>
      <c r="B62389" s="8"/>
      <c r="C62389" s="99"/>
      <c r="D62389" s="8"/>
      <c r="E62389" s="8"/>
      <c r="F62389" s="8"/>
      <c r="G62389" s="8"/>
      <c r="H62389" s="8"/>
      <c r="I62389" s="102"/>
      <c r="J62389" s="8"/>
      <c r="K62389" s="8"/>
      <c r="L62389" s="8"/>
      <c r="M62389" s="8"/>
      <c r="N62389" s="8"/>
      <c r="O62389" s="8"/>
      <c r="P62389" s="8"/>
      <c r="Q62389" s="8"/>
      <c r="R62389" s="103"/>
      <c r="S62389" s="8"/>
      <c r="T62389" s="8"/>
      <c r="U62389" s="8"/>
      <c r="V62389" s="8"/>
      <c r="W62389" s="8"/>
      <c r="X62389" s="8"/>
      <c r="Y62389" s="8"/>
      <c r="Z62389" s="8"/>
      <c r="AA62389" s="8"/>
    </row>
    <row r="62390" spans="1:27" x14ac:dyDescent="0.25">
      <c r="A62390" s="8"/>
      <c r="B62390" s="8"/>
      <c r="C62390" s="99"/>
      <c r="D62390" s="8"/>
      <c r="E62390" s="8"/>
      <c r="F62390" s="8"/>
      <c r="G62390" s="8"/>
      <c r="H62390" s="8"/>
      <c r="I62390" s="102"/>
      <c r="J62390" s="8"/>
      <c r="K62390" s="8"/>
      <c r="L62390" s="8"/>
      <c r="M62390" s="8"/>
      <c r="N62390" s="8"/>
      <c r="O62390" s="8"/>
      <c r="P62390" s="8"/>
      <c r="Q62390" s="8"/>
      <c r="R62390" s="103"/>
      <c r="S62390" s="8"/>
      <c r="T62390" s="8"/>
      <c r="U62390" s="8"/>
      <c r="V62390" s="8"/>
      <c r="W62390" s="8"/>
      <c r="X62390" s="8"/>
      <c r="Y62390" s="8"/>
      <c r="Z62390" s="8"/>
      <c r="AA62390" s="8"/>
    </row>
    <row r="62391" spans="1:27" x14ac:dyDescent="0.25">
      <c r="A62391" s="8"/>
      <c r="B62391" s="8"/>
      <c r="C62391" s="99"/>
      <c r="D62391" s="8"/>
      <c r="E62391" s="8"/>
      <c r="F62391" s="8"/>
      <c r="G62391" s="8"/>
      <c r="H62391" s="8"/>
      <c r="I62391" s="102"/>
      <c r="J62391" s="8"/>
      <c r="K62391" s="8"/>
      <c r="L62391" s="8"/>
      <c r="M62391" s="8"/>
      <c r="N62391" s="8"/>
      <c r="O62391" s="8"/>
      <c r="P62391" s="8"/>
      <c r="Q62391" s="8"/>
      <c r="R62391" s="103"/>
      <c r="S62391" s="8"/>
      <c r="T62391" s="8"/>
      <c r="U62391" s="8"/>
      <c r="V62391" s="8"/>
      <c r="W62391" s="8"/>
      <c r="X62391" s="8"/>
      <c r="Y62391" s="8"/>
      <c r="Z62391" s="8"/>
      <c r="AA62391" s="8"/>
    </row>
    <row r="62392" spans="1:27" x14ac:dyDescent="0.25">
      <c r="A62392" s="8"/>
      <c r="B62392" s="8"/>
      <c r="C62392" s="99"/>
      <c r="D62392" s="8"/>
      <c r="E62392" s="8"/>
      <c r="F62392" s="8"/>
      <c r="G62392" s="8"/>
      <c r="H62392" s="8"/>
      <c r="I62392" s="102"/>
      <c r="J62392" s="8"/>
      <c r="K62392" s="8"/>
      <c r="L62392" s="8"/>
      <c r="M62392" s="8"/>
      <c r="N62392" s="8"/>
      <c r="O62392" s="8"/>
      <c r="P62392" s="8"/>
      <c r="Q62392" s="8"/>
      <c r="R62392" s="103"/>
      <c r="S62392" s="8"/>
      <c r="T62392" s="8"/>
      <c r="U62392" s="8"/>
      <c r="V62392" s="8"/>
      <c r="W62392" s="8"/>
      <c r="X62392" s="8"/>
      <c r="Y62392" s="8"/>
      <c r="Z62392" s="8"/>
      <c r="AA62392" s="8"/>
    </row>
    <row r="62393" spans="1:27" x14ac:dyDescent="0.25">
      <c r="A62393" s="8"/>
      <c r="B62393" s="8"/>
      <c r="C62393" s="99"/>
      <c r="D62393" s="8"/>
      <c r="E62393" s="8"/>
      <c r="F62393" s="8"/>
      <c r="G62393" s="8"/>
      <c r="H62393" s="8"/>
      <c r="I62393" s="102"/>
      <c r="J62393" s="8"/>
      <c r="K62393" s="8"/>
      <c r="L62393" s="8"/>
      <c r="M62393" s="8"/>
      <c r="N62393" s="8"/>
      <c r="O62393" s="8"/>
      <c r="P62393" s="8"/>
      <c r="Q62393" s="8"/>
      <c r="R62393" s="103"/>
      <c r="S62393" s="8"/>
      <c r="T62393" s="8"/>
      <c r="U62393" s="8"/>
      <c r="V62393" s="8"/>
      <c r="W62393" s="8"/>
      <c r="X62393" s="8"/>
      <c r="Y62393" s="8"/>
      <c r="Z62393" s="8"/>
      <c r="AA62393" s="8"/>
    </row>
    <row r="62394" spans="1:27" x14ac:dyDescent="0.25">
      <c r="A62394" s="8"/>
      <c r="B62394" s="8"/>
      <c r="C62394" s="99"/>
      <c r="D62394" s="8"/>
      <c r="E62394" s="8"/>
      <c r="F62394" s="8"/>
      <c r="G62394" s="8"/>
      <c r="H62394" s="8"/>
      <c r="I62394" s="102"/>
      <c r="J62394" s="8"/>
      <c r="K62394" s="8"/>
      <c r="L62394" s="8"/>
      <c r="M62394" s="8"/>
      <c r="N62394" s="8"/>
      <c r="O62394" s="8"/>
      <c r="P62394" s="8"/>
      <c r="Q62394" s="8"/>
      <c r="R62394" s="103"/>
      <c r="S62394" s="8"/>
      <c r="T62394" s="8"/>
      <c r="U62394" s="8"/>
      <c r="V62394" s="8"/>
      <c r="W62394" s="8"/>
      <c r="X62394" s="8"/>
      <c r="Y62394" s="8"/>
      <c r="Z62394" s="8"/>
      <c r="AA62394" s="8"/>
    </row>
    <row r="62395" spans="1:27" x14ac:dyDescent="0.25">
      <c r="A62395" s="8"/>
      <c r="B62395" s="8"/>
      <c r="C62395" s="99"/>
      <c r="D62395" s="8"/>
      <c r="E62395" s="8"/>
      <c r="F62395" s="8"/>
      <c r="G62395" s="8"/>
      <c r="H62395" s="8"/>
      <c r="I62395" s="102"/>
      <c r="J62395" s="8"/>
      <c r="K62395" s="8"/>
      <c r="L62395" s="8"/>
      <c r="M62395" s="8"/>
      <c r="N62395" s="8"/>
      <c r="O62395" s="8"/>
      <c r="P62395" s="8"/>
      <c r="Q62395" s="8"/>
      <c r="R62395" s="103"/>
      <c r="S62395" s="8"/>
      <c r="T62395" s="8"/>
      <c r="U62395" s="8"/>
      <c r="V62395" s="8"/>
      <c r="W62395" s="8"/>
      <c r="X62395" s="8"/>
      <c r="Y62395" s="8"/>
      <c r="Z62395" s="8"/>
      <c r="AA62395" s="8"/>
    </row>
    <row r="62396" spans="1:27" x14ac:dyDescent="0.25">
      <c r="A62396" s="8"/>
      <c r="B62396" s="8"/>
      <c r="C62396" s="99"/>
      <c r="D62396" s="8"/>
      <c r="E62396" s="8"/>
      <c r="F62396" s="8"/>
      <c r="G62396" s="8"/>
      <c r="H62396" s="8"/>
      <c r="I62396" s="102"/>
      <c r="J62396" s="8"/>
      <c r="K62396" s="8"/>
      <c r="L62396" s="8"/>
      <c r="M62396" s="8"/>
      <c r="N62396" s="8"/>
      <c r="O62396" s="8"/>
      <c r="P62396" s="8"/>
      <c r="Q62396" s="8"/>
      <c r="R62396" s="103"/>
      <c r="S62396" s="8"/>
      <c r="T62396" s="8"/>
      <c r="U62396" s="8"/>
      <c r="V62396" s="8"/>
      <c r="W62396" s="8"/>
      <c r="X62396" s="8"/>
      <c r="Y62396" s="8"/>
      <c r="Z62396" s="8"/>
      <c r="AA62396" s="8"/>
    </row>
    <row r="62397" spans="1:27" x14ac:dyDescent="0.25">
      <c r="A62397" s="8"/>
      <c r="B62397" s="8"/>
      <c r="C62397" s="99"/>
      <c r="D62397" s="8"/>
      <c r="E62397" s="8"/>
      <c r="F62397" s="8"/>
      <c r="G62397" s="8"/>
      <c r="H62397" s="8"/>
      <c r="I62397" s="102"/>
      <c r="J62397" s="8"/>
      <c r="K62397" s="8"/>
      <c r="L62397" s="8"/>
      <c r="M62397" s="8"/>
      <c r="N62397" s="8"/>
      <c r="O62397" s="8"/>
      <c r="P62397" s="8"/>
      <c r="Q62397" s="8"/>
      <c r="R62397" s="103"/>
      <c r="S62397" s="8"/>
      <c r="T62397" s="8"/>
      <c r="U62397" s="8"/>
      <c r="V62397" s="8"/>
      <c r="W62397" s="8"/>
      <c r="X62397" s="8"/>
      <c r="Y62397" s="8"/>
      <c r="Z62397" s="8"/>
      <c r="AA62397" s="8"/>
    </row>
    <row r="62398" spans="1:27" x14ac:dyDescent="0.25">
      <c r="A62398" s="8"/>
      <c r="B62398" s="8"/>
      <c r="C62398" s="99"/>
      <c r="D62398" s="8"/>
      <c r="E62398" s="8"/>
      <c r="F62398" s="8"/>
      <c r="G62398" s="8"/>
      <c r="H62398" s="8"/>
      <c r="I62398" s="102"/>
      <c r="J62398" s="8"/>
      <c r="K62398" s="8"/>
      <c r="L62398" s="8"/>
      <c r="M62398" s="8"/>
      <c r="N62398" s="8"/>
      <c r="O62398" s="8"/>
      <c r="P62398" s="8"/>
      <c r="Q62398" s="8"/>
      <c r="R62398" s="103"/>
      <c r="S62398" s="8"/>
      <c r="T62398" s="8"/>
      <c r="U62398" s="8"/>
      <c r="V62398" s="8"/>
      <c r="W62398" s="8"/>
      <c r="X62398" s="8"/>
      <c r="Y62398" s="8"/>
      <c r="Z62398" s="8"/>
      <c r="AA62398" s="8"/>
    </row>
    <row r="62399" spans="1:27" x14ac:dyDescent="0.25">
      <c r="A62399" s="8"/>
      <c r="B62399" s="8"/>
      <c r="C62399" s="99"/>
      <c r="D62399" s="8"/>
      <c r="E62399" s="8"/>
      <c r="F62399" s="8"/>
      <c r="G62399" s="8"/>
      <c r="H62399" s="8"/>
      <c r="I62399" s="102"/>
      <c r="J62399" s="8"/>
      <c r="K62399" s="8"/>
      <c r="L62399" s="8"/>
      <c r="M62399" s="8"/>
      <c r="N62399" s="8"/>
      <c r="O62399" s="8"/>
      <c r="P62399" s="8"/>
      <c r="Q62399" s="8"/>
      <c r="R62399" s="103"/>
      <c r="S62399" s="8"/>
      <c r="T62399" s="8"/>
      <c r="U62399" s="8"/>
      <c r="V62399" s="8"/>
      <c r="W62399" s="8"/>
      <c r="X62399" s="8"/>
      <c r="Y62399" s="8"/>
      <c r="Z62399" s="8"/>
      <c r="AA62399" s="8"/>
    </row>
    <row r="62400" spans="1:27" x14ac:dyDescent="0.25">
      <c r="A62400" s="8"/>
      <c r="B62400" s="8"/>
      <c r="C62400" s="99"/>
      <c r="D62400" s="8"/>
      <c r="E62400" s="8"/>
      <c r="F62400" s="8"/>
      <c r="G62400" s="8"/>
      <c r="H62400" s="8"/>
      <c r="I62400" s="102"/>
      <c r="J62400" s="8"/>
      <c r="K62400" s="8"/>
      <c r="L62400" s="8"/>
      <c r="M62400" s="8"/>
      <c r="N62400" s="8"/>
      <c r="O62400" s="8"/>
      <c r="P62400" s="8"/>
      <c r="Q62400" s="8"/>
      <c r="R62400" s="103"/>
      <c r="S62400" s="8"/>
      <c r="T62400" s="8"/>
      <c r="U62400" s="8"/>
      <c r="V62400" s="8"/>
      <c r="W62400" s="8"/>
      <c r="X62400" s="8"/>
      <c r="Y62400" s="8"/>
      <c r="Z62400" s="8"/>
      <c r="AA62400" s="8"/>
    </row>
    <row r="62401" spans="1:27" x14ac:dyDescent="0.25">
      <c r="A62401" s="8"/>
      <c r="B62401" s="8"/>
      <c r="C62401" s="99"/>
      <c r="D62401" s="8"/>
      <c r="E62401" s="8"/>
      <c r="F62401" s="8"/>
      <c r="G62401" s="8"/>
      <c r="H62401" s="8"/>
      <c r="I62401" s="102"/>
      <c r="J62401" s="8"/>
      <c r="K62401" s="8"/>
      <c r="L62401" s="8"/>
      <c r="M62401" s="8"/>
      <c r="N62401" s="8"/>
      <c r="O62401" s="8"/>
      <c r="P62401" s="8"/>
      <c r="Q62401" s="8"/>
      <c r="R62401" s="103"/>
      <c r="S62401" s="8"/>
      <c r="T62401" s="8"/>
      <c r="U62401" s="8"/>
      <c r="V62401" s="8"/>
      <c r="W62401" s="8"/>
      <c r="X62401" s="8"/>
      <c r="Y62401" s="8"/>
      <c r="Z62401" s="8"/>
      <c r="AA62401" s="8"/>
    </row>
    <row r="62402" spans="1:27" x14ac:dyDescent="0.25">
      <c r="A62402" s="8"/>
      <c r="B62402" s="8"/>
      <c r="C62402" s="99"/>
      <c r="D62402" s="8"/>
      <c r="E62402" s="8"/>
      <c r="F62402" s="8"/>
      <c r="G62402" s="8"/>
      <c r="H62402" s="8"/>
      <c r="I62402" s="102"/>
      <c r="J62402" s="8"/>
      <c r="K62402" s="8"/>
      <c r="L62402" s="8"/>
      <c r="M62402" s="8"/>
      <c r="N62402" s="8"/>
      <c r="O62402" s="8"/>
      <c r="P62402" s="8"/>
      <c r="Q62402" s="8"/>
      <c r="R62402" s="103"/>
      <c r="S62402" s="8"/>
      <c r="T62402" s="8"/>
      <c r="U62402" s="8"/>
      <c r="V62402" s="8"/>
      <c r="W62402" s="8"/>
      <c r="X62402" s="8"/>
      <c r="Y62402" s="8"/>
      <c r="Z62402" s="8"/>
      <c r="AA62402" s="8"/>
    </row>
    <row r="62403" spans="1:27" x14ac:dyDescent="0.25">
      <c r="A62403" s="8"/>
      <c r="B62403" s="8"/>
      <c r="C62403" s="99"/>
      <c r="D62403" s="8"/>
      <c r="E62403" s="8"/>
      <c r="F62403" s="8"/>
      <c r="G62403" s="8"/>
      <c r="H62403" s="8"/>
      <c r="I62403" s="102"/>
      <c r="J62403" s="8"/>
      <c r="K62403" s="8"/>
      <c r="L62403" s="8"/>
      <c r="M62403" s="8"/>
      <c r="N62403" s="8"/>
      <c r="O62403" s="8"/>
      <c r="P62403" s="8"/>
      <c r="Q62403" s="8"/>
      <c r="R62403" s="103"/>
      <c r="S62403" s="8"/>
      <c r="T62403" s="8"/>
      <c r="U62403" s="8"/>
      <c r="V62403" s="8"/>
      <c r="W62403" s="8"/>
      <c r="X62403" s="8"/>
      <c r="Y62403" s="8"/>
      <c r="Z62403" s="8"/>
      <c r="AA62403" s="8"/>
    </row>
    <row r="62404" spans="1:27" x14ac:dyDescent="0.25">
      <c r="A62404" s="8"/>
      <c r="B62404" s="8"/>
      <c r="C62404" s="99"/>
      <c r="D62404" s="8"/>
      <c r="E62404" s="8"/>
      <c r="F62404" s="8"/>
      <c r="G62404" s="8"/>
      <c r="H62404" s="8"/>
      <c r="I62404" s="102"/>
      <c r="J62404" s="8"/>
      <c r="K62404" s="8"/>
      <c r="L62404" s="8"/>
      <c r="M62404" s="8"/>
      <c r="N62404" s="8"/>
      <c r="O62404" s="8"/>
      <c r="P62404" s="8"/>
      <c r="Q62404" s="8"/>
      <c r="R62404" s="103"/>
      <c r="S62404" s="8"/>
      <c r="T62404" s="8"/>
      <c r="U62404" s="8"/>
      <c r="V62404" s="8"/>
      <c r="W62404" s="8"/>
      <c r="X62404" s="8"/>
      <c r="Y62404" s="8"/>
      <c r="Z62404" s="8"/>
      <c r="AA62404" s="8"/>
    </row>
    <row r="62405" spans="1:27" x14ac:dyDescent="0.25">
      <c r="A62405" s="8"/>
      <c r="B62405" s="8"/>
      <c r="C62405" s="99"/>
      <c r="D62405" s="8"/>
      <c r="E62405" s="8"/>
      <c r="F62405" s="8"/>
      <c r="G62405" s="8"/>
      <c r="H62405" s="8"/>
      <c r="I62405" s="102"/>
      <c r="J62405" s="8"/>
      <c r="K62405" s="8"/>
      <c r="L62405" s="8"/>
      <c r="M62405" s="8"/>
      <c r="N62405" s="8"/>
      <c r="O62405" s="8"/>
      <c r="P62405" s="8"/>
      <c r="Q62405" s="8"/>
      <c r="R62405" s="103"/>
      <c r="S62405" s="8"/>
      <c r="T62405" s="8"/>
      <c r="U62405" s="8"/>
      <c r="V62405" s="8"/>
      <c r="W62405" s="8"/>
      <c r="X62405" s="8"/>
      <c r="Y62405" s="8"/>
      <c r="Z62405" s="8"/>
      <c r="AA62405" s="8"/>
    </row>
    <row r="62406" spans="1:27" x14ac:dyDescent="0.25">
      <c r="A62406" s="8"/>
      <c r="B62406" s="8"/>
      <c r="C62406" s="99"/>
      <c r="D62406" s="8"/>
      <c r="E62406" s="8"/>
      <c r="F62406" s="8"/>
      <c r="G62406" s="8"/>
      <c r="H62406" s="8"/>
      <c r="I62406" s="102"/>
      <c r="J62406" s="8"/>
      <c r="K62406" s="8"/>
      <c r="L62406" s="8"/>
      <c r="M62406" s="8"/>
      <c r="N62406" s="8"/>
      <c r="O62406" s="8"/>
      <c r="P62406" s="8"/>
      <c r="Q62406" s="8"/>
      <c r="R62406" s="103"/>
      <c r="S62406" s="8"/>
      <c r="T62406" s="8"/>
      <c r="U62406" s="8"/>
      <c r="V62406" s="8"/>
      <c r="W62406" s="8"/>
      <c r="X62406" s="8"/>
      <c r="Y62406" s="8"/>
      <c r="Z62406" s="8"/>
      <c r="AA62406" s="8"/>
    </row>
    <row r="62407" spans="1:27" x14ac:dyDescent="0.25">
      <c r="A62407" s="8"/>
      <c r="B62407" s="8"/>
      <c r="C62407" s="99"/>
      <c r="D62407" s="8"/>
      <c r="E62407" s="8"/>
      <c r="F62407" s="8"/>
      <c r="G62407" s="8"/>
      <c r="H62407" s="8"/>
      <c r="I62407" s="102"/>
      <c r="J62407" s="8"/>
      <c r="K62407" s="8"/>
      <c r="L62407" s="8"/>
      <c r="M62407" s="8"/>
      <c r="N62407" s="8"/>
      <c r="O62407" s="8"/>
      <c r="P62407" s="8"/>
      <c r="Q62407" s="8"/>
      <c r="R62407" s="103"/>
      <c r="S62407" s="8"/>
      <c r="T62407" s="8"/>
      <c r="U62407" s="8"/>
      <c r="V62407" s="8"/>
      <c r="W62407" s="8"/>
      <c r="X62407" s="8"/>
      <c r="Y62407" s="8"/>
      <c r="Z62407" s="8"/>
      <c r="AA62407" s="8"/>
    </row>
    <row r="62408" spans="1:27" x14ac:dyDescent="0.25">
      <c r="A62408" s="8"/>
      <c r="B62408" s="8"/>
      <c r="C62408" s="99"/>
      <c r="D62408" s="8"/>
      <c r="E62408" s="8"/>
      <c r="F62408" s="8"/>
      <c r="G62408" s="8"/>
      <c r="H62408" s="8"/>
      <c r="I62408" s="102"/>
      <c r="J62408" s="8"/>
      <c r="K62408" s="8"/>
      <c r="L62408" s="8"/>
      <c r="M62408" s="8"/>
      <c r="N62408" s="8"/>
      <c r="O62408" s="8"/>
      <c r="P62408" s="8"/>
      <c r="Q62408" s="8"/>
      <c r="R62408" s="103"/>
      <c r="S62408" s="8"/>
      <c r="T62408" s="8"/>
      <c r="U62408" s="8"/>
      <c r="V62408" s="8"/>
      <c r="W62408" s="8"/>
      <c r="X62408" s="8"/>
      <c r="Y62408" s="8"/>
      <c r="Z62408" s="8"/>
      <c r="AA62408" s="8"/>
    </row>
    <row r="62409" spans="1:27" x14ac:dyDescent="0.25">
      <c r="A62409" s="8"/>
      <c r="B62409" s="8"/>
      <c r="C62409" s="99"/>
      <c r="D62409" s="8"/>
      <c r="E62409" s="8"/>
      <c r="F62409" s="8"/>
      <c r="G62409" s="8"/>
      <c r="H62409" s="8"/>
      <c r="I62409" s="102"/>
      <c r="J62409" s="8"/>
      <c r="K62409" s="8"/>
      <c r="L62409" s="8"/>
      <c r="M62409" s="8"/>
      <c r="N62409" s="8"/>
      <c r="O62409" s="8"/>
      <c r="P62409" s="8"/>
      <c r="Q62409" s="8"/>
      <c r="R62409" s="103"/>
      <c r="S62409" s="8"/>
      <c r="T62409" s="8"/>
      <c r="U62409" s="8"/>
      <c r="V62409" s="8"/>
      <c r="W62409" s="8"/>
      <c r="X62409" s="8"/>
      <c r="Y62409" s="8"/>
      <c r="Z62409" s="8"/>
      <c r="AA62409" s="8"/>
    </row>
    <row r="62410" spans="1:27" x14ac:dyDescent="0.25">
      <c r="A62410" s="8"/>
      <c r="B62410" s="8"/>
      <c r="C62410" s="99"/>
      <c r="D62410" s="8"/>
      <c r="E62410" s="8"/>
      <c r="F62410" s="8"/>
      <c r="G62410" s="8"/>
      <c r="H62410" s="8"/>
      <c r="I62410" s="102"/>
      <c r="J62410" s="8"/>
      <c r="K62410" s="8"/>
      <c r="L62410" s="8"/>
      <c r="M62410" s="8"/>
      <c r="N62410" s="8"/>
      <c r="O62410" s="8"/>
      <c r="P62410" s="8"/>
      <c r="Q62410" s="8"/>
      <c r="R62410" s="103"/>
      <c r="S62410" s="8"/>
      <c r="T62410" s="8"/>
      <c r="U62410" s="8"/>
      <c r="V62410" s="8"/>
      <c r="W62410" s="8"/>
      <c r="X62410" s="8"/>
      <c r="Y62410" s="8"/>
      <c r="Z62410" s="8"/>
      <c r="AA62410" s="8"/>
    </row>
    <row r="62411" spans="1:27" x14ac:dyDescent="0.25">
      <c r="A62411" s="8"/>
      <c r="B62411" s="8"/>
      <c r="C62411" s="99"/>
      <c r="D62411" s="8"/>
      <c r="E62411" s="8"/>
      <c r="F62411" s="8"/>
      <c r="G62411" s="8"/>
      <c r="H62411" s="8"/>
      <c r="I62411" s="102"/>
      <c r="J62411" s="8"/>
      <c r="K62411" s="8"/>
      <c r="L62411" s="8"/>
      <c r="M62411" s="8"/>
      <c r="N62411" s="8"/>
      <c r="O62411" s="8"/>
      <c r="P62411" s="8"/>
      <c r="Q62411" s="8"/>
      <c r="R62411" s="103"/>
      <c r="S62411" s="8"/>
      <c r="T62411" s="8"/>
      <c r="U62411" s="8"/>
      <c r="V62411" s="8"/>
      <c r="W62411" s="8"/>
      <c r="X62411" s="8"/>
      <c r="Y62411" s="8"/>
      <c r="Z62411" s="8"/>
      <c r="AA62411" s="8"/>
    </row>
    <row r="62412" spans="1:27" x14ac:dyDescent="0.25">
      <c r="A62412" s="8"/>
      <c r="B62412" s="8"/>
      <c r="C62412" s="99"/>
      <c r="D62412" s="8"/>
      <c r="E62412" s="8"/>
      <c r="F62412" s="8"/>
      <c r="G62412" s="8"/>
      <c r="H62412" s="8"/>
      <c r="I62412" s="102"/>
      <c r="J62412" s="8"/>
      <c r="K62412" s="8"/>
      <c r="L62412" s="8"/>
      <c r="M62412" s="8"/>
      <c r="N62412" s="8"/>
      <c r="O62412" s="8"/>
      <c r="P62412" s="8"/>
      <c r="Q62412" s="8"/>
      <c r="R62412" s="103"/>
      <c r="S62412" s="8"/>
      <c r="T62412" s="8"/>
      <c r="U62412" s="8"/>
      <c r="V62412" s="8"/>
      <c r="W62412" s="8"/>
      <c r="X62412" s="8"/>
      <c r="Y62412" s="8"/>
      <c r="Z62412" s="8"/>
      <c r="AA62412" s="8"/>
    </row>
    <row r="62413" spans="1:27" x14ac:dyDescent="0.25">
      <c r="A62413" s="8"/>
      <c r="B62413" s="8"/>
      <c r="C62413" s="99"/>
      <c r="D62413" s="8"/>
      <c r="E62413" s="8"/>
      <c r="F62413" s="8"/>
      <c r="G62413" s="8"/>
      <c r="H62413" s="8"/>
      <c r="I62413" s="102"/>
      <c r="J62413" s="8"/>
      <c r="K62413" s="8"/>
      <c r="L62413" s="8"/>
      <c r="M62413" s="8"/>
      <c r="N62413" s="8"/>
      <c r="O62413" s="8"/>
      <c r="P62413" s="8"/>
      <c r="Q62413" s="8"/>
      <c r="R62413" s="103"/>
      <c r="S62413" s="8"/>
      <c r="T62413" s="8"/>
      <c r="U62413" s="8"/>
      <c r="V62413" s="8"/>
      <c r="W62413" s="8"/>
      <c r="X62413" s="8"/>
      <c r="Y62413" s="8"/>
      <c r="Z62413" s="8"/>
      <c r="AA62413" s="8"/>
    </row>
    <row r="62414" spans="1:27" x14ac:dyDescent="0.25">
      <c r="A62414" s="8"/>
      <c r="B62414" s="8"/>
      <c r="C62414" s="99"/>
      <c r="D62414" s="8"/>
      <c r="E62414" s="8"/>
      <c r="F62414" s="8"/>
      <c r="G62414" s="8"/>
      <c r="H62414" s="8"/>
      <c r="I62414" s="102"/>
      <c r="J62414" s="8"/>
      <c r="K62414" s="8"/>
      <c r="L62414" s="8"/>
      <c r="M62414" s="8"/>
      <c r="N62414" s="8"/>
      <c r="O62414" s="8"/>
      <c r="P62414" s="8"/>
      <c r="Q62414" s="8"/>
      <c r="R62414" s="103"/>
      <c r="S62414" s="8"/>
      <c r="T62414" s="8"/>
      <c r="U62414" s="8"/>
      <c r="V62414" s="8"/>
      <c r="W62414" s="8"/>
      <c r="X62414" s="8"/>
      <c r="Y62414" s="8"/>
      <c r="Z62414" s="8"/>
      <c r="AA62414" s="8"/>
    </row>
    <row r="62415" spans="1:27" x14ac:dyDescent="0.25">
      <c r="A62415" s="8"/>
      <c r="B62415" s="8"/>
      <c r="C62415" s="99"/>
      <c r="D62415" s="8"/>
      <c r="E62415" s="8"/>
      <c r="F62415" s="8"/>
      <c r="G62415" s="8"/>
      <c r="H62415" s="8"/>
      <c r="I62415" s="102"/>
      <c r="J62415" s="8"/>
      <c r="K62415" s="8"/>
      <c r="L62415" s="8"/>
      <c r="M62415" s="8"/>
      <c r="N62415" s="8"/>
      <c r="O62415" s="8"/>
      <c r="P62415" s="8"/>
      <c r="Q62415" s="8"/>
      <c r="R62415" s="103"/>
      <c r="S62415" s="8"/>
      <c r="T62415" s="8"/>
      <c r="U62415" s="8"/>
      <c r="V62415" s="8"/>
      <c r="W62415" s="8"/>
      <c r="X62415" s="8"/>
      <c r="Y62415" s="8"/>
      <c r="Z62415" s="8"/>
      <c r="AA62415" s="8"/>
    </row>
    <row r="62416" spans="1:27" x14ac:dyDescent="0.25">
      <c r="A62416" s="8"/>
      <c r="B62416" s="8"/>
      <c r="C62416" s="99"/>
      <c r="D62416" s="8"/>
      <c r="E62416" s="8"/>
      <c r="F62416" s="8"/>
      <c r="G62416" s="8"/>
      <c r="H62416" s="8"/>
      <c r="I62416" s="102"/>
      <c r="J62416" s="8"/>
      <c r="K62416" s="8"/>
      <c r="L62416" s="8"/>
      <c r="M62416" s="8"/>
      <c r="N62416" s="8"/>
      <c r="O62416" s="8"/>
      <c r="P62416" s="8"/>
      <c r="Q62416" s="8"/>
      <c r="R62416" s="103"/>
      <c r="S62416" s="8"/>
      <c r="T62416" s="8"/>
      <c r="U62416" s="8"/>
      <c r="V62416" s="8"/>
      <c r="W62416" s="8"/>
      <c r="X62416" s="8"/>
      <c r="Y62416" s="8"/>
      <c r="Z62416" s="8"/>
      <c r="AA62416" s="8"/>
    </row>
    <row r="62417" spans="1:27" x14ac:dyDescent="0.25">
      <c r="A62417" s="8"/>
      <c r="B62417" s="8"/>
      <c r="C62417" s="99"/>
      <c r="D62417" s="8"/>
      <c r="E62417" s="8"/>
      <c r="F62417" s="8"/>
      <c r="G62417" s="8"/>
      <c r="H62417" s="8"/>
      <c r="I62417" s="102"/>
      <c r="J62417" s="8"/>
      <c r="K62417" s="8"/>
      <c r="L62417" s="8"/>
      <c r="M62417" s="8"/>
      <c r="N62417" s="8"/>
      <c r="O62417" s="8"/>
      <c r="P62417" s="8"/>
      <c r="Q62417" s="8"/>
      <c r="R62417" s="103"/>
      <c r="S62417" s="8"/>
      <c r="T62417" s="8"/>
      <c r="U62417" s="8"/>
      <c r="V62417" s="8"/>
      <c r="W62417" s="8"/>
      <c r="X62417" s="8"/>
      <c r="Y62417" s="8"/>
      <c r="Z62417" s="8"/>
      <c r="AA62417" s="8"/>
    </row>
    <row r="62418" spans="1:27" x14ac:dyDescent="0.25">
      <c r="A62418" s="8"/>
      <c r="B62418" s="8"/>
      <c r="C62418" s="99"/>
      <c r="D62418" s="8"/>
      <c r="E62418" s="8"/>
      <c r="F62418" s="8"/>
      <c r="G62418" s="8"/>
      <c r="H62418" s="8"/>
      <c r="I62418" s="102"/>
      <c r="J62418" s="8"/>
      <c r="K62418" s="8"/>
      <c r="L62418" s="8"/>
      <c r="M62418" s="8"/>
      <c r="N62418" s="8"/>
      <c r="O62418" s="8"/>
      <c r="P62418" s="8"/>
      <c r="Q62418" s="8"/>
      <c r="R62418" s="103"/>
      <c r="S62418" s="8"/>
      <c r="T62418" s="8"/>
      <c r="U62418" s="8"/>
      <c r="V62418" s="8"/>
      <c r="W62418" s="8"/>
      <c r="X62418" s="8"/>
      <c r="Y62418" s="8"/>
      <c r="Z62418" s="8"/>
      <c r="AA62418" s="8"/>
    </row>
    <row r="62419" spans="1:27" x14ac:dyDescent="0.25">
      <c r="A62419" s="8"/>
      <c r="B62419" s="8"/>
      <c r="C62419" s="99"/>
      <c r="D62419" s="8"/>
      <c r="E62419" s="8"/>
      <c r="F62419" s="8"/>
      <c r="G62419" s="8"/>
      <c r="H62419" s="8"/>
      <c r="I62419" s="102"/>
      <c r="J62419" s="8"/>
      <c r="K62419" s="8"/>
      <c r="L62419" s="8"/>
      <c r="M62419" s="8"/>
      <c r="N62419" s="8"/>
      <c r="O62419" s="8"/>
      <c r="P62419" s="8"/>
      <c r="Q62419" s="8"/>
      <c r="R62419" s="103"/>
      <c r="S62419" s="8"/>
      <c r="T62419" s="8"/>
      <c r="U62419" s="8"/>
      <c r="V62419" s="8"/>
      <c r="W62419" s="8"/>
      <c r="X62419" s="8"/>
      <c r="Y62419" s="8"/>
      <c r="Z62419" s="8"/>
      <c r="AA62419" s="8"/>
    </row>
    <row r="62420" spans="1:27" x14ac:dyDescent="0.25">
      <c r="A62420" s="8"/>
      <c r="B62420" s="8"/>
      <c r="C62420" s="99"/>
      <c r="D62420" s="8"/>
      <c r="E62420" s="8"/>
      <c r="F62420" s="8"/>
      <c r="G62420" s="8"/>
      <c r="H62420" s="8"/>
      <c r="I62420" s="102"/>
      <c r="J62420" s="8"/>
      <c r="K62420" s="8"/>
      <c r="L62420" s="8"/>
      <c r="M62420" s="8"/>
      <c r="N62420" s="8"/>
      <c r="O62420" s="8"/>
      <c r="P62420" s="8"/>
      <c r="Q62420" s="8"/>
      <c r="R62420" s="103"/>
      <c r="S62420" s="8"/>
      <c r="T62420" s="8"/>
      <c r="U62420" s="8"/>
      <c r="V62420" s="8"/>
      <c r="W62420" s="8"/>
      <c r="X62420" s="8"/>
      <c r="Y62420" s="8"/>
      <c r="Z62420" s="8"/>
      <c r="AA62420" s="8"/>
    </row>
    <row r="62421" spans="1:27" x14ac:dyDescent="0.25">
      <c r="A62421" s="8"/>
      <c r="B62421" s="8"/>
      <c r="C62421" s="99"/>
      <c r="D62421" s="8"/>
      <c r="E62421" s="8"/>
      <c r="F62421" s="8"/>
      <c r="G62421" s="8"/>
      <c r="H62421" s="8"/>
      <c r="I62421" s="102"/>
      <c r="J62421" s="8"/>
      <c r="K62421" s="8"/>
      <c r="L62421" s="8"/>
      <c r="M62421" s="8"/>
      <c r="N62421" s="8"/>
      <c r="O62421" s="8"/>
      <c r="P62421" s="8"/>
      <c r="Q62421" s="8"/>
      <c r="R62421" s="103"/>
      <c r="S62421" s="8"/>
      <c r="T62421" s="8"/>
      <c r="U62421" s="8"/>
      <c r="V62421" s="8"/>
      <c r="W62421" s="8"/>
      <c r="X62421" s="8"/>
      <c r="Y62421" s="8"/>
      <c r="Z62421" s="8"/>
      <c r="AA62421" s="8"/>
    </row>
    <row r="62422" spans="1:27" x14ac:dyDescent="0.25">
      <c r="A62422" s="8"/>
      <c r="B62422" s="8"/>
      <c r="C62422" s="99"/>
      <c r="D62422" s="8"/>
      <c r="E62422" s="8"/>
      <c r="F62422" s="8"/>
      <c r="G62422" s="8"/>
      <c r="H62422" s="8"/>
      <c r="I62422" s="102"/>
      <c r="J62422" s="8"/>
      <c r="K62422" s="8"/>
      <c r="L62422" s="8"/>
      <c r="M62422" s="8"/>
      <c r="N62422" s="8"/>
      <c r="O62422" s="8"/>
      <c r="P62422" s="8"/>
      <c r="Q62422" s="8"/>
      <c r="R62422" s="103"/>
      <c r="S62422" s="8"/>
      <c r="T62422" s="8"/>
      <c r="U62422" s="8"/>
      <c r="V62422" s="8"/>
      <c r="W62422" s="8"/>
      <c r="X62422" s="8"/>
      <c r="Y62422" s="8"/>
      <c r="Z62422" s="8"/>
      <c r="AA62422" s="8"/>
    </row>
    <row r="62423" spans="1:27" x14ac:dyDescent="0.25">
      <c r="A62423" s="8"/>
      <c r="B62423" s="8"/>
      <c r="C62423" s="99"/>
      <c r="D62423" s="8"/>
      <c r="E62423" s="8"/>
      <c r="F62423" s="8"/>
      <c r="G62423" s="8"/>
      <c r="H62423" s="8"/>
      <c r="I62423" s="102"/>
      <c r="J62423" s="8"/>
      <c r="K62423" s="8"/>
      <c r="L62423" s="8"/>
      <c r="M62423" s="8"/>
      <c r="N62423" s="8"/>
      <c r="O62423" s="8"/>
      <c r="P62423" s="8"/>
      <c r="Q62423" s="8"/>
      <c r="R62423" s="103"/>
      <c r="S62423" s="8"/>
      <c r="T62423" s="8"/>
      <c r="U62423" s="8"/>
      <c r="V62423" s="8"/>
      <c r="W62423" s="8"/>
      <c r="X62423" s="8"/>
      <c r="Y62423" s="8"/>
      <c r="Z62423" s="8"/>
      <c r="AA62423" s="8"/>
    </row>
    <row r="62424" spans="1:27" x14ac:dyDescent="0.25">
      <c r="A62424" s="8"/>
      <c r="B62424" s="8"/>
      <c r="C62424" s="99"/>
      <c r="D62424" s="8"/>
      <c r="E62424" s="8"/>
      <c r="F62424" s="8"/>
      <c r="G62424" s="8"/>
      <c r="H62424" s="8"/>
      <c r="I62424" s="102"/>
      <c r="J62424" s="8"/>
      <c r="K62424" s="8"/>
      <c r="L62424" s="8"/>
      <c r="M62424" s="8"/>
      <c r="N62424" s="8"/>
      <c r="O62424" s="8"/>
      <c r="P62424" s="8"/>
      <c r="Q62424" s="8"/>
      <c r="R62424" s="103"/>
      <c r="S62424" s="8"/>
      <c r="T62424" s="8"/>
      <c r="U62424" s="8"/>
      <c r="V62424" s="8"/>
      <c r="W62424" s="8"/>
      <c r="X62424" s="8"/>
      <c r="Y62424" s="8"/>
      <c r="Z62424" s="8"/>
      <c r="AA62424" s="8"/>
    </row>
    <row r="62425" spans="1:27" x14ac:dyDescent="0.25">
      <c r="A62425" s="8"/>
      <c r="B62425" s="8"/>
      <c r="C62425" s="99"/>
      <c r="D62425" s="8"/>
      <c r="E62425" s="8"/>
      <c r="F62425" s="8"/>
      <c r="G62425" s="8"/>
      <c r="H62425" s="8"/>
      <c r="I62425" s="102"/>
      <c r="J62425" s="8"/>
      <c r="K62425" s="8"/>
      <c r="L62425" s="8"/>
      <c r="M62425" s="8"/>
      <c r="N62425" s="8"/>
      <c r="O62425" s="8"/>
      <c r="P62425" s="8"/>
      <c r="Q62425" s="8"/>
      <c r="R62425" s="103"/>
      <c r="S62425" s="8"/>
      <c r="T62425" s="8"/>
      <c r="U62425" s="8"/>
      <c r="V62425" s="8"/>
      <c r="W62425" s="8"/>
      <c r="X62425" s="8"/>
      <c r="Y62425" s="8"/>
      <c r="Z62425" s="8"/>
      <c r="AA62425" s="8"/>
    </row>
    <row r="62426" spans="1:27" x14ac:dyDescent="0.25">
      <c r="A62426" s="8"/>
      <c r="B62426" s="8"/>
      <c r="C62426" s="99"/>
      <c r="D62426" s="8"/>
      <c r="E62426" s="8"/>
      <c r="F62426" s="8"/>
      <c r="G62426" s="8"/>
      <c r="H62426" s="8"/>
      <c r="I62426" s="102"/>
      <c r="J62426" s="8"/>
      <c r="K62426" s="8"/>
      <c r="L62426" s="8"/>
      <c r="M62426" s="8"/>
      <c r="N62426" s="8"/>
      <c r="O62426" s="8"/>
      <c r="P62426" s="8"/>
      <c r="Q62426" s="8"/>
      <c r="R62426" s="103"/>
      <c r="S62426" s="8"/>
      <c r="T62426" s="8"/>
      <c r="U62426" s="8"/>
      <c r="V62426" s="8"/>
      <c r="W62426" s="8"/>
      <c r="X62426" s="8"/>
      <c r="Y62426" s="8"/>
      <c r="Z62426" s="8"/>
      <c r="AA62426" s="8"/>
    </row>
    <row r="62427" spans="1:27" x14ac:dyDescent="0.25">
      <c r="A62427" s="8"/>
      <c r="B62427" s="8"/>
      <c r="C62427" s="99"/>
      <c r="D62427" s="8"/>
      <c r="E62427" s="8"/>
      <c r="F62427" s="8"/>
      <c r="G62427" s="8"/>
      <c r="H62427" s="8"/>
      <c r="I62427" s="102"/>
      <c r="J62427" s="8"/>
      <c r="K62427" s="8"/>
      <c r="L62427" s="8"/>
      <c r="M62427" s="8"/>
      <c r="N62427" s="8"/>
      <c r="O62427" s="8"/>
      <c r="P62427" s="8"/>
      <c r="Q62427" s="8"/>
      <c r="R62427" s="103"/>
      <c r="S62427" s="8"/>
      <c r="T62427" s="8"/>
      <c r="U62427" s="8"/>
      <c r="V62427" s="8"/>
      <c r="W62427" s="8"/>
      <c r="X62427" s="8"/>
      <c r="Y62427" s="8"/>
      <c r="Z62427" s="8"/>
      <c r="AA62427" s="8"/>
    </row>
    <row r="62428" spans="1:27" x14ac:dyDescent="0.25">
      <c r="A62428" s="8"/>
      <c r="B62428" s="8"/>
      <c r="C62428" s="99"/>
      <c r="D62428" s="8"/>
      <c r="E62428" s="8"/>
      <c r="F62428" s="8"/>
      <c r="G62428" s="8"/>
      <c r="H62428" s="8"/>
      <c r="I62428" s="102"/>
      <c r="J62428" s="8"/>
      <c r="K62428" s="8"/>
      <c r="L62428" s="8"/>
      <c r="M62428" s="8"/>
      <c r="N62428" s="8"/>
      <c r="O62428" s="8"/>
      <c r="P62428" s="8"/>
      <c r="Q62428" s="8"/>
      <c r="R62428" s="103"/>
      <c r="S62428" s="8"/>
      <c r="T62428" s="8"/>
      <c r="U62428" s="8"/>
      <c r="V62428" s="8"/>
      <c r="W62428" s="8"/>
      <c r="X62428" s="8"/>
      <c r="Y62428" s="8"/>
      <c r="Z62428" s="8"/>
      <c r="AA62428" s="8"/>
    </row>
    <row r="62429" spans="1:27" x14ac:dyDescent="0.25">
      <c r="A62429" s="8"/>
      <c r="B62429" s="8"/>
      <c r="C62429" s="99"/>
      <c r="D62429" s="8"/>
      <c r="E62429" s="8"/>
      <c r="F62429" s="8"/>
      <c r="G62429" s="8"/>
      <c r="H62429" s="8"/>
      <c r="I62429" s="102"/>
      <c r="J62429" s="8"/>
      <c r="K62429" s="8"/>
      <c r="L62429" s="8"/>
      <c r="M62429" s="8"/>
      <c r="N62429" s="8"/>
      <c r="O62429" s="8"/>
      <c r="P62429" s="8"/>
      <c r="Q62429" s="8"/>
      <c r="R62429" s="103"/>
      <c r="S62429" s="8"/>
      <c r="T62429" s="8"/>
      <c r="U62429" s="8"/>
      <c r="V62429" s="8"/>
      <c r="W62429" s="8"/>
      <c r="X62429" s="8"/>
      <c r="Y62429" s="8"/>
      <c r="Z62429" s="8"/>
      <c r="AA62429" s="8"/>
    </row>
    <row r="62430" spans="1:27" x14ac:dyDescent="0.25">
      <c r="A62430" s="8"/>
      <c r="B62430" s="8"/>
      <c r="C62430" s="99"/>
      <c r="D62430" s="8"/>
      <c r="E62430" s="8"/>
      <c r="F62430" s="8"/>
      <c r="G62430" s="8"/>
      <c r="H62430" s="8"/>
      <c r="I62430" s="102"/>
      <c r="J62430" s="8"/>
      <c r="K62430" s="8"/>
      <c r="L62430" s="8"/>
      <c r="M62430" s="8"/>
      <c r="N62430" s="8"/>
      <c r="O62430" s="8"/>
      <c r="P62430" s="8"/>
      <c r="Q62430" s="8"/>
      <c r="R62430" s="103"/>
      <c r="S62430" s="8"/>
      <c r="T62430" s="8"/>
      <c r="U62430" s="8"/>
      <c r="V62430" s="8"/>
      <c r="W62430" s="8"/>
      <c r="X62430" s="8"/>
      <c r="Y62430" s="8"/>
      <c r="Z62430" s="8"/>
      <c r="AA62430" s="8"/>
    </row>
    <row r="62431" spans="1:27" x14ac:dyDescent="0.25">
      <c r="A62431" s="8"/>
      <c r="B62431" s="8"/>
      <c r="C62431" s="99"/>
      <c r="D62431" s="8"/>
      <c r="E62431" s="8"/>
      <c r="F62431" s="8"/>
      <c r="G62431" s="8"/>
      <c r="H62431" s="8"/>
      <c r="I62431" s="102"/>
      <c r="J62431" s="8"/>
      <c r="K62431" s="8"/>
      <c r="L62431" s="8"/>
      <c r="M62431" s="8"/>
      <c r="N62431" s="8"/>
      <c r="O62431" s="8"/>
      <c r="P62431" s="8"/>
      <c r="Q62431" s="8"/>
      <c r="R62431" s="103"/>
      <c r="S62431" s="8"/>
      <c r="T62431" s="8"/>
      <c r="U62431" s="8"/>
      <c r="V62431" s="8"/>
      <c r="W62431" s="8"/>
      <c r="X62431" s="8"/>
      <c r="Y62431" s="8"/>
      <c r="Z62431" s="8"/>
      <c r="AA62431" s="8"/>
    </row>
    <row r="62432" spans="1:27" x14ac:dyDescent="0.25">
      <c r="A62432" s="8"/>
      <c r="B62432" s="8"/>
      <c r="C62432" s="99"/>
      <c r="D62432" s="8"/>
      <c r="E62432" s="8"/>
      <c r="F62432" s="8"/>
      <c r="G62432" s="8"/>
      <c r="H62432" s="8"/>
      <c r="I62432" s="102"/>
      <c r="J62432" s="8"/>
      <c r="K62432" s="8"/>
      <c r="L62432" s="8"/>
      <c r="M62432" s="8"/>
      <c r="N62432" s="8"/>
      <c r="O62432" s="8"/>
      <c r="P62432" s="8"/>
      <c r="Q62432" s="8"/>
      <c r="R62432" s="103"/>
      <c r="S62432" s="8"/>
      <c r="T62432" s="8"/>
      <c r="U62432" s="8"/>
      <c r="V62432" s="8"/>
      <c r="W62432" s="8"/>
      <c r="X62432" s="8"/>
      <c r="Y62432" s="8"/>
      <c r="Z62432" s="8"/>
      <c r="AA62432" s="8"/>
    </row>
    <row r="62433" spans="1:27" x14ac:dyDescent="0.25">
      <c r="A62433" s="8"/>
      <c r="B62433" s="8"/>
      <c r="C62433" s="99"/>
      <c r="D62433" s="8"/>
      <c r="E62433" s="8"/>
      <c r="F62433" s="8"/>
      <c r="G62433" s="8"/>
      <c r="H62433" s="8"/>
      <c r="I62433" s="102"/>
      <c r="J62433" s="8"/>
      <c r="K62433" s="8"/>
      <c r="L62433" s="8"/>
      <c r="M62433" s="8"/>
      <c r="N62433" s="8"/>
      <c r="O62433" s="8"/>
      <c r="P62433" s="8"/>
      <c r="Q62433" s="8"/>
      <c r="R62433" s="103"/>
      <c r="S62433" s="8"/>
      <c r="T62433" s="8"/>
      <c r="U62433" s="8"/>
      <c r="V62433" s="8"/>
      <c r="W62433" s="8"/>
      <c r="X62433" s="8"/>
      <c r="Y62433" s="8"/>
      <c r="Z62433" s="8"/>
      <c r="AA62433" s="8"/>
    </row>
    <row r="62434" spans="1:27" x14ac:dyDescent="0.25">
      <c r="A62434" s="8"/>
      <c r="B62434" s="8"/>
      <c r="C62434" s="99"/>
      <c r="D62434" s="8"/>
      <c r="E62434" s="8"/>
      <c r="F62434" s="8"/>
      <c r="G62434" s="8"/>
      <c r="H62434" s="8"/>
      <c r="I62434" s="102"/>
      <c r="J62434" s="8"/>
      <c r="K62434" s="8"/>
      <c r="L62434" s="8"/>
      <c r="M62434" s="8"/>
      <c r="N62434" s="8"/>
      <c r="O62434" s="8"/>
      <c r="P62434" s="8"/>
      <c r="Q62434" s="8"/>
      <c r="R62434" s="103"/>
      <c r="S62434" s="8"/>
      <c r="T62434" s="8"/>
      <c r="U62434" s="8"/>
      <c r="V62434" s="8"/>
      <c r="W62434" s="8"/>
      <c r="X62434" s="8"/>
      <c r="Y62434" s="8"/>
      <c r="Z62434" s="8"/>
      <c r="AA62434" s="8"/>
    </row>
    <row r="62435" spans="1:27" x14ac:dyDescent="0.25">
      <c r="A62435" s="8"/>
      <c r="B62435" s="8"/>
      <c r="C62435" s="99"/>
      <c r="D62435" s="8"/>
      <c r="E62435" s="8"/>
      <c r="F62435" s="8"/>
      <c r="G62435" s="8"/>
      <c r="H62435" s="8"/>
      <c r="I62435" s="102"/>
      <c r="J62435" s="8"/>
      <c r="K62435" s="8"/>
      <c r="L62435" s="8"/>
      <c r="M62435" s="8"/>
      <c r="N62435" s="8"/>
      <c r="O62435" s="8"/>
      <c r="P62435" s="8"/>
      <c r="Q62435" s="8"/>
      <c r="R62435" s="103"/>
      <c r="S62435" s="8"/>
      <c r="T62435" s="8"/>
      <c r="U62435" s="8"/>
      <c r="V62435" s="8"/>
      <c r="W62435" s="8"/>
      <c r="X62435" s="8"/>
      <c r="Y62435" s="8"/>
      <c r="Z62435" s="8"/>
      <c r="AA62435" s="8"/>
    </row>
    <row r="62436" spans="1:27" x14ac:dyDescent="0.25">
      <c r="A62436" s="8"/>
      <c r="B62436" s="8"/>
      <c r="C62436" s="99"/>
      <c r="D62436" s="8"/>
      <c r="E62436" s="8"/>
      <c r="F62436" s="8"/>
      <c r="G62436" s="8"/>
      <c r="H62436" s="8"/>
      <c r="I62436" s="102"/>
      <c r="J62436" s="8"/>
      <c r="K62436" s="8"/>
      <c r="L62436" s="8"/>
      <c r="M62436" s="8"/>
      <c r="N62436" s="8"/>
      <c r="O62436" s="8"/>
      <c r="P62436" s="8"/>
      <c r="Q62436" s="8"/>
      <c r="R62436" s="103"/>
      <c r="S62436" s="8"/>
      <c r="T62436" s="8"/>
      <c r="U62436" s="8"/>
      <c r="V62436" s="8"/>
      <c r="W62436" s="8"/>
      <c r="X62436" s="8"/>
      <c r="Y62436" s="8"/>
      <c r="Z62436" s="8"/>
      <c r="AA62436" s="8"/>
    </row>
    <row r="62437" spans="1:27" x14ac:dyDescent="0.25">
      <c r="A62437" s="8"/>
      <c r="B62437" s="8"/>
      <c r="C62437" s="99"/>
      <c r="D62437" s="8"/>
      <c r="E62437" s="8"/>
      <c r="F62437" s="8"/>
      <c r="G62437" s="8"/>
      <c r="H62437" s="8"/>
      <c r="I62437" s="102"/>
      <c r="J62437" s="8"/>
      <c r="K62437" s="8"/>
      <c r="L62437" s="8"/>
      <c r="M62437" s="8"/>
      <c r="N62437" s="8"/>
      <c r="O62437" s="8"/>
      <c r="P62437" s="8"/>
      <c r="Q62437" s="8"/>
      <c r="R62437" s="103"/>
      <c r="S62437" s="8"/>
      <c r="T62437" s="8"/>
      <c r="U62437" s="8"/>
      <c r="V62437" s="8"/>
      <c r="W62437" s="8"/>
      <c r="X62437" s="8"/>
      <c r="Y62437" s="8"/>
      <c r="Z62437" s="8"/>
      <c r="AA62437" s="8"/>
    </row>
    <row r="62438" spans="1:27" x14ac:dyDescent="0.25">
      <c r="A62438" s="8"/>
      <c r="B62438" s="8"/>
      <c r="C62438" s="99"/>
      <c r="D62438" s="8"/>
      <c r="E62438" s="8"/>
      <c r="F62438" s="8"/>
      <c r="G62438" s="8"/>
      <c r="H62438" s="8"/>
      <c r="I62438" s="102"/>
      <c r="J62438" s="8"/>
      <c r="K62438" s="8"/>
      <c r="L62438" s="8"/>
      <c r="M62438" s="8"/>
      <c r="N62438" s="8"/>
      <c r="O62438" s="8"/>
      <c r="P62438" s="8"/>
      <c r="Q62438" s="8"/>
      <c r="R62438" s="103"/>
      <c r="S62438" s="8"/>
      <c r="T62438" s="8"/>
      <c r="U62438" s="8"/>
      <c r="V62438" s="8"/>
      <c r="W62438" s="8"/>
      <c r="X62438" s="8"/>
      <c r="Y62438" s="8"/>
      <c r="Z62438" s="8"/>
      <c r="AA62438" s="8"/>
    </row>
    <row r="62439" spans="1:27" x14ac:dyDescent="0.25">
      <c r="A62439" s="8"/>
      <c r="B62439" s="8"/>
      <c r="C62439" s="99"/>
      <c r="D62439" s="8"/>
      <c r="E62439" s="8"/>
      <c r="F62439" s="8"/>
      <c r="G62439" s="8"/>
      <c r="H62439" s="8"/>
      <c r="I62439" s="102"/>
      <c r="J62439" s="8"/>
      <c r="K62439" s="8"/>
      <c r="L62439" s="8"/>
      <c r="M62439" s="8"/>
      <c r="N62439" s="8"/>
      <c r="O62439" s="8"/>
      <c r="P62439" s="8"/>
      <c r="Q62439" s="8"/>
      <c r="R62439" s="103"/>
      <c r="S62439" s="8"/>
      <c r="T62439" s="8"/>
      <c r="U62439" s="8"/>
      <c r="V62439" s="8"/>
      <c r="W62439" s="8"/>
      <c r="X62439" s="8"/>
      <c r="Y62439" s="8"/>
      <c r="Z62439" s="8"/>
      <c r="AA62439" s="8"/>
    </row>
    <row r="62440" spans="1:27" x14ac:dyDescent="0.25">
      <c r="A62440" s="8"/>
      <c r="B62440" s="8"/>
      <c r="C62440" s="99"/>
      <c r="D62440" s="8"/>
      <c r="E62440" s="8"/>
      <c r="F62440" s="8"/>
      <c r="G62440" s="8"/>
      <c r="H62440" s="8"/>
      <c r="I62440" s="102"/>
      <c r="J62440" s="8"/>
      <c r="K62440" s="8"/>
      <c r="L62440" s="8"/>
      <c r="M62440" s="8"/>
      <c r="N62440" s="8"/>
      <c r="O62440" s="8"/>
      <c r="P62440" s="8"/>
      <c r="Q62440" s="8"/>
      <c r="R62440" s="103"/>
      <c r="S62440" s="8"/>
      <c r="T62440" s="8"/>
      <c r="U62440" s="8"/>
      <c r="V62440" s="8"/>
      <c r="W62440" s="8"/>
      <c r="X62440" s="8"/>
      <c r="Y62440" s="8"/>
      <c r="Z62440" s="8"/>
      <c r="AA62440" s="8"/>
    </row>
    <row r="62441" spans="1:27" x14ac:dyDescent="0.25">
      <c r="A62441" s="8"/>
      <c r="B62441" s="8"/>
      <c r="C62441" s="99"/>
      <c r="D62441" s="8"/>
      <c r="E62441" s="8"/>
      <c r="F62441" s="8"/>
      <c r="G62441" s="8"/>
      <c r="H62441" s="8"/>
      <c r="I62441" s="102"/>
      <c r="J62441" s="8"/>
      <c r="K62441" s="8"/>
      <c r="L62441" s="8"/>
      <c r="M62441" s="8"/>
      <c r="N62441" s="8"/>
      <c r="O62441" s="8"/>
      <c r="P62441" s="8"/>
      <c r="Q62441" s="8"/>
      <c r="R62441" s="103"/>
      <c r="S62441" s="8"/>
      <c r="T62441" s="8"/>
      <c r="U62441" s="8"/>
      <c r="V62441" s="8"/>
      <c r="W62441" s="8"/>
      <c r="X62441" s="8"/>
      <c r="Y62441" s="8"/>
      <c r="Z62441" s="8"/>
      <c r="AA62441" s="8"/>
    </row>
    <row r="62442" spans="1:27" x14ac:dyDescent="0.25">
      <c r="A62442" s="8"/>
      <c r="B62442" s="8"/>
      <c r="C62442" s="99"/>
      <c r="D62442" s="8"/>
      <c r="E62442" s="8"/>
      <c r="F62442" s="8"/>
      <c r="G62442" s="8"/>
      <c r="H62442" s="8"/>
      <c r="I62442" s="102"/>
      <c r="J62442" s="8"/>
      <c r="K62442" s="8"/>
      <c r="L62442" s="8"/>
      <c r="M62442" s="8"/>
      <c r="N62442" s="8"/>
      <c r="O62442" s="8"/>
      <c r="P62442" s="8"/>
      <c r="Q62442" s="8"/>
      <c r="R62442" s="103"/>
      <c r="S62442" s="8"/>
      <c r="T62442" s="8"/>
      <c r="U62442" s="8"/>
      <c r="V62442" s="8"/>
      <c r="W62442" s="8"/>
      <c r="X62442" s="8"/>
      <c r="Y62442" s="8"/>
      <c r="Z62442" s="8"/>
      <c r="AA62442" s="8"/>
    </row>
    <row r="62443" spans="1:27" x14ac:dyDescent="0.25">
      <c r="A62443" s="8"/>
      <c r="B62443" s="8"/>
      <c r="C62443" s="99"/>
      <c r="D62443" s="8"/>
      <c r="E62443" s="8"/>
      <c r="F62443" s="8"/>
      <c r="G62443" s="8"/>
      <c r="H62443" s="8"/>
      <c r="I62443" s="102"/>
      <c r="J62443" s="8"/>
      <c r="K62443" s="8"/>
      <c r="L62443" s="8"/>
      <c r="M62443" s="8"/>
      <c r="N62443" s="8"/>
      <c r="O62443" s="8"/>
      <c r="P62443" s="8"/>
      <c r="Q62443" s="8"/>
      <c r="R62443" s="103"/>
      <c r="S62443" s="8"/>
      <c r="T62443" s="8"/>
      <c r="U62443" s="8"/>
      <c r="V62443" s="8"/>
      <c r="W62443" s="8"/>
      <c r="X62443" s="8"/>
      <c r="Y62443" s="8"/>
      <c r="Z62443" s="8"/>
      <c r="AA62443" s="8"/>
    </row>
    <row r="62444" spans="1:27" x14ac:dyDescent="0.25">
      <c r="A62444" s="8"/>
      <c r="B62444" s="8"/>
      <c r="C62444" s="99"/>
      <c r="D62444" s="8"/>
      <c r="E62444" s="8"/>
      <c r="F62444" s="8"/>
      <c r="G62444" s="8"/>
      <c r="H62444" s="8"/>
      <c r="I62444" s="102"/>
      <c r="J62444" s="8"/>
      <c r="K62444" s="8"/>
      <c r="L62444" s="8"/>
      <c r="M62444" s="8"/>
      <c r="N62444" s="8"/>
      <c r="O62444" s="8"/>
      <c r="P62444" s="8"/>
      <c r="Q62444" s="8"/>
      <c r="R62444" s="103"/>
      <c r="S62444" s="8"/>
      <c r="T62444" s="8"/>
      <c r="U62444" s="8"/>
      <c r="V62444" s="8"/>
      <c r="W62444" s="8"/>
      <c r="X62444" s="8"/>
      <c r="Y62444" s="8"/>
      <c r="Z62444" s="8"/>
      <c r="AA62444" s="8"/>
    </row>
    <row r="62445" spans="1:27" x14ac:dyDescent="0.25">
      <c r="A62445" s="8"/>
      <c r="B62445" s="8"/>
      <c r="C62445" s="99"/>
      <c r="D62445" s="8"/>
      <c r="E62445" s="8"/>
      <c r="F62445" s="8"/>
      <c r="G62445" s="8"/>
      <c r="H62445" s="8"/>
      <c r="I62445" s="102"/>
      <c r="J62445" s="8"/>
      <c r="K62445" s="8"/>
      <c r="L62445" s="8"/>
      <c r="M62445" s="8"/>
      <c r="N62445" s="8"/>
      <c r="O62445" s="8"/>
      <c r="P62445" s="8"/>
      <c r="Q62445" s="8"/>
      <c r="R62445" s="103"/>
      <c r="S62445" s="8"/>
      <c r="T62445" s="8"/>
      <c r="U62445" s="8"/>
      <c r="V62445" s="8"/>
      <c r="W62445" s="8"/>
      <c r="X62445" s="8"/>
      <c r="Y62445" s="8"/>
      <c r="Z62445" s="8"/>
      <c r="AA62445" s="8"/>
    </row>
    <row r="62446" spans="1:27" x14ac:dyDescent="0.25">
      <c r="A62446" s="8"/>
      <c r="B62446" s="8"/>
      <c r="C62446" s="99"/>
      <c r="D62446" s="8"/>
      <c r="E62446" s="8"/>
      <c r="F62446" s="8"/>
      <c r="G62446" s="8"/>
      <c r="H62446" s="8"/>
      <c r="I62446" s="102"/>
      <c r="J62446" s="8"/>
      <c r="K62446" s="8"/>
      <c r="L62446" s="8"/>
      <c r="M62446" s="8"/>
      <c r="N62446" s="8"/>
      <c r="O62446" s="8"/>
      <c r="P62446" s="8"/>
      <c r="Q62446" s="8"/>
      <c r="R62446" s="103"/>
      <c r="S62446" s="8"/>
      <c r="T62446" s="8"/>
      <c r="U62446" s="8"/>
      <c r="V62446" s="8"/>
      <c r="W62446" s="8"/>
      <c r="X62446" s="8"/>
      <c r="Y62446" s="8"/>
      <c r="Z62446" s="8"/>
      <c r="AA62446" s="8"/>
    </row>
    <row r="62447" spans="1:27" x14ac:dyDescent="0.25">
      <c r="A62447" s="8"/>
      <c r="B62447" s="8"/>
      <c r="C62447" s="99"/>
      <c r="D62447" s="8"/>
      <c r="E62447" s="8"/>
      <c r="F62447" s="8"/>
      <c r="G62447" s="8"/>
      <c r="H62447" s="8"/>
      <c r="I62447" s="102"/>
      <c r="J62447" s="8"/>
      <c r="K62447" s="8"/>
      <c r="L62447" s="8"/>
      <c r="M62447" s="8"/>
      <c r="N62447" s="8"/>
      <c r="O62447" s="8"/>
      <c r="P62447" s="8"/>
      <c r="Q62447" s="8"/>
      <c r="R62447" s="103"/>
      <c r="S62447" s="8"/>
      <c r="T62447" s="8"/>
      <c r="U62447" s="8"/>
      <c r="V62447" s="8"/>
      <c r="W62447" s="8"/>
      <c r="X62447" s="8"/>
      <c r="Y62447" s="8"/>
      <c r="Z62447" s="8"/>
      <c r="AA62447" s="8"/>
    </row>
    <row r="62448" spans="1:27" x14ac:dyDescent="0.25">
      <c r="A62448" s="8"/>
      <c r="B62448" s="8"/>
      <c r="C62448" s="99"/>
      <c r="D62448" s="8"/>
      <c r="E62448" s="8"/>
      <c r="F62448" s="8"/>
      <c r="G62448" s="8"/>
      <c r="H62448" s="8"/>
      <c r="I62448" s="102"/>
      <c r="J62448" s="8"/>
      <c r="K62448" s="8"/>
      <c r="L62448" s="8"/>
      <c r="M62448" s="8"/>
      <c r="N62448" s="8"/>
      <c r="O62448" s="8"/>
      <c r="P62448" s="8"/>
      <c r="Q62448" s="8"/>
      <c r="R62448" s="103"/>
      <c r="S62448" s="8"/>
      <c r="T62448" s="8"/>
      <c r="U62448" s="8"/>
      <c r="V62448" s="8"/>
      <c r="W62448" s="8"/>
      <c r="X62448" s="8"/>
      <c r="Y62448" s="8"/>
      <c r="Z62448" s="8"/>
      <c r="AA62448" s="8"/>
    </row>
    <row r="62449" spans="1:27" x14ac:dyDescent="0.25">
      <c r="A62449" s="8"/>
      <c r="B62449" s="8"/>
      <c r="C62449" s="99"/>
      <c r="D62449" s="8"/>
      <c r="E62449" s="8"/>
      <c r="F62449" s="8"/>
      <c r="G62449" s="8"/>
      <c r="H62449" s="8"/>
      <c r="I62449" s="102"/>
      <c r="J62449" s="8"/>
      <c r="K62449" s="8"/>
      <c r="L62449" s="8"/>
      <c r="M62449" s="8"/>
      <c r="N62449" s="8"/>
      <c r="O62449" s="8"/>
      <c r="P62449" s="8"/>
      <c r="Q62449" s="8"/>
      <c r="R62449" s="103"/>
      <c r="S62449" s="8"/>
      <c r="T62449" s="8"/>
      <c r="U62449" s="8"/>
      <c r="V62449" s="8"/>
      <c r="W62449" s="8"/>
      <c r="X62449" s="8"/>
      <c r="Y62449" s="8"/>
      <c r="Z62449" s="8"/>
      <c r="AA62449" s="8"/>
    </row>
    <row r="62450" spans="1:27" x14ac:dyDescent="0.25">
      <c r="A62450" s="8"/>
      <c r="B62450" s="8"/>
      <c r="C62450" s="99"/>
      <c r="D62450" s="8"/>
      <c r="E62450" s="8"/>
      <c r="F62450" s="8"/>
      <c r="G62450" s="8"/>
      <c r="H62450" s="8"/>
      <c r="I62450" s="102"/>
      <c r="J62450" s="8"/>
      <c r="K62450" s="8"/>
      <c r="L62450" s="8"/>
      <c r="M62450" s="8"/>
      <c r="N62450" s="8"/>
      <c r="O62450" s="8"/>
      <c r="P62450" s="8"/>
      <c r="Q62450" s="8"/>
      <c r="R62450" s="103"/>
      <c r="S62450" s="8"/>
      <c r="T62450" s="8"/>
      <c r="U62450" s="8"/>
      <c r="V62450" s="8"/>
      <c r="W62450" s="8"/>
      <c r="X62450" s="8"/>
      <c r="Y62450" s="8"/>
      <c r="Z62450" s="8"/>
      <c r="AA62450" s="8"/>
    </row>
    <row r="62451" spans="1:27" x14ac:dyDescent="0.25">
      <c r="A62451" s="8"/>
      <c r="B62451" s="8"/>
      <c r="C62451" s="99"/>
      <c r="D62451" s="8"/>
      <c r="E62451" s="8"/>
      <c r="F62451" s="8"/>
      <c r="G62451" s="8"/>
      <c r="H62451" s="8"/>
      <c r="I62451" s="102"/>
      <c r="J62451" s="8"/>
      <c r="K62451" s="8"/>
      <c r="L62451" s="8"/>
      <c r="M62451" s="8"/>
      <c r="N62451" s="8"/>
      <c r="O62451" s="8"/>
      <c r="P62451" s="8"/>
      <c r="Q62451" s="8"/>
      <c r="R62451" s="103"/>
      <c r="S62451" s="8"/>
      <c r="T62451" s="8"/>
      <c r="U62451" s="8"/>
      <c r="V62451" s="8"/>
      <c r="W62451" s="8"/>
      <c r="X62451" s="8"/>
      <c r="Y62451" s="8"/>
      <c r="Z62451" s="8"/>
      <c r="AA62451" s="8"/>
    </row>
    <row r="62452" spans="1:27" x14ac:dyDescent="0.25">
      <c r="A62452" s="8"/>
      <c r="B62452" s="8"/>
      <c r="C62452" s="99"/>
      <c r="D62452" s="8"/>
      <c r="E62452" s="8"/>
      <c r="F62452" s="8"/>
      <c r="G62452" s="8"/>
      <c r="H62452" s="8"/>
      <c r="I62452" s="102"/>
      <c r="J62452" s="8"/>
      <c r="K62452" s="8"/>
      <c r="L62452" s="8"/>
      <c r="M62452" s="8"/>
      <c r="N62452" s="8"/>
      <c r="O62452" s="8"/>
      <c r="P62452" s="8"/>
      <c r="Q62452" s="8"/>
      <c r="R62452" s="103"/>
      <c r="S62452" s="8"/>
      <c r="T62452" s="8"/>
      <c r="U62452" s="8"/>
      <c r="V62452" s="8"/>
      <c r="W62452" s="8"/>
      <c r="X62452" s="8"/>
      <c r="Y62452" s="8"/>
      <c r="Z62452" s="8"/>
      <c r="AA62452" s="8"/>
    </row>
    <row r="62453" spans="1:27" x14ac:dyDescent="0.25">
      <c r="A62453" s="8"/>
      <c r="B62453" s="8"/>
      <c r="C62453" s="99"/>
      <c r="D62453" s="8"/>
      <c r="E62453" s="8"/>
      <c r="F62453" s="8"/>
      <c r="G62453" s="8"/>
      <c r="H62453" s="8"/>
      <c r="I62453" s="102"/>
      <c r="J62453" s="8"/>
      <c r="K62453" s="8"/>
      <c r="L62453" s="8"/>
      <c r="M62453" s="8"/>
      <c r="N62453" s="8"/>
      <c r="O62453" s="8"/>
      <c r="P62453" s="8"/>
      <c r="Q62453" s="8"/>
      <c r="R62453" s="103"/>
      <c r="S62453" s="8"/>
      <c r="T62453" s="8"/>
      <c r="U62453" s="8"/>
      <c r="V62453" s="8"/>
      <c r="W62453" s="8"/>
      <c r="X62453" s="8"/>
      <c r="Y62453" s="8"/>
      <c r="Z62453" s="8"/>
      <c r="AA62453" s="8"/>
    </row>
    <row r="62454" spans="1:27" x14ac:dyDescent="0.25">
      <c r="A62454" s="8"/>
      <c r="B62454" s="8"/>
      <c r="C62454" s="99"/>
      <c r="D62454" s="8"/>
      <c r="E62454" s="8"/>
      <c r="F62454" s="8"/>
      <c r="G62454" s="8"/>
      <c r="H62454" s="8"/>
      <c r="I62454" s="102"/>
      <c r="J62454" s="8"/>
      <c r="K62454" s="8"/>
      <c r="L62454" s="8"/>
      <c r="M62454" s="8"/>
      <c r="N62454" s="8"/>
      <c r="O62454" s="8"/>
      <c r="P62454" s="8"/>
      <c r="Q62454" s="8"/>
      <c r="R62454" s="103"/>
      <c r="S62454" s="8"/>
      <c r="T62454" s="8"/>
      <c r="U62454" s="8"/>
      <c r="V62454" s="8"/>
      <c r="W62454" s="8"/>
      <c r="X62454" s="8"/>
      <c r="Y62454" s="8"/>
      <c r="Z62454" s="8"/>
      <c r="AA62454" s="8"/>
    </row>
    <row r="62455" spans="1:27" x14ac:dyDescent="0.25">
      <c r="A62455" s="8"/>
      <c r="B62455" s="8"/>
      <c r="C62455" s="99"/>
      <c r="D62455" s="8"/>
      <c r="E62455" s="8"/>
      <c r="F62455" s="8"/>
      <c r="G62455" s="8"/>
      <c r="H62455" s="8"/>
      <c r="I62455" s="102"/>
      <c r="J62455" s="8"/>
      <c r="K62455" s="8"/>
      <c r="L62455" s="8"/>
      <c r="M62455" s="8"/>
      <c r="N62455" s="8"/>
      <c r="O62455" s="8"/>
      <c r="P62455" s="8"/>
      <c r="Q62455" s="8"/>
      <c r="R62455" s="103"/>
      <c r="S62455" s="8"/>
      <c r="T62455" s="8"/>
      <c r="U62455" s="8"/>
      <c r="V62455" s="8"/>
      <c r="W62455" s="8"/>
      <c r="X62455" s="8"/>
      <c r="Y62455" s="8"/>
      <c r="Z62455" s="8"/>
      <c r="AA62455" s="8"/>
    </row>
    <row r="62456" spans="1:27" x14ac:dyDescent="0.25">
      <c r="A62456" s="8"/>
      <c r="B62456" s="8"/>
      <c r="C62456" s="99"/>
      <c r="D62456" s="8"/>
      <c r="E62456" s="8"/>
      <c r="F62456" s="8"/>
      <c r="G62456" s="8"/>
      <c r="H62456" s="8"/>
      <c r="I62456" s="102"/>
      <c r="J62456" s="8"/>
      <c r="K62456" s="8"/>
      <c r="L62456" s="8"/>
      <c r="M62456" s="8"/>
      <c r="N62456" s="8"/>
      <c r="O62456" s="8"/>
      <c r="P62456" s="8"/>
      <c r="Q62456" s="8"/>
      <c r="R62456" s="103"/>
      <c r="S62456" s="8"/>
      <c r="T62456" s="8"/>
      <c r="U62456" s="8"/>
      <c r="V62456" s="8"/>
      <c r="W62456" s="8"/>
      <c r="X62456" s="8"/>
      <c r="Y62456" s="8"/>
      <c r="Z62456" s="8"/>
      <c r="AA62456" s="8"/>
    </row>
    <row r="62457" spans="1:27" x14ac:dyDescent="0.25">
      <c r="A62457" s="8"/>
      <c r="B62457" s="8"/>
      <c r="C62457" s="99"/>
      <c r="D62457" s="8"/>
      <c r="E62457" s="8"/>
      <c r="F62457" s="8"/>
      <c r="G62457" s="8"/>
      <c r="H62457" s="8"/>
      <c r="I62457" s="102"/>
      <c r="J62457" s="8"/>
      <c r="K62457" s="8"/>
      <c r="L62457" s="8"/>
      <c r="M62457" s="8"/>
      <c r="N62457" s="8"/>
      <c r="O62457" s="8"/>
      <c r="P62457" s="8"/>
      <c r="Q62457" s="8"/>
      <c r="R62457" s="103"/>
      <c r="S62457" s="8"/>
      <c r="T62457" s="8"/>
      <c r="U62457" s="8"/>
      <c r="V62457" s="8"/>
      <c r="W62457" s="8"/>
      <c r="X62457" s="8"/>
      <c r="Y62457" s="8"/>
      <c r="Z62457" s="8"/>
      <c r="AA62457" s="8"/>
    </row>
    <row r="62458" spans="1:27" x14ac:dyDescent="0.25">
      <c r="A62458" s="8"/>
      <c r="B62458" s="8"/>
      <c r="C62458" s="99"/>
      <c r="D62458" s="8"/>
      <c r="E62458" s="8"/>
      <c r="F62458" s="8"/>
      <c r="G62458" s="8"/>
      <c r="H62458" s="8"/>
      <c r="I62458" s="102"/>
      <c r="J62458" s="8"/>
      <c r="K62458" s="8"/>
      <c r="L62458" s="8"/>
      <c r="M62458" s="8"/>
      <c r="N62458" s="8"/>
      <c r="O62458" s="8"/>
      <c r="P62458" s="8"/>
      <c r="Q62458" s="8"/>
      <c r="R62458" s="103"/>
      <c r="S62458" s="8"/>
      <c r="T62458" s="8"/>
      <c r="U62458" s="8"/>
      <c r="V62458" s="8"/>
      <c r="W62458" s="8"/>
      <c r="X62458" s="8"/>
      <c r="Y62458" s="8"/>
      <c r="Z62458" s="8"/>
      <c r="AA62458" s="8"/>
    </row>
    <row r="62459" spans="1:27" x14ac:dyDescent="0.25">
      <c r="A62459" s="8"/>
      <c r="B62459" s="8"/>
      <c r="C62459" s="99"/>
      <c r="D62459" s="8"/>
      <c r="E62459" s="8"/>
      <c r="F62459" s="8"/>
      <c r="G62459" s="8"/>
      <c r="H62459" s="8"/>
      <c r="I62459" s="102"/>
      <c r="J62459" s="8"/>
      <c r="K62459" s="8"/>
      <c r="L62459" s="8"/>
      <c r="M62459" s="8"/>
      <c r="N62459" s="8"/>
      <c r="O62459" s="8"/>
      <c r="P62459" s="8"/>
      <c r="Q62459" s="8"/>
      <c r="R62459" s="103"/>
      <c r="S62459" s="8"/>
      <c r="T62459" s="8"/>
      <c r="U62459" s="8"/>
      <c r="V62459" s="8"/>
      <c r="W62459" s="8"/>
      <c r="X62459" s="8"/>
      <c r="Y62459" s="8"/>
      <c r="Z62459" s="8"/>
      <c r="AA62459" s="8"/>
    </row>
    <row r="62460" spans="1:27" x14ac:dyDescent="0.25">
      <c r="A62460" s="8"/>
      <c r="B62460" s="8"/>
      <c r="C62460" s="99"/>
      <c r="D62460" s="8"/>
      <c r="E62460" s="8"/>
      <c r="F62460" s="8"/>
      <c r="G62460" s="8"/>
      <c r="H62460" s="8"/>
      <c r="I62460" s="102"/>
      <c r="J62460" s="8"/>
      <c r="K62460" s="8"/>
      <c r="L62460" s="8"/>
      <c r="M62460" s="8"/>
      <c r="N62460" s="8"/>
      <c r="O62460" s="8"/>
      <c r="P62460" s="8"/>
      <c r="Q62460" s="8"/>
      <c r="R62460" s="103"/>
      <c r="S62460" s="8"/>
      <c r="T62460" s="8"/>
      <c r="U62460" s="8"/>
      <c r="V62460" s="8"/>
      <c r="W62460" s="8"/>
      <c r="X62460" s="8"/>
      <c r="Y62460" s="8"/>
      <c r="Z62460" s="8"/>
      <c r="AA62460" s="8"/>
    </row>
    <row r="62461" spans="1:27" x14ac:dyDescent="0.25">
      <c r="A62461" s="8"/>
      <c r="B62461" s="8"/>
      <c r="C62461" s="99"/>
      <c r="D62461" s="8"/>
      <c r="E62461" s="8"/>
      <c r="F62461" s="8"/>
      <c r="G62461" s="8"/>
      <c r="H62461" s="8"/>
      <c r="I62461" s="102"/>
      <c r="J62461" s="8"/>
      <c r="K62461" s="8"/>
      <c r="L62461" s="8"/>
      <c r="M62461" s="8"/>
      <c r="N62461" s="8"/>
      <c r="O62461" s="8"/>
      <c r="P62461" s="8"/>
      <c r="Q62461" s="8"/>
      <c r="R62461" s="103"/>
      <c r="S62461" s="8"/>
      <c r="T62461" s="8"/>
      <c r="U62461" s="8"/>
      <c r="V62461" s="8"/>
      <c r="W62461" s="8"/>
      <c r="X62461" s="8"/>
      <c r="Y62461" s="8"/>
      <c r="Z62461" s="8"/>
      <c r="AA62461" s="8"/>
    </row>
    <row r="62462" spans="1:27" x14ac:dyDescent="0.25">
      <c r="A62462" s="8"/>
      <c r="B62462" s="8"/>
      <c r="C62462" s="99"/>
      <c r="D62462" s="8"/>
      <c r="E62462" s="8"/>
      <c r="F62462" s="8"/>
      <c r="G62462" s="8"/>
      <c r="H62462" s="8"/>
      <c r="I62462" s="102"/>
      <c r="J62462" s="8"/>
      <c r="K62462" s="8"/>
      <c r="L62462" s="8"/>
      <c r="M62462" s="8"/>
      <c r="N62462" s="8"/>
      <c r="O62462" s="8"/>
      <c r="P62462" s="8"/>
      <c r="Q62462" s="8"/>
      <c r="R62462" s="103"/>
      <c r="S62462" s="8"/>
      <c r="T62462" s="8"/>
      <c r="U62462" s="8"/>
      <c r="V62462" s="8"/>
      <c r="W62462" s="8"/>
      <c r="X62462" s="8"/>
      <c r="Y62462" s="8"/>
      <c r="Z62462" s="8"/>
      <c r="AA62462" s="8"/>
    </row>
    <row r="62463" spans="1:27" x14ac:dyDescent="0.25">
      <c r="A62463" s="8"/>
      <c r="B62463" s="8"/>
      <c r="C62463" s="99"/>
      <c r="D62463" s="8"/>
      <c r="E62463" s="8"/>
      <c r="F62463" s="8"/>
      <c r="G62463" s="8"/>
      <c r="H62463" s="8"/>
      <c r="I62463" s="102"/>
      <c r="J62463" s="8"/>
      <c r="K62463" s="8"/>
      <c r="L62463" s="8"/>
      <c r="M62463" s="8"/>
      <c r="N62463" s="8"/>
      <c r="O62463" s="8"/>
      <c r="P62463" s="8"/>
      <c r="Q62463" s="8"/>
      <c r="R62463" s="103"/>
      <c r="S62463" s="8"/>
      <c r="T62463" s="8"/>
      <c r="U62463" s="8"/>
      <c r="V62463" s="8"/>
      <c r="W62463" s="8"/>
      <c r="X62463" s="8"/>
      <c r="Y62463" s="8"/>
      <c r="Z62463" s="8"/>
      <c r="AA62463" s="8"/>
    </row>
    <row r="62464" spans="1:27" x14ac:dyDescent="0.25">
      <c r="A62464" s="8"/>
      <c r="B62464" s="8"/>
      <c r="C62464" s="99"/>
      <c r="D62464" s="8"/>
      <c r="E62464" s="8"/>
      <c r="F62464" s="8"/>
      <c r="G62464" s="8"/>
      <c r="H62464" s="8"/>
      <c r="I62464" s="102"/>
      <c r="J62464" s="8"/>
      <c r="K62464" s="8"/>
      <c r="L62464" s="8"/>
      <c r="M62464" s="8"/>
      <c r="N62464" s="8"/>
      <c r="O62464" s="8"/>
      <c r="P62464" s="8"/>
      <c r="Q62464" s="8"/>
      <c r="R62464" s="103"/>
      <c r="S62464" s="8"/>
      <c r="T62464" s="8"/>
      <c r="U62464" s="8"/>
      <c r="V62464" s="8"/>
      <c r="W62464" s="8"/>
      <c r="X62464" s="8"/>
      <c r="Y62464" s="8"/>
      <c r="Z62464" s="8"/>
      <c r="AA62464" s="8"/>
    </row>
    <row r="62465" spans="1:27" x14ac:dyDescent="0.25">
      <c r="A62465" s="8"/>
      <c r="B62465" s="8"/>
      <c r="C62465" s="99"/>
      <c r="D62465" s="8"/>
      <c r="E62465" s="8"/>
      <c r="F62465" s="8"/>
      <c r="G62465" s="8"/>
      <c r="H62465" s="8"/>
      <c r="I62465" s="102"/>
      <c r="J62465" s="8"/>
      <c r="K62465" s="8"/>
      <c r="L62465" s="8"/>
      <c r="M62465" s="8"/>
      <c r="N62465" s="8"/>
      <c r="O62465" s="8"/>
      <c r="P62465" s="8"/>
      <c r="Q62465" s="8"/>
      <c r="R62465" s="103"/>
      <c r="S62465" s="8"/>
      <c r="T62465" s="8"/>
      <c r="U62465" s="8"/>
      <c r="V62465" s="8"/>
      <c r="W62465" s="8"/>
      <c r="X62465" s="8"/>
      <c r="Y62465" s="8"/>
      <c r="Z62465" s="8"/>
      <c r="AA62465" s="8"/>
    </row>
    <row r="62466" spans="1:27" x14ac:dyDescent="0.25">
      <c r="A62466" s="8"/>
      <c r="B62466" s="8"/>
      <c r="C62466" s="99"/>
      <c r="D62466" s="8"/>
      <c r="E62466" s="8"/>
      <c r="F62466" s="8"/>
      <c r="G62466" s="8"/>
      <c r="H62466" s="8"/>
      <c r="I62466" s="102"/>
      <c r="J62466" s="8"/>
      <c r="K62466" s="8"/>
      <c r="L62466" s="8"/>
      <c r="M62466" s="8"/>
      <c r="N62466" s="8"/>
      <c r="O62466" s="8"/>
      <c r="P62466" s="8"/>
      <c r="Q62466" s="8"/>
      <c r="R62466" s="103"/>
      <c r="S62466" s="8"/>
      <c r="T62466" s="8"/>
      <c r="U62466" s="8"/>
      <c r="V62466" s="8"/>
      <c r="W62466" s="8"/>
      <c r="X62466" s="8"/>
      <c r="Y62466" s="8"/>
      <c r="Z62466" s="8"/>
      <c r="AA62466" s="8"/>
    </row>
    <row r="62467" spans="1:27" x14ac:dyDescent="0.25">
      <c r="A62467" s="8"/>
      <c r="B62467" s="8"/>
      <c r="C62467" s="99"/>
      <c r="D62467" s="8"/>
      <c r="E62467" s="8"/>
      <c r="F62467" s="8"/>
      <c r="G62467" s="8"/>
      <c r="H62467" s="8"/>
      <c r="I62467" s="102"/>
      <c r="J62467" s="8"/>
      <c r="K62467" s="8"/>
      <c r="L62467" s="8"/>
      <c r="M62467" s="8"/>
      <c r="N62467" s="8"/>
      <c r="O62467" s="8"/>
      <c r="P62467" s="8"/>
      <c r="Q62467" s="8"/>
      <c r="R62467" s="103"/>
      <c r="S62467" s="8"/>
      <c r="T62467" s="8"/>
      <c r="U62467" s="8"/>
      <c r="V62467" s="8"/>
      <c r="W62467" s="8"/>
      <c r="X62467" s="8"/>
      <c r="Y62467" s="8"/>
      <c r="Z62467" s="8"/>
      <c r="AA62467" s="8"/>
    </row>
    <row r="62468" spans="1:27" x14ac:dyDescent="0.25">
      <c r="A62468" s="8"/>
      <c r="B62468" s="8"/>
      <c r="C62468" s="99"/>
      <c r="D62468" s="8"/>
      <c r="E62468" s="8"/>
      <c r="F62468" s="8"/>
      <c r="G62468" s="8"/>
      <c r="H62468" s="8"/>
      <c r="I62468" s="102"/>
      <c r="J62468" s="8"/>
      <c r="K62468" s="8"/>
      <c r="L62468" s="8"/>
      <c r="M62468" s="8"/>
      <c r="N62468" s="8"/>
      <c r="O62468" s="8"/>
      <c r="P62468" s="8"/>
      <c r="Q62468" s="8"/>
      <c r="R62468" s="103"/>
      <c r="S62468" s="8"/>
      <c r="T62468" s="8"/>
      <c r="U62468" s="8"/>
      <c r="V62468" s="8"/>
      <c r="W62468" s="8"/>
      <c r="X62468" s="8"/>
      <c r="Y62468" s="8"/>
      <c r="Z62468" s="8"/>
      <c r="AA62468" s="8"/>
    </row>
    <row r="62469" spans="1:27" x14ac:dyDescent="0.25">
      <c r="A62469" s="8"/>
      <c r="B62469" s="8"/>
      <c r="C62469" s="99"/>
      <c r="D62469" s="8"/>
      <c r="E62469" s="8"/>
      <c r="F62469" s="8"/>
      <c r="G62469" s="8"/>
      <c r="H62469" s="8"/>
      <c r="I62469" s="102"/>
      <c r="J62469" s="8"/>
      <c r="K62469" s="8"/>
      <c r="L62469" s="8"/>
      <c r="M62469" s="8"/>
      <c r="N62469" s="8"/>
      <c r="O62469" s="8"/>
      <c r="P62469" s="8"/>
      <c r="Q62469" s="8"/>
      <c r="R62469" s="103"/>
      <c r="S62469" s="8"/>
      <c r="T62469" s="8"/>
      <c r="U62469" s="8"/>
      <c r="V62469" s="8"/>
      <c r="W62469" s="8"/>
      <c r="X62469" s="8"/>
      <c r="Y62469" s="8"/>
      <c r="Z62469" s="8"/>
      <c r="AA62469" s="8"/>
    </row>
    <row r="62470" spans="1:27" x14ac:dyDescent="0.25">
      <c r="A62470" s="8"/>
      <c r="B62470" s="8"/>
      <c r="C62470" s="99"/>
      <c r="D62470" s="8"/>
      <c r="E62470" s="8"/>
      <c r="F62470" s="8"/>
      <c r="G62470" s="8"/>
      <c r="H62470" s="8"/>
      <c r="I62470" s="102"/>
      <c r="J62470" s="8"/>
      <c r="K62470" s="8"/>
      <c r="L62470" s="8"/>
      <c r="M62470" s="8"/>
      <c r="N62470" s="8"/>
      <c r="O62470" s="8"/>
      <c r="P62470" s="8"/>
      <c r="Q62470" s="8"/>
      <c r="R62470" s="103"/>
      <c r="S62470" s="8"/>
      <c r="T62470" s="8"/>
      <c r="U62470" s="8"/>
      <c r="V62470" s="8"/>
      <c r="W62470" s="8"/>
      <c r="X62470" s="8"/>
      <c r="Y62470" s="8"/>
      <c r="Z62470" s="8"/>
      <c r="AA62470" s="8"/>
    </row>
    <row r="62471" spans="1:27" x14ac:dyDescent="0.25">
      <c r="A62471" s="8"/>
      <c r="B62471" s="8"/>
      <c r="C62471" s="99"/>
      <c r="D62471" s="8"/>
      <c r="E62471" s="8"/>
      <c r="F62471" s="8"/>
      <c r="G62471" s="8"/>
      <c r="H62471" s="8"/>
      <c r="I62471" s="102"/>
      <c r="J62471" s="8"/>
      <c r="K62471" s="8"/>
      <c r="L62471" s="8"/>
      <c r="M62471" s="8"/>
      <c r="N62471" s="8"/>
      <c r="O62471" s="8"/>
      <c r="P62471" s="8"/>
      <c r="Q62471" s="8"/>
      <c r="R62471" s="103"/>
      <c r="S62471" s="8"/>
      <c r="T62471" s="8"/>
      <c r="U62471" s="8"/>
      <c r="V62471" s="8"/>
      <c r="W62471" s="8"/>
      <c r="X62471" s="8"/>
      <c r="Y62471" s="8"/>
      <c r="Z62471" s="8"/>
      <c r="AA62471" s="8"/>
    </row>
    <row r="62472" spans="1:27" x14ac:dyDescent="0.25">
      <c r="A62472" s="8"/>
      <c r="B62472" s="8"/>
      <c r="C62472" s="99"/>
      <c r="D62472" s="8"/>
      <c r="E62472" s="8"/>
      <c r="F62472" s="8"/>
      <c r="G62472" s="8"/>
      <c r="H62472" s="8"/>
      <c r="I62472" s="102"/>
      <c r="J62472" s="8"/>
      <c r="K62472" s="8"/>
      <c r="L62472" s="8"/>
      <c r="M62472" s="8"/>
      <c r="N62472" s="8"/>
      <c r="O62472" s="8"/>
      <c r="P62472" s="8"/>
      <c r="Q62472" s="8"/>
      <c r="R62472" s="103"/>
      <c r="S62472" s="8"/>
      <c r="T62472" s="8"/>
      <c r="U62472" s="8"/>
      <c r="V62472" s="8"/>
      <c r="W62472" s="8"/>
      <c r="X62472" s="8"/>
      <c r="Y62472" s="8"/>
      <c r="Z62472" s="8"/>
      <c r="AA62472" s="8"/>
    </row>
    <row r="62473" spans="1:27" x14ac:dyDescent="0.25">
      <c r="A62473" s="8"/>
      <c r="B62473" s="8"/>
      <c r="C62473" s="99"/>
      <c r="D62473" s="8"/>
      <c r="E62473" s="8"/>
      <c r="F62473" s="8"/>
      <c r="G62473" s="8"/>
      <c r="H62473" s="8"/>
      <c r="I62473" s="102"/>
      <c r="J62473" s="8"/>
      <c r="K62473" s="8"/>
      <c r="L62473" s="8"/>
      <c r="M62473" s="8"/>
      <c r="N62473" s="8"/>
      <c r="O62473" s="8"/>
      <c r="P62473" s="8"/>
      <c r="Q62473" s="8"/>
      <c r="R62473" s="103"/>
      <c r="S62473" s="8"/>
      <c r="T62473" s="8"/>
      <c r="U62473" s="8"/>
      <c r="V62473" s="8"/>
      <c r="W62473" s="8"/>
      <c r="X62473" s="8"/>
      <c r="Y62473" s="8"/>
      <c r="Z62473" s="8"/>
      <c r="AA62473" s="8"/>
    </row>
    <row r="62474" spans="1:27" x14ac:dyDescent="0.25">
      <c r="A62474" s="8"/>
      <c r="B62474" s="8"/>
      <c r="C62474" s="99"/>
      <c r="D62474" s="8"/>
      <c r="E62474" s="8"/>
      <c r="F62474" s="8"/>
      <c r="G62474" s="8"/>
      <c r="H62474" s="8"/>
      <c r="I62474" s="102"/>
      <c r="J62474" s="8"/>
      <c r="K62474" s="8"/>
      <c r="L62474" s="8"/>
      <c r="M62474" s="8"/>
      <c r="N62474" s="8"/>
      <c r="O62474" s="8"/>
      <c r="P62474" s="8"/>
      <c r="Q62474" s="8"/>
      <c r="R62474" s="103"/>
      <c r="S62474" s="8"/>
      <c r="T62474" s="8"/>
      <c r="U62474" s="8"/>
      <c r="V62474" s="8"/>
      <c r="W62474" s="8"/>
      <c r="X62474" s="8"/>
      <c r="Y62474" s="8"/>
      <c r="Z62474" s="8"/>
      <c r="AA62474" s="8"/>
    </row>
    <row r="62475" spans="1:27" x14ac:dyDescent="0.25">
      <c r="A62475" s="8"/>
      <c r="B62475" s="8"/>
      <c r="C62475" s="99"/>
      <c r="D62475" s="8"/>
      <c r="E62475" s="8"/>
      <c r="F62475" s="8"/>
      <c r="G62475" s="8"/>
      <c r="H62475" s="8"/>
      <c r="I62475" s="102"/>
      <c r="J62475" s="8"/>
      <c r="K62475" s="8"/>
      <c r="L62475" s="8"/>
      <c r="M62475" s="8"/>
      <c r="N62475" s="8"/>
      <c r="O62475" s="8"/>
      <c r="P62475" s="8"/>
      <c r="Q62475" s="8"/>
      <c r="R62475" s="103"/>
      <c r="S62475" s="8"/>
      <c r="T62475" s="8"/>
      <c r="U62475" s="8"/>
      <c r="V62475" s="8"/>
      <c r="W62475" s="8"/>
      <c r="X62475" s="8"/>
      <c r="Y62475" s="8"/>
      <c r="Z62475" s="8"/>
      <c r="AA62475" s="8"/>
    </row>
    <row r="62476" spans="1:27" x14ac:dyDescent="0.25">
      <c r="A62476" s="8"/>
      <c r="B62476" s="8"/>
      <c r="C62476" s="99"/>
      <c r="D62476" s="8"/>
      <c r="E62476" s="8"/>
      <c r="F62476" s="8"/>
      <c r="G62476" s="8"/>
      <c r="H62476" s="8"/>
      <c r="I62476" s="102"/>
      <c r="J62476" s="8"/>
      <c r="K62476" s="8"/>
      <c r="L62476" s="8"/>
      <c r="M62476" s="8"/>
      <c r="N62476" s="8"/>
      <c r="O62476" s="8"/>
      <c r="P62476" s="8"/>
      <c r="Q62476" s="8"/>
      <c r="R62476" s="103"/>
      <c r="S62476" s="8"/>
      <c r="T62476" s="8"/>
      <c r="U62476" s="8"/>
      <c r="V62476" s="8"/>
      <c r="W62476" s="8"/>
      <c r="X62476" s="8"/>
      <c r="Y62476" s="8"/>
      <c r="Z62476" s="8"/>
      <c r="AA62476" s="8"/>
    </row>
    <row r="62477" spans="1:27" x14ac:dyDescent="0.25">
      <c r="A62477" s="8"/>
      <c r="B62477" s="8"/>
      <c r="C62477" s="99"/>
      <c r="D62477" s="8"/>
      <c r="E62477" s="8"/>
      <c r="F62477" s="8"/>
      <c r="G62477" s="8"/>
      <c r="H62477" s="8"/>
      <c r="I62477" s="102"/>
      <c r="J62477" s="8"/>
      <c r="K62477" s="8"/>
      <c r="L62477" s="8"/>
      <c r="M62477" s="8"/>
      <c r="N62477" s="8"/>
      <c r="O62477" s="8"/>
      <c r="P62477" s="8"/>
      <c r="Q62477" s="8"/>
      <c r="R62477" s="103"/>
      <c r="S62477" s="8"/>
      <c r="T62477" s="8"/>
      <c r="U62477" s="8"/>
      <c r="V62477" s="8"/>
      <c r="W62477" s="8"/>
      <c r="X62477" s="8"/>
      <c r="Y62477" s="8"/>
      <c r="Z62477" s="8"/>
      <c r="AA62477" s="8"/>
    </row>
    <row r="62478" spans="1:27" x14ac:dyDescent="0.25">
      <c r="A62478" s="8"/>
      <c r="B62478" s="8"/>
      <c r="C62478" s="99"/>
      <c r="D62478" s="8"/>
      <c r="E62478" s="8"/>
      <c r="F62478" s="8"/>
      <c r="G62478" s="8"/>
      <c r="H62478" s="8"/>
      <c r="I62478" s="102"/>
      <c r="J62478" s="8"/>
      <c r="K62478" s="8"/>
      <c r="L62478" s="8"/>
      <c r="M62478" s="8"/>
      <c r="N62478" s="8"/>
      <c r="O62478" s="8"/>
      <c r="P62478" s="8"/>
      <c r="Q62478" s="8"/>
      <c r="R62478" s="103"/>
      <c r="S62478" s="8"/>
      <c r="T62478" s="8"/>
      <c r="U62478" s="8"/>
      <c r="V62478" s="8"/>
      <c r="W62478" s="8"/>
      <c r="X62478" s="8"/>
      <c r="Y62478" s="8"/>
      <c r="Z62478" s="8"/>
      <c r="AA62478" s="8"/>
    </row>
    <row r="62479" spans="1:27" x14ac:dyDescent="0.25">
      <c r="A62479" s="8"/>
      <c r="B62479" s="8"/>
      <c r="C62479" s="99"/>
      <c r="D62479" s="8"/>
      <c r="E62479" s="8"/>
      <c r="F62479" s="8"/>
      <c r="G62479" s="8"/>
      <c r="H62479" s="8"/>
      <c r="I62479" s="102"/>
      <c r="J62479" s="8"/>
      <c r="K62479" s="8"/>
      <c r="L62479" s="8"/>
      <c r="M62479" s="8"/>
      <c r="N62479" s="8"/>
      <c r="O62479" s="8"/>
      <c r="P62479" s="8"/>
      <c r="Q62479" s="8"/>
      <c r="R62479" s="103"/>
      <c r="S62479" s="8"/>
      <c r="T62479" s="8"/>
      <c r="U62479" s="8"/>
      <c r="V62479" s="8"/>
      <c r="W62479" s="8"/>
      <c r="X62479" s="8"/>
      <c r="Y62479" s="8"/>
      <c r="Z62479" s="8"/>
      <c r="AA62479" s="8"/>
    </row>
    <row r="62480" spans="1:27" x14ac:dyDescent="0.25">
      <c r="A62480" s="8"/>
      <c r="B62480" s="8"/>
      <c r="C62480" s="99"/>
      <c r="D62480" s="8"/>
      <c r="E62480" s="8"/>
      <c r="F62480" s="8"/>
      <c r="G62480" s="8"/>
      <c r="H62480" s="8"/>
      <c r="I62480" s="102"/>
      <c r="J62480" s="8"/>
      <c r="K62480" s="8"/>
      <c r="L62480" s="8"/>
      <c r="M62480" s="8"/>
      <c r="N62480" s="8"/>
      <c r="O62480" s="8"/>
      <c r="P62480" s="8"/>
      <c r="Q62480" s="8"/>
      <c r="R62480" s="103"/>
      <c r="S62480" s="8"/>
      <c r="T62480" s="8"/>
      <c r="U62480" s="8"/>
      <c r="V62480" s="8"/>
      <c r="W62480" s="8"/>
      <c r="X62480" s="8"/>
      <c r="Y62480" s="8"/>
      <c r="Z62480" s="8"/>
      <c r="AA62480" s="8"/>
    </row>
    <row r="62481" spans="1:27" x14ac:dyDescent="0.25">
      <c r="A62481" s="8"/>
      <c r="B62481" s="8"/>
      <c r="C62481" s="99"/>
      <c r="D62481" s="8"/>
      <c r="E62481" s="8"/>
      <c r="F62481" s="8"/>
      <c r="G62481" s="8"/>
      <c r="H62481" s="8"/>
      <c r="I62481" s="102"/>
      <c r="J62481" s="8"/>
      <c r="K62481" s="8"/>
      <c r="L62481" s="8"/>
      <c r="M62481" s="8"/>
      <c r="N62481" s="8"/>
      <c r="O62481" s="8"/>
      <c r="P62481" s="8"/>
      <c r="Q62481" s="8"/>
      <c r="R62481" s="103"/>
      <c r="S62481" s="8"/>
      <c r="T62481" s="8"/>
      <c r="U62481" s="8"/>
      <c r="V62481" s="8"/>
      <c r="W62481" s="8"/>
      <c r="X62481" s="8"/>
      <c r="Y62481" s="8"/>
      <c r="Z62481" s="8"/>
      <c r="AA62481" s="8"/>
    </row>
    <row r="62482" spans="1:27" x14ac:dyDescent="0.25">
      <c r="A62482" s="8"/>
      <c r="B62482" s="8"/>
      <c r="C62482" s="99"/>
      <c r="D62482" s="8"/>
      <c r="E62482" s="8"/>
      <c r="F62482" s="8"/>
      <c r="G62482" s="8"/>
      <c r="H62482" s="8"/>
      <c r="I62482" s="102"/>
      <c r="J62482" s="8"/>
      <c r="K62482" s="8"/>
      <c r="L62482" s="8"/>
      <c r="M62482" s="8"/>
      <c r="N62482" s="8"/>
      <c r="O62482" s="8"/>
      <c r="P62482" s="8"/>
      <c r="Q62482" s="8"/>
      <c r="R62482" s="103"/>
      <c r="S62482" s="8"/>
      <c r="T62482" s="8"/>
      <c r="U62482" s="8"/>
      <c r="V62482" s="8"/>
      <c r="W62482" s="8"/>
      <c r="X62482" s="8"/>
      <c r="Y62482" s="8"/>
      <c r="Z62482" s="8"/>
      <c r="AA62482" s="8"/>
    </row>
    <row r="62483" spans="1:27" x14ac:dyDescent="0.25">
      <c r="A62483" s="8"/>
      <c r="B62483" s="8"/>
      <c r="C62483" s="99"/>
      <c r="D62483" s="8"/>
      <c r="E62483" s="8"/>
      <c r="F62483" s="8"/>
      <c r="G62483" s="8"/>
      <c r="H62483" s="8"/>
      <c r="I62483" s="102"/>
      <c r="J62483" s="8"/>
      <c r="K62483" s="8"/>
      <c r="L62483" s="8"/>
      <c r="M62483" s="8"/>
      <c r="N62483" s="8"/>
      <c r="O62483" s="8"/>
      <c r="P62483" s="8"/>
      <c r="Q62483" s="8"/>
      <c r="R62483" s="103"/>
      <c r="S62483" s="8"/>
      <c r="T62483" s="8"/>
      <c r="U62483" s="8"/>
      <c r="V62483" s="8"/>
      <c r="W62483" s="8"/>
      <c r="X62483" s="8"/>
      <c r="Y62483" s="8"/>
      <c r="Z62483" s="8"/>
      <c r="AA62483" s="8"/>
    </row>
    <row r="62484" spans="1:27" x14ac:dyDescent="0.25">
      <c r="A62484" s="8"/>
      <c r="B62484" s="8"/>
      <c r="C62484" s="99"/>
      <c r="D62484" s="8"/>
      <c r="E62484" s="8"/>
      <c r="F62484" s="8"/>
      <c r="G62484" s="8"/>
      <c r="H62484" s="8"/>
      <c r="I62484" s="102"/>
      <c r="J62484" s="8"/>
      <c r="K62484" s="8"/>
      <c r="L62484" s="8"/>
      <c r="M62484" s="8"/>
      <c r="N62484" s="8"/>
      <c r="O62484" s="8"/>
      <c r="P62484" s="8"/>
      <c r="Q62484" s="8"/>
      <c r="R62484" s="103"/>
      <c r="S62484" s="8"/>
      <c r="T62484" s="8"/>
      <c r="U62484" s="8"/>
      <c r="V62484" s="8"/>
      <c r="W62484" s="8"/>
      <c r="X62484" s="8"/>
      <c r="Y62484" s="8"/>
      <c r="Z62484" s="8"/>
      <c r="AA62484" s="8"/>
    </row>
    <row r="62485" spans="1:27" x14ac:dyDescent="0.25">
      <c r="A62485" s="8"/>
      <c r="B62485" s="8"/>
      <c r="C62485" s="99"/>
      <c r="D62485" s="8"/>
      <c r="E62485" s="8"/>
      <c r="F62485" s="8"/>
      <c r="G62485" s="8"/>
      <c r="H62485" s="8"/>
      <c r="I62485" s="102"/>
      <c r="J62485" s="8"/>
      <c r="K62485" s="8"/>
      <c r="L62485" s="8"/>
      <c r="M62485" s="8"/>
      <c r="N62485" s="8"/>
      <c r="O62485" s="8"/>
      <c r="P62485" s="8"/>
      <c r="Q62485" s="8"/>
      <c r="R62485" s="103"/>
      <c r="S62485" s="8"/>
      <c r="T62485" s="8"/>
      <c r="U62485" s="8"/>
      <c r="V62485" s="8"/>
      <c r="W62485" s="8"/>
      <c r="X62485" s="8"/>
      <c r="Y62485" s="8"/>
      <c r="Z62485" s="8"/>
      <c r="AA62485" s="8"/>
    </row>
    <row r="62486" spans="1:27" x14ac:dyDescent="0.25">
      <c r="A62486" s="8"/>
      <c r="B62486" s="8"/>
      <c r="C62486" s="99"/>
      <c r="D62486" s="8"/>
      <c r="E62486" s="8"/>
      <c r="F62486" s="8"/>
      <c r="G62486" s="8"/>
      <c r="H62486" s="8"/>
      <c r="I62486" s="102"/>
      <c r="J62486" s="8"/>
      <c r="K62486" s="8"/>
      <c r="L62486" s="8"/>
      <c r="M62486" s="8"/>
      <c r="N62486" s="8"/>
      <c r="O62486" s="8"/>
      <c r="P62486" s="8"/>
      <c r="Q62486" s="8"/>
      <c r="R62486" s="103"/>
      <c r="S62486" s="8"/>
      <c r="T62486" s="8"/>
      <c r="U62486" s="8"/>
      <c r="V62486" s="8"/>
      <c r="W62486" s="8"/>
      <c r="X62486" s="8"/>
      <c r="Y62486" s="8"/>
      <c r="Z62486" s="8"/>
      <c r="AA62486" s="8"/>
    </row>
    <row r="62487" spans="1:27" x14ac:dyDescent="0.25">
      <c r="A62487" s="8"/>
      <c r="B62487" s="8"/>
      <c r="C62487" s="99"/>
      <c r="D62487" s="8"/>
      <c r="E62487" s="8"/>
      <c r="F62487" s="8"/>
      <c r="G62487" s="8"/>
      <c r="H62487" s="8"/>
      <c r="I62487" s="102"/>
      <c r="J62487" s="8"/>
      <c r="K62487" s="8"/>
      <c r="L62487" s="8"/>
      <c r="M62487" s="8"/>
      <c r="N62487" s="8"/>
      <c r="O62487" s="8"/>
      <c r="P62487" s="8"/>
      <c r="Q62487" s="8"/>
      <c r="R62487" s="103"/>
      <c r="S62487" s="8"/>
      <c r="T62487" s="8"/>
      <c r="U62487" s="8"/>
      <c r="V62487" s="8"/>
      <c r="W62487" s="8"/>
      <c r="X62487" s="8"/>
      <c r="Y62487" s="8"/>
      <c r="Z62487" s="8"/>
      <c r="AA62487" s="8"/>
    </row>
    <row r="62488" spans="1:27" x14ac:dyDescent="0.25">
      <c r="A62488" s="8"/>
      <c r="B62488" s="8"/>
      <c r="C62488" s="99"/>
      <c r="D62488" s="8"/>
      <c r="E62488" s="8"/>
      <c r="F62488" s="8"/>
      <c r="G62488" s="8"/>
      <c r="H62488" s="8"/>
      <c r="I62488" s="102"/>
      <c r="J62488" s="8"/>
      <c r="K62488" s="8"/>
      <c r="L62488" s="8"/>
      <c r="M62488" s="8"/>
      <c r="N62488" s="8"/>
      <c r="O62488" s="8"/>
      <c r="P62488" s="8"/>
      <c r="Q62488" s="8"/>
      <c r="R62488" s="103"/>
      <c r="S62488" s="8"/>
      <c r="T62488" s="8"/>
      <c r="U62488" s="8"/>
      <c r="V62488" s="8"/>
      <c r="W62488" s="8"/>
      <c r="X62488" s="8"/>
      <c r="Y62488" s="8"/>
      <c r="Z62488" s="8"/>
      <c r="AA62488" s="8"/>
    </row>
    <row r="62489" spans="1:27" x14ac:dyDescent="0.25">
      <c r="A62489" s="8"/>
      <c r="B62489" s="8"/>
      <c r="C62489" s="99"/>
      <c r="D62489" s="8"/>
      <c r="E62489" s="8"/>
      <c r="F62489" s="8"/>
      <c r="G62489" s="8"/>
      <c r="H62489" s="8"/>
      <c r="I62489" s="102"/>
      <c r="J62489" s="8"/>
      <c r="K62489" s="8"/>
      <c r="L62489" s="8"/>
      <c r="M62489" s="8"/>
      <c r="N62489" s="8"/>
      <c r="O62489" s="8"/>
      <c r="P62489" s="8"/>
      <c r="Q62489" s="8"/>
      <c r="R62489" s="103"/>
      <c r="S62489" s="8"/>
      <c r="T62489" s="8"/>
      <c r="U62489" s="8"/>
      <c r="V62489" s="8"/>
      <c r="W62489" s="8"/>
      <c r="X62489" s="8"/>
      <c r="Y62489" s="8"/>
      <c r="Z62489" s="8"/>
      <c r="AA62489" s="8"/>
    </row>
    <row r="62490" spans="1:27" x14ac:dyDescent="0.25">
      <c r="A62490" s="8"/>
      <c r="B62490" s="8"/>
      <c r="C62490" s="99"/>
      <c r="D62490" s="8"/>
      <c r="E62490" s="8"/>
      <c r="F62490" s="8"/>
      <c r="G62490" s="8"/>
      <c r="H62490" s="8"/>
      <c r="I62490" s="102"/>
      <c r="J62490" s="8"/>
      <c r="K62490" s="8"/>
      <c r="L62490" s="8"/>
      <c r="M62490" s="8"/>
      <c r="N62490" s="8"/>
      <c r="O62490" s="8"/>
      <c r="P62490" s="8"/>
      <c r="Q62490" s="8"/>
      <c r="R62490" s="103"/>
      <c r="S62490" s="8"/>
      <c r="T62490" s="8"/>
      <c r="U62490" s="8"/>
      <c r="V62490" s="8"/>
      <c r="W62490" s="8"/>
      <c r="X62490" s="8"/>
      <c r="Y62490" s="8"/>
      <c r="Z62490" s="8"/>
      <c r="AA62490" s="8"/>
    </row>
    <row r="62491" spans="1:27" x14ac:dyDescent="0.25">
      <c r="A62491" s="8"/>
      <c r="B62491" s="8"/>
      <c r="C62491" s="99"/>
      <c r="D62491" s="8"/>
      <c r="E62491" s="8"/>
      <c r="F62491" s="8"/>
      <c r="G62491" s="8"/>
      <c r="H62491" s="8"/>
      <c r="I62491" s="102"/>
      <c r="J62491" s="8"/>
      <c r="K62491" s="8"/>
      <c r="L62491" s="8"/>
      <c r="M62491" s="8"/>
      <c r="N62491" s="8"/>
      <c r="O62491" s="8"/>
      <c r="P62491" s="8"/>
      <c r="Q62491" s="8"/>
      <c r="R62491" s="103"/>
      <c r="S62491" s="8"/>
      <c r="T62491" s="8"/>
      <c r="U62491" s="8"/>
      <c r="V62491" s="8"/>
      <c r="W62491" s="8"/>
      <c r="X62491" s="8"/>
      <c r="Y62491" s="8"/>
      <c r="Z62491" s="8"/>
      <c r="AA62491" s="8"/>
    </row>
    <row r="62492" spans="1:27" x14ac:dyDescent="0.25">
      <c r="A62492" s="8"/>
      <c r="B62492" s="8"/>
      <c r="C62492" s="99"/>
      <c r="D62492" s="8"/>
      <c r="E62492" s="8"/>
      <c r="F62492" s="8"/>
      <c r="G62492" s="8"/>
      <c r="H62492" s="8"/>
      <c r="I62492" s="102"/>
      <c r="J62492" s="8"/>
      <c r="K62492" s="8"/>
      <c r="L62492" s="8"/>
      <c r="M62492" s="8"/>
      <c r="N62492" s="8"/>
      <c r="O62492" s="8"/>
      <c r="P62492" s="8"/>
      <c r="Q62492" s="8"/>
      <c r="R62492" s="103"/>
      <c r="S62492" s="8"/>
      <c r="T62492" s="8"/>
      <c r="U62492" s="8"/>
      <c r="V62492" s="8"/>
      <c r="W62492" s="8"/>
      <c r="X62492" s="8"/>
      <c r="Y62492" s="8"/>
      <c r="Z62492" s="8"/>
      <c r="AA62492" s="8"/>
    </row>
    <row r="62493" spans="1:27" x14ac:dyDescent="0.25">
      <c r="A62493" s="8"/>
      <c r="B62493" s="8"/>
      <c r="C62493" s="99"/>
      <c r="D62493" s="8"/>
      <c r="E62493" s="8"/>
      <c r="F62493" s="8"/>
      <c r="G62493" s="8"/>
      <c r="H62493" s="8"/>
      <c r="I62493" s="102"/>
      <c r="J62493" s="8"/>
      <c r="K62493" s="8"/>
      <c r="L62493" s="8"/>
      <c r="M62493" s="8"/>
      <c r="N62493" s="8"/>
      <c r="O62493" s="8"/>
      <c r="P62493" s="8"/>
      <c r="Q62493" s="8"/>
      <c r="R62493" s="103"/>
      <c r="S62493" s="8"/>
      <c r="T62493" s="8"/>
      <c r="U62493" s="8"/>
      <c r="V62493" s="8"/>
      <c r="W62493" s="8"/>
      <c r="X62493" s="8"/>
      <c r="Y62493" s="8"/>
      <c r="Z62493" s="8"/>
      <c r="AA62493" s="8"/>
    </row>
    <row r="62494" spans="1:27" x14ac:dyDescent="0.25">
      <c r="A62494" s="8"/>
      <c r="B62494" s="8"/>
      <c r="C62494" s="99"/>
      <c r="D62494" s="8"/>
      <c r="E62494" s="8"/>
      <c r="F62494" s="8"/>
      <c r="G62494" s="8"/>
      <c r="H62494" s="8"/>
      <c r="I62494" s="102"/>
      <c r="J62494" s="8"/>
      <c r="K62494" s="8"/>
      <c r="L62494" s="8"/>
      <c r="M62494" s="8"/>
      <c r="N62494" s="8"/>
      <c r="O62494" s="8"/>
      <c r="P62494" s="8"/>
      <c r="Q62494" s="8"/>
      <c r="R62494" s="103"/>
      <c r="S62494" s="8"/>
      <c r="T62494" s="8"/>
      <c r="U62494" s="8"/>
      <c r="V62494" s="8"/>
      <c r="W62494" s="8"/>
      <c r="X62494" s="8"/>
      <c r="Y62494" s="8"/>
      <c r="Z62494" s="8"/>
      <c r="AA62494" s="8"/>
    </row>
    <row r="62495" spans="1:27" x14ac:dyDescent="0.25">
      <c r="A62495" s="8"/>
      <c r="B62495" s="8"/>
      <c r="C62495" s="99"/>
      <c r="D62495" s="8"/>
      <c r="E62495" s="8"/>
      <c r="F62495" s="8"/>
      <c r="G62495" s="8"/>
      <c r="H62495" s="8"/>
      <c r="I62495" s="102"/>
      <c r="J62495" s="8"/>
      <c r="K62495" s="8"/>
      <c r="L62495" s="8"/>
      <c r="M62495" s="8"/>
      <c r="N62495" s="8"/>
      <c r="O62495" s="8"/>
      <c r="P62495" s="8"/>
      <c r="Q62495" s="8"/>
      <c r="R62495" s="103"/>
      <c r="S62495" s="8"/>
      <c r="T62495" s="8"/>
      <c r="U62495" s="8"/>
      <c r="V62495" s="8"/>
      <c r="W62495" s="8"/>
      <c r="X62495" s="8"/>
      <c r="Y62495" s="8"/>
      <c r="Z62495" s="8"/>
      <c r="AA62495" s="8"/>
    </row>
    <row r="62496" spans="1:27" x14ac:dyDescent="0.25">
      <c r="A62496" s="8"/>
      <c r="B62496" s="8"/>
      <c r="C62496" s="99"/>
      <c r="D62496" s="8"/>
      <c r="E62496" s="8"/>
      <c r="F62496" s="8"/>
      <c r="G62496" s="8"/>
      <c r="H62496" s="8"/>
      <c r="I62496" s="102"/>
      <c r="J62496" s="8"/>
      <c r="K62496" s="8"/>
      <c r="L62496" s="8"/>
      <c r="M62496" s="8"/>
      <c r="N62496" s="8"/>
      <c r="O62496" s="8"/>
      <c r="P62496" s="8"/>
      <c r="Q62496" s="8"/>
      <c r="R62496" s="103"/>
      <c r="S62496" s="8"/>
      <c r="T62496" s="8"/>
      <c r="U62496" s="8"/>
      <c r="V62496" s="8"/>
      <c r="W62496" s="8"/>
      <c r="X62496" s="8"/>
      <c r="Y62496" s="8"/>
      <c r="Z62496" s="8"/>
      <c r="AA62496" s="8"/>
    </row>
    <row r="62497" spans="1:27" x14ac:dyDescent="0.25">
      <c r="A62497" s="8"/>
      <c r="B62497" s="8"/>
      <c r="C62497" s="99"/>
      <c r="D62497" s="8"/>
      <c r="E62497" s="8"/>
      <c r="F62497" s="8"/>
      <c r="G62497" s="8"/>
      <c r="H62497" s="8"/>
      <c r="I62497" s="102"/>
      <c r="J62497" s="8"/>
      <c r="K62497" s="8"/>
      <c r="L62497" s="8"/>
      <c r="M62497" s="8"/>
      <c r="N62497" s="8"/>
      <c r="O62497" s="8"/>
      <c r="P62497" s="8"/>
      <c r="Q62497" s="8"/>
      <c r="R62497" s="103"/>
      <c r="S62497" s="8"/>
      <c r="T62497" s="8"/>
      <c r="U62497" s="8"/>
      <c r="V62497" s="8"/>
      <c r="W62497" s="8"/>
      <c r="X62497" s="8"/>
      <c r="Y62497" s="8"/>
      <c r="Z62497" s="8"/>
      <c r="AA62497" s="8"/>
    </row>
    <row r="62498" spans="1:27" x14ac:dyDescent="0.25">
      <c r="A62498" s="8"/>
      <c r="B62498" s="8"/>
      <c r="C62498" s="99"/>
      <c r="D62498" s="8"/>
      <c r="E62498" s="8"/>
      <c r="F62498" s="8"/>
      <c r="G62498" s="8"/>
      <c r="H62498" s="8"/>
      <c r="I62498" s="102"/>
      <c r="J62498" s="8"/>
      <c r="K62498" s="8"/>
      <c r="L62498" s="8"/>
      <c r="M62498" s="8"/>
      <c r="N62498" s="8"/>
      <c r="O62498" s="8"/>
      <c r="P62498" s="8"/>
      <c r="Q62498" s="8"/>
      <c r="R62498" s="103"/>
      <c r="S62498" s="8"/>
      <c r="T62498" s="8"/>
      <c r="U62498" s="8"/>
      <c r="V62498" s="8"/>
      <c r="W62498" s="8"/>
      <c r="X62498" s="8"/>
      <c r="Y62498" s="8"/>
      <c r="Z62498" s="8"/>
      <c r="AA62498" s="8"/>
    </row>
    <row r="62499" spans="1:27" x14ac:dyDescent="0.25">
      <c r="A62499" s="8"/>
      <c r="B62499" s="8"/>
      <c r="C62499" s="99"/>
      <c r="D62499" s="8"/>
      <c r="E62499" s="8"/>
      <c r="F62499" s="8"/>
      <c r="G62499" s="8"/>
      <c r="H62499" s="8"/>
      <c r="I62499" s="102"/>
      <c r="J62499" s="8"/>
      <c r="K62499" s="8"/>
      <c r="L62499" s="8"/>
      <c r="M62499" s="8"/>
      <c r="N62499" s="8"/>
      <c r="O62499" s="8"/>
      <c r="P62499" s="8"/>
      <c r="Q62499" s="8"/>
      <c r="R62499" s="103"/>
      <c r="S62499" s="8"/>
      <c r="T62499" s="8"/>
      <c r="U62499" s="8"/>
      <c r="V62499" s="8"/>
      <c r="W62499" s="8"/>
      <c r="X62499" s="8"/>
      <c r="Y62499" s="8"/>
      <c r="Z62499" s="8"/>
      <c r="AA62499" s="8"/>
    </row>
    <row r="62500" spans="1:27" x14ac:dyDescent="0.25">
      <c r="A62500" s="8"/>
      <c r="B62500" s="8"/>
      <c r="C62500" s="99"/>
      <c r="D62500" s="8"/>
      <c r="E62500" s="8"/>
      <c r="F62500" s="8"/>
      <c r="G62500" s="8"/>
      <c r="H62500" s="8"/>
      <c r="I62500" s="102"/>
      <c r="J62500" s="8"/>
      <c r="K62500" s="8"/>
      <c r="L62500" s="8"/>
      <c r="M62500" s="8"/>
      <c r="N62500" s="8"/>
      <c r="O62500" s="8"/>
      <c r="P62500" s="8"/>
      <c r="Q62500" s="8"/>
      <c r="R62500" s="103"/>
      <c r="S62500" s="8"/>
      <c r="T62500" s="8"/>
      <c r="U62500" s="8"/>
      <c r="V62500" s="8"/>
      <c r="W62500" s="8"/>
      <c r="X62500" s="8"/>
      <c r="Y62500" s="8"/>
      <c r="Z62500" s="8"/>
      <c r="AA62500" s="8"/>
    </row>
    <row r="62501" spans="1:27" x14ac:dyDescent="0.25">
      <c r="A62501" s="8"/>
      <c r="B62501" s="8"/>
      <c r="C62501" s="99"/>
      <c r="D62501" s="8"/>
      <c r="E62501" s="8"/>
      <c r="F62501" s="8"/>
      <c r="G62501" s="8"/>
      <c r="H62501" s="8"/>
      <c r="I62501" s="102"/>
      <c r="J62501" s="8"/>
      <c r="K62501" s="8"/>
      <c r="L62501" s="8"/>
      <c r="M62501" s="8"/>
      <c r="N62501" s="8"/>
      <c r="O62501" s="8"/>
      <c r="P62501" s="8"/>
      <c r="Q62501" s="8"/>
      <c r="R62501" s="103"/>
      <c r="S62501" s="8"/>
      <c r="T62501" s="8"/>
      <c r="U62501" s="8"/>
      <c r="V62501" s="8"/>
      <c r="W62501" s="8"/>
      <c r="X62501" s="8"/>
      <c r="Y62501" s="8"/>
      <c r="Z62501" s="8"/>
      <c r="AA62501" s="8"/>
    </row>
    <row r="62502" spans="1:27" x14ac:dyDescent="0.25">
      <c r="A62502" s="8"/>
      <c r="B62502" s="8"/>
      <c r="C62502" s="99"/>
      <c r="D62502" s="8"/>
      <c r="E62502" s="8"/>
      <c r="F62502" s="8"/>
      <c r="G62502" s="8"/>
      <c r="H62502" s="8"/>
      <c r="I62502" s="102"/>
      <c r="J62502" s="8"/>
      <c r="K62502" s="8"/>
      <c r="L62502" s="8"/>
      <c r="M62502" s="8"/>
      <c r="N62502" s="8"/>
      <c r="O62502" s="8"/>
      <c r="P62502" s="8"/>
      <c r="Q62502" s="8"/>
      <c r="R62502" s="103"/>
      <c r="S62502" s="8"/>
      <c r="T62502" s="8"/>
      <c r="U62502" s="8"/>
      <c r="V62502" s="8"/>
      <c r="W62502" s="8"/>
      <c r="X62502" s="8"/>
      <c r="Y62502" s="8"/>
      <c r="Z62502" s="8"/>
      <c r="AA62502" s="8"/>
    </row>
    <row r="62503" spans="1:27" x14ac:dyDescent="0.25">
      <c r="A62503" s="8"/>
      <c r="B62503" s="8"/>
      <c r="C62503" s="99"/>
      <c r="D62503" s="8"/>
      <c r="E62503" s="8"/>
      <c r="F62503" s="8"/>
      <c r="G62503" s="8"/>
      <c r="H62503" s="8"/>
      <c r="I62503" s="102"/>
      <c r="J62503" s="8"/>
      <c r="K62503" s="8"/>
      <c r="L62503" s="8"/>
      <c r="M62503" s="8"/>
      <c r="N62503" s="8"/>
      <c r="O62503" s="8"/>
      <c r="P62503" s="8"/>
      <c r="Q62503" s="8"/>
      <c r="R62503" s="103"/>
      <c r="S62503" s="8"/>
      <c r="T62503" s="8"/>
      <c r="U62503" s="8"/>
      <c r="V62503" s="8"/>
      <c r="W62503" s="8"/>
      <c r="X62503" s="8"/>
      <c r="Y62503" s="8"/>
      <c r="Z62503" s="8"/>
      <c r="AA62503" s="8"/>
    </row>
    <row r="62504" spans="1:27" x14ac:dyDescent="0.25">
      <c r="A62504" s="8"/>
      <c r="B62504" s="8"/>
      <c r="C62504" s="99"/>
      <c r="D62504" s="8"/>
      <c r="E62504" s="8"/>
      <c r="F62504" s="8"/>
      <c r="G62504" s="8"/>
      <c r="H62504" s="8"/>
      <c r="I62504" s="102"/>
      <c r="J62504" s="8"/>
      <c r="K62504" s="8"/>
      <c r="L62504" s="8"/>
      <c r="M62504" s="8"/>
      <c r="N62504" s="8"/>
      <c r="O62504" s="8"/>
      <c r="P62504" s="8"/>
      <c r="Q62504" s="8"/>
      <c r="R62504" s="103"/>
      <c r="S62504" s="8"/>
      <c r="T62504" s="8"/>
      <c r="U62504" s="8"/>
      <c r="V62504" s="8"/>
      <c r="W62504" s="8"/>
      <c r="X62504" s="8"/>
      <c r="Y62504" s="8"/>
      <c r="Z62504" s="8"/>
      <c r="AA62504" s="8"/>
    </row>
    <row r="62505" spans="1:27" x14ac:dyDescent="0.25">
      <c r="A62505" s="8"/>
      <c r="B62505" s="8"/>
      <c r="C62505" s="99"/>
      <c r="D62505" s="8"/>
      <c r="E62505" s="8"/>
      <c r="F62505" s="8"/>
      <c r="G62505" s="8"/>
      <c r="H62505" s="8"/>
      <c r="I62505" s="102"/>
      <c r="J62505" s="8"/>
      <c r="K62505" s="8"/>
      <c r="L62505" s="8"/>
      <c r="M62505" s="8"/>
      <c r="N62505" s="8"/>
      <c r="O62505" s="8"/>
      <c r="P62505" s="8"/>
      <c r="Q62505" s="8"/>
      <c r="R62505" s="103"/>
      <c r="S62505" s="8"/>
      <c r="T62505" s="8"/>
      <c r="U62505" s="8"/>
      <c r="V62505" s="8"/>
      <c r="W62505" s="8"/>
      <c r="X62505" s="8"/>
      <c r="Y62505" s="8"/>
      <c r="Z62505" s="8"/>
      <c r="AA62505" s="8"/>
    </row>
    <row r="62506" spans="1:27" x14ac:dyDescent="0.25">
      <c r="A62506" s="8"/>
      <c r="B62506" s="8"/>
      <c r="C62506" s="99"/>
      <c r="D62506" s="8"/>
      <c r="E62506" s="8"/>
      <c r="F62506" s="8"/>
      <c r="G62506" s="8"/>
      <c r="H62506" s="8"/>
      <c r="I62506" s="102"/>
      <c r="J62506" s="8"/>
      <c r="K62506" s="8"/>
      <c r="L62506" s="8"/>
      <c r="M62506" s="8"/>
      <c r="N62506" s="8"/>
      <c r="O62506" s="8"/>
      <c r="P62506" s="8"/>
      <c r="Q62506" s="8"/>
      <c r="R62506" s="103"/>
      <c r="S62506" s="8"/>
      <c r="T62506" s="8"/>
      <c r="U62506" s="8"/>
      <c r="V62506" s="8"/>
      <c r="W62506" s="8"/>
      <c r="X62506" s="8"/>
      <c r="Y62506" s="8"/>
      <c r="Z62506" s="8"/>
      <c r="AA62506" s="8"/>
    </row>
    <row r="62507" spans="1:27" x14ac:dyDescent="0.25">
      <c r="A62507" s="8"/>
      <c r="B62507" s="8"/>
      <c r="C62507" s="99"/>
      <c r="D62507" s="8"/>
      <c r="E62507" s="8"/>
      <c r="F62507" s="8"/>
      <c r="G62507" s="8"/>
      <c r="H62507" s="8"/>
      <c r="I62507" s="102"/>
      <c r="J62507" s="8"/>
      <c r="K62507" s="8"/>
      <c r="L62507" s="8"/>
      <c r="M62507" s="8"/>
      <c r="N62507" s="8"/>
      <c r="O62507" s="8"/>
      <c r="P62507" s="8"/>
      <c r="Q62507" s="8"/>
      <c r="R62507" s="103"/>
      <c r="S62507" s="8"/>
      <c r="T62507" s="8"/>
      <c r="U62507" s="8"/>
      <c r="V62507" s="8"/>
      <c r="W62507" s="8"/>
      <c r="X62507" s="8"/>
      <c r="Y62507" s="8"/>
      <c r="Z62507" s="8"/>
      <c r="AA62507" s="8"/>
    </row>
    <row r="62508" spans="1:27" x14ac:dyDescent="0.25">
      <c r="A62508" s="8"/>
      <c r="B62508" s="8"/>
      <c r="C62508" s="99"/>
      <c r="D62508" s="8"/>
      <c r="E62508" s="8"/>
      <c r="F62508" s="8"/>
      <c r="G62508" s="8"/>
      <c r="H62508" s="8"/>
      <c r="I62508" s="102"/>
      <c r="J62508" s="8"/>
      <c r="K62508" s="8"/>
      <c r="L62508" s="8"/>
      <c r="M62508" s="8"/>
      <c r="N62508" s="8"/>
      <c r="O62508" s="8"/>
      <c r="P62508" s="8"/>
      <c r="Q62508" s="8"/>
      <c r="R62508" s="103"/>
      <c r="S62508" s="8"/>
      <c r="T62508" s="8"/>
      <c r="U62508" s="8"/>
      <c r="V62508" s="8"/>
      <c r="W62508" s="8"/>
      <c r="X62508" s="8"/>
      <c r="Y62508" s="8"/>
      <c r="Z62508" s="8"/>
      <c r="AA62508" s="8"/>
    </row>
    <row r="62509" spans="1:27" x14ac:dyDescent="0.25">
      <c r="A62509" s="8"/>
      <c r="B62509" s="8"/>
      <c r="C62509" s="99"/>
      <c r="D62509" s="8"/>
      <c r="E62509" s="8"/>
      <c r="F62509" s="8"/>
      <c r="G62509" s="8"/>
      <c r="H62509" s="8"/>
      <c r="I62509" s="102"/>
      <c r="J62509" s="8"/>
      <c r="K62509" s="8"/>
      <c r="L62509" s="8"/>
      <c r="M62509" s="8"/>
      <c r="N62509" s="8"/>
      <c r="O62509" s="8"/>
      <c r="P62509" s="8"/>
      <c r="Q62509" s="8"/>
      <c r="R62509" s="103"/>
      <c r="S62509" s="8"/>
      <c r="T62509" s="8"/>
      <c r="U62509" s="8"/>
      <c r="V62509" s="8"/>
      <c r="W62509" s="8"/>
      <c r="X62509" s="8"/>
      <c r="Y62509" s="8"/>
      <c r="Z62509" s="8"/>
      <c r="AA62509" s="8"/>
    </row>
    <row r="62510" spans="1:27" x14ac:dyDescent="0.25">
      <c r="A62510" s="8"/>
      <c r="B62510" s="8"/>
      <c r="C62510" s="99"/>
      <c r="D62510" s="8"/>
      <c r="E62510" s="8"/>
      <c r="F62510" s="8"/>
      <c r="G62510" s="8"/>
      <c r="H62510" s="8"/>
      <c r="I62510" s="102"/>
      <c r="J62510" s="8"/>
      <c r="K62510" s="8"/>
      <c r="L62510" s="8"/>
      <c r="M62510" s="8"/>
      <c r="N62510" s="8"/>
      <c r="O62510" s="8"/>
      <c r="P62510" s="8"/>
      <c r="Q62510" s="8"/>
      <c r="R62510" s="103"/>
      <c r="S62510" s="8"/>
      <c r="T62510" s="8"/>
      <c r="U62510" s="8"/>
      <c r="V62510" s="8"/>
      <c r="W62510" s="8"/>
      <c r="X62510" s="8"/>
      <c r="Y62510" s="8"/>
      <c r="Z62510" s="8"/>
      <c r="AA62510" s="8"/>
    </row>
    <row r="62511" spans="1:27" x14ac:dyDescent="0.25">
      <c r="A62511" s="8"/>
      <c r="B62511" s="8"/>
      <c r="C62511" s="99"/>
      <c r="D62511" s="8"/>
      <c r="E62511" s="8"/>
      <c r="F62511" s="8"/>
      <c r="G62511" s="8"/>
      <c r="H62511" s="8"/>
      <c r="I62511" s="102"/>
      <c r="J62511" s="8"/>
      <c r="K62511" s="8"/>
      <c r="L62511" s="8"/>
      <c r="M62511" s="8"/>
      <c r="N62511" s="8"/>
      <c r="O62511" s="8"/>
      <c r="P62511" s="8"/>
      <c r="Q62511" s="8"/>
      <c r="R62511" s="103"/>
      <c r="S62511" s="8"/>
      <c r="T62511" s="8"/>
      <c r="U62511" s="8"/>
      <c r="V62511" s="8"/>
      <c r="W62511" s="8"/>
      <c r="X62511" s="8"/>
      <c r="Y62511" s="8"/>
      <c r="Z62511" s="8"/>
      <c r="AA62511" s="8"/>
    </row>
    <row r="62512" spans="1:27" x14ac:dyDescent="0.25">
      <c r="A62512" s="8"/>
      <c r="B62512" s="8"/>
      <c r="C62512" s="99"/>
      <c r="D62512" s="8"/>
      <c r="E62512" s="8"/>
      <c r="F62512" s="8"/>
      <c r="G62512" s="8"/>
      <c r="H62512" s="8"/>
      <c r="I62512" s="102"/>
      <c r="J62512" s="8"/>
      <c r="K62512" s="8"/>
      <c r="L62512" s="8"/>
      <c r="M62512" s="8"/>
      <c r="N62512" s="8"/>
      <c r="O62512" s="8"/>
      <c r="P62512" s="8"/>
      <c r="Q62512" s="8"/>
      <c r="R62512" s="103"/>
      <c r="S62512" s="8"/>
      <c r="T62512" s="8"/>
      <c r="U62512" s="8"/>
      <c r="V62512" s="8"/>
      <c r="W62512" s="8"/>
      <c r="X62512" s="8"/>
      <c r="Y62512" s="8"/>
      <c r="Z62512" s="8"/>
      <c r="AA62512" s="8"/>
    </row>
    <row r="62513" spans="1:27" x14ac:dyDescent="0.25">
      <c r="A62513" s="8"/>
      <c r="B62513" s="8"/>
      <c r="C62513" s="99"/>
      <c r="D62513" s="8"/>
      <c r="E62513" s="8"/>
      <c r="F62513" s="8"/>
      <c r="G62513" s="8"/>
      <c r="H62513" s="8"/>
      <c r="I62513" s="102"/>
      <c r="J62513" s="8"/>
      <c r="K62513" s="8"/>
      <c r="L62513" s="8"/>
      <c r="M62513" s="8"/>
      <c r="N62513" s="8"/>
      <c r="O62513" s="8"/>
      <c r="P62513" s="8"/>
      <c r="Q62513" s="8"/>
      <c r="R62513" s="103"/>
      <c r="S62513" s="8"/>
      <c r="T62513" s="8"/>
      <c r="U62513" s="8"/>
      <c r="V62513" s="8"/>
      <c r="W62513" s="8"/>
      <c r="X62513" s="8"/>
      <c r="Y62513" s="8"/>
      <c r="Z62513" s="8"/>
      <c r="AA62513" s="8"/>
    </row>
    <row r="62514" spans="1:27" x14ac:dyDescent="0.25">
      <c r="A62514" s="8"/>
      <c r="B62514" s="8"/>
      <c r="C62514" s="99"/>
      <c r="D62514" s="8"/>
      <c r="E62514" s="8"/>
      <c r="F62514" s="8"/>
      <c r="G62514" s="8"/>
      <c r="H62514" s="8"/>
      <c r="I62514" s="102"/>
      <c r="J62514" s="8"/>
      <c r="K62514" s="8"/>
      <c r="L62514" s="8"/>
      <c r="M62514" s="8"/>
      <c r="N62514" s="8"/>
      <c r="O62514" s="8"/>
      <c r="P62514" s="8"/>
      <c r="Q62514" s="8"/>
      <c r="R62514" s="103"/>
      <c r="S62514" s="8"/>
      <c r="T62514" s="8"/>
      <c r="U62514" s="8"/>
      <c r="V62514" s="8"/>
      <c r="W62514" s="8"/>
      <c r="X62514" s="8"/>
      <c r="Y62514" s="8"/>
      <c r="Z62514" s="8"/>
      <c r="AA62514" s="8"/>
    </row>
    <row r="62515" spans="1:27" x14ac:dyDescent="0.25">
      <c r="A62515" s="8"/>
      <c r="B62515" s="8"/>
      <c r="C62515" s="99"/>
      <c r="D62515" s="8"/>
      <c r="E62515" s="8"/>
      <c r="F62515" s="8"/>
      <c r="G62515" s="8"/>
      <c r="H62515" s="8"/>
      <c r="I62515" s="102"/>
      <c r="J62515" s="8"/>
      <c r="K62515" s="8"/>
      <c r="L62515" s="8"/>
      <c r="M62515" s="8"/>
      <c r="N62515" s="8"/>
      <c r="O62515" s="8"/>
      <c r="P62515" s="8"/>
      <c r="Q62515" s="8"/>
      <c r="R62515" s="103"/>
      <c r="S62515" s="8"/>
      <c r="T62515" s="8"/>
      <c r="U62515" s="8"/>
      <c r="V62515" s="8"/>
      <c r="W62515" s="8"/>
      <c r="X62515" s="8"/>
      <c r="Y62515" s="8"/>
      <c r="Z62515" s="8"/>
      <c r="AA62515" s="8"/>
    </row>
    <row r="62516" spans="1:27" x14ac:dyDescent="0.25">
      <c r="A62516" s="8"/>
      <c r="B62516" s="8"/>
      <c r="C62516" s="99"/>
      <c r="D62516" s="8"/>
      <c r="E62516" s="8"/>
      <c r="F62516" s="8"/>
      <c r="G62516" s="8"/>
      <c r="H62516" s="8"/>
      <c r="I62516" s="102"/>
      <c r="J62516" s="8"/>
      <c r="K62516" s="8"/>
      <c r="L62516" s="8"/>
      <c r="M62516" s="8"/>
      <c r="N62516" s="8"/>
      <c r="O62516" s="8"/>
      <c r="P62516" s="8"/>
      <c r="Q62516" s="8"/>
      <c r="R62516" s="103"/>
      <c r="S62516" s="8"/>
      <c r="T62516" s="8"/>
      <c r="U62516" s="8"/>
      <c r="V62516" s="8"/>
      <c r="W62516" s="8"/>
      <c r="X62516" s="8"/>
      <c r="Y62516" s="8"/>
      <c r="Z62516" s="8"/>
      <c r="AA62516" s="8"/>
    </row>
    <row r="62517" spans="1:27" x14ac:dyDescent="0.25">
      <c r="A62517" s="8"/>
      <c r="B62517" s="8"/>
      <c r="C62517" s="99"/>
      <c r="D62517" s="8"/>
      <c r="E62517" s="8"/>
      <c r="F62517" s="8"/>
      <c r="G62517" s="8"/>
      <c r="H62517" s="8"/>
      <c r="I62517" s="102"/>
      <c r="J62517" s="8"/>
      <c r="K62517" s="8"/>
      <c r="L62517" s="8"/>
      <c r="M62517" s="8"/>
      <c r="N62517" s="8"/>
      <c r="O62517" s="8"/>
      <c r="P62517" s="8"/>
      <c r="Q62517" s="8"/>
      <c r="R62517" s="103"/>
      <c r="S62517" s="8"/>
      <c r="T62517" s="8"/>
      <c r="U62517" s="8"/>
      <c r="V62517" s="8"/>
      <c r="W62517" s="8"/>
      <c r="X62517" s="8"/>
      <c r="Y62517" s="8"/>
      <c r="Z62517" s="8"/>
      <c r="AA62517" s="8"/>
    </row>
    <row r="62518" spans="1:27" x14ac:dyDescent="0.25">
      <c r="A62518" s="8"/>
      <c r="B62518" s="8"/>
      <c r="C62518" s="99"/>
      <c r="D62518" s="8"/>
      <c r="E62518" s="8"/>
      <c r="F62518" s="8"/>
      <c r="G62518" s="8"/>
      <c r="H62518" s="8"/>
      <c r="I62518" s="102"/>
      <c r="J62518" s="8"/>
      <c r="K62518" s="8"/>
      <c r="L62518" s="8"/>
      <c r="M62518" s="8"/>
      <c r="N62518" s="8"/>
      <c r="O62518" s="8"/>
      <c r="P62518" s="8"/>
      <c r="Q62518" s="8"/>
      <c r="R62518" s="103"/>
      <c r="S62518" s="8"/>
      <c r="T62518" s="8"/>
      <c r="U62518" s="8"/>
      <c r="V62518" s="8"/>
      <c r="W62518" s="8"/>
      <c r="X62518" s="8"/>
      <c r="Y62518" s="8"/>
      <c r="Z62518" s="8"/>
      <c r="AA62518" s="8"/>
    </row>
    <row r="62519" spans="1:27" x14ac:dyDescent="0.25">
      <c r="A62519" s="8"/>
      <c r="B62519" s="8"/>
      <c r="C62519" s="99"/>
      <c r="D62519" s="8"/>
      <c r="E62519" s="8"/>
      <c r="F62519" s="8"/>
      <c r="G62519" s="8"/>
      <c r="H62519" s="8"/>
      <c r="I62519" s="102"/>
      <c r="J62519" s="8"/>
      <c r="K62519" s="8"/>
      <c r="L62519" s="8"/>
      <c r="M62519" s="8"/>
      <c r="N62519" s="8"/>
      <c r="O62519" s="8"/>
      <c r="P62519" s="8"/>
      <c r="Q62519" s="8"/>
      <c r="R62519" s="103"/>
      <c r="S62519" s="8"/>
      <c r="T62519" s="8"/>
      <c r="U62519" s="8"/>
      <c r="V62519" s="8"/>
      <c r="W62519" s="8"/>
      <c r="X62519" s="8"/>
      <c r="Y62519" s="8"/>
      <c r="Z62519" s="8"/>
      <c r="AA62519" s="8"/>
    </row>
    <row r="62520" spans="1:27" x14ac:dyDescent="0.25">
      <c r="A62520" s="8"/>
      <c r="B62520" s="8"/>
      <c r="C62520" s="99"/>
      <c r="D62520" s="8"/>
      <c r="E62520" s="8"/>
      <c r="F62520" s="8"/>
      <c r="G62520" s="8"/>
      <c r="H62520" s="8"/>
      <c r="I62520" s="102"/>
      <c r="J62520" s="8"/>
      <c r="K62520" s="8"/>
      <c r="L62520" s="8"/>
      <c r="M62520" s="8"/>
      <c r="N62520" s="8"/>
      <c r="O62520" s="8"/>
      <c r="P62520" s="8"/>
      <c r="Q62520" s="8"/>
      <c r="R62520" s="103"/>
      <c r="S62520" s="8"/>
      <c r="T62520" s="8"/>
      <c r="U62520" s="8"/>
      <c r="V62520" s="8"/>
      <c r="W62520" s="8"/>
      <c r="X62520" s="8"/>
      <c r="Y62520" s="8"/>
      <c r="Z62520" s="8"/>
      <c r="AA62520" s="8"/>
    </row>
    <row r="62521" spans="1:27" x14ac:dyDescent="0.25">
      <c r="A62521" s="8"/>
      <c r="B62521" s="8"/>
      <c r="C62521" s="99"/>
      <c r="D62521" s="8"/>
      <c r="E62521" s="8"/>
      <c r="F62521" s="8"/>
      <c r="G62521" s="8"/>
      <c r="H62521" s="8"/>
      <c r="I62521" s="102"/>
      <c r="J62521" s="8"/>
      <c r="K62521" s="8"/>
      <c r="L62521" s="8"/>
      <c r="M62521" s="8"/>
      <c r="N62521" s="8"/>
      <c r="O62521" s="8"/>
      <c r="P62521" s="8"/>
      <c r="Q62521" s="8"/>
      <c r="R62521" s="103"/>
      <c r="S62521" s="8"/>
      <c r="T62521" s="8"/>
      <c r="U62521" s="8"/>
      <c r="V62521" s="8"/>
      <c r="W62521" s="8"/>
      <c r="X62521" s="8"/>
      <c r="Y62521" s="8"/>
      <c r="Z62521" s="8"/>
      <c r="AA62521" s="8"/>
    </row>
    <row r="62522" spans="1:27" x14ac:dyDescent="0.25">
      <c r="A62522" s="8"/>
      <c r="B62522" s="8"/>
      <c r="C62522" s="99"/>
      <c r="D62522" s="8"/>
      <c r="E62522" s="8"/>
      <c r="F62522" s="8"/>
      <c r="G62522" s="8"/>
      <c r="H62522" s="8"/>
      <c r="I62522" s="102"/>
      <c r="J62522" s="8"/>
      <c r="K62522" s="8"/>
      <c r="L62522" s="8"/>
      <c r="M62522" s="8"/>
      <c r="N62522" s="8"/>
      <c r="O62522" s="8"/>
      <c r="P62522" s="8"/>
      <c r="Q62522" s="8"/>
      <c r="R62522" s="103"/>
      <c r="S62522" s="8"/>
      <c r="T62522" s="8"/>
      <c r="U62522" s="8"/>
      <c r="V62522" s="8"/>
      <c r="W62522" s="8"/>
      <c r="X62522" s="8"/>
      <c r="Y62522" s="8"/>
      <c r="Z62522" s="8"/>
      <c r="AA62522" s="8"/>
    </row>
    <row r="62523" spans="1:27" x14ac:dyDescent="0.25">
      <c r="A62523" s="8"/>
      <c r="B62523" s="8"/>
      <c r="C62523" s="99"/>
      <c r="D62523" s="8"/>
      <c r="E62523" s="8"/>
      <c r="F62523" s="8"/>
      <c r="G62523" s="8"/>
      <c r="H62523" s="8"/>
      <c r="I62523" s="102"/>
      <c r="J62523" s="8"/>
      <c r="K62523" s="8"/>
      <c r="L62523" s="8"/>
      <c r="M62523" s="8"/>
      <c r="N62523" s="8"/>
      <c r="O62523" s="8"/>
      <c r="P62523" s="8"/>
      <c r="Q62523" s="8"/>
      <c r="R62523" s="103"/>
      <c r="S62523" s="8"/>
      <c r="T62523" s="8"/>
      <c r="U62523" s="8"/>
      <c r="V62523" s="8"/>
      <c r="W62523" s="8"/>
      <c r="X62523" s="8"/>
      <c r="Y62523" s="8"/>
      <c r="Z62523" s="8"/>
      <c r="AA62523" s="8"/>
    </row>
    <row r="62524" spans="1:27" x14ac:dyDescent="0.25">
      <c r="A62524" s="8"/>
      <c r="B62524" s="8"/>
      <c r="C62524" s="99"/>
      <c r="D62524" s="8"/>
      <c r="E62524" s="8"/>
      <c r="F62524" s="8"/>
      <c r="G62524" s="8"/>
      <c r="H62524" s="8"/>
      <c r="I62524" s="102"/>
      <c r="J62524" s="8"/>
      <c r="K62524" s="8"/>
      <c r="L62524" s="8"/>
      <c r="M62524" s="8"/>
      <c r="N62524" s="8"/>
      <c r="O62524" s="8"/>
      <c r="P62524" s="8"/>
      <c r="Q62524" s="8"/>
      <c r="R62524" s="103"/>
      <c r="S62524" s="8"/>
      <c r="T62524" s="8"/>
      <c r="U62524" s="8"/>
      <c r="V62524" s="8"/>
      <c r="W62524" s="8"/>
      <c r="X62524" s="8"/>
      <c r="Y62524" s="8"/>
      <c r="Z62524" s="8"/>
      <c r="AA62524" s="8"/>
    </row>
    <row r="62525" spans="1:27" x14ac:dyDescent="0.25">
      <c r="A62525" s="8"/>
      <c r="B62525" s="8"/>
      <c r="C62525" s="99"/>
      <c r="D62525" s="8"/>
      <c r="E62525" s="8"/>
      <c r="F62525" s="8"/>
      <c r="G62525" s="8"/>
      <c r="H62525" s="8"/>
      <c r="I62525" s="102"/>
      <c r="J62525" s="8"/>
      <c r="K62525" s="8"/>
      <c r="L62525" s="8"/>
      <c r="M62525" s="8"/>
      <c r="N62525" s="8"/>
      <c r="O62525" s="8"/>
      <c r="P62525" s="8"/>
      <c r="Q62525" s="8"/>
      <c r="R62525" s="103"/>
      <c r="S62525" s="8"/>
      <c r="T62525" s="8"/>
      <c r="U62525" s="8"/>
      <c r="V62525" s="8"/>
      <c r="W62525" s="8"/>
      <c r="X62525" s="8"/>
      <c r="Y62525" s="8"/>
      <c r="Z62525" s="8"/>
      <c r="AA62525" s="8"/>
    </row>
    <row r="62526" spans="1:27" x14ac:dyDescent="0.25">
      <c r="A62526" s="8"/>
      <c r="B62526" s="8"/>
      <c r="C62526" s="99"/>
      <c r="D62526" s="8"/>
      <c r="E62526" s="8"/>
      <c r="F62526" s="8"/>
      <c r="G62526" s="8"/>
      <c r="H62526" s="8"/>
      <c r="I62526" s="102"/>
      <c r="J62526" s="8"/>
      <c r="K62526" s="8"/>
      <c r="L62526" s="8"/>
      <c r="M62526" s="8"/>
      <c r="N62526" s="8"/>
      <c r="O62526" s="8"/>
      <c r="P62526" s="8"/>
      <c r="Q62526" s="8"/>
      <c r="R62526" s="103"/>
      <c r="S62526" s="8"/>
      <c r="T62526" s="8"/>
      <c r="U62526" s="8"/>
      <c r="V62526" s="8"/>
      <c r="W62526" s="8"/>
      <c r="X62526" s="8"/>
      <c r="Y62526" s="8"/>
      <c r="Z62526" s="8"/>
      <c r="AA62526" s="8"/>
    </row>
    <row r="62527" spans="1:27" x14ac:dyDescent="0.25">
      <c r="A62527" s="8"/>
      <c r="B62527" s="8"/>
      <c r="C62527" s="99"/>
      <c r="D62527" s="8"/>
      <c r="E62527" s="8"/>
      <c r="F62527" s="8"/>
      <c r="G62527" s="8"/>
      <c r="H62527" s="8"/>
      <c r="I62527" s="102"/>
      <c r="J62527" s="8"/>
      <c r="K62527" s="8"/>
      <c r="L62527" s="8"/>
      <c r="M62527" s="8"/>
      <c r="N62527" s="8"/>
      <c r="O62527" s="8"/>
      <c r="P62527" s="8"/>
      <c r="Q62527" s="8"/>
      <c r="R62527" s="103"/>
      <c r="S62527" s="8"/>
      <c r="T62527" s="8"/>
      <c r="U62527" s="8"/>
      <c r="V62527" s="8"/>
      <c r="W62527" s="8"/>
      <c r="X62527" s="8"/>
      <c r="Y62527" s="8"/>
      <c r="Z62527" s="8"/>
      <c r="AA62527" s="8"/>
    </row>
    <row r="62528" spans="1:27" x14ac:dyDescent="0.25">
      <c r="A62528" s="8"/>
      <c r="B62528" s="8"/>
      <c r="C62528" s="99"/>
      <c r="D62528" s="8"/>
      <c r="E62528" s="8"/>
      <c r="F62528" s="8"/>
      <c r="G62528" s="8"/>
      <c r="H62528" s="8"/>
      <c r="I62528" s="102"/>
      <c r="J62528" s="8"/>
      <c r="K62528" s="8"/>
      <c r="L62528" s="8"/>
      <c r="M62528" s="8"/>
      <c r="N62528" s="8"/>
      <c r="O62528" s="8"/>
      <c r="P62528" s="8"/>
      <c r="Q62528" s="8"/>
      <c r="R62528" s="103"/>
      <c r="S62528" s="8"/>
      <c r="T62528" s="8"/>
      <c r="U62528" s="8"/>
      <c r="V62528" s="8"/>
      <c r="W62528" s="8"/>
      <c r="X62528" s="8"/>
      <c r="Y62528" s="8"/>
      <c r="Z62528" s="8"/>
      <c r="AA62528" s="8"/>
    </row>
    <row r="62529" spans="1:27" x14ac:dyDescent="0.25">
      <c r="A62529" s="8"/>
      <c r="B62529" s="8"/>
      <c r="C62529" s="99"/>
      <c r="D62529" s="8"/>
      <c r="E62529" s="8"/>
      <c r="F62529" s="8"/>
      <c r="G62529" s="8"/>
      <c r="H62529" s="8"/>
      <c r="I62529" s="102"/>
      <c r="J62529" s="8"/>
      <c r="K62529" s="8"/>
      <c r="L62529" s="8"/>
      <c r="M62529" s="8"/>
      <c r="N62529" s="8"/>
      <c r="O62529" s="8"/>
      <c r="P62529" s="8"/>
      <c r="Q62529" s="8"/>
      <c r="R62529" s="103"/>
      <c r="S62529" s="8"/>
      <c r="T62529" s="8"/>
      <c r="U62529" s="8"/>
      <c r="V62529" s="8"/>
      <c r="W62529" s="8"/>
      <c r="X62529" s="8"/>
      <c r="Y62529" s="8"/>
      <c r="Z62529" s="8"/>
      <c r="AA62529" s="8"/>
    </row>
    <row r="62530" spans="1:27" x14ac:dyDescent="0.25">
      <c r="A62530" s="8"/>
      <c r="B62530" s="8"/>
      <c r="C62530" s="99"/>
      <c r="D62530" s="8"/>
      <c r="E62530" s="8"/>
      <c r="F62530" s="8"/>
      <c r="G62530" s="8"/>
      <c r="H62530" s="8"/>
      <c r="I62530" s="102"/>
      <c r="J62530" s="8"/>
      <c r="K62530" s="8"/>
      <c r="L62530" s="8"/>
      <c r="M62530" s="8"/>
      <c r="N62530" s="8"/>
      <c r="O62530" s="8"/>
      <c r="P62530" s="8"/>
      <c r="Q62530" s="8"/>
      <c r="R62530" s="103"/>
      <c r="S62530" s="8"/>
      <c r="T62530" s="8"/>
      <c r="U62530" s="8"/>
      <c r="V62530" s="8"/>
      <c r="W62530" s="8"/>
      <c r="X62530" s="8"/>
      <c r="Y62530" s="8"/>
      <c r="Z62530" s="8"/>
      <c r="AA62530" s="8"/>
    </row>
    <row r="62531" spans="1:27" x14ac:dyDescent="0.25">
      <c r="A62531" s="8"/>
      <c r="B62531" s="8"/>
      <c r="C62531" s="99"/>
      <c r="D62531" s="8"/>
      <c r="E62531" s="8"/>
      <c r="F62531" s="8"/>
      <c r="G62531" s="8"/>
      <c r="H62531" s="8"/>
      <c r="I62531" s="102"/>
      <c r="J62531" s="8"/>
      <c r="K62531" s="8"/>
      <c r="L62531" s="8"/>
      <c r="M62531" s="8"/>
      <c r="N62531" s="8"/>
      <c r="O62531" s="8"/>
      <c r="P62531" s="8"/>
      <c r="Q62531" s="8"/>
      <c r="R62531" s="103"/>
      <c r="S62531" s="8"/>
      <c r="T62531" s="8"/>
      <c r="U62531" s="8"/>
      <c r="V62531" s="8"/>
      <c r="W62531" s="8"/>
      <c r="X62531" s="8"/>
      <c r="Y62531" s="8"/>
      <c r="Z62531" s="8"/>
      <c r="AA62531" s="8"/>
    </row>
    <row r="62532" spans="1:27" x14ac:dyDescent="0.25">
      <c r="A62532" s="8"/>
      <c r="B62532" s="8"/>
      <c r="C62532" s="99"/>
      <c r="D62532" s="8"/>
      <c r="E62532" s="8"/>
      <c r="F62532" s="8"/>
      <c r="G62532" s="8"/>
      <c r="H62532" s="8"/>
      <c r="I62532" s="102"/>
      <c r="J62532" s="8"/>
      <c r="K62532" s="8"/>
      <c r="L62532" s="8"/>
      <c r="M62532" s="8"/>
      <c r="N62532" s="8"/>
      <c r="O62532" s="8"/>
      <c r="P62532" s="8"/>
      <c r="Q62532" s="8"/>
      <c r="R62532" s="103"/>
      <c r="S62532" s="8"/>
      <c r="T62532" s="8"/>
      <c r="U62532" s="8"/>
      <c r="V62532" s="8"/>
      <c r="W62532" s="8"/>
      <c r="X62532" s="8"/>
      <c r="Y62532" s="8"/>
      <c r="Z62532" s="8"/>
      <c r="AA62532" s="8"/>
    </row>
    <row r="62533" spans="1:27" x14ac:dyDescent="0.25">
      <c r="A62533" s="8"/>
      <c r="B62533" s="8"/>
      <c r="C62533" s="99"/>
      <c r="D62533" s="8"/>
      <c r="E62533" s="8"/>
      <c r="F62533" s="8"/>
      <c r="G62533" s="8"/>
      <c r="H62533" s="8"/>
      <c r="I62533" s="102"/>
      <c r="J62533" s="8"/>
      <c r="K62533" s="8"/>
      <c r="L62533" s="8"/>
      <c r="M62533" s="8"/>
      <c r="N62533" s="8"/>
      <c r="O62533" s="8"/>
      <c r="P62533" s="8"/>
      <c r="Q62533" s="8"/>
      <c r="R62533" s="103"/>
      <c r="S62533" s="8"/>
      <c r="T62533" s="8"/>
      <c r="U62533" s="8"/>
      <c r="V62533" s="8"/>
      <c r="W62533" s="8"/>
      <c r="X62533" s="8"/>
      <c r="Y62533" s="8"/>
      <c r="Z62533" s="8"/>
      <c r="AA62533" s="8"/>
    </row>
    <row r="62534" spans="1:27" x14ac:dyDescent="0.25">
      <c r="A62534" s="8"/>
      <c r="B62534" s="8"/>
      <c r="C62534" s="99"/>
      <c r="D62534" s="8"/>
      <c r="E62534" s="8"/>
      <c r="F62534" s="8"/>
      <c r="G62534" s="8"/>
      <c r="H62534" s="8"/>
      <c r="I62534" s="102"/>
      <c r="J62534" s="8"/>
      <c r="K62534" s="8"/>
      <c r="L62534" s="8"/>
      <c r="M62534" s="8"/>
      <c r="N62534" s="8"/>
      <c r="O62534" s="8"/>
      <c r="P62534" s="8"/>
      <c r="Q62534" s="8"/>
      <c r="R62534" s="103"/>
      <c r="S62534" s="8"/>
      <c r="T62534" s="8"/>
      <c r="U62534" s="8"/>
      <c r="V62534" s="8"/>
      <c r="W62534" s="8"/>
      <c r="X62534" s="8"/>
      <c r="Y62534" s="8"/>
      <c r="Z62534" s="8"/>
      <c r="AA62534" s="8"/>
    </row>
    <row r="62535" spans="1:27" x14ac:dyDescent="0.25">
      <c r="A62535" s="8"/>
      <c r="B62535" s="8"/>
      <c r="C62535" s="99"/>
      <c r="D62535" s="8"/>
      <c r="E62535" s="8"/>
      <c r="F62535" s="8"/>
      <c r="G62535" s="8"/>
      <c r="H62535" s="8"/>
      <c r="I62535" s="102"/>
      <c r="J62535" s="8"/>
      <c r="K62535" s="8"/>
      <c r="L62535" s="8"/>
      <c r="M62535" s="8"/>
      <c r="N62535" s="8"/>
      <c r="O62535" s="8"/>
      <c r="P62535" s="8"/>
      <c r="Q62535" s="8"/>
      <c r="R62535" s="103"/>
      <c r="S62535" s="8"/>
      <c r="T62535" s="8"/>
      <c r="U62535" s="8"/>
      <c r="V62535" s="8"/>
      <c r="W62535" s="8"/>
      <c r="X62535" s="8"/>
      <c r="Y62535" s="8"/>
      <c r="Z62535" s="8"/>
      <c r="AA62535" s="8"/>
    </row>
    <row r="62536" spans="1:27" x14ac:dyDescent="0.25">
      <c r="A62536" s="8"/>
      <c r="B62536" s="8"/>
      <c r="C62536" s="99"/>
      <c r="D62536" s="8"/>
      <c r="E62536" s="8"/>
      <c r="F62536" s="8"/>
      <c r="G62536" s="8"/>
      <c r="H62536" s="8"/>
      <c r="I62536" s="102"/>
      <c r="J62536" s="8"/>
      <c r="K62536" s="8"/>
      <c r="L62536" s="8"/>
      <c r="M62536" s="8"/>
      <c r="N62536" s="8"/>
      <c r="O62536" s="8"/>
      <c r="P62536" s="8"/>
      <c r="Q62536" s="8"/>
      <c r="R62536" s="103"/>
      <c r="S62536" s="8"/>
      <c r="T62536" s="8"/>
      <c r="U62536" s="8"/>
      <c r="V62536" s="8"/>
      <c r="W62536" s="8"/>
      <c r="X62536" s="8"/>
      <c r="Y62536" s="8"/>
      <c r="Z62536" s="8"/>
      <c r="AA62536" s="8"/>
    </row>
    <row r="62537" spans="1:27" x14ac:dyDescent="0.25">
      <c r="A62537" s="8"/>
      <c r="B62537" s="8"/>
      <c r="C62537" s="99"/>
      <c r="D62537" s="8"/>
      <c r="E62537" s="8"/>
      <c r="F62537" s="8"/>
      <c r="G62537" s="8"/>
      <c r="H62537" s="8"/>
      <c r="I62537" s="102"/>
      <c r="J62537" s="8"/>
      <c r="K62537" s="8"/>
      <c r="L62537" s="8"/>
      <c r="M62537" s="8"/>
      <c r="N62537" s="8"/>
      <c r="O62537" s="8"/>
      <c r="P62537" s="8"/>
      <c r="Q62537" s="8"/>
      <c r="R62537" s="103"/>
      <c r="S62537" s="8"/>
      <c r="T62537" s="8"/>
      <c r="U62537" s="8"/>
      <c r="V62537" s="8"/>
      <c r="W62537" s="8"/>
      <c r="X62537" s="8"/>
      <c r="Y62537" s="8"/>
      <c r="Z62537" s="8"/>
      <c r="AA62537" s="8"/>
    </row>
    <row r="62538" spans="1:27" x14ac:dyDescent="0.25">
      <c r="A62538" s="8"/>
      <c r="B62538" s="8"/>
      <c r="C62538" s="99"/>
      <c r="D62538" s="8"/>
      <c r="E62538" s="8"/>
      <c r="F62538" s="8"/>
      <c r="G62538" s="8"/>
      <c r="H62538" s="8"/>
      <c r="I62538" s="102"/>
      <c r="J62538" s="8"/>
      <c r="K62538" s="8"/>
      <c r="L62538" s="8"/>
      <c r="M62538" s="8"/>
      <c r="N62538" s="8"/>
      <c r="O62538" s="8"/>
      <c r="P62538" s="8"/>
      <c r="Q62538" s="8"/>
      <c r="R62538" s="103"/>
      <c r="S62538" s="8"/>
      <c r="T62538" s="8"/>
      <c r="U62538" s="8"/>
      <c r="V62538" s="8"/>
      <c r="W62538" s="8"/>
      <c r="X62538" s="8"/>
      <c r="Y62538" s="8"/>
      <c r="Z62538" s="8"/>
      <c r="AA62538" s="8"/>
    </row>
    <row r="62539" spans="1:27" x14ac:dyDescent="0.25">
      <c r="A62539" s="8"/>
      <c r="B62539" s="8"/>
      <c r="C62539" s="99"/>
      <c r="D62539" s="8"/>
      <c r="E62539" s="8"/>
      <c r="F62539" s="8"/>
      <c r="G62539" s="8"/>
      <c r="H62539" s="8"/>
      <c r="I62539" s="102"/>
      <c r="J62539" s="8"/>
      <c r="K62539" s="8"/>
      <c r="L62539" s="8"/>
      <c r="M62539" s="8"/>
      <c r="N62539" s="8"/>
      <c r="O62539" s="8"/>
      <c r="P62539" s="8"/>
      <c r="Q62539" s="8"/>
      <c r="R62539" s="103"/>
      <c r="S62539" s="8"/>
      <c r="T62539" s="8"/>
      <c r="U62539" s="8"/>
      <c r="V62539" s="8"/>
      <c r="W62539" s="8"/>
      <c r="X62539" s="8"/>
      <c r="Y62539" s="8"/>
      <c r="Z62539" s="8"/>
      <c r="AA62539" s="8"/>
    </row>
    <row r="62540" spans="1:27" x14ac:dyDescent="0.25">
      <c r="A62540" s="8"/>
      <c r="B62540" s="8"/>
      <c r="C62540" s="99"/>
      <c r="D62540" s="8"/>
      <c r="E62540" s="8"/>
      <c r="F62540" s="8"/>
      <c r="G62540" s="8"/>
      <c r="H62540" s="8"/>
      <c r="I62540" s="102"/>
      <c r="J62540" s="8"/>
      <c r="K62540" s="8"/>
      <c r="L62540" s="8"/>
      <c r="M62540" s="8"/>
      <c r="N62540" s="8"/>
      <c r="O62540" s="8"/>
      <c r="P62540" s="8"/>
      <c r="Q62540" s="8"/>
      <c r="R62540" s="103"/>
      <c r="S62540" s="8"/>
      <c r="T62540" s="8"/>
      <c r="U62540" s="8"/>
      <c r="V62540" s="8"/>
      <c r="W62540" s="8"/>
      <c r="X62540" s="8"/>
      <c r="Y62540" s="8"/>
      <c r="Z62540" s="8"/>
      <c r="AA62540" s="8"/>
    </row>
    <row r="62541" spans="1:27" x14ac:dyDescent="0.25">
      <c r="A62541" s="8"/>
      <c r="B62541" s="8"/>
      <c r="C62541" s="99"/>
      <c r="D62541" s="8"/>
      <c r="E62541" s="8"/>
      <c r="F62541" s="8"/>
      <c r="G62541" s="8"/>
      <c r="H62541" s="8"/>
      <c r="I62541" s="102"/>
      <c r="J62541" s="8"/>
      <c r="K62541" s="8"/>
      <c r="L62541" s="8"/>
      <c r="M62541" s="8"/>
      <c r="N62541" s="8"/>
      <c r="O62541" s="8"/>
      <c r="P62541" s="8"/>
      <c r="Q62541" s="8"/>
      <c r="R62541" s="103"/>
      <c r="S62541" s="8"/>
      <c r="T62541" s="8"/>
      <c r="U62541" s="8"/>
      <c r="V62541" s="8"/>
      <c r="W62541" s="8"/>
      <c r="X62541" s="8"/>
      <c r="Y62541" s="8"/>
      <c r="Z62541" s="8"/>
      <c r="AA62541" s="8"/>
    </row>
    <row r="62542" spans="1:27" x14ac:dyDescent="0.25">
      <c r="A62542" s="8"/>
      <c r="B62542" s="8"/>
      <c r="C62542" s="99"/>
      <c r="D62542" s="8"/>
      <c r="E62542" s="8"/>
      <c r="F62542" s="8"/>
      <c r="G62542" s="8"/>
      <c r="H62542" s="8"/>
      <c r="I62542" s="102"/>
      <c r="J62542" s="8"/>
      <c r="K62542" s="8"/>
      <c r="L62542" s="8"/>
      <c r="M62542" s="8"/>
      <c r="N62542" s="8"/>
      <c r="O62542" s="8"/>
      <c r="P62542" s="8"/>
      <c r="Q62542" s="8"/>
      <c r="R62542" s="103"/>
      <c r="S62542" s="8"/>
      <c r="T62542" s="8"/>
      <c r="U62542" s="8"/>
      <c r="V62542" s="8"/>
      <c r="W62542" s="8"/>
      <c r="X62542" s="8"/>
      <c r="Y62542" s="8"/>
      <c r="Z62542" s="8"/>
      <c r="AA62542" s="8"/>
    </row>
    <row r="62543" spans="1:27" x14ac:dyDescent="0.25">
      <c r="A62543" s="8"/>
      <c r="B62543" s="8"/>
      <c r="C62543" s="99"/>
      <c r="D62543" s="8"/>
      <c r="E62543" s="8"/>
      <c r="F62543" s="8"/>
      <c r="G62543" s="8"/>
      <c r="H62543" s="8"/>
      <c r="I62543" s="102"/>
      <c r="J62543" s="8"/>
      <c r="K62543" s="8"/>
      <c r="L62543" s="8"/>
      <c r="M62543" s="8"/>
      <c r="N62543" s="8"/>
      <c r="O62543" s="8"/>
      <c r="P62543" s="8"/>
      <c r="Q62543" s="8"/>
      <c r="R62543" s="103"/>
      <c r="S62543" s="8"/>
      <c r="T62543" s="8"/>
      <c r="U62543" s="8"/>
      <c r="V62543" s="8"/>
      <c r="W62543" s="8"/>
      <c r="X62543" s="8"/>
      <c r="Y62543" s="8"/>
      <c r="Z62543" s="8"/>
      <c r="AA62543" s="8"/>
    </row>
    <row r="62544" spans="1:27" x14ac:dyDescent="0.25">
      <c r="A62544" s="8"/>
      <c r="B62544" s="8"/>
      <c r="C62544" s="99"/>
      <c r="D62544" s="8"/>
      <c r="E62544" s="8"/>
      <c r="F62544" s="8"/>
      <c r="G62544" s="8"/>
      <c r="H62544" s="8"/>
      <c r="I62544" s="102"/>
      <c r="J62544" s="8"/>
      <c r="K62544" s="8"/>
      <c r="L62544" s="8"/>
      <c r="M62544" s="8"/>
      <c r="N62544" s="8"/>
      <c r="O62544" s="8"/>
      <c r="P62544" s="8"/>
      <c r="Q62544" s="8"/>
      <c r="R62544" s="103"/>
      <c r="S62544" s="8"/>
      <c r="T62544" s="8"/>
      <c r="U62544" s="8"/>
      <c r="V62544" s="8"/>
      <c r="W62544" s="8"/>
      <c r="X62544" s="8"/>
      <c r="Y62544" s="8"/>
      <c r="Z62544" s="8"/>
      <c r="AA62544" s="8"/>
    </row>
    <row r="62545" spans="1:27" x14ac:dyDescent="0.25">
      <c r="A62545" s="8"/>
      <c r="B62545" s="8"/>
      <c r="C62545" s="99"/>
      <c r="D62545" s="8"/>
      <c r="E62545" s="8"/>
      <c r="F62545" s="8"/>
      <c r="G62545" s="8"/>
      <c r="H62545" s="8"/>
      <c r="I62545" s="102"/>
      <c r="J62545" s="8"/>
      <c r="K62545" s="8"/>
      <c r="L62545" s="8"/>
      <c r="M62545" s="8"/>
      <c r="N62545" s="8"/>
      <c r="O62545" s="8"/>
      <c r="P62545" s="8"/>
      <c r="Q62545" s="8"/>
      <c r="R62545" s="103"/>
      <c r="S62545" s="8"/>
      <c r="T62545" s="8"/>
      <c r="U62545" s="8"/>
      <c r="V62545" s="8"/>
      <c r="W62545" s="8"/>
      <c r="X62545" s="8"/>
      <c r="Y62545" s="8"/>
      <c r="Z62545" s="8"/>
      <c r="AA62545" s="8"/>
    </row>
    <row r="62546" spans="1:27" x14ac:dyDescent="0.25">
      <c r="A62546" s="8"/>
      <c r="B62546" s="8"/>
      <c r="C62546" s="99"/>
      <c r="D62546" s="8"/>
      <c r="E62546" s="8"/>
      <c r="F62546" s="8"/>
      <c r="G62546" s="8"/>
      <c r="H62546" s="8"/>
      <c r="I62546" s="102"/>
      <c r="J62546" s="8"/>
      <c r="K62546" s="8"/>
      <c r="L62546" s="8"/>
      <c r="M62546" s="8"/>
      <c r="N62546" s="8"/>
      <c r="O62546" s="8"/>
      <c r="P62546" s="8"/>
      <c r="Q62546" s="8"/>
      <c r="R62546" s="103"/>
      <c r="S62546" s="8"/>
      <c r="T62546" s="8"/>
      <c r="U62546" s="8"/>
      <c r="V62546" s="8"/>
      <c r="W62546" s="8"/>
      <c r="X62546" s="8"/>
      <c r="Y62546" s="8"/>
      <c r="Z62546" s="8"/>
      <c r="AA62546" s="8"/>
    </row>
    <row r="62547" spans="1:27" x14ac:dyDescent="0.25">
      <c r="A62547" s="8"/>
      <c r="B62547" s="8"/>
      <c r="C62547" s="99"/>
      <c r="D62547" s="8"/>
      <c r="E62547" s="8"/>
      <c r="F62547" s="8"/>
      <c r="G62547" s="8"/>
      <c r="H62547" s="8"/>
      <c r="I62547" s="102"/>
      <c r="J62547" s="8"/>
      <c r="K62547" s="8"/>
      <c r="L62547" s="8"/>
      <c r="M62547" s="8"/>
      <c r="N62547" s="8"/>
      <c r="O62547" s="8"/>
      <c r="P62547" s="8"/>
      <c r="Q62547" s="8"/>
      <c r="R62547" s="103"/>
      <c r="S62547" s="8"/>
      <c r="T62547" s="8"/>
      <c r="U62547" s="8"/>
      <c r="V62547" s="8"/>
      <c r="W62547" s="8"/>
      <c r="X62547" s="8"/>
      <c r="Y62547" s="8"/>
      <c r="Z62547" s="8"/>
      <c r="AA62547" s="8"/>
    </row>
    <row r="62548" spans="1:27" x14ac:dyDescent="0.25">
      <c r="A62548" s="8"/>
      <c r="B62548" s="8"/>
      <c r="C62548" s="99"/>
      <c r="D62548" s="8"/>
      <c r="E62548" s="8"/>
      <c r="F62548" s="8"/>
      <c r="G62548" s="8"/>
      <c r="H62548" s="8"/>
      <c r="I62548" s="102"/>
      <c r="J62548" s="8"/>
      <c r="K62548" s="8"/>
      <c r="L62548" s="8"/>
      <c r="M62548" s="8"/>
      <c r="N62548" s="8"/>
      <c r="O62548" s="8"/>
      <c r="P62548" s="8"/>
      <c r="Q62548" s="8"/>
      <c r="R62548" s="103"/>
      <c r="S62548" s="8"/>
      <c r="T62548" s="8"/>
      <c r="U62548" s="8"/>
      <c r="V62548" s="8"/>
      <c r="W62548" s="8"/>
      <c r="X62548" s="8"/>
      <c r="Y62548" s="8"/>
      <c r="Z62548" s="8"/>
      <c r="AA62548" s="8"/>
    </row>
    <row r="62549" spans="1:27" x14ac:dyDescent="0.25">
      <c r="A62549" s="8"/>
      <c r="B62549" s="8"/>
      <c r="C62549" s="99"/>
      <c r="D62549" s="8"/>
      <c r="E62549" s="8"/>
      <c r="F62549" s="8"/>
      <c r="G62549" s="8"/>
      <c r="H62549" s="8"/>
      <c r="I62549" s="102"/>
      <c r="J62549" s="8"/>
      <c r="K62549" s="8"/>
      <c r="L62549" s="8"/>
      <c r="M62549" s="8"/>
      <c r="N62549" s="8"/>
      <c r="O62549" s="8"/>
      <c r="P62549" s="8"/>
      <c r="Q62549" s="8"/>
      <c r="R62549" s="103"/>
      <c r="S62549" s="8"/>
      <c r="T62549" s="8"/>
      <c r="U62549" s="8"/>
      <c r="V62549" s="8"/>
      <c r="W62549" s="8"/>
      <c r="X62549" s="8"/>
      <c r="Y62549" s="8"/>
      <c r="Z62549" s="8"/>
      <c r="AA62549" s="8"/>
    </row>
    <row r="62550" spans="1:27" x14ac:dyDescent="0.25">
      <c r="A62550" s="8"/>
      <c r="B62550" s="8"/>
      <c r="C62550" s="99"/>
      <c r="D62550" s="8"/>
      <c r="E62550" s="8"/>
      <c r="F62550" s="8"/>
      <c r="G62550" s="8"/>
      <c r="H62550" s="8"/>
      <c r="I62550" s="102"/>
      <c r="J62550" s="8"/>
      <c r="K62550" s="8"/>
      <c r="L62550" s="8"/>
      <c r="M62550" s="8"/>
      <c r="N62550" s="8"/>
      <c r="O62550" s="8"/>
      <c r="P62550" s="8"/>
      <c r="Q62550" s="8"/>
      <c r="R62550" s="103"/>
      <c r="S62550" s="8"/>
      <c r="T62550" s="8"/>
      <c r="U62550" s="8"/>
      <c r="V62550" s="8"/>
      <c r="W62550" s="8"/>
      <c r="X62550" s="8"/>
      <c r="Y62550" s="8"/>
      <c r="Z62550" s="8"/>
      <c r="AA62550" s="8"/>
    </row>
    <row r="62551" spans="1:27" x14ac:dyDescent="0.25">
      <c r="A62551" s="8"/>
      <c r="B62551" s="8"/>
      <c r="C62551" s="99"/>
      <c r="D62551" s="8"/>
      <c r="E62551" s="8"/>
      <c r="F62551" s="8"/>
      <c r="G62551" s="8"/>
      <c r="H62551" s="8"/>
      <c r="I62551" s="102"/>
      <c r="J62551" s="8"/>
      <c r="K62551" s="8"/>
      <c r="L62551" s="8"/>
      <c r="M62551" s="8"/>
      <c r="N62551" s="8"/>
      <c r="O62551" s="8"/>
      <c r="P62551" s="8"/>
      <c r="Q62551" s="8"/>
      <c r="R62551" s="103"/>
      <c r="S62551" s="8"/>
      <c r="T62551" s="8"/>
      <c r="U62551" s="8"/>
      <c r="V62551" s="8"/>
      <c r="W62551" s="8"/>
      <c r="X62551" s="8"/>
      <c r="Y62551" s="8"/>
      <c r="Z62551" s="8"/>
      <c r="AA62551" s="8"/>
    </row>
    <row r="62552" spans="1:27" x14ac:dyDescent="0.25">
      <c r="A62552" s="8"/>
      <c r="B62552" s="8"/>
      <c r="C62552" s="99"/>
      <c r="D62552" s="8"/>
      <c r="E62552" s="8"/>
      <c r="F62552" s="8"/>
      <c r="G62552" s="8"/>
      <c r="H62552" s="8"/>
      <c r="I62552" s="102"/>
      <c r="J62552" s="8"/>
      <c r="K62552" s="8"/>
      <c r="L62552" s="8"/>
      <c r="M62552" s="8"/>
      <c r="N62552" s="8"/>
      <c r="O62552" s="8"/>
      <c r="P62552" s="8"/>
      <c r="Q62552" s="8"/>
      <c r="R62552" s="103"/>
      <c r="S62552" s="8"/>
      <c r="T62552" s="8"/>
      <c r="U62552" s="8"/>
      <c r="V62552" s="8"/>
      <c r="W62552" s="8"/>
      <c r="X62552" s="8"/>
      <c r="Y62552" s="8"/>
      <c r="Z62552" s="8"/>
      <c r="AA62552" s="8"/>
    </row>
    <row r="62553" spans="1:27" x14ac:dyDescent="0.25">
      <c r="A62553" s="8"/>
      <c r="B62553" s="8"/>
      <c r="C62553" s="99"/>
      <c r="D62553" s="8"/>
      <c r="E62553" s="8"/>
      <c r="F62553" s="8"/>
      <c r="G62553" s="8"/>
      <c r="H62553" s="8"/>
      <c r="I62553" s="102"/>
      <c r="J62553" s="8"/>
      <c r="K62553" s="8"/>
      <c r="L62553" s="8"/>
      <c r="M62553" s="8"/>
      <c r="N62553" s="8"/>
      <c r="O62553" s="8"/>
      <c r="P62553" s="8"/>
      <c r="Q62553" s="8"/>
      <c r="R62553" s="103"/>
      <c r="S62553" s="8"/>
      <c r="T62553" s="8"/>
      <c r="U62553" s="8"/>
      <c r="V62553" s="8"/>
      <c r="W62553" s="8"/>
      <c r="X62553" s="8"/>
      <c r="Y62553" s="8"/>
      <c r="Z62553" s="8"/>
      <c r="AA62553" s="8"/>
    </row>
    <row r="62554" spans="1:27" x14ac:dyDescent="0.25">
      <c r="A62554" s="8"/>
      <c r="B62554" s="8"/>
      <c r="C62554" s="99"/>
      <c r="D62554" s="8"/>
      <c r="E62554" s="8"/>
      <c r="F62554" s="8"/>
      <c r="G62554" s="8"/>
      <c r="H62554" s="8"/>
      <c r="I62554" s="102"/>
      <c r="J62554" s="8"/>
      <c r="K62554" s="8"/>
      <c r="L62554" s="8"/>
      <c r="M62554" s="8"/>
      <c r="N62554" s="8"/>
      <c r="O62554" s="8"/>
      <c r="P62554" s="8"/>
      <c r="Q62554" s="8"/>
      <c r="R62554" s="103"/>
      <c r="S62554" s="8"/>
      <c r="T62554" s="8"/>
      <c r="U62554" s="8"/>
      <c r="V62554" s="8"/>
      <c r="W62554" s="8"/>
      <c r="X62554" s="8"/>
      <c r="Y62554" s="8"/>
      <c r="Z62554" s="8"/>
      <c r="AA62554" s="8"/>
    </row>
    <row r="62555" spans="1:27" x14ac:dyDescent="0.25">
      <c r="A62555" s="8"/>
      <c r="B62555" s="8"/>
      <c r="C62555" s="99"/>
      <c r="D62555" s="8"/>
      <c r="E62555" s="8"/>
      <c r="F62555" s="8"/>
      <c r="G62555" s="8"/>
      <c r="H62555" s="8"/>
      <c r="I62555" s="102"/>
      <c r="J62555" s="8"/>
      <c r="K62555" s="8"/>
      <c r="L62555" s="8"/>
      <c r="M62555" s="8"/>
      <c r="N62555" s="8"/>
      <c r="O62555" s="8"/>
      <c r="P62555" s="8"/>
      <c r="Q62555" s="8"/>
      <c r="R62555" s="103"/>
      <c r="S62555" s="8"/>
      <c r="T62555" s="8"/>
      <c r="U62555" s="8"/>
      <c r="V62555" s="8"/>
      <c r="W62555" s="8"/>
      <c r="X62555" s="8"/>
      <c r="Y62555" s="8"/>
      <c r="Z62555" s="8"/>
      <c r="AA62555" s="8"/>
    </row>
    <row r="62556" spans="1:27" x14ac:dyDescent="0.25">
      <c r="A62556" s="8"/>
      <c r="B62556" s="8"/>
      <c r="C62556" s="99"/>
      <c r="D62556" s="8"/>
      <c r="E62556" s="8"/>
      <c r="F62556" s="8"/>
      <c r="G62556" s="8"/>
      <c r="H62556" s="8"/>
      <c r="I62556" s="102"/>
      <c r="J62556" s="8"/>
      <c r="K62556" s="8"/>
      <c r="L62556" s="8"/>
      <c r="M62556" s="8"/>
      <c r="N62556" s="8"/>
      <c r="O62556" s="8"/>
      <c r="P62556" s="8"/>
      <c r="Q62556" s="8"/>
      <c r="R62556" s="103"/>
      <c r="S62556" s="8"/>
      <c r="T62556" s="8"/>
      <c r="U62556" s="8"/>
      <c r="V62556" s="8"/>
      <c r="W62556" s="8"/>
      <c r="X62556" s="8"/>
      <c r="Y62556" s="8"/>
      <c r="Z62556" s="8"/>
      <c r="AA62556" s="8"/>
    </row>
    <row r="62557" spans="1:27" x14ac:dyDescent="0.25">
      <c r="A62557" s="8"/>
      <c r="B62557" s="8"/>
      <c r="C62557" s="99"/>
      <c r="D62557" s="8"/>
      <c r="E62557" s="8"/>
      <c r="F62557" s="8"/>
      <c r="G62557" s="8"/>
      <c r="H62557" s="8"/>
      <c r="I62557" s="102"/>
      <c r="J62557" s="8"/>
      <c r="K62557" s="8"/>
      <c r="L62557" s="8"/>
      <c r="M62557" s="8"/>
      <c r="N62557" s="8"/>
      <c r="O62557" s="8"/>
      <c r="P62557" s="8"/>
      <c r="Q62557" s="8"/>
      <c r="R62557" s="103"/>
      <c r="S62557" s="8"/>
      <c r="T62557" s="8"/>
      <c r="U62557" s="8"/>
      <c r="V62557" s="8"/>
      <c r="W62557" s="8"/>
      <c r="X62557" s="8"/>
      <c r="Y62557" s="8"/>
      <c r="Z62557" s="8"/>
      <c r="AA62557" s="8"/>
    </row>
    <row r="62558" spans="1:27" x14ac:dyDescent="0.25">
      <c r="A62558" s="8"/>
      <c r="B62558" s="8"/>
      <c r="C62558" s="99"/>
      <c r="D62558" s="8"/>
      <c r="E62558" s="8"/>
      <c r="F62558" s="8"/>
      <c r="G62558" s="8"/>
      <c r="H62558" s="8"/>
      <c r="I62558" s="102"/>
      <c r="J62558" s="8"/>
      <c r="K62558" s="8"/>
      <c r="L62558" s="8"/>
      <c r="M62558" s="8"/>
      <c r="N62558" s="8"/>
      <c r="O62558" s="8"/>
      <c r="P62558" s="8"/>
      <c r="Q62558" s="8"/>
      <c r="R62558" s="103"/>
      <c r="S62558" s="8"/>
      <c r="T62558" s="8"/>
      <c r="U62558" s="8"/>
      <c r="V62558" s="8"/>
      <c r="W62558" s="8"/>
      <c r="X62558" s="8"/>
      <c r="Y62558" s="8"/>
      <c r="Z62558" s="8"/>
      <c r="AA62558" s="8"/>
    </row>
    <row r="62559" spans="1:27" x14ac:dyDescent="0.25">
      <c r="A62559" s="8"/>
      <c r="B62559" s="8"/>
      <c r="C62559" s="99"/>
      <c r="D62559" s="8"/>
      <c r="E62559" s="8"/>
      <c r="F62559" s="8"/>
      <c r="G62559" s="8"/>
      <c r="H62559" s="8"/>
      <c r="I62559" s="102"/>
      <c r="J62559" s="8"/>
      <c r="K62559" s="8"/>
      <c r="L62559" s="8"/>
      <c r="M62559" s="8"/>
      <c r="N62559" s="8"/>
      <c r="O62559" s="8"/>
      <c r="P62559" s="8"/>
      <c r="Q62559" s="8"/>
      <c r="R62559" s="103"/>
      <c r="S62559" s="8"/>
      <c r="T62559" s="8"/>
      <c r="U62559" s="8"/>
      <c r="V62559" s="8"/>
      <c r="W62559" s="8"/>
      <c r="X62559" s="8"/>
      <c r="Y62559" s="8"/>
      <c r="Z62559" s="8"/>
      <c r="AA62559" s="8"/>
    </row>
    <row r="62560" spans="1:27" x14ac:dyDescent="0.25">
      <c r="A62560" s="8"/>
      <c r="B62560" s="8"/>
      <c r="C62560" s="99"/>
      <c r="D62560" s="8"/>
      <c r="E62560" s="8"/>
      <c r="F62560" s="8"/>
      <c r="G62560" s="8"/>
      <c r="H62560" s="8"/>
      <c r="I62560" s="102"/>
      <c r="J62560" s="8"/>
      <c r="K62560" s="8"/>
      <c r="L62560" s="8"/>
      <c r="M62560" s="8"/>
      <c r="N62560" s="8"/>
      <c r="O62560" s="8"/>
      <c r="P62560" s="8"/>
      <c r="Q62560" s="8"/>
      <c r="R62560" s="103"/>
      <c r="S62560" s="8"/>
      <c r="T62560" s="8"/>
      <c r="U62560" s="8"/>
      <c r="V62560" s="8"/>
      <c r="W62560" s="8"/>
      <c r="X62560" s="8"/>
      <c r="Y62560" s="8"/>
      <c r="Z62560" s="8"/>
      <c r="AA62560" s="8"/>
    </row>
    <row r="62561" spans="1:27" x14ac:dyDescent="0.25">
      <c r="A62561" s="8"/>
      <c r="B62561" s="8"/>
      <c r="C62561" s="99"/>
      <c r="D62561" s="8"/>
      <c r="E62561" s="8"/>
      <c r="F62561" s="8"/>
      <c r="G62561" s="8"/>
      <c r="H62561" s="8"/>
      <c r="I62561" s="102"/>
      <c r="J62561" s="8"/>
      <c r="K62561" s="8"/>
      <c r="L62561" s="8"/>
      <c r="M62561" s="8"/>
      <c r="N62561" s="8"/>
      <c r="O62561" s="8"/>
      <c r="P62561" s="8"/>
      <c r="Q62561" s="8"/>
      <c r="R62561" s="103"/>
      <c r="S62561" s="8"/>
      <c r="T62561" s="8"/>
      <c r="U62561" s="8"/>
      <c r="V62561" s="8"/>
      <c r="W62561" s="8"/>
      <c r="X62561" s="8"/>
      <c r="Y62561" s="8"/>
      <c r="Z62561" s="8"/>
      <c r="AA62561" s="8"/>
    </row>
    <row r="62562" spans="1:27" x14ac:dyDescent="0.25">
      <c r="A62562" s="8"/>
      <c r="B62562" s="8"/>
      <c r="C62562" s="99"/>
      <c r="D62562" s="8"/>
      <c r="E62562" s="8"/>
      <c r="F62562" s="8"/>
      <c r="G62562" s="8"/>
      <c r="H62562" s="8"/>
      <c r="I62562" s="102"/>
      <c r="J62562" s="8"/>
      <c r="K62562" s="8"/>
      <c r="L62562" s="8"/>
      <c r="M62562" s="8"/>
      <c r="N62562" s="8"/>
      <c r="O62562" s="8"/>
      <c r="P62562" s="8"/>
      <c r="Q62562" s="8"/>
      <c r="R62562" s="103"/>
      <c r="S62562" s="8"/>
      <c r="T62562" s="8"/>
      <c r="U62562" s="8"/>
      <c r="V62562" s="8"/>
      <c r="W62562" s="8"/>
      <c r="X62562" s="8"/>
      <c r="Y62562" s="8"/>
      <c r="Z62562" s="8"/>
      <c r="AA62562" s="8"/>
    </row>
    <row r="62563" spans="1:27" x14ac:dyDescent="0.25">
      <c r="A62563" s="8"/>
      <c r="B62563" s="8"/>
      <c r="C62563" s="99"/>
      <c r="D62563" s="8"/>
      <c r="E62563" s="8"/>
      <c r="F62563" s="8"/>
      <c r="G62563" s="8"/>
      <c r="H62563" s="8"/>
      <c r="I62563" s="102"/>
      <c r="J62563" s="8"/>
      <c r="K62563" s="8"/>
      <c r="L62563" s="8"/>
      <c r="M62563" s="8"/>
      <c r="N62563" s="8"/>
      <c r="O62563" s="8"/>
      <c r="P62563" s="8"/>
      <c r="Q62563" s="8"/>
      <c r="R62563" s="103"/>
      <c r="S62563" s="8"/>
      <c r="T62563" s="8"/>
      <c r="U62563" s="8"/>
      <c r="V62563" s="8"/>
      <c r="W62563" s="8"/>
      <c r="X62563" s="8"/>
      <c r="Y62563" s="8"/>
      <c r="Z62563" s="8"/>
      <c r="AA62563" s="8"/>
    </row>
    <row r="62564" spans="1:27" x14ac:dyDescent="0.25">
      <c r="A62564" s="8"/>
      <c r="B62564" s="8"/>
      <c r="C62564" s="99"/>
      <c r="D62564" s="8"/>
      <c r="E62564" s="8"/>
      <c r="F62564" s="8"/>
      <c r="G62564" s="8"/>
      <c r="H62564" s="8"/>
      <c r="I62564" s="102"/>
      <c r="J62564" s="8"/>
      <c r="K62564" s="8"/>
      <c r="L62564" s="8"/>
      <c r="M62564" s="8"/>
      <c r="N62564" s="8"/>
      <c r="O62564" s="8"/>
      <c r="P62564" s="8"/>
      <c r="Q62564" s="8"/>
      <c r="R62564" s="103"/>
      <c r="S62564" s="8"/>
      <c r="T62564" s="8"/>
      <c r="U62564" s="8"/>
      <c r="V62564" s="8"/>
      <c r="W62564" s="8"/>
      <c r="X62564" s="8"/>
      <c r="Y62564" s="8"/>
      <c r="Z62564" s="8"/>
      <c r="AA62564" s="8"/>
    </row>
    <row r="62565" spans="1:27" x14ac:dyDescent="0.25">
      <c r="A62565" s="8"/>
      <c r="B62565" s="8"/>
      <c r="C62565" s="99"/>
      <c r="D62565" s="8"/>
      <c r="E62565" s="8"/>
      <c r="F62565" s="8"/>
      <c r="G62565" s="8"/>
      <c r="H62565" s="8"/>
      <c r="I62565" s="102"/>
      <c r="J62565" s="8"/>
      <c r="K62565" s="8"/>
      <c r="L62565" s="8"/>
      <c r="M62565" s="8"/>
      <c r="N62565" s="8"/>
      <c r="O62565" s="8"/>
      <c r="P62565" s="8"/>
      <c r="Q62565" s="8"/>
      <c r="R62565" s="103"/>
      <c r="S62565" s="8"/>
      <c r="T62565" s="8"/>
      <c r="U62565" s="8"/>
      <c r="V62565" s="8"/>
      <c r="W62565" s="8"/>
      <c r="X62565" s="8"/>
      <c r="Y62565" s="8"/>
      <c r="Z62565" s="8"/>
      <c r="AA62565" s="8"/>
    </row>
    <row r="62566" spans="1:27" x14ac:dyDescent="0.25">
      <c r="A62566" s="8"/>
      <c r="B62566" s="8"/>
      <c r="C62566" s="99"/>
      <c r="D62566" s="8"/>
      <c r="E62566" s="8"/>
      <c r="F62566" s="8"/>
      <c r="G62566" s="8"/>
      <c r="H62566" s="8"/>
      <c r="I62566" s="102"/>
      <c r="J62566" s="8"/>
      <c r="K62566" s="8"/>
      <c r="L62566" s="8"/>
      <c r="M62566" s="8"/>
      <c r="N62566" s="8"/>
      <c r="O62566" s="8"/>
      <c r="P62566" s="8"/>
      <c r="Q62566" s="8"/>
      <c r="R62566" s="103"/>
      <c r="S62566" s="8"/>
      <c r="T62566" s="8"/>
      <c r="U62566" s="8"/>
      <c r="V62566" s="8"/>
      <c r="W62566" s="8"/>
      <c r="X62566" s="8"/>
      <c r="Y62566" s="8"/>
      <c r="Z62566" s="8"/>
      <c r="AA62566" s="8"/>
    </row>
    <row r="62567" spans="1:27" x14ac:dyDescent="0.25">
      <c r="A62567" s="8"/>
      <c r="B62567" s="8"/>
      <c r="C62567" s="99"/>
      <c r="D62567" s="8"/>
      <c r="E62567" s="8"/>
      <c r="F62567" s="8"/>
      <c r="G62567" s="8"/>
      <c r="H62567" s="8"/>
      <c r="I62567" s="102"/>
      <c r="J62567" s="8"/>
      <c r="K62567" s="8"/>
      <c r="L62567" s="8"/>
      <c r="M62567" s="8"/>
      <c r="N62567" s="8"/>
      <c r="O62567" s="8"/>
      <c r="P62567" s="8"/>
      <c r="Q62567" s="8"/>
      <c r="R62567" s="103"/>
      <c r="S62567" s="8"/>
      <c r="T62567" s="8"/>
      <c r="U62567" s="8"/>
      <c r="V62567" s="8"/>
      <c r="W62567" s="8"/>
      <c r="X62567" s="8"/>
      <c r="Y62567" s="8"/>
      <c r="Z62567" s="8"/>
      <c r="AA62567" s="8"/>
    </row>
    <row r="62568" spans="1:27" x14ac:dyDescent="0.25">
      <c r="A62568" s="8"/>
      <c r="B62568" s="8"/>
      <c r="C62568" s="99"/>
      <c r="D62568" s="8"/>
      <c r="E62568" s="8"/>
      <c r="F62568" s="8"/>
      <c r="G62568" s="8"/>
      <c r="H62568" s="8"/>
      <c r="I62568" s="102"/>
      <c r="J62568" s="8"/>
      <c r="K62568" s="8"/>
      <c r="L62568" s="8"/>
      <c r="M62568" s="8"/>
      <c r="N62568" s="8"/>
      <c r="O62568" s="8"/>
      <c r="P62568" s="8"/>
      <c r="Q62568" s="8"/>
      <c r="R62568" s="103"/>
      <c r="S62568" s="8"/>
      <c r="T62568" s="8"/>
      <c r="U62568" s="8"/>
      <c r="V62568" s="8"/>
      <c r="W62568" s="8"/>
      <c r="X62568" s="8"/>
      <c r="Y62568" s="8"/>
      <c r="Z62568" s="8"/>
      <c r="AA62568" s="8"/>
    </row>
    <row r="62569" spans="1:27" x14ac:dyDescent="0.25">
      <c r="A62569" s="8"/>
      <c r="B62569" s="8"/>
      <c r="C62569" s="99"/>
      <c r="D62569" s="8"/>
      <c r="E62569" s="8"/>
      <c r="F62569" s="8"/>
      <c r="G62569" s="8"/>
      <c r="H62569" s="8"/>
      <c r="I62569" s="102"/>
      <c r="J62569" s="8"/>
      <c r="K62569" s="8"/>
      <c r="L62569" s="8"/>
      <c r="M62569" s="8"/>
      <c r="N62569" s="8"/>
      <c r="O62569" s="8"/>
      <c r="P62569" s="8"/>
      <c r="Q62569" s="8"/>
      <c r="R62569" s="103"/>
      <c r="S62569" s="8"/>
      <c r="T62569" s="8"/>
      <c r="U62569" s="8"/>
      <c r="V62569" s="8"/>
      <c r="W62569" s="8"/>
      <c r="X62569" s="8"/>
      <c r="Y62569" s="8"/>
      <c r="Z62569" s="8"/>
      <c r="AA62569" s="8"/>
    </row>
    <row r="62570" spans="1:27" x14ac:dyDescent="0.25">
      <c r="A62570" s="8"/>
      <c r="B62570" s="8"/>
      <c r="C62570" s="99"/>
      <c r="D62570" s="8"/>
      <c r="E62570" s="8"/>
      <c r="F62570" s="8"/>
      <c r="G62570" s="8"/>
      <c r="H62570" s="8"/>
      <c r="I62570" s="102"/>
      <c r="J62570" s="8"/>
      <c r="K62570" s="8"/>
      <c r="L62570" s="8"/>
      <c r="M62570" s="8"/>
      <c r="N62570" s="8"/>
      <c r="O62570" s="8"/>
      <c r="P62570" s="8"/>
      <c r="Q62570" s="8"/>
      <c r="R62570" s="103"/>
      <c r="S62570" s="8"/>
      <c r="T62570" s="8"/>
      <c r="U62570" s="8"/>
      <c r="V62570" s="8"/>
      <c r="W62570" s="8"/>
      <c r="X62570" s="8"/>
      <c r="Y62570" s="8"/>
      <c r="Z62570" s="8"/>
      <c r="AA62570" s="8"/>
    </row>
    <row r="62571" spans="1:27" x14ac:dyDescent="0.25">
      <c r="A62571" s="8"/>
      <c r="B62571" s="8"/>
      <c r="C62571" s="99"/>
      <c r="D62571" s="8"/>
      <c r="E62571" s="8"/>
      <c r="F62571" s="8"/>
      <c r="G62571" s="8"/>
      <c r="H62571" s="8"/>
      <c r="I62571" s="102"/>
      <c r="J62571" s="8"/>
      <c r="K62571" s="8"/>
      <c r="L62571" s="8"/>
      <c r="M62571" s="8"/>
      <c r="N62571" s="8"/>
      <c r="O62571" s="8"/>
      <c r="P62571" s="8"/>
      <c r="Q62571" s="8"/>
      <c r="R62571" s="103"/>
      <c r="S62571" s="8"/>
      <c r="T62571" s="8"/>
      <c r="U62571" s="8"/>
      <c r="V62571" s="8"/>
      <c r="W62571" s="8"/>
      <c r="X62571" s="8"/>
      <c r="Y62571" s="8"/>
      <c r="Z62571" s="8"/>
      <c r="AA62571" s="8"/>
    </row>
    <row r="62572" spans="1:27" x14ac:dyDescent="0.25">
      <c r="A62572" s="8"/>
      <c r="B62572" s="8"/>
      <c r="C62572" s="99"/>
      <c r="D62572" s="8"/>
      <c r="E62572" s="8"/>
      <c r="F62572" s="8"/>
      <c r="G62572" s="8"/>
      <c r="H62572" s="8"/>
      <c r="I62572" s="102"/>
      <c r="J62572" s="8"/>
      <c r="K62572" s="8"/>
      <c r="L62572" s="8"/>
      <c r="M62572" s="8"/>
      <c r="N62572" s="8"/>
      <c r="O62572" s="8"/>
      <c r="P62572" s="8"/>
      <c r="Q62572" s="8"/>
      <c r="R62572" s="103"/>
      <c r="S62572" s="8"/>
      <c r="T62572" s="8"/>
      <c r="U62572" s="8"/>
      <c r="V62572" s="8"/>
      <c r="W62572" s="8"/>
      <c r="X62572" s="8"/>
      <c r="Y62572" s="8"/>
      <c r="Z62572" s="8"/>
      <c r="AA62572" s="8"/>
    </row>
    <row r="62573" spans="1:27" x14ac:dyDescent="0.25">
      <c r="A62573" s="8"/>
      <c r="B62573" s="8"/>
      <c r="C62573" s="99"/>
      <c r="D62573" s="8"/>
      <c r="E62573" s="8"/>
      <c r="F62573" s="8"/>
      <c r="G62573" s="8"/>
      <c r="H62573" s="8"/>
      <c r="I62573" s="102"/>
      <c r="J62573" s="8"/>
      <c r="K62573" s="8"/>
      <c r="L62573" s="8"/>
      <c r="M62573" s="8"/>
      <c r="N62573" s="8"/>
      <c r="O62573" s="8"/>
      <c r="P62573" s="8"/>
      <c r="Q62573" s="8"/>
      <c r="R62573" s="103"/>
      <c r="S62573" s="8"/>
      <c r="T62573" s="8"/>
      <c r="U62573" s="8"/>
      <c r="V62573" s="8"/>
      <c r="W62573" s="8"/>
      <c r="X62573" s="8"/>
      <c r="Y62573" s="8"/>
      <c r="Z62573" s="8"/>
      <c r="AA62573" s="8"/>
    </row>
    <row r="62574" spans="1:27" x14ac:dyDescent="0.25">
      <c r="A62574" s="8"/>
      <c r="B62574" s="8"/>
      <c r="C62574" s="99"/>
      <c r="D62574" s="8"/>
      <c r="E62574" s="8"/>
      <c r="F62574" s="8"/>
      <c r="G62574" s="8"/>
      <c r="H62574" s="8"/>
      <c r="I62574" s="102"/>
      <c r="J62574" s="8"/>
      <c r="K62574" s="8"/>
      <c r="L62574" s="8"/>
      <c r="M62574" s="8"/>
      <c r="N62574" s="8"/>
      <c r="O62574" s="8"/>
      <c r="P62574" s="8"/>
      <c r="Q62574" s="8"/>
      <c r="R62574" s="103"/>
      <c r="S62574" s="8"/>
      <c r="T62574" s="8"/>
      <c r="U62574" s="8"/>
      <c r="V62574" s="8"/>
      <c r="W62574" s="8"/>
      <c r="X62574" s="8"/>
      <c r="Y62574" s="8"/>
      <c r="Z62574" s="8"/>
      <c r="AA62574" s="8"/>
    </row>
    <row r="62575" spans="1:27" x14ac:dyDescent="0.25">
      <c r="A62575" s="8"/>
      <c r="B62575" s="8"/>
      <c r="C62575" s="99"/>
      <c r="D62575" s="8"/>
      <c r="E62575" s="8"/>
      <c r="F62575" s="8"/>
      <c r="G62575" s="8"/>
      <c r="H62575" s="8"/>
      <c r="I62575" s="102"/>
      <c r="J62575" s="8"/>
      <c r="K62575" s="8"/>
      <c r="L62575" s="8"/>
      <c r="M62575" s="8"/>
      <c r="N62575" s="8"/>
      <c r="O62575" s="8"/>
      <c r="P62575" s="8"/>
      <c r="Q62575" s="8"/>
      <c r="R62575" s="103"/>
      <c r="S62575" s="8"/>
      <c r="T62575" s="8"/>
      <c r="U62575" s="8"/>
      <c r="V62575" s="8"/>
      <c r="W62575" s="8"/>
      <c r="X62575" s="8"/>
      <c r="Y62575" s="8"/>
      <c r="Z62575" s="8"/>
      <c r="AA62575" s="8"/>
    </row>
    <row r="62576" spans="1:27" x14ac:dyDescent="0.25">
      <c r="A62576" s="8"/>
      <c r="B62576" s="8"/>
      <c r="C62576" s="99"/>
      <c r="D62576" s="8"/>
      <c r="E62576" s="8"/>
      <c r="F62576" s="8"/>
      <c r="G62576" s="8"/>
      <c r="H62576" s="8"/>
      <c r="I62576" s="102"/>
      <c r="J62576" s="8"/>
      <c r="K62576" s="8"/>
      <c r="L62576" s="8"/>
      <c r="M62576" s="8"/>
      <c r="N62576" s="8"/>
      <c r="O62576" s="8"/>
      <c r="P62576" s="8"/>
      <c r="Q62576" s="8"/>
      <c r="R62576" s="103"/>
      <c r="S62576" s="8"/>
      <c r="T62576" s="8"/>
      <c r="U62576" s="8"/>
      <c r="V62576" s="8"/>
      <c r="W62576" s="8"/>
      <c r="X62576" s="8"/>
      <c r="Y62576" s="8"/>
      <c r="Z62576" s="8"/>
      <c r="AA62576" s="8"/>
    </row>
    <row r="62577" spans="1:27" x14ac:dyDescent="0.25">
      <c r="A62577" s="8"/>
      <c r="B62577" s="8"/>
      <c r="C62577" s="99"/>
      <c r="D62577" s="8"/>
      <c r="E62577" s="8"/>
      <c r="F62577" s="8"/>
      <c r="G62577" s="8"/>
      <c r="H62577" s="8"/>
      <c r="I62577" s="102"/>
      <c r="J62577" s="8"/>
      <c r="K62577" s="8"/>
      <c r="L62577" s="8"/>
      <c r="M62577" s="8"/>
      <c r="N62577" s="8"/>
      <c r="O62577" s="8"/>
      <c r="P62577" s="8"/>
      <c r="Q62577" s="8"/>
      <c r="R62577" s="103"/>
      <c r="S62577" s="8"/>
      <c r="T62577" s="8"/>
      <c r="U62577" s="8"/>
      <c r="V62577" s="8"/>
      <c r="W62577" s="8"/>
      <c r="X62577" s="8"/>
      <c r="Y62577" s="8"/>
      <c r="Z62577" s="8"/>
      <c r="AA62577" s="8"/>
    </row>
    <row r="62578" spans="1:27" x14ac:dyDescent="0.25">
      <c r="A62578" s="8"/>
      <c r="B62578" s="8"/>
      <c r="C62578" s="99"/>
      <c r="D62578" s="8"/>
      <c r="E62578" s="8"/>
      <c r="F62578" s="8"/>
      <c r="G62578" s="8"/>
      <c r="H62578" s="8"/>
      <c r="I62578" s="102"/>
      <c r="J62578" s="8"/>
      <c r="K62578" s="8"/>
      <c r="L62578" s="8"/>
      <c r="M62578" s="8"/>
      <c r="N62578" s="8"/>
      <c r="O62578" s="8"/>
      <c r="P62578" s="8"/>
      <c r="Q62578" s="8"/>
      <c r="R62578" s="103"/>
      <c r="S62578" s="8"/>
      <c r="T62578" s="8"/>
      <c r="U62578" s="8"/>
      <c r="V62578" s="8"/>
      <c r="W62578" s="8"/>
      <c r="X62578" s="8"/>
      <c r="Y62578" s="8"/>
      <c r="Z62578" s="8"/>
      <c r="AA62578" s="8"/>
    </row>
    <row r="62579" spans="1:27" x14ac:dyDescent="0.25">
      <c r="A62579" s="8"/>
      <c r="B62579" s="8"/>
      <c r="C62579" s="99"/>
      <c r="D62579" s="8"/>
      <c r="E62579" s="8"/>
      <c r="F62579" s="8"/>
      <c r="G62579" s="8"/>
      <c r="H62579" s="8"/>
      <c r="I62579" s="102"/>
      <c r="J62579" s="8"/>
      <c r="K62579" s="8"/>
      <c r="L62579" s="8"/>
      <c r="M62579" s="8"/>
      <c r="N62579" s="8"/>
      <c r="O62579" s="8"/>
      <c r="P62579" s="8"/>
      <c r="Q62579" s="8"/>
      <c r="R62579" s="103"/>
      <c r="S62579" s="8"/>
      <c r="T62579" s="8"/>
      <c r="U62579" s="8"/>
      <c r="V62579" s="8"/>
      <c r="W62579" s="8"/>
      <c r="X62579" s="8"/>
      <c r="Y62579" s="8"/>
      <c r="Z62579" s="8"/>
      <c r="AA62579" s="8"/>
    </row>
    <row r="62580" spans="1:27" x14ac:dyDescent="0.25">
      <c r="A62580" s="8"/>
      <c r="B62580" s="8"/>
      <c r="C62580" s="99"/>
      <c r="D62580" s="8"/>
      <c r="E62580" s="8"/>
      <c r="F62580" s="8"/>
      <c r="G62580" s="8"/>
      <c r="H62580" s="8"/>
      <c r="I62580" s="102"/>
      <c r="J62580" s="8"/>
      <c r="K62580" s="8"/>
      <c r="L62580" s="8"/>
      <c r="M62580" s="8"/>
      <c r="N62580" s="8"/>
      <c r="O62580" s="8"/>
      <c r="P62580" s="8"/>
      <c r="Q62580" s="8"/>
      <c r="R62580" s="103"/>
      <c r="S62580" s="8"/>
      <c r="T62580" s="8"/>
      <c r="U62580" s="8"/>
      <c r="V62580" s="8"/>
      <c r="W62580" s="8"/>
      <c r="X62580" s="8"/>
      <c r="Y62580" s="8"/>
      <c r="Z62580" s="8"/>
      <c r="AA62580" s="8"/>
    </row>
    <row r="62581" spans="1:27" x14ac:dyDescent="0.25">
      <c r="A62581" s="8"/>
      <c r="B62581" s="8"/>
      <c r="C62581" s="99"/>
      <c r="D62581" s="8"/>
      <c r="E62581" s="8"/>
      <c r="F62581" s="8"/>
      <c r="G62581" s="8"/>
      <c r="H62581" s="8"/>
      <c r="I62581" s="102"/>
      <c r="J62581" s="8"/>
      <c r="K62581" s="8"/>
      <c r="L62581" s="8"/>
      <c r="M62581" s="8"/>
      <c r="N62581" s="8"/>
      <c r="O62581" s="8"/>
      <c r="P62581" s="8"/>
      <c r="Q62581" s="8"/>
      <c r="R62581" s="103"/>
      <c r="S62581" s="8"/>
      <c r="T62581" s="8"/>
      <c r="U62581" s="8"/>
      <c r="V62581" s="8"/>
      <c r="W62581" s="8"/>
      <c r="X62581" s="8"/>
      <c r="Y62581" s="8"/>
      <c r="Z62581" s="8"/>
      <c r="AA62581" s="8"/>
    </row>
    <row r="62582" spans="1:27" x14ac:dyDescent="0.25">
      <c r="A62582" s="8"/>
      <c r="B62582" s="8"/>
      <c r="C62582" s="99"/>
      <c r="D62582" s="8"/>
      <c r="E62582" s="8"/>
      <c r="F62582" s="8"/>
      <c r="G62582" s="8"/>
      <c r="H62582" s="8"/>
      <c r="I62582" s="102"/>
      <c r="J62582" s="8"/>
      <c r="K62582" s="8"/>
      <c r="L62582" s="8"/>
      <c r="M62582" s="8"/>
      <c r="N62582" s="8"/>
      <c r="O62582" s="8"/>
      <c r="P62582" s="8"/>
      <c r="Q62582" s="8"/>
      <c r="R62582" s="103"/>
      <c r="S62582" s="8"/>
      <c r="T62582" s="8"/>
      <c r="U62582" s="8"/>
      <c r="V62582" s="8"/>
      <c r="W62582" s="8"/>
      <c r="X62582" s="8"/>
      <c r="Y62582" s="8"/>
      <c r="Z62582" s="8"/>
      <c r="AA62582" s="8"/>
    </row>
    <row r="62583" spans="1:27" x14ac:dyDescent="0.25">
      <c r="A62583" s="8"/>
      <c r="B62583" s="8"/>
      <c r="C62583" s="99"/>
      <c r="D62583" s="8"/>
      <c r="E62583" s="8"/>
      <c r="F62583" s="8"/>
      <c r="G62583" s="8"/>
      <c r="H62583" s="8"/>
      <c r="I62583" s="102"/>
      <c r="J62583" s="8"/>
      <c r="K62583" s="8"/>
      <c r="L62583" s="8"/>
      <c r="M62583" s="8"/>
      <c r="N62583" s="8"/>
      <c r="O62583" s="8"/>
      <c r="P62583" s="8"/>
      <c r="Q62583" s="8"/>
      <c r="R62583" s="103"/>
      <c r="S62583" s="8"/>
      <c r="T62583" s="8"/>
      <c r="U62583" s="8"/>
      <c r="V62583" s="8"/>
      <c r="W62583" s="8"/>
      <c r="X62583" s="8"/>
      <c r="Y62583" s="8"/>
      <c r="Z62583" s="8"/>
      <c r="AA62583" s="8"/>
    </row>
    <row r="62584" spans="1:27" x14ac:dyDescent="0.25">
      <c r="A62584" s="8"/>
      <c r="B62584" s="8"/>
      <c r="C62584" s="99"/>
      <c r="D62584" s="8"/>
      <c r="E62584" s="8"/>
      <c r="F62584" s="8"/>
      <c r="G62584" s="8"/>
      <c r="H62584" s="8"/>
      <c r="I62584" s="102"/>
      <c r="J62584" s="8"/>
      <c r="K62584" s="8"/>
      <c r="L62584" s="8"/>
      <c r="M62584" s="8"/>
      <c r="N62584" s="8"/>
      <c r="O62584" s="8"/>
      <c r="P62584" s="8"/>
      <c r="Q62584" s="8"/>
      <c r="R62584" s="103"/>
      <c r="S62584" s="8"/>
      <c r="T62584" s="8"/>
      <c r="U62584" s="8"/>
      <c r="V62584" s="8"/>
      <c r="W62584" s="8"/>
      <c r="X62584" s="8"/>
      <c r="Y62584" s="8"/>
      <c r="Z62584" s="8"/>
      <c r="AA62584" s="8"/>
    </row>
    <row r="62585" spans="1:27" x14ac:dyDescent="0.25">
      <c r="A62585" s="8"/>
      <c r="B62585" s="8"/>
      <c r="C62585" s="99"/>
      <c r="D62585" s="8"/>
      <c r="E62585" s="8"/>
      <c r="F62585" s="8"/>
      <c r="G62585" s="8"/>
      <c r="H62585" s="8"/>
      <c r="I62585" s="102"/>
      <c r="J62585" s="8"/>
      <c r="K62585" s="8"/>
      <c r="L62585" s="8"/>
      <c r="M62585" s="8"/>
      <c r="N62585" s="8"/>
      <c r="O62585" s="8"/>
      <c r="P62585" s="8"/>
      <c r="Q62585" s="8"/>
      <c r="R62585" s="103"/>
      <c r="S62585" s="8"/>
      <c r="T62585" s="8"/>
      <c r="U62585" s="8"/>
      <c r="V62585" s="8"/>
      <c r="W62585" s="8"/>
      <c r="X62585" s="8"/>
      <c r="Y62585" s="8"/>
      <c r="Z62585" s="8"/>
      <c r="AA62585" s="8"/>
    </row>
    <row r="62586" spans="1:27" x14ac:dyDescent="0.25">
      <c r="A62586" s="8"/>
      <c r="B62586" s="8"/>
      <c r="C62586" s="99"/>
      <c r="D62586" s="8"/>
      <c r="E62586" s="8"/>
      <c r="F62586" s="8"/>
      <c r="G62586" s="8"/>
      <c r="H62586" s="8"/>
      <c r="I62586" s="102"/>
      <c r="J62586" s="8"/>
      <c r="K62586" s="8"/>
      <c r="L62586" s="8"/>
      <c r="M62586" s="8"/>
      <c r="N62586" s="8"/>
      <c r="O62586" s="8"/>
      <c r="P62586" s="8"/>
      <c r="Q62586" s="8"/>
      <c r="R62586" s="103"/>
      <c r="S62586" s="8"/>
      <c r="T62586" s="8"/>
      <c r="U62586" s="8"/>
      <c r="V62586" s="8"/>
      <c r="W62586" s="8"/>
      <c r="X62586" s="8"/>
      <c r="Y62586" s="8"/>
      <c r="Z62586" s="8"/>
      <c r="AA62586" s="8"/>
    </row>
    <row r="62587" spans="1:27" x14ac:dyDescent="0.25">
      <c r="A62587" s="8"/>
      <c r="B62587" s="8"/>
      <c r="C62587" s="99"/>
      <c r="D62587" s="8"/>
      <c r="E62587" s="8"/>
      <c r="F62587" s="8"/>
      <c r="G62587" s="8"/>
      <c r="H62587" s="8"/>
      <c r="I62587" s="102"/>
      <c r="J62587" s="8"/>
      <c r="K62587" s="8"/>
      <c r="L62587" s="8"/>
      <c r="M62587" s="8"/>
      <c r="N62587" s="8"/>
      <c r="O62587" s="8"/>
      <c r="P62587" s="8"/>
      <c r="Q62587" s="8"/>
      <c r="R62587" s="103"/>
      <c r="S62587" s="8"/>
      <c r="T62587" s="8"/>
      <c r="U62587" s="8"/>
      <c r="V62587" s="8"/>
      <c r="W62587" s="8"/>
      <c r="X62587" s="8"/>
      <c r="Y62587" s="8"/>
      <c r="Z62587" s="8"/>
      <c r="AA62587" s="8"/>
    </row>
    <row r="62588" spans="1:27" x14ac:dyDescent="0.25">
      <c r="A62588" s="8"/>
      <c r="B62588" s="8"/>
      <c r="C62588" s="99"/>
      <c r="D62588" s="8"/>
      <c r="E62588" s="8"/>
      <c r="F62588" s="8"/>
      <c r="G62588" s="8"/>
      <c r="H62588" s="8"/>
      <c r="I62588" s="102"/>
      <c r="J62588" s="8"/>
      <c r="K62588" s="8"/>
      <c r="L62588" s="8"/>
      <c r="M62588" s="8"/>
      <c r="N62588" s="8"/>
      <c r="O62588" s="8"/>
      <c r="P62588" s="8"/>
      <c r="Q62588" s="8"/>
      <c r="R62588" s="103"/>
      <c r="S62588" s="8"/>
      <c r="T62588" s="8"/>
      <c r="U62588" s="8"/>
      <c r="V62588" s="8"/>
      <c r="W62588" s="8"/>
      <c r="X62588" s="8"/>
      <c r="Y62588" s="8"/>
      <c r="Z62588" s="8"/>
      <c r="AA62588" s="8"/>
    </row>
    <row r="62589" spans="1:27" x14ac:dyDescent="0.25">
      <c r="A62589" s="8"/>
      <c r="B62589" s="8"/>
      <c r="C62589" s="99"/>
      <c r="D62589" s="8"/>
      <c r="E62589" s="8"/>
      <c r="F62589" s="8"/>
      <c r="G62589" s="8"/>
      <c r="H62589" s="8"/>
      <c r="I62589" s="102"/>
      <c r="J62589" s="8"/>
      <c r="K62589" s="8"/>
      <c r="L62589" s="8"/>
      <c r="M62589" s="8"/>
      <c r="N62589" s="8"/>
      <c r="O62589" s="8"/>
      <c r="P62589" s="8"/>
      <c r="Q62589" s="8"/>
      <c r="R62589" s="103"/>
      <c r="S62589" s="8"/>
      <c r="T62589" s="8"/>
      <c r="U62589" s="8"/>
      <c r="V62589" s="8"/>
      <c r="W62589" s="8"/>
      <c r="X62589" s="8"/>
      <c r="Y62589" s="8"/>
      <c r="Z62589" s="8"/>
      <c r="AA62589" s="8"/>
    </row>
    <row r="62590" spans="1:27" x14ac:dyDescent="0.25">
      <c r="A62590" s="8"/>
      <c r="B62590" s="8"/>
      <c r="C62590" s="99"/>
      <c r="D62590" s="8"/>
      <c r="E62590" s="8"/>
      <c r="F62590" s="8"/>
      <c r="G62590" s="8"/>
      <c r="H62590" s="8"/>
      <c r="I62590" s="102"/>
      <c r="J62590" s="8"/>
      <c r="K62590" s="8"/>
      <c r="L62590" s="8"/>
      <c r="M62590" s="8"/>
      <c r="N62590" s="8"/>
      <c r="O62590" s="8"/>
      <c r="P62590" s="8"/>
      <c r="Q62590" s="8"/>
      <c r="R62590" s="103"/>
      <c r="S62590" s="8"/>
      <c r="T62590" s="8"/>
      <c r="U62590" s="8"/>
      <c r="V62590" s="8"/>
      <c r="W62590" s="8"/>
      <c r="X62590" s="8"/>
      <c r="Y62590" s="8"/>
      <c r="Z62590" s="8"/>
      <c r="AA62590" s="8"/>
    </row>
    <row r="62591" spans="1:27" x14ac:dyDescent="0.25">
      <c r="A62591" s="8"/>
      <c r="B62591" s="8"/>
      <c r="C62591" s="99"/>
      <c r="D62591" s="8"/>
      <c r="E62591" s="8"/>
      <c r="F62591" s="8"/>
      <c r="G62591" s="8"/>
      <c r="H62591" s="8"/>
      <c r="I62591" s="102"/>
      <c r="J62591" s="8"/>
      <c r="K62591" s="8"/>
      <c r="L62591" s="8"/>
      <c r="M62591" s="8"/>
      <c r="N62591" s="8"/>
      <c r="O62591" s="8"/>
      <c r="P62591" s="8"/>
      <c r="Q62591" s="8"/>
      <c r="R62591" s="103"/>
      <c r="S62591" s="8"/>
      <c r="T62591" s="8"/>
      <c r="U62591" s="8"/>
      <c r="V62591" s="8"/>
      <c r="W62591" s="8"/>
      <c r="X62591" s="8"/>
      <c r="Y62591" s="8"/>
      <c r="Z62591" s="8"/>
      <c r="AA62591" s="8"/>
    </row>
    <row r="62592" spans="1:27" x14ac:dyDescent="0.25">
      <c r="A62592" s="8"/>
      <c r="B62592" s="8"/>
      <c r="C62592" s="99"/>
      <c r="D62592" s="8"/>
      <c r="E62592" s="8"/>
      <c r="F62592" s="8"/>
      <c r="G62592" s="8"/>
      <c r="H62592" s="8"/>
      <c r="I62592" s="102"/>
      <c r="J62592" s="8"/>
      <c r="K62592" s="8"/>
      <c r="L62592" s="8"/>
      <c r="M62592" s="8"/>
      <c r="N62592" s="8"/>
      <c r="O62592" s="8"/>
      <c r="P62592" s="8"/>
      <c r="Q62592" s="8"/>
      <c r="R62592" s="103"/>
      <c r="S62592" s="8"/>
      <c r="T62592" s="8"/>
      <c r="U62592" s="8"/>
      <c r="V62592" s="8"/>
      <c r="W62592" s="8"/>
      <c r="X62592" s="8"/>
      <c r="Y62592" s="8"/>
      <c r="Z62592" s="8"/>
      <c r="AA62592" s="8"/>
    </row>
    <row r="62593" spans="1:27" x14ac:dyDescent="0.25">
      <c r="A62593" s="8"/>
      <c r="B62593" s="8"/>
      <c r="C62593" s="99"/>
      <c r="D62593" s="8"/>
      <c r="E62593" s="8"/>
      <c r="F62593" s="8"/>
      <c r="G62593" s="8"/>
      <c r="H62593" s="8"/>
      <c r="I62593" s="102"/>
      <c r="J62593" s="8"/>
      <c r="K62593" s="8"/>
      <c r="L62593" s="8"/>
      <c r="M62593" s="8"/>
      <c r="N62593" s="8"/>
      <c r="O62593" s="8"/>
      <c r="P62593" s="8"/>
      <c r="Q62593" s="8"/>
      <c r="R62593" s="103"/>
      <c r="S62593" s="8"/>
      <c r="T62593" s="8"/>
      <c r="U62593" s="8"/>
      <c r="V62593" s="8"/>
      <c r="W62593" s="8"/>
      <c r="X62593" s="8"/>
      <c r="Y62593" s="8"/>
      <c r="Z62593" s="8"/>
      <c r="AA62593" s="8"/>
    </row>
    <row r="62594" spans="1:27" x14ac:dyDescent="0.25">
      <c r="A62594" s="8"/>
      <c r="B62594" s="8"/>
      <c r="C62594" s="99"/>
      <c r="D62594" s="8"/>
      <c r="E62594" s="8"/>
      <c r="F62594" s="8"/>
      <c r="G62594" s="8"/>
      <c r="H62594" s="8"/>
      <c r="I62594" s="102"/>
      <c r="J62594" s="8"/>
      <c r="K62594" s="8"/>
      <c r="L62594" s="8"/>
      <c r="M62594" s="8"/>
      <c r="N62594" s="8"/>
      <c r="O62594" s="8"/>
      <c r="P62594" s="8"/>
      <c r="Q62594" s="8"/>
      <c r="R62594" s="103"/>
      <c r="S62594" s="8"/>
      <c r="T62594" s="8"/>
      <c r="U62594" s="8"/>
      <c r="V62594" s="8"/>
      <c r="W62594" s="8"/>
      <c r="X62594" s="8"/>
      <c r="Y62594" s="8"/>
      <c r="Z62594" s="8"/>
      <c r="AA62594" s="8"/>
    </row>
    <row r="62595" spans="1:27" x14ac:dyDescent="0.25">
      <c r="A62595" s="8"/>
      <c r="B62595" s="8"/>
      <c r="C62595" s="99"/>
      <c r="D62595" s="8"/>
      <c r="E62595" s="8"/>
      <c r="F62595" s="8"/>
      <c r="G62595" s="8"/>
      <c r="H62595" s="8"/>
      <c r="I62595" s="102"/>
      <c r="J62595" s="8"/>
      <c r="K62595" s="8"/>
      <c r="L62595" s="8"/>
      <c r="M62595" s="8"/>
      <c r="N62595" s="8"/>
      <c r="O62595" s="8"/>
      <c r="P62595" s="8"/>
      <c r="Q62595" s="8"/>
      <c r="R62595" s="103"/>
      <c r="S62595" s="8"/>
      <c r="T62595" s="8"/>
      <c r="U62595" s="8"/>
      <c r="V62595" s="8"/>
      <c r="W62595" s="8"/>
      <c r="X62595" s="8"/>
      <c r="Y62595" s="8"/>
      <c r="Z62595" s="8"/>
      <c r="AA62595" s="8"/>
    </row>
    <row r="62596" spans="1:27" x14ac:dyDescent="0.25">
      <c r="A62596" s="8"/>
      <c r="B62596" s="8"/>
      <c r="C62596" s="99"/>
      <c r="D62596" s="8"/>
      <c r="E62596" s="8"/>
      <c r="F62596" s="8"/>
      <c r="G62596" s="8"/>
      <c r="H62596" s="8"/>
      <c r="I62596" s="102"/>
      <c r="J62596" s="8"/>
      <c r="K62596" s="8"/>
      <c r="L62596" s="8"/>
      <c r="M62596" s="8"/>
      <c r="N62596" s="8"/>
      <c r="O62596" s="8"/>
      <c r="P62596" s="8"/>
      <c r="Q62596" s="8"/>
      <c r="R62596" s="103"/>
      <c r="S62596" s="8"/>
      <c r="T62596" s="8"/>
      <c r="U62596" s="8"/>
      <c r="V62596" s="8"/>
      <c r="W62596" s="8"/>
      <c r="X62596" s="8"/>
      <c r="Y62596" s="8"/>
      <c r="Z62596" s="8"/>
      <c r="AA62596" s="8"/>
    </row>
    <row r="62597" spans="1:27" x14ac:dyDescent="0.25">
      <c r="A62597" s="8"/>
      <c r="B62597" s="8"/>
      <c r="C62597" s="99"/>
      <c r="D62597" s="8"/>
      <c r="E62597" s="8"/>
      <c r="F62597" s="8"/>
      <c r="G62597" s="8"/>
      <c r="H62597" s="8"/>
      <c r="I62597" s="102"/>
      <c r="J62597" s="8"/>
      <c r="K62597" s="8"/>
      <c r="L62597" s="8"/>
      <c r="M62597" s="8"/>
      <c r="N62597" s="8"/>
      <c r="O62597" s="8"/>
      <c r="P62597" s="8"/>
      <c r="Q62597" s="8"/>
      <c r="R62597" s="103"/>
      <c r="S62597" s="8"/>
      <c r="T62597" s="8"/>
      <c r="U62597" s="8"/>
      <c r="V62597" s="8"/>
      <c r="W62597" s="8"/>
      <c r="X62597" s="8"/>
      <c r="Y62597" s="8"/>
      <c r="Z62597" s="8"/>
      <c r="AA62597" s="8"/>
    </row>
    <row r="62598" spans="1:27" x14ac:dyDescent="0.25">
      <c r="A62598" s="8"/>
      <c r="B62598" s="8"/>
      <c r="C62598" s="99"/>
      <c r="D62598" s="8"/>
      <c r="E62598" s="8"/>
      <c r="F62598" s="8"/>
      <c r="G62598" s="8"/>
      <c r="H62598" s="8"/>
      <c r="I62598" s="102"/>
      <c r="J62598" s="8"/>
      <c r="K62598" s="8"/>
      <c r="L62598" s="8"/>
      <c r="M62598" s="8"/>
      <c r="N62598" s="8"/>
      <c r="O62598" s="8"/>
      <c r="P62598" s="8"/>
      <c r="Q62598" s="8"/>
      <c r="R62598" s="103"/>
      <c r="S62598" s="8"/>
      <c r="T62598" s="8"/>
      <c r="U62598" s="8"/>
      <c r="V62598" s="8"/>
      <c r="W62598" s="8"/>
      <c r="X62598" s="8"/>
      <c r="Y62598" s="8"/>
      <c r="Z62598" s="8"/>
      <c r="AA62598" s="8"/>
    </row>
    <row r="62599" spans="1:27" x14ac:dyDescent="0.25">
      <c r="A62599" s="8"/>
      <c r="B62599" s="8"/>
      <c r="C62599" s="99"/>
      <c r="D62599" s="8"/>
      <c r="E62599" s="8"/>
      <c r="F62599" s="8"/>
      <c r="G62599" s="8"/>
      <c r="H62599" s="8"/>
      <c r="I62599" s="102"/>
      <c r="J62599" s="8"/>
      <c r="K62599" s="8"/>
      <c r="L62599" s="8"/>
      <c r="M62599" s="8"/>
      <c r="N62599" s="8"/>
      <c r="O62599" s="8"/>
      <c r="P62599" s="8"/>
      <c r="Q62599" s="8"/>
      <c r="R62599" s="103"/>
      <c r="S62599" s="8"/>
      <c r="T62599" s="8"/>
      <c r="U62599" s="8"/>
      <c r="V62599" s="8"/>
      <c r="W62599" s="8"/>
      <c r="X62599" s="8"/>
      <c r="Y62599" s="8"/>
      <c r="Z62599" s="8"/>
      <c r="AA62599" s="8"/>
    </row>
    <row r="62600" spans="1:27" x14ac:dyDescent="0.25">
      <c r="A62600" s="8"/>
      <c r="B62600" s="8"/>
      <c r="C62600" s="99"/>
      <c r="D62600" s="8"/>
      <c r="E62600" s="8"/>
      <c r="F62600" s="8"/>
      <c r="G62600" s="8"/>
      <c r="H62600" s="8"/>
      <c r="I62600" s="102"/>
      <c r="J62600" s="8"/>
      <c r="K62600" s="8"/>
      <c r="L62600" s="8"/>
      <c r="M62600" s="8"/>
      <c r="N62600" s="8"/>
      <c r="O62600" s="8"/>
      <c r="P62600" s="8"/>
      <c r="Q62600" s="8"/>
      <c r="R62600" s="103"/>
      <c r="S62600" s="8"/>
      <c r="T62600" s="8"/>
      <c r="U62600" s="8"/>
      <c r="V62600" s="8"/>
      <c r="W62600" s="8"/>
      <c r="X62600" s="8"/>
      <c r="Y62600" s="8"/>
      <c r="Z62600" s="8"/>
      <c r="AA62600" s="8"/>
    </row>
    <row r="62601" spans="1:27" x14ac:dyDescent="0.25">
      <c r="A62601" s="8"/>
      <c r="B62601" s="8"/>
      <c r="C62601" s="99"/>
      <c r="D62601" s="8"/>
      <c r="E62601" s="8"/>
      <c r="F62601" s="8"/>
      <c r="G62601" s="8"/>
      <c r="H62601" s="8"/>
      <c r="I62601" s="102"/>
      <c r="J62601" s="8"/>
      <c r="K62601" s="8"/>
      <c r="L62601" s="8"/>
      <c r="M62601" s="8"/>
      <c r="N62601" s="8"/>
      <c r="O62601" s="8"/>
      <c r="P62601" s="8"/>
      <c r="Q62601" s="8"/>
      <c r="R62601" s="103"/>
      <c r="S62601" s="8"/>
      <c r="T62601" s="8"/>
      <c r="U62601" s="8"/>
      <c r="V62601" s="8"/>
      <c r="W62601" s="8"/>
      <c r="X62601" s="8"/>
      <c r="Y62601" s="8"/>
      <c r="Z62601" s="8"/>
      <c r="AA62601" s="8"/>
    </row>
    <row r="62602" spans="1:27" x14ac:dyDescent="0.25">
      <c r="A62602" s="8"/>
      <c r="B62602" s="8"/>
      <c r="C62602" s="99"/>
      <c r="D62602" s="8"/>
      <c r="E62602" s="8"/>
      <c r="F62602" s="8"/>
      <c r="G62602" s="8"/>
      <c r="H62602" s="8"/>
      <c r="I62602" s="102"/>
      <c r="J62602" s="8"/>
      <c r="K62602" s="8"/>
      <c r="L62602" s="8"/>
      <c r="M62602" s="8"/>
      <c r="N62602" s="8"/>
      <c r="O62602" s="8"/>
      <c r="P62602" s="8"/>
      <c r="Q62602" s="8"/>
      <c r="R62602" s="103"/>
      <c r="S62602" s="8"/>
      <c r="T62602" s="8"/>
      <c r="U62602" s="8"/>
      <c r="V62602" s="8"/>
      <c r="W62602" s="8"/>
      <c r="X62602" s="8"/>
      <c r="Y62602" s="8"/>
      <c r="Z62602" s="8"/>
      <c r="AA62602" s="8"/>
    </row>
    <row r="62603" spans="1:27" x14ac:dyDescent="0.25">
      <c r="A62603" s="8"/>
      <c r="B62603" s="8"/>
      <c r="C62603" s="99"/>
      <c r="D62603" s="8"/>
      <c r="E62603" s="8"/>
      <c r="F62603" s="8"/>
      <c r="G62603" s="8"/>
      <c r="H62603" s="8"/>
      <c r="I62603" s="102"/>
      <c r="J62603" s="8"/>
      <c r="K62603" s="8"/>
      <c r="L62603" s="8"/>
      <c r="M62603" s="8"/>
      <c r="N62603" s="8"/>
      <c r="O62603" s="8"/>
      <c r="P62603" s="8"/>
      <c r="Q62603" s="8"/>
      <c r="R62603" s="103"/>
      <c r="S62603" s="8"/>
      <c r="T62603" s="8"/>
      <c r="U62603" s="8"/>
      <c r="V62603" s="8"/>
      <c r="W62603" s="8"/>
      <c r="X62603" s="8"/>
      <c r="Y62603" s="8"/>
      <c r="Z62603" s="8"/>
      <c r="AA62603" s="8"/>
    </row>
    <row r="62604" spans="1:27" x14ac:dyDescent="0.25">
      <c r="A62604" s="8"/>
      <c r="B62604" s="8"/>
      <c r="C62604" s="99"/>
      <c r="D62604" s="8"/>
      <c r="E62604" s="8"/>
      <c r="F62604" s="8"/>
      <c r="G62604" s="8"/>
      <c r="H62604" s="8"/>
      <c r="I62604" s="102"/>
      <c r="J62604" s="8"/>
      <c r="K62604" s="8"/>
      <c r="L62604" s="8"/>
      <c r="M62604" s="8"/>
      <c r="N62604" s="8"/>
      <c r="O62604" s="8"/>
      <c r="P62604" s="8"/>
      <c r="Q62604" s="8"/>
      <c r="R62604" s="103"/>
      <c r="S62604" s="8"/>
      <c r="T62604" s="8"/>
      <c r="U62604" s="8"/>
      <c r="V62604" s="8"/>
      <c r="W62604" s="8"/>
      <c r="X62604" s="8"/>
      <c r="Y62604" s="8"/>
      <c r="Z62604" s="8"/>
      <c r="AA62604" s="8"/>
    </row>
    <row r="62605" spans="1:27" x14ac:dyDescent="0.25">
      <c r="A62605" s="8"/>
      <c r="B62605" s="8"/>
      <c r="C62605" s="99"/>
      <c r="D62605" s="8"/>
      <c r="E62605" s="8"/>
      <c r="F62605" s="8"/>
      <c r="G62605" s="8"/>
      <c r="H62605" s="8"/>
      <c r="I62605" s="102"/>
      <c r="J62605" s="8"/>
      <c r="K62605" s="8"/>
      <c r="L62605" s="8"/>
      <c r="M62605" s="8"/>
      <c r="N62605" s="8"/>
      <c r="O62605" s="8"/>
      <c r="P62605" s="8"/>
      <c r="Q62605" s="8"/>
      <c r="R62605" s="103"/>
      <c r="S62605" s="8"/>
      <c r="T62605" s="8"/>
      <c r="U62605" s="8"/>
      <c r="V62605" s="8"/>
      <c r="W62605" s="8"/>
      <c r="X62605" s="8"/>
      <c r="Y62605" s="8"/>
      <c r="Z62605" s="8"/>
      <c r="AA62605" s="8"/>
    </row>
    <row r="62606" spans="1:27" x14ac:dyDescent="0.25">
      <c r="A62606" s="8"/>
      <c r="B62606" s="8"/>
      <c r="C62606" s="99"/>
      <c r="D62606" s="8"/>
      <c r="E62606" s="8"/>
      <c r="F62606" s="8"/>
      <c r="G62606" s="8"/>
      <c r="H62606" s="8"/>
      <c r="I62606" s="102"/>
      <c r="J62606" s="8"/>
      <c r="K62606" s="8"/>
      <c r="L62606" s="8"/>
      <c r="M62606" s="8"/>
      <c r="N62606" s="8"/>
      <c r="O62606" s="8"/>
      <c r="P62606" s="8"/>
      <c r="Q62606" s="8"/>
      <c r="R62606" s="103"/>
      <c r="S62606" s="8"/>
      <c r="T62606" s="8"/>
      <c r="U62606" s="8"/>
      <c r="V62606" s="8"/>
      <c r="W62606" s="8"/>
      <c r="X62606" s="8"/>
      <c r="Y62606" s="8"/>
      <c r="Z62606" s="8"/>
      <c r="AA62606" s="8"/>
    </row>
    <row r="62607" spans="1:27" x14ac:dyDescent="0.25">
      <c r="A62607" s="8"/>
      <c r="B62607" s="8"/>
      <c r="C62607" s="99"/>
      <c r="D62607" s="8"/>
      <c r="E62607" s="8"/>
      <c r="F62607" s="8"/>
      <c r="G62607" s="8"/>
      <c r="H62607" s="8"/>
      <c r="I62607" s="102"/>
      <c r="J62607" s="8"/>
      <c r="K62607" s="8"/>
      <c r="L62607" s="8"/>
      <c r="M62607" s="8"/>
      <c r="N62607" s="8"/>
      <c r="O62607" s="8"/>
      <c r="P62607" s="8"/>
      <c r="Q62607" s="8"/>
      <c r="R62607" s="103"/>
      <c r="S62607" s="8"/>
      <c r="T62607" s="8"/>
      <c r="U62607" s="8"/>
      <c r="V62607" s="8"/>
      <c r="W62607" s="8"/>
      <c r="X62607" s="8"/>
      <c r="Y62607" s="8"/>
      <c r="Z62607" s="8"/>
      <c r="AA62607" s="8"/>
    </row>
    <row r="62608" spans="1:27" x14ac:dyDescent="0.25">
      <c r="A62608" s="8"/>
      <c r="B62608" s="8"/>
      <c r="C62608" s="99"/>
      <c r="D62608" s="8"/>
      <c r="E62608" s="8"/>
      <c r="F62608" s="8"/>
      <c r="G62608" s="8"/>
      <c r="H62608" s="8"/>
      <c r="I62608" s="102"/>
      <c r="J62608" s="8"/>
      <c r="K62608" s="8"/>
      <c r="L62608" s="8"/>
      <c r="M62608" s="8"/>
      <c r="N62608" s="8"/>
      <c r="O62608" s="8"/>
      <c r="P62608" s="8"/>
      <c r="Q62608" s="8"/>
      <c r="R62608" s="103"/>
      <c r="S62608" s="8"/>
      <c r="T62608" s="8"/>
      <c r="U62608" s="8"/>
      <c r="V62608" s="8"/>
      <c r="W62608" s="8"/>
      <c r="X62608" s="8"/>
      <c r="Y62608" s="8"/>
      <c r="Z62608" s="8"/>
      <c r="AA62608" s="8"/>
    </row>
    <row r="62609" spans="1:27" x14ac:dyDescent="0.25">
      <c r="A62609" s="8"/>
      <c r="B62609" s="8"/>
      <c r="C62609" s="99"/>
      <c r="D62609" s="8"/>
      <c r="E62609" s="8"/>
      <c r="F62609" s="8"/>
      <c r="G62609" s="8"/>
      <c r="H62609" s="8"/>
      <c r="I62609" s="102"/>
      <c r="J62609" s="8"/>
      <c r="K62609" s="8"/>
      <c r="L62609" s="8"/>
      <c r="M62609" s="8"/>
      <c r="N62609" s="8"/>
      <c r="O62609" s="8"/>
      <c r="P62609" s="8"/>
      <c r="Q62609" s="8"/>
      <c r="R62609" s="103"/>
      <c r="S62609" s="8"/>
      <c r="T62609" s="8"/>
      <c r="U62609" s="8"/>
      <c r="V62609" s="8"/>
      <c r="W62609" s="8"/>
      <c r="X62609" s="8"/>
      <c r="Y62609" s="8"/>
      <c r="Z62609" s="8"/>
      <c r="AA62609" s="8"/>
    </row>
    <row r="62610" spans="1:27" x14ac:dyDescent="0.25">
      <c r="A62610" s="8"/>
      <c r="B62610" s="8"/>
      <c r="C62610" s="99"/>
      <c r="D62610" s="8"/>
      <c r="E62610" s="8"/>
      <c r="F62610" s="8"/>
      <c r="G62610" s="8"/>
      <c r="H62610" s="8"/>
      <c r="I62610" s="102"/>
      <c r="J62610" s="8"/>
      <c r="K62610" s="8"/>
      <c r="L62610" s="8"/>
      <c r="M62610" s="8"/>
      <c r="N62610" s="8"/>
      <c r="O62610" s="8"/>
      <c r="P62610" s="8"/>
      <c r="Q62610" s="8"/>
      <c r="R62610" s="103"/>
      <c r="S62610" s="8"/>
      <c r="T62610" s="8"/>
      <c r="U62610" s="8"/>
      <c r="V62610" s="8"/>
      <c r="W62610" s="8"/>
      <c r="X62610" s="8"/>
      <c r="Y62610" s="8"/>
      <c r="Z62610" s="8"/>
      <c r="AA62610" s="8"/>
    </row>
    <row r="62611" spans="1:27" x14ac:dyDescent="0.25">
      <c r="A62611" s="8"/>
      <c r="B62611" s="8"/>
      <c r="C62611" s="99"/>
      <c r="D62611" s="8"/>
      <c r="E62611" s="8"/>
      <c r="F62611" s="8"/>
      <c r="G62611" s="8"/>
      <c r="H62611" s="8"/>
      <c r="I62611" s="102"/>
      <c r="J62611" s="8"/>
      <c r="K62611" s="8"/>
      <c r="L62611" s="8"/>
      <c r="M62611" s="8"/>
      <c r="N62611" s="8"/>
      <c r="O62611" s="8"/>
      <c r="P62611" s="8"/>
      <c r="Q62611" s="8"/>
      <c r="R62611" s="103"/>
      <c r="S62611" s="8"/>
      <c r="T62611" s="8"/>
      <c r="U62611" s="8"/>
      <c r="V62611" s="8"/>
      <c r="W62611" s="8"/>
      <c r="X62611" s="8"/>
      <c r="Y62611" s="8"/>
      <c r="Z62611" s="8"/>
      <c r="AA62611" s="8"/>
    </row>
    <row r="62612" spans="1:27" x14ac:dyDescent="0.25">
      <c r="A62612" s="8"/>
      <c r="B62612" s="8"/>
      <c r="C62612" s="99"/>
      <c r="D62612" s="8"/>
      <c r="E62612" s="8"/>
      <c r="F62612" s="8"/>
      <c r="G62612" s="8"/>
      <c r="H62612" s="8"/>
      <c r="I62612" s="102"/>
      <c r="J62612" s="8"/>
      <c r="K62612" s="8"/>
      <c r="L62612" s="8"/>
      <c r="M62612" s="8"/>
      <c r="N62612" s="8"/>
      <c r="O62612" s="8"/>
      <c r="P62612" s="8"/>
      <c r="Q62612" s="8"/>
      <c r="R62612" s="103"/>
      <c r="S62612" s="8"/>
      <c r="T62612" s="8"/>
      <c r="U62612" s="8"/>
      <c r="V62612" s="8"/>
      <c r="W62612" s="8"/>
      <c r="X62612" s="8"/>
      <c r="Y62612" s="8"/>
      <c r="Z62612" s="8"/>
      <c r="AA62612" s="8"/>
    </row>
    <row r="62613" spans="1:27" x14ac:dyDescent="0.25">
      <c r="A62613" s="8"/>
      <c r="B62613" s="8"/>
      <c r="C62613" s="99"/>
      <c r="D62613" s="8"/>
      <c r="E62613" s="8"/>
      <c r="F62613" s="8"/>
      <c r="G62613" s="8"/>
      <c r="H62613" s="8"/>
      <c r="I62613" s="102"/>
      <c r="J62613" s="8"/>
      <c r="K62613" s="8"/>
      <c r="L62613" s="8"/>
      <c r="M62613" s="8"/>
      <c r="N62613" s="8"/>
      <c r="O62613" s="8"/>
      <c r="P62613" s="8"/>
      <c r="Q62613" s="8"/>
      <c r="R62613" s="103"/>
      <c r="S62613" s="8"/>
      <c r="T62613" s="8"/>
      <c r="U62613" s="8"/>
      <c r="V62613" s="8"/>
      <c r="W62613" s="8"/>
      <c r="X62613" s="8"/>
      <c r="Y62613" s="8"/>
      <c r="Z62613" s="8"/>
      <c r="AA62613" s="8"/>
    </row>
    <row r="62614" spans="1:27" x14ac:dyDescent="0.25">
      <c r="A62614" s="8"/>
      <c r="B62614" s="8"/>
      <c r="C62614" s="99"/>
      <c r="D62614" s="8"/>
      <c r="E62614" s="8"/>
      <c r="F62614" s="8"/>
      <c r="G62614" s="8"/>
      <c r="H62614" s="8"/>
      <c r="I62614" s="102"/>
      <c r="J62614" s="8"/>
      <c r="K62614" s="8"/>
      <c r="L62614" s="8"/>
      <c r="M62614" s="8"/>
      <c r="N62614" s="8"/>
      <c r="O62614" s="8"/>
      <c r="P62614" s="8"/>
      <c r="Q62614" s="8"/>
      <c r="R62614" s="103"/>
      <c r="S62614" s="8"/>
      <c r="T62614" s="8"/>
      <c r="U62614" s="8"/>
      <c r="V62614" s="8"/>
      <c r="W62614" s="8"/>
      <c r="X62614" s="8"/>
      <c r="Y62614" s="8"/>
      <c r="Z62614" s="8"/>
      <c r="AA62614" s="8"/>
    </row>
    <row r="62615" spans="1:27" x14ac:dyDescent="0.25">
      <c r="A62615" s="8"/>
      <c r="B62615" s="8"/>
      <c r="C62615" s="99"/>
      <c r="D62615" s="8"/>
      <c r="E62615" s="8"/>
      <c r="F62615" s="8"/>
      <c r="G62615" s="8"/>
      <c r="H62615" s="8"/>
      <c r="I62615" s="102"/>
      <c r="J62615" s="8"/>
      <c r="K62615" s="8"/>
      <c r="L62615" s="8"/>
      <c r="M62615" s="8"/>
      <c r="N62615" s="8"/>
      <c r="O62615" s="8"/>
      <c r="P62615" s="8"/>
      <c r="Q62615" s="8"/>
      <c r="R62615" s="103"/>
      <c r="S62615" s="8"/>
      <c r="T62615" s="8"/>
      <c r="U62615" s="8"/>
      <c r="V62615" s="8"/>
      <c r="W62615" s="8"/>
      <c r="X62615" s="8"/>
      <c r="Y62615" s="8"/>
      <c r="Z62615" s="8"/>
      <c r="AA62615" s="8"/>
    </row>
    <row r="62616" spans="1:27" x14ac:dyDescent="0.25">
      <c r="A62616" s="8"/>
      <c r="B62616" s="8"/>
      <c r="C62616" s="99"/>
      <c r="D62616" s="8"/>
      <c r="E62616" s="8"/>
      <c r="F62616" s="8"/>
      <c r="G62616" s="8"/>
      <c r="H62616" s="8"/>
      <c r="I62616" s="102"/>
      <c r="J62616" s="8"/>
      <c r="K62616" s="8"/>
      <c r="L62616" s="8"/>
      <c r="M62616" s="8"/>
      <c r="N62616" s="8"/>
      <c r="O62616" s="8"/>
      <c r="P62616" s="8"/>
      <c r="Q62616" s="8"/>
      <c r="R62616" s="103"/>
      <c r="S62616" s="8"/>
      <c r="T62616" s="8"/>
      <c r="U62616" s="8"/>
      <c r="V62616" s="8"/>
      <c r="W62616" s="8"/>
      <c r="X62616" s="8"/>
      <c r="Y62616" s="8"/>
      <c r="Z62616" s="8"/>
      <c r="AA62616" s="8"/>
    </row>
    <row r="62617" spans="1:27" x14ac:dyDescent="0.25">
      <c r="A62617" s="8"/>
      <c r="B62617" s="8"/>
      <c r="C62617" s="99"/>
      <c r="D62617" s="8"/>
      <c r="E62617" s="8"/>
      <c r="F62617" s="8"/>
      <c r="G62617" s="8"/>
      <c r="H62617" s="8"/>
      <c r="I62617" s="102"/>
      <c r="J62617" s="8"/>
      <c r="K62617" s="8"/>
      <c r="L62617" s="8"/>
      <c r="M62617" s="8"/>
      <c r="N62617" s="8"/>
      <c r="O62617" s="8"/>
      <c r="P62617" s="8"/>
      <c r="Q62617" s="8"/>
      <c r="R62617" s="103"/>
      <c r="S62617" s="8"/>
      <c r="T62617" s="8"/>
      <c r="U62617" s="8"/>
      <c r="V62617" s="8"/>
      <c r="W62617" s="8"/>
      <c r="X62617" s="8"/>
      <c r="Y62617" s="8"/>
      <c r="Z62617" s="8"/>
      <c r="AA62617" s="8"/>
    </row>
    <row r="62618" spans="1:27" x14ac:dyDescent="0.25">
      <c r="A62618" s="8"/>
      <c r="B62618" s="8"/>
      <c r="C62618" s="99"/>
      <c r="D62618" s="8"/>
      <c r="E62618" s="8"/>
      <c r="F62618" s="8"/>
      <c r="G62618" s="8"/>
      <c r="H62618" s="8"/>
      <c r="I62618" s="102"/>
      <c r="J62618" s="8"/>
      <c r="K62618" s="8"/>
      <c r="L62618" s="8"/>
      <c r="M62618" s="8"/>
      <c r="N62618" s="8"/>
      <c r="O62618" s="8"/>
      <c r="P62618" s="8"/>
      <c r="Q62618" s="8"/>
      <c r="R62618" s="103"/>
      <c r="S62618" s="8"/>
      <c r="T62618" s="8"/>
      <c r="U62618" s="8"/>
      <c r="V62618" s="8"/>
      <c r="W62618" s="8"/>
      <c r="X62618" s="8"/>
      <c r="Y62618" s="8"/>
      <c r="Z62618" s="8"/>
      <c r="AA62618" s="8"/>
    </row>
    <row r="62619" spans="1:27" x14ac:dyDescent="0.25">
      <c r="A62619" s="8"/>
      <c r="B62619" s="8"/>
      <c r="C62619" s="99"/>
      <c r="D62619" s="8"/>
      <c r="E62619" s="8"/>
      <c r="F62619" s="8"/>
      <c r="G62619" s="8"/>
      <c r="H62619" s="8"/>
      <c r="I62619" s="102"/>
      <c r="J62619" s="8"/>
      <c r="K62619" s="8"/>
      <c r="L62619" s="8"/>
      <c r="M62619" s="8"/>
      <c r="N62619" s="8"/>
      <c r="O62619" s="8"/>
      <c r="P62619" s="8"/>
      <c r="Q62619" s="8"/>
      <c r="R62619" s="103"/>
      <c r="S62619" s="8"/>
      <c r="T62619" s="8"/>
      <c r="U62619" s="8"/>
      <c r="V62619" s="8"/>
      <c r="W62619" s="8"/>
      <c r="X62619" s="8"/>
      <c r="Y62619" s="8"/>
      <c r="Z62619" s="8"/>
      <c r="AA62619" s="8"/>
    </row>
    <row r="62620" spans="1:27" x14ac:dyDescent="0.25">
      <c r="A62620" s="8"/>
      <c r="B62620" s="8"/>
      <c r="C62620" s="99"/>
      <c r="D62620" s="8"/>
      <c r="E62620" s="8"/>
      <c r="F62620" s="8"/>
      <c r="G62620" s="8"/>
      <c r="H62620" s="8"/>
      <c r="I62620" s="102"/>
      <c r="J62620" s="8"/>
      <c r="K62620" s="8"/>
      <c r="L62620" s="8"/>
      <c r="M62620" s="8"/>
      <c r="N62620" s="8"/>
      <c r="O62620" s="8"/>
      <c r="P62620" s="8"/>
      <c r="Q62620" s="8"/>
      <c r="R62620" s="103"/>
      <c r="S62620" s="8"/>
      <c r="T62620" s="8"/>
      <c r="U62620" s="8"/>
      <c r="V62620" s="8"/>
      <c r="W62620" s="8"/>
      <c r="X62620" s="8"/>
      <c r="Y62620" s="8"/>
      <c r="Z62620" s="8"/>
      <c r="AA62620" s="8"/>
    </row>
    <row r="62621" spans="1:27" x14ac:dyDescent="0.25">
      <c r="A62621" s="8"/>
      <c r="B62621" s="8"/>
      <c r="C62621" s="99"/>
      <c r="D62621" s="8"/>
      <c r="E62621" s="8"/>
      <c r="F62621" s="8"/>
      <c r="G62621" s="8"/>
      <c r="H62621" s="8"/>
      <c r="I62621" s="102"/>
      <c r="J62621" s="8"/>
      <c r="K62621" s="8"/>
      <c r="L62621" s="8"/>
      <c r="M62621" s="8"/>
      <c r="N62621" s="8"/>
      <c r="O62621" s="8"/>
      <c r="P62621" s="8"/>
      <c r="Q62621" s="8"/>
      <c r="R62621" s="103"/>
      <c r="S62621" s="8"/>
      <c r="T62621" s="8"/>
      <c r="U62621" s="8"/>
      <c r="V62621" s="8"/>
      <c r="W62621" s="8"/>
      <c r="X62621" s="8"/>
      <c r="Y62621" s="8"/>
      <c r="Z62621" s="8"/>
      <c r="AA62621" s="8"/>
    </row>
    <row r="62622" spans="1:27" x14ac:dyDescent="0.25">
      <c r="A62622" s="8"/>
      <c r="B62622" s="8"/>
      <c r="C62622" s="99"/>
      <c r="D62622" s="8"/>
      <c r="E62622" s="8"/>
      <c r="F62622" s="8"/>
      <c r="G62622" s="8"/>
      <c r="H62622" s="8"/>
      <c r="I62622" s="102"/>
      <c r="J62622" s="8"/>
      <c r="K62622" s="8"/>
      <c r="L62622" s="8"/>
      <c r="M62622" s="8"/>
      <c r="N62622" s="8"/>
      <c r="O62622" s="8"/>
      <c r="P62622" s="8"/>
      <c r="Q62622" s="8"/>
      <c r="R62622" s="103"/>
      <c r="S62622" s="8"/>
      <c r="T62622" s="8"/>
      <c r="U62622" s="8"/>
      <c r="V62622" s="8"/>
      <c r="W62622" s="8"/>
      <c r="X62622" s="8"/>
      <c r="Y62622" s="8"/>
      <c r="Z62622" s="8"/>
      <c r="AA62622" s="8"/>
    </row>
    <row r="62623" spans="1:27" x14ac:dyDescent="0.25">
      <c r="A62623" s="8"/>
      <c r="B62623" s="8"/>
      <c r="C62623" s="99"/>
      <c r="D62623" s="8"/>
      <c r="E62623" s="8"/>
      <c r="F62623" s="8"/>
      <c r="G62623" s="8"/>
      <c r="H62623" s="8"/>
      <c r="I62623" s="102"/>
      <c r="J62623" s="8"/>
      <c r="K62623" s="8"/>
      <c r="L62623" s="8"/>
      <c r="M62623" s="8"/>
      <c r="N62623" s="8"/>
      <c r="O62623" s="8"/>
      <c r="P62623" s="8"/>
      <c r="Q62623" s="8"/>
      <c r="R62623" s="103"/>
      <c r="S62623" s="8"/>
      <c r="T62623" s="8"/>
      <c r="U62623" s="8"/>
      <c r="V62623" s="8"/>
      <c r="W62623" s="8"/>
      <c r="X62623" s="8"/>
      <c r="Y62623" s="8"/>
      <c r="Z62623" s="8"/>
      <c r="AA62623" s="8"/>
    </row>
    <row r="62624" spans="1:27" x14ac:dyDescent="0.25">
      <c r="A62624" s="8"/>
      <c r="B62624" s="8"/>
      <c r="C62624" s="99"/>
      <c r="D62624" s="8"/>
      <c r="E62624" s="8"/>
      <c r="F62624" s="8"/>
      <c r="G62624" s="8"/>
      <c r="H62624" s="8"/>
      <c r="I62624" s="102"/>
      <c r="J62624" s="8"/>
      <c r="K62624" s="8"/>
      <c r="L62624" s="8"/>
      <c r="M62624" s="8"/>
      <c r="N62624" s="8"/>
      <c r="O62624" s="8"/>
      <c r="P62624" s="8"/>
      <c r="Q62624" s="8"/>
      <c r="R62624" s="103"/>
      <c r="S62624" s="8"/>
      <c r="T62624" s="8"/>
      <c r="U62624" s="8"/>
      <c r="V62624" s="8"/>
      <c r="W62624" s="8"/>
      <c r="X62624" s="8"/>
      <c r="Y62624" s="8"/>
      <c r="Z62624" s="8"/>
      <c r="AA62624" s="8"/>
    </row>
    <row r="62625" spans="1:27" x14ac:dyDescent="0.25">
      <c r="A62625" s="8"/>
      <c r="B62625" s="8"/>
      <c r="C62625" s="99"/>
      <c r="D62625" s="8"/>
      <c r="E62625" s="8"/>
      <c r="F62625" s="8"/>
      <c r="G62625" s="8"/>
      <c r="H62625" s="8"/>
      <c r="I62625" s="102"/>
      <c r="J62625" s="8"/>
      <c r="K62625" s="8"/>
      <c r="L62625" s="8"/>
      <c r="M62625" s="8"/>
      <c r="N62625" s="8"/>
      <c r="O62625" s="8"/>
      <c r="P62625" s="8"/>
      <c r="Q62625" s="8"/>
      <c r="R62625" s="103"/>
      <c r="S62625" s="8"/>
      <c r="T62625" s="8"/>
      <c r="U62625" s="8"/>
      <c r="V62625" s="8"/>
      <c r="W62625" s="8"/>
      <c r="X62625" s="8"/>
      <c r="Y62625" s="8"/>
      <c r="Z62625" s="8"/>
      <c r="AA62625" s="8"/>
    </row>
    <row r="62626" spans="1:27" x14ac:dyDescent="0.25">
      <c r="A62626" s="8"/>
      <c r="B62626" s="8"/>
      <c r="C62626" s="99"/>
      <c r="D62626" s="8"/>
      <c r="E62626" s="8"/>
      <c r="F62626" s="8"/>
      <c r="G62626" s="8"/>
      <c r="H62626" s="8"/>
      <c r="I62626" s="102"/>
      <c r="J62626" s="8"/>
      <c r="K62626" s="8"/>
      <c r="L62626" s="8"/>
      <c r="M62626" s="8"/>
      <c r="N62626" s="8"/>
      <c r="O62626" s="8"/>
      <c r="P62626" s="8"/>
      <c r="Q62626" s="8"/>
      <c r="R62626" s="103"/>
      <c r="S62626" s="8"/>
      <c r="T62626" s="8"/>
      <c r="U62626" s="8"/>
      <c r="V62626" s="8"/>
      <c r="W62626" s="8"/>
      <c r="X62626" s="8"/>
      <c r="Y62626" s="8"/>
      <c r="Z62626" s="8"/>
      <c r="AA62626" s="8"/>
    </row>
    <row r="62627" spans="1:27" x14ac:dyDescent="0.25">
      <c r="A62627" s="8"/>
      <c r="B62627" s="8"/>
      <c r="C62627" s="99"/>
      <c r="D62627" s="8"/>
      <c r="E62627" s="8"/>
      <c r="F62627" s="8"/>
      <c r="G62627" s="8"/>
      <c r="H62627" s="8"/>
      <c r="I62627" s="102"/>
      <c r="J62627" s="8"/>
      <c r="K62627" s="8"/>
      <c r="L62627" s="8"/>
      <c r="M62627" s="8"/>
      <c r="N62627" s="8"/>
      <c r="O62627" s="8"/>
      <c r="P62627" s="8"/>
      <c r="Q62627" s="8"/>
      <c r="R62627" s="103"/>
      <c r="S62627" s="8"/>
      <c r="T62627" s="8"/>
      <c r="U62627" s="8"/>
      <c r="V62627" s="8"/>
      <c r="W62627" s="8"/>
      <c r="X62627" s="8"/>
      <c r="Y62627" s="8"/>
      <c r="Z62627" s="8"/>
      <c r="AA62627" s="8"/>
    </row>
    <row r="62628" spans="1:27" x14ac:dyDescent="0.25">
      <c r="A62628" s="8"/>
      <c r="B62628" s="8"/>
      <c r="C62628" s="99"/>
      <c r="D62628" s="8"/>
      <c r="E62628" s="8"/>
      <c r="F62628" s="8"/>
      <c r="G62628" s="8"/>
      <c r="H62628" s="8"/>
      <c r="I62628" s="102"/>
      <c r="J62628" s="8"/>
      <c r="K62628" s="8"/>
      <c r="L62628" s="8"/>
      <c r="M62628" s="8"/>
      <c r="N62628" s="8"/>
      <c r="O62628" s="8"/>
      <c r="P62628" s="8"/>
      <c r="Q62628" s="8"/>
      <c r="R62628" s="103"/>
      <c r="S62628" s="8"/>
      <c r="T62628" s="8"/>
      <c r="U62628" s="8"/>
      <c r="V62628" s="8"/>
      <c r="W62628" s="8"/>
      <c r="X62628" s="8"/>
      <c r="Y62628" s="8"/>
      <c r="Z62628" s="8"/>
      <c r="AA62628" s="8"/>
    </row>
    <row r="62629" spans="1:27" x14ac:dyDescent="0.25">
      <c r="A62629" s="8"/>
      <c r="B62629" s="8"/>
      <c r="C62629" s="99"/>
      <c r="D62629" s="8"/>
      <c r="E62629" s="8"/>
      <c r="F62629" s="8"/>
      <c r="G62629" s="8"/>
      <c r="H62629" s="8"/>
      <c r="I62629" s="102"/>
      <c r="J62629" s="8"/>
      <c r="K62629" s="8"/>
      <c r="L62629" s="8"/>
      <c r="M62629" s="8"/>
      <c r="N62629" s="8"/>
      <c r="O62629" s="8"/>
      <c r="P62629" s="8"/>
      <c r="Q62629" s="8"/>
      <c r="R62629" s="103"/>
      <c r="S62629" s="8"/>
      <c r="T62629" s="8"/>
      <c r="U62629" s="8"/>
      <c r="V62629" s="8"/>
      <c r="W62629" s="8"/>
      <c r="X62629" s="8"/>
      <c r="Y62629" s="8"/>
      <c r="Z62629" s="8"/>
      <c r="AA62629" s="8"/>
    </row>
    <row r="62630" spans="1:27" x14ac:dyDescent="0.25">
      <c r="A62630" s="8"/>
      <c r="B62630" s="8"/>
      <c r="C62630" s="99"/>
      <c r="D62630" s="8"/>
      <c r="E62630" s="8"/>
      <c r="F62630" s="8"/>
      <c r="G62630" s="8"/>
      <c r="H62630" s="8"/>
      <c r="I62630" s="102"/>
      <c r="J62630" s="8"/>
      <c r="K62630" s="8"/>
      <c r="L62630" s="8"/>
      <c r="M62630" s="8"/>
      <c r="N62630" s="8"/>
      <c r="O62630" s="8"/>
      <c r="P62630" s="8"/>
      <c r="Q62630" s="8"/>
      <c r="R62630" s="103"/>
      <c r="S62630" s="8"/>
      <c r="T62630" s="8"/>
      <c r="U62630" s="8"/>
      <c r="V62630" s="8"/>
      <c r="W62630" s="8"/>
      <c r="X62630" s="8"/>
      <c r="Y62630" s="8"/>
      <c r="Z62630" s="8"/>
      <c r="AA62630" s="8"/>
    </row>
    <row r="62631" spans="1:27" x14ac:dyDescent="0.25">
      <c r="A62631" s="8"/>
      <c r="B62631" s="8"/>
      <c r="C62631" s="99"/>
      <c r="D62631" s="8"/>
      <c r="E62631" s="8"/>
      <c r="F62631" s="8"/>
      <c r="G62631" s="8"/>
      <c r="H62631" s="8"/>
      <c r="I62631" s="102"/>
      <c r="J62631" s="8"/>
      <c r="K62631" s="8"/>
      <c r="L62631" s="8"/>
      <c r="M62631" s="8"/>
      <c r="N62631" s="8"/>
      <c r="O62631" s="8"/>
      <c r="P62631" s="8"/>
      <c r="Q62631" s="8"/>
      <c r="R62631" s="103"/>
      <c r="S62631" s="8"/>
      <c r="T62631" s="8"/>
      <c r="U62631" s="8"/>
      <c r="V62631" s="8"/>
      <c r="W62631" s="8"/>
      <c r="X62631" s="8"/>
      <c r="Y62631" s="8"/>
      <c r="Z62631" s="8"/>
      <c r="AA62631" s="8"/>
    </row>
    <row r="62632" spans="1:27" x14ac:dyDescent="0.25">
      <c r="A62632" s="8"/>
      <c r="B62632" s="8"/>
      <c r="C62632" s="99"/>
      <c r="D62632" s="8"/>
      <c r="E62632" s="8"/>
      <c r="F62632" s="8"/>
      <c r="G62632" s="8"/>
      <c r="H62632" s="8"/>
      <c r="I62632" s="102"/>
      <c r="J62632" s="8"/>
      <c r="K62632" s="8"/>
      <c r="L62632" s="8"/>
      <c r="M62632" s="8"/>
      <c r="N62632" s="8"/>
      <c r="O62632" s="8"/>
      <c r="P62632" s="8"/>
      <c r="Q62632" s="8"/>
      <c r="R62632" s="103"/>
      <c r="S62632" s="8"/>
      <c r="T62632" s="8"/>
      <c r="U62632" s="8"/>
      <c r="V62632" s="8"/>
      <c r="W62632" s="8"/>
      <c r="X62632" s="8"/>
      <c r="Y62632" s="8"/>
      <c r="Z62632" s="8"/>
      <c r="AA62632" s="8"/>
    </row>
    <row r="62633" spans="1:27" x14ac:dyDescent="0.25">
      <c r="A62633" s="8"/>
      <c r="B62633" s="8"/>
      <c r="C62633" s="99"/>
      <c r="D62633" s="8"/>
      <c r="E62633" s="8"/>
      <c r="F62633" s="8"/>
      <c r="G62633" s="8"/>
      <c r="H62633" s="8"/>
      <c r="I62633" s="102"/>
      <c r="J62633" s="8"/>
      <c r="K62633" s="8"/>
      <c r="L62633" s="8"/>
      <c r="M62633" s="8"/>
      <c r="N62633" s="8"/>
      <c r="O62633" s="8"/>
      <c r="P62633" s="8"/>
      <c r="Q62633" s="8"/>
      <c r="R62633" s="103"/>
      <c r="S62633" s="8"/>
      <c r="T62633" s="8"/>
      <c r="U62633" s="8"/>
      <c r="V62633" s="8"/>
      <c r="W62633" s="8"/>
      <c r="X62633" s="8"/>
      <c r="Y62633" s="8"/>
      <c r="Z62633" s="8"/>
      <c r="AA62633" s="8"/>
    </row>
    <row r="62634" spans="1:27" x14ac:dyDescent="0.25">
      <c r="A62634" s="8"/>
      <c r="B62634" s="8"/>
      <c r="C62634" s="99"/>
      <c r="D62634" s="8"/>
      <c r="E62634" s="8"/>
      <c r="F62634" s="8"/>
      <c r="G62634" s="8"/>
      <c r="H62634" s="8"/>
      <c r="I62634" s="102"/>
      <c r="J62634" s="8"/>
      <c r="K62634" s="8"/>
      <c r="L62634" s="8"/>
      <c r="M62634" s="8"/>
      <c r="N62634" s="8"/>
      <c r="O62634" s="8"/>
      <c r="P62634" s="8"/>
      <c r="Q62634" s="8"/>
      <c r="R62634" s="103"/>
      <c r="S62634" s="8"/>
      <c r="T62634" s="8"/>
      <c r="U62634" s="8"/>
      <c r="V62634" s="8"/>
      <c r="W62634" s="8"/>
      <c r="X62634" s="8"/>
      <c r="Y62634" s="8"/>
      <c r="Z62634" s="8"/>
      <c r="AA62634" s="8"/>
    </row>
    <row r="62635" spans="1:27" x14ac:dyDescent="0.25">
      <c r="A62635" s="8"/>
      <c r="B62635" s="8"/>
      <c r="C62635" s="99"/>
      <c r="D62635" s="8"/>
      <c r="E62635" s="8"/>
      <c r="F62635" s="8"/>
      <c r="G62635" s="8"/>
      <c r="H62635" s="8"/>
      <c r="I62635" s="102"/>
      <c r="J62635" s="8"/>
      <c r="K62635" s="8"/>
      <c r="L62635" s="8"/>
      <c r="M62635" s="8"/>
      <c r="N62635" s="8"/>
      <c r="O62635" s="8"/>
      <c r="P62635" s="8"/>
      <c r="Q62635" s="8"/>
      <c r="R62635" s="103"/>
      <c r="S62635" s="8"/>
      <c r="T62635" s="8"/>
      <c r="U62635" s="8"/>
      <c r="V62635" s="8"/>
      <c r="W62635" s="8"/>
      <c r="X62635" s="8"/>
      <c r="Y62635" s="8"/>
      <c r="Z62635" s="8"/>
      <c r="AA62635" s="8"/>
    </row>
    <row r="62636" spans="1:27" x14ac:dyDescent="0.25">
      <c r="A62636" s="8"/>
      <c r="B62636" s="8"/>
      <c r="C62636" s="99"/>
      <c r="D62636" s="8"/>
      <c r="E62636" s="8"/>
      <c r="F62636" s="8"/>
      <c r="G62636" s="8"/>
      <c r="H62636" s="8"/>
      <c r="I62636" s="102"/>
      <c r="J62636" s="8"/>
      <c r="K62636" s="8"/>
      <c r="L62636" s="8"/>
      <c r="M62636" s="8"/>
      <c r="N62636" s="8"/>
      <c r="O62636" s="8"/>
      <c r="P62636" s="8"/>
      <c r="Q62636" s="8"/>
      <c r="R62636" s="103"/>
      <c r="S62636" s="8"/>
      <c r="T62636" s="8"/>
      <c r="U62636" s="8"/>
      <c r="V62636" s="8"/>
      <c r="W62636" s="8"/>
      <c r="X62636" s="8"/>
      <c r="Y62636" s="8"/>
      <c r="Z62636" s="8"/>
      <c r="AA62636" s="8"/>
    </row>
    <row r="62637" spans="1:27" x14ac:dyDescent="0.25">
      <c r="A62637" s="8"/>
      <c r="B62637" s="8"/>
      <c r="C62637" s="99"/>
      <c r="D62637" s="8"/>
      <c r="E62637" s="8"/>
      <c r="F62637" s="8"/>
      <c r="G62637" s="8"/>
      <c r="H62637" s="8"/>
      <c r="I62637" s="102"/>
      <c r="J62637" s="8"/>
      <c r="K62637" s="8"/>
      <c r="L62637" s="8"/>
      <c r="M62637" s="8"/>
      <c r="N62637" s="8"/>
      <c r="O62637" s="8"/>
      <c r="P62637" s="8"/>
      <c r="Q62637" s="8"/>
      <c r="R62637" s="103"/>
      <c r="S62637" s="8"/>
      <c r="T62637" s="8"/>
      <c r="U62637" s="8"/>
      <c r="V62637" s="8"/>
      <c r="W62637" s="8"/>
      <c r="X62637" s="8"/>
      <c r="Y62637" s="8"/>
      <c r="Z62637" s="8"/>
      <c r="AA62637" s="8"/>
    </row>
    <row r="62638" spans="1:27" x14ac:dyDescent="0.25">
      <c r="A62638" s="8"/>
      <c r="B62638" s="8"/>
      <c r="C62638" s="99"/>
      <c r="D62638" s="8"/>
      <c r="E62638" s="8"/>
      <c r="F62638" s="8"/>
      <c r="G62638" s="8"/>
      <c r="H62638" s="8"/>
      <c r="I62638" s="102"/>
      <c r="J62638" s="8"/>
      <c r="K62638" s="8"/>
      <c r="L62638" s="8"/>
      <c r="M62638" s="8"/>
      <c r="N62638" s="8"/>
      <c r="O62638" s="8"/>
      <c r="P62638" s="8"/>
      <c r="Q62638" s="8"/>
      <c r="R62638" s="103"/>
      <c r="S62638" s="8"/>
      <c r="T62638" s="8"/>
      <c r="U62638" s="8"/>
      <c r="V62638" s="8"/>
      <c r="W62638" s="8"/>
      <c r="X62638" s="8"/>
      <c r="Y62638" s="8"/>
      <c r="Z62638" s="8"/>
      <c r="AA62638" s="8"/>
    </row>
    <row r="62639" spans="1:27" x14ac:dyDescent="0.25">
      <c r="A62639" s="8"/>
      <c r="B62639" s="8"/>
      <c r="C62639" s="99"/>
      <c r="D62639" s="8"/>
      <c r="E62639" s="8"/>
      <c r="F62639" s="8"/>
      <c r="G62639" s="8"/>
      <c r="H62639" s="8"/>
      <c r="I62639" s="102"/>
      <c r="J62639" s="8"/>
      <c r="K62639" s="8"/>
      <c r="L62639" s="8"/>
      <c r="M62639" s="8"/>
      <c r="N62639" s="8"/>
      <c r="O62639" s="8"/>
      <c r="P62639" s="8"/>
      <c r="Q62639" s="8"/>
      <c r="R62639" s="103"/>
      <c r="S62639" s="8"/>
      <c r="T62639" s="8"/>
      <c r="U62639" s="8"/>
      <c r="V62639" s="8"/>
      <c r="W62639" s="8"/>
      <c r="X62639" s="8"/>
      <c r="Y62639" s="8"/>
      <c r="Z62639" s="8"/>
      <c r="AA62639" s="8"/>
    </row>
    <row r="62640" spans="1:27" x14ac:dyDescent="0.25">
      <c r="A62640" s="8"/>
      <c r="B62640" s="8"/>
      <c r="C62640" s="99"/>
      <c r="D62640" s="8"/>
      <c r="E62640" s="8"/>
      <c r="F62640" s="8"/>
      <c r="G62640" s="8"/>
      <c r="H62640" s="8"/>
      <c r="I62640" s="102"/>
      <c r="J62640" s="8"/>
      <c r="K62640" s="8"/>
      <c r="L62640" s="8"/>
      <c r="M62640" s="8"/>
      <c r="N62640" s="8"/>
      <c r="O62640" s="8"/>
      <c r="P62640" s="8"/>
      <c r="Q62640" s="8"/>
      <c r="R62640" s="103"/>
      <c r="S62640" s="8"/>
      <c r="T62640" s="8"/>
      <c r="U62640" s="8"/>
      <c r="V62640" s="8"/>
      <c r="W62640" s="8"/>
      <c r="X62640" s="8"/>
      <c r="Y62640" s="8"/>
      <c r="Z62640" s="8"/>
      <c r="AA62640" s="8"/>
    </row>
    <row r="62641" spans="1:27" x14ac:dyDescent="0.25">
      <c r="A62641" s="8"/>
      <c r="B62641" s="8"/>
      <c r="C62641" s="99"/>
      <c r="D62641" s="8"/>
      <c r="E62641" s="8"/>
      <c r="F62641" s="8"/>
      <c r="G62641" s="8"/>
      <c r="H62641" s="8"/>
      <c r="I62641" s="102"/>
      <c r="J62641" s="8"/>
      <c r="K62641" s="8"/>
      <c r="L62641" s="8"/>
      <c r="M62641" s="8"/>
      <c r="N62641" s="8"/>
      <c r="O62641" s="8"/>
      <c r="P62641" s="8"/>
      <c r="Q62641" s="8"/>
      <c r="R62641" s="103"/>
      <c r="S62641" s="8"/>
      <c r="T62641" s="8"/>
      <c r="U62641" s="8"/>
      <c r="V62641" s="8"/>
      <c r="W62641" s="8"/>
      <c r="X62641" s="8"/>
      <c r="Y62641" s="8"/>
      <c r="Z62641" s="8"/>
      <c r="AA62641" s="8"/>
    </row>
    <row r="62642" spans="1:27" x14ac:dyDescent="0.25">
      <c r="A62642" s="8"/>
      <c r="B62642" s="8"/>
      <c r="C62642" s="99"/>
      <c r="D62642" s="8"/>
      <c r="E62642" s="8"/>
      <c r="F62642" s="8"/>
      <c r="G62642" s="8"/>
      <c r="H62642" s="8"/>
      <c r="I62642" s="102"/>
      <c r="J62642" s="8"/>
      <c r="K62642" s="8"/>
      <c r="L62642" s="8"/>
      <c r="M62642" s="8"/>
      <c r="N62642" s="8"/>
      <c r="O62642" s="8"/>
      <c r="P62642" s="8"/>
      <c r="Q62642" s="8"/>
      <c r="R62642" s="103"/>
      <c r="S62642" s="8"/>
      <c r="T62642" s="8"/>
      <c r="U62642" s="8"/>
      <c r="V62642" s="8"/>
      <c r="W62642" s="8"/>
      <c r="X62642" s="8"/>
      <c r="Y62642" s="8"/>
      <c r="Z62642" s="8"/>
      <c r="AA62642" s="8"/>
    </row>
    <row r="62643" spans="1:27" x14ac:dyDescent="0.25">
      <c r="A62643" s="8"/>
      <c r="B62643" s="8"/>
      <c r="C62643" s="99"/>
      <c r="D62643" s="8"/>
      <c r="E62643" s="8"/>
      <c r="F62643" s="8"/>
      <c r="G62643" s="8"/>
      <c r="H62643" s="8"/>
      <c r="I62643" s="102"/>
      <c r="J62643" s="8"/>
      <c r="K62643" s="8"/>
      <c r="L62643" s="8"/>
      <c r="M62643" s="8"/>
      <c r="N62643" s="8"/>
      <c r="O62643" s="8"/>
      <c r="P62643" s="8"/>
      <c r="Q62643" s="8"/>
      <c r="R62643" s="103"/>
      <c r="S62643" s="8"/>
      <c r="T62643" s="8"/>
      <c r="U62643" s="8"/>
      <c r="V62643" s="8"/>
      <c r="W62643" s="8"/>
      <c r="X62643" s="8"/>
      <c r="Y62643" s="8"/>
      <c r="Z62643" s="8"/>
      <c r="AA62643" s="8"/>
    </row>
    <row r="62644" spans="1:27" x14ac:dyDescent="0.25">
      <c r="A62644" s="8"/>
      <c r="B62644" s="8"/>
      <c r="C62644" s="99"/>
      <c r="D62644" s="8"/>
      <c r="E62644" s="8"/>
      <c r="F62644" s="8"/>
      <c r="G62644" s="8"/>
      <c r="H62644" s="8"/>
      <c r="I62644" s="102"/>
      <c r="J62644" s="8"/>
      <c r="K62644" s="8"/>
      <c r="L62644" s="8"/>
      <c r="M62644" s="8"/>
      <c r="N62644" s="8"/>
      <c r="O62644" s="8"/>
      <c r="P62644" s="8"/>
      <c r="Q62644" s="8"/>
      <c r="R62644" s="103"/>
      <c r="S62644" s="8"/>
      <c r="T62644" s="8"/>
      <c r="U62644" s="8"/>
      <c r="V62644" s="8"/>
      <c r="W62644" s="8"/>
      <c r="X62644" s="8"/>
      <c r="Y62644" s="8"/>
      <c r="Z62644" s="8"/>
      <c r="AA62644" s="8"/>
    </row>
    <row r="62645" spans="1:27" x14ac:dyDescent="0.25">
      <c r="A62645" s="8"/>
      <c r="B62645" s="8"/>
      <c r="C62645" s="99"/>
      <c r="D62645" s="8"/>
      <c r="E62645" s="8"/>
      <c r="F62645" s="8"/>
      <c r="G62645" s="8"/>
      <c r="H62645" s="8"/>
      <c r="I62645" s="102"/>
      <c r="J62645" s="8"/>
      <c r="K62645" s="8"/>
      <c r="L62645" s="8"/>
      <c r="M62645" s="8"/>
      <c r="N62645" s="8"/>
      <c r="O62645" s="8"/>
      <c r="P62645" s="8"/>
      <c r="Q62645" s="8"/>
      <c r="R62645" s="103"/>
      <c r="S62645" s="8"/>
      <c r="T62645" s="8"/>
      <c r="U62645" s="8"/>
      <c r="V62645" s="8"/>
      <c r="W62645" s="8"/>
      <c r="X62645" s="8"/>
      <c r="Y62645" s="8"/>
      <c r="Z62645" s="8"/>
      <c r="AA62645" s="8"/>
    </row>
    <row r="62646" spans="1:27" x14ac:dyDescent="0.25">
      <c r="A62646" s="8"/>
      <c r="B62646" s="8"/>
      <c r="C62646" s="99"/>
      <c r="D62646" s="8"/>
      <c r="E62646" s="8"/>
      <c r="F62646" s="8"/>
      <c r="G62646" s="8"/>
      <c r="H62646" s="8"/>
      <c r="I62646" s="102"/>
      <c r="J62646" s="8"/>
      <c r="K62646" s="8"/>
      <c r="L62646" s="8"/>
      <c r="M62646" s="8"/>
      <c r="N62646" s="8"/>
      <c r="O62646" s="8"/>
      <c r="P62646" s="8"/>
      <c r="Q62646" s="8"/>
      <c r="R62646" s="103"/>
      <c r="S62646" s="8"/>
      <c r="T62646" s="8"/>
      <c r="U62646" s="8"/>
      <c r="V62646" s="8"/>
      <c r="W62646" s="8"/>
      <c r="X62646" s="8"/>
      <c r="Y62646" s="8"/>
      <c r="Z62646" s="8"/>
      <c r="AA62646" s="8"/>
    </row>
    <row r="62647" spans="1:27" x14ac:dyDescent="0.25">
      <c r="A62647" s="8"/>
      <c r="B62647" s="8"/>
      <c r="C62647" s="99"/>
      <c r="D62647" s="8"/>
      <c r="E62647" s="8"/>
      <c r="F62647" s="8"/>
      <c r="G62647" s="8"/>
      <c r="H62647" s="8"/>
      <c r="I62647" s="102"/>
      <c r="J62647" s="8"/>
      <c r="K62647" s="8"/>
      <c r="L62647" s="8"/>
      <c r="M62647" s="8"/>
      <c r="N62647" s="8"/>
      <c r="O62647" s="8"/>
      <c r="P62647" s="8"/>
      <c r="Q62647" s="8"/>
      <c r="R62647" s="103"/>
      <c r="S62647" s="8"/>
      <c r="T62647" s="8"/>
      <c r="U62647" s="8"/>
      <c r="V62647" s="8"/>
      <c r="W62647" s="8"/>
      <c r="X62647" s="8"/>
      <c r="Y62647" s="8"/>
      <c r="Z62647" s="8"/>
      <c r="AA62647" s="8"/>
    </row>
    <row r="62648" spans="1:27" x14ac:dyDescent="0.25">
      <c r="A62648" s="8"/>
      <c r="B62648" s="8"/>
      <c r="C62648" s="99"/>
      <c r="D62648" s="8"/>
      <c r="E62648" s="8"/>
      <c r="F62648" s="8"/>
      <c r="G62648" s="8"/>
      <c r="H62648" s="8"/>
      <c r="I62648" s="102"/>
      <c r="J62648" s="8"/>
      <c r="K62648" s="8"/>
      <c r="L62648" s="8"/>
      <c r="M62648" s="8"/>
      <c r="N62648" s="8"/>
      <c r="O62648" s="8"/>
      <c r="P62648" s="8"/>
      <c r="Q62648" s="8"/>
      <c r="R62648" s="103"/>
      <c r="S62648" s="8"/>
      <c r="T62648" s="8"/>
      <c r="U62648" s="8"/>
      <c r="V62648" s="8"/>
      <c r="W62648" s="8"/>
      <c r="X62648" s="8"/>
      <c r="Y62648" s="8"/>
      <c r="Z62648" s="8"/>
      <c r="AA62648" s="8"/>
    </row>
    <row r="62649" spans="1:27" x14ac:dyDescent="0.25">
      <c r="A62649" s="8"/>
      <c r="B62649" s="8"/>
      <c r="C62649" s="99"/>
      <c r="D62649" s="8"/>
      <c r="E62649" s="8"/>
      <c r="F62649" s="8"/>
      <c r="G62649" s="8"/>
      <c r="H62649" s="8"/>
      <c r="I62649" s="102"/>
      <c r="J62649" s="8"/>
      <c r="K62649" s="8"/>
      <c r="L62649" s="8"/>
      <c r="M62649" s="8"/>
      <c r="N62649" s="8"/>
      <c r="O62649" s="8"/>
      <c r="P62649" s="8"/>
      <c r="Q62649" s="8"/>
      <c r="R62649" s="103"/>
      <c r="S62649" s="8"/>
      <c r="T62649" s="8"/>
      <c r="U62649" s="8"/>
      <c r="V62649" s="8"/>
      <c r="W62649" s="8"/>
      <c r="X62649" s="8"/>
      <c r="Y62649" s="8"/>
      <c r="Z62649" s="8"/>
      <c r="AA62649" s="8"/>
    </row>
    <row r="62650" spans="1:27" x14ac:dyDescent="0.25">
      <c r="A62650" s="8"/>
      <c r="B62650" s="8"/>
      <c r="C62650" s="99"/>
      <c r="D62650" s="8"/>
      <c r="E62650" s="8"/>
      <c r="F62650" s="8"/>
      <c r="G62650" s="8"/>
      <c r="H62650" s="8"/>
      <c r="I62650" s="102"/>
      <c r="J62650" s="8"/>
      <c r="K62650" s="8"/>
      <c r="L62650" s="8"/>
      <c r="M62650" s="8"/>
      <c r="N62650" s="8"/>
      <c r="O62650" s="8"/>
      <c r="P62650" s="8"/>
      <c r="Q62650" s="8"/>
      <c r="R62650" s="103"/>
      <c r="S62650" s="8"/>
      <c r="T62650" s="8"/>
      <c r="U62650" s="8"/>
      <c r="V62650" s="8"/>
      <c r="W62650" s="8"/>
      <c r="X62650" s="8"/>
      <c r="Y62650" s="8"/>
      <c r="Z62650" s="8"/>
      <c r="AA62650" s="8"/>
    </row>
    <row r="62651" spans="1:27" x14ac:dyDescent="0.25">
      <c r="A62651" s="8"/>
      <c r="B62651" s="8"/>
      <c r="C62651" s="99"/>
      <c r="D62651" s="8"/>
      <c r="E62651" s="8"/>
      <c r="F62651" s="8"/>
      <c r="G62651" s="8"/>
      <c r="H62651" s="8"/>
      <c r="I62651" s="102"/>
      <c r="J62651" s="8"/>
      <c r="K62651" s="8"/>
      <c r="L62651" s="8"/>
      <c r="M62651" s="8"/>
      <c r="N62651" s="8"/>
      <c r="O62651" s="8"/>
      <c r="P62651" s="8"/>
      <c r="Q62651" s="8"/>
      <c r="R62651" s="103"/>
      <c r="S62651" s="8"/>
      <c r="T62651" s="8"/>
      <c r="U62651" s="8"/>
      <c r="V62651" s="8"/>
      <c r="W62651" s="8"/>
      <c r="X62651" s="8"/>
      <c r="Y62651" s="8"/>
      <c r="Z62651" s="8"/>
      <c r="AA62651" s="8"/>
    </row>
    <row r="62652" spans="1:27" x14ac:dyDescent="0.25">
      <c r="A62652" s="8"/>
      <c r="B62652" s="8"/>
      <c r="C62652" s="99"/>
      <c r="D62652" s="8"/>
      <c r="E62652" s="8"/>
      <c r="F62652" s="8"/>
      <c r="G62652" s="8"/>
      <c r="H62652" s="8"/>
      <c r="I62652" s="102"/>
      <c r="J62652" s="8"/>
      <c r="K62652" s="8"/>
      <c r="L62652" s="8"/>
      <c r="M62652" s="8"/>
      <c r="N62652" s="8"/>
      <c r="O62652" s="8"/>
      <c r="P62652" s="8"/>
      <c r="Q62652" s="8"/>
      <c r="R62652" s="103"/>
      <c r="S62652" s="8"/>
      <c r="T62652" s="8"/>
      <c r="U62652" s="8"/>
      <c r="V62652" s="8"/>
      <c r="W62652" s="8"/>
      <c r="X62652" s="8"/>
      <c r="Y62652" s="8"/>
      <c r="Z62652" s="8"/>
      <c r="AA62652" s="8"/>
    </row>
    <row r="62653" spans="1:27" x14ac:dyDescent="0.25">
      <c r="A62653" s="8"/>
      <c r="B62653" s="8"/>
      <c r="C62653" s="99"/>
      <c r="D62653" s="8"/>
      <c r="E62653" s="8"/>
      <c r="F62653" s="8"/>
      <c r="G62653" s="8"/>
      <c r="H62653" s="8"/>
      <c r="I62653" s="102"/>
      <c r="J62653" s="8"/>
      <c r="K62653" s="8"/>
      <c r="L62653" s="8"/>
      <c r="M62653" s="8"/>
      <c r="N62653" s="8"/>
      <c r="O62653" s="8"/>
      <c r="P62653" s="8"/>
      <c r="Q62653" s="8"/>
      <c r="R62653" s="103"/>
      <c r="S62653" s="8"/>
      <c r="T62653" s="8"/>
      <c r="U62653" s="8"/>
      <c r="V62653" s="8"/>
      <c r="W62653" s="8"/>
      <c r="X62653" s="8"/>
      <c r="Y62653" s="8"/>
      <c r="Z62653" s="8"/>
      <c r="AA62653" s="8"/>
    </row>
    <row r="62654" spans="1:27" x14ac:dyDescent="0.25">
      <c r="A62654" s="8"/>
      <c r="B62654" s="8"/>
      <c r="C62654" s="99"/>
      <c r="D62654" s="8"/>
      <c r="E62654" s="8"/>
      <c r="F62654" s="8"/>
      <c r="G62654" s="8"/>
      <c r="H62654" s="8"/>
      <c r="I62654" s="102"/>
      <c r="J62654" s="8"/>
      <c r="K62654" s="8"/>
      <c r="L62654" s="8"/>
      <c r="M62654" s="8"/>
      <c r="N62654" s="8"/>
      <c r="O62654" s="8"/>
      <c r="P62654" s="8"/>
      <c r="Q62654" s="8"/>
      <c r="R62654" s="103"/>
      <c r="S62654" s="8"/>
      <c r="T62654" s="8"/>
      <c r="U62654" s="8"/>
      <c r="V62654" s="8"/>
      <c r="W62654" s="8"/>
      <c r="X62654" s="8"/>
      <c r="Y62654" s="8"/>
      <c r="Z62654" s="8"/>
      <c r="AA62654" s="8"/>
    </row>
    <row r="62655" spans="1:27" x14ac:dyDescent="0.25">
      <c r="A62655" s="8"/>
      <c r="B62655" s="8"/>
      <c r="C62655" s="99"/>
      <c r="D62655" s="8"/>
      <c r="E62655" s="8"/>
      <c r="F62655" s="8"/>
      <c r="G62655" s="8"/>
      <c r="H62655" s="8"/>
      <c r="I62655" s="102"/>
      <c r="J62655" s="8"/>
      <c r="K62655" s="8"/>
      <c r="L62655" s="8"/>
      <c r="M62655" s="8"/>
      <c r="N62655" s="8"/>
      <c r="O62655" s="8"/>
      <c r="P62655" s="8"/>
      <c r="Q62655" s="8"/>
      <c r="R62655" s="103"/>
      <c r="S62655" s="8"/>
      <c r="T62655" s="8"/>
      <c r="U62655" s="8"/>
      <c r="V62655" s="8"/>
      <c r="W62655" s="8"/>
      <c r="X62655" s="8"/>
      <c r="Y62655" s="8"/>
      <c r="Z62655" s="8"/>
      <c r="AA62655" s="8"/>
    </row>
    <row r="62656" spans="1:27" x14ac:dyDescent="0.25">
      <c r="A62656" s="8"/>
      <c r="B62656" s="8"/>
      <c r="C62656" s="99"/>
      <c r="D62656" s="8"/>
      <c r="E62656" s="8"/>
      <c r="F62656" s="8"/>
      <c r="G62656" s="8"/>
      <c r="H62656" s="8"/>
      <c r="I62656" s="102"/>
      <c r="J62656" s="8"/>
      <c r="K62656" s="8"/>
      <c r="L62656" s="8"/>
      <c r="M62656" s="8"/>
      <c r="N62656" s="8"/>
      <c r="O62656" s="8"/>
      <c r="P62656" s="8"/>
      <c r="Q62656" s="8"/>
      <c r="R62656" s="103"/>
      <c r="S62656" s="8"/>
      <c r="T62656" s="8"/>
      <c r="U62656" s="8"/>
      <c r="V62656" s="8"/>
      <c r="W62656" s="8"/>
      <c r="X62656" s="8"/>
      <c r="Y62656" s="8"/>
      <c r="Z62656" s="8"/>
      <c r="AA62656" s="8"/>
    </row>
    <row r="62657" spans="1:27" x14ac:dyDescent="0.25">
      <c r="A62657" s="8"/>
      <c r="B62657" s="8"/>
      <c r="C62657" s="99"/>
      <c r="D62657" s="8"/>
      <c r="E62657" s="8"/>
      <c r="F62657" s="8"/>
      <c r="G62657" s="8"/>
      <c r="H62657" s="8"/>
      <c r="I62657" s="102"/>
      <c r="J62657" s="8"/>
      <c r="K62657" s="8"/>
      <c r="L62657" s="8"/>
      <c r="M62657" s="8"/>
      <c r="N62657" s="8"/>
      <c r="O62657" s="8"/>
      <c r="P62657" s="8"/>
      <c r="Q62657" s="8"/>
      <c r="R62657" s="103"/>
      <c r="S62657" s="8"/>
      <c r="T62657" s="8"/>
      <c r="U62657" s="8"/>
      <c r="V62657" s="8"/>
      <c r="W62657" s="8"/>
      <c r="X62657" s="8"/>
      <c r="Y62657" s="8"/>
      <c r="Z62657" s="8"/>
      <c r="AA62657" s="8"/>
    </row>
    <row r="62658" spans="1:27" x14ac:dyDescent="0.25">
      <c r="A62658" s="8"/>
      <c r="B62658" s="8"/>
      <c r="C62658" s="99"/>
      <c r="D62658" s="8"/>
      <c r="E62658" s="8"/>
      <c r="F62658" s="8"/>
      <c r="G62658" s="8"/>
      <c r="H62658" s="8"/>
      <c r="I62658" s="102"/>
      <c r="J62658" s="8"/>
      <c r="K62658" s="8"/>
      <c r="L62658" s="8"/>
      <c r="M62658" s="8"/>
      <c r="N62658" s="8"/>
      <c r="O62658" s="8"/>
      <c r="P62658" s="8"/>
      <c r="Q62658" s="8"/>
      <c r="R62658" s="103"/>
      <c r="S62658" s="8"/>
      <c r="T62658" s="8"/>
      <c r="U62658" s="8"/>
      <c r="V62658" s="8"/>
      <c r="W62658" s="8"/>
      <c r="X62658" s="8"/>
      <c r="Y62658" s="8"/>
      <c r="Z62658" s="8"/>
      <c r="AA62658" s="8"/>
    </row>
    <row r="62659" spans="1:27" x14ac:dyDescent="0.25">
      <c r="A62659" s="8"/>
      <c r="B62659" s="8"/>
      <c r="C62659" s="99"/>
      <c r="D62659" s="8"/>
      <c r="E62659" s="8"/>
      <c r="F62659" s="8"/>
      <c r="G62659" s="8"/>
      <c r="H62659" s="8"/>
      <c r="I62659" s="102"/>
      <c r="J62659" s="8"/>
      <c r="K62659" s="8"/>
      <c r="L62659" s="8"/>
      <c r="M62659" s="8"/>
      <c r="N62659" s="8"/>
      <c r="O62659" s="8"/>
      <c r="P62659" s="8"/>
      <c r="Q62659" s="8"/>
      <c r="R62659" s="103"/>
      <c r="S62659" s="8"/>
      <c r="T62659" s="8"/>
      <c r="U62659" s="8"/>
      <c r="V62659" s="8"/>
      <c r="W62659" s="8"/>
      <c r="X62659" s="8"/>
      <c r="Y62659" s="8"/>
      <c r="Z62659" s="8"/>
      <c r="AA62659" s="8"/>
    </row>
    <row r="62660" spans="1:27" x14ac:dyDescent="0.25">
      <c r="A62660" s="8"/>
      <c r="B62660" s="8"/>
      <c r="C62660" s="99"/>
      <c r="D62660" s="8"/>
      <c r="E62660" s="8"/>
      <c r="F62660" s="8"/>
      <c r="G62660" s="8"/>
      <c r="H62660" s="8"/>
      <c r="I62660" s="102"/>
      <c r="J62660" s="8"/>
      <c r="K62660" s="8"/>
      <c r="L62660" s="8"/>
      <c r="M62660" s="8"/>
      <c r="N62660" s="8"/>
      <c r="O62660" s="8"/>
      <c r="P62660" s="8"/>
      <c r="Q62660" s="8"/>
      <c r="R62660" s="103"/>
      <c r="S62660" s="8"/>
      <c r="T62660" s="8"/>
      <c r="U62660" s="8"/>
      <c r="V62660" s="8"/>
      <c r="W62660" s="8"/>
      <c r="X62660" s="8"/>
      <c r="Y62660" s="8"/>
      <c r="Z62660" s="8"/>
      <c r="AA62660" s="8"/>
    </row>
    <row r="62661" spans="1:27" x14ac:dyDescent="0.25">
      <c r="A62661" s="8"/>
      <c r="B62661" s="8"/>
      <c r="C62661" s="99"/>
      <c r="D62661" s="8"/>
      <c r="E62661" s="8"/>
      <c r="F62661" s="8"/>
      <c r="G62661" s="8"/>
      <c r="H62661" s="8"/>
      <c r="I62661" s="102"/>
      <c r="J62661" s="8"/>
      <c r="K62661" s="8"/>
      <c r="L62661" s="8"/>
      <c r="M62661" s="8"/>
      <c r="N62661" s="8"/>
      <c r="O62661" s="8"/>
      <c r="P62661" s="8"/>
      <c r="Q62661" s="8"/>
      <c r="R62661" s="103"/>
      <c r="S62661" s="8"/>
      <c r="T62661" s="8"/>
      <c r="U62661" s="8"/>
      <c r="V62661" s="8"/>
      <c r="W62661" s="8"/>
      <c r="X62661" s="8"/>
      <c r="Y62661" s="8"/>
      <c r="Z62661" s="8"/>
      <c r="AA62661" s="8"/>
    </row>
    <row r="62662" spans="1:27" x14ac:dyDescent="0.25">
      <c r="A62662" s="8"/>
      <c r="B62662" s="8"/>
      <c r="C62662" s="99"/>
      <c r="D62662" s="8"/>
      <c r="E62662" s="8"/>
      <c r="F62662" s="8"/>
      <c r="G62662" s="8"/>
      <c r="H62662" s="8"/>
      <c r="I62662" s="102"/>
      <c r="J62662" s="8"/>
      <c r="K62662" s="8"/>
      <c r="L62662" s="8"/>
      <c r="M62662" s="8"/>
      <c r="N62662" s="8"/>
      <c r="O62662" s="8"/>
      <c r="P62662" s="8"/>
      <c r="Q62662" s="8"/>
      <c r="R62662" s="103"/>
      <c r="S62662" s="8"/>
      <c r="T62662" s="8"/>
      <c r="U62662" s="8"/>
      <c r="V62662" s="8"/>
      <c r="W62662" s="8"/>
      <c r="X62662" s="8"/>
      <c r="Y62662" s="8"/>
      <c r="Z62662" s="8"/>
      <c r="AA62662" s="8"/>
    </row>
    <row r="62663" spans="1:27" x14ac:dyDescent="0.25">
      <c r="A62663" s="8"/>
      <c r="B62663" s="8"/>
      <c r="C62663" s="99"/>
      <c r="D62663" s="8"/>
      <c r="E62663" s="8"/>
      <c r="F62663" s="8"/>
      <c r="G62663" s="8"/>
      <c r="H62663" s="8"/>
      <c r="I62663" s="102"/>
      <c r="J62663" s="8"/>
      <c r="K62663" s="8"/>
      <c r="L62663" s="8"/>
      <c r="M62663" s="8"/>
      <c r="N62663" s="8"/>
      <c r="O62663" s="8"/>
      <c r="P62663" s="8"/>
      <c r="Q62663" s="8"/>
      <c r="R62663" s="103"/>
      <c r="S62663" s="8"/>
      <c r="T62663" s="8"/>
      <c r="U62663" s="8"/>
      <c r="V62663" s="8"/>
      <c r="W62663" s="8"/>
      <c r="X62663" s="8"/>
      <c r="Y62663" s="8"/>
      <c r="Z62663" s="8"/>
      <c r="AA62663" s="8"/>
    </row>
    <row r="62664" spans="1:27" x14ac:dyDescent="0.25">
      <c r="A62664" s="8"/>
      <c r="B62664" s="8"/>
      <c r="C62664" s="99"/>
      <c r="D62664" s="8"/>
      <c r="E62664" s="8"/>
      <c r="F62664" s="8"/>
      <c r="G62664" s="8"/>
      <c r="H62664" s="8"/>
      <c r="I62664" s="102"/>
      <c r="J62664" s="8"/>
      <c r="K62664" s="8"/>
      <c r="L62664" s="8"/>
      <c r="M62664" s="8"/>
      <c r="N62664" s="8"/>
      <c r="O62664" s="8"/>
      <c r="P62664" s="8"/>
      <c r="Q62664" s="8"/>
      <c r="R62664" s="103"/>
      <c r="S62664" s="8"/>
      <c r="T62664" s="8"/>
      <c r="U62664" s="8"/>
      <c r="V62664" s="8"/>
      <c r="W62664" s="8"/>
      <c r="X62664" s="8"/>
      <c r="Y62664" s="8"/>
      <c r="Z62664" s="8"/>
      <c r="AA62664" s="8"/>
    </row>
    <row r="62665" spans="1:27" x14ac:dyDescent="0.25">
      <c r="A62665" s="8"/>
      <c r="B62665" s="8"/>
      <c r="C62665" s="99"/>
      <c r="D62665" s="8"/>
      <c r="E62665" s="8"/>
      <c r="F62665" s="8"/>
      <c r="G62665" s="8"/>
      <c r="H62665" s="8"/>
      <c r="I62665" s="102"/>
      <c r="J62665" s="8"/>
      <c r="K62665" s="8"/>
      <c r="L62665" s="8"/>
      <c r="M62665" s="8"/>
      <c r="N62665" s="8"/>
      <c r="O62665" s="8"/>
      <c r="P62665" s="8"/>
      <c r="Q62665" s="8"/>
      <c r="R62665" s="103"/>
      <c r="S62665" s="8"/>
      <c r="T62665" s="8"/>
      <c r="U62665" s="8"/>
      <c r="V62665" s="8"/>
      <c r="W62665" s="8"/>
      <c r="X62665" s="8"/>
      <c r="Y62665" s="8"/>
      <c r="Z62665" s="8"/>
      <c r="AA62665" s="8"/>
    </row>
    <row r="62666" spans="1:27" x14ac:dyDescent="0.25">
      <c r="A62666" s="8"/>
      <c r="B62666" s="8"/>
      <c r="C62666" s="99"/>
      <c r="D62666" s="8"/>
      <c r="E62666" s="8"/>
      <c r="F62666" s="8"/>
      <c r="G62666" s="8"/>
      <c r="H62666" s="8"/>
      <c r="I62666" s="102"/>
      <c r="J62666" s="8"/>
      <c r="K62666" s="8"/>
      <c r="L62666" s="8"/>
      <c r="M62666" s="8"/>
      <c r="N62666" s="8"/>
      <c r="O62666" s="8"/>
      <c r="P62666" s="8"/>
      <c r="Q62666" s="8"/>
      <c r="R62666" s="103"/>
      <c r="S62666" s="8"/>
      <c r="T62666" s="8"/>
      <c r="U62666" s="8"/>
      <c r="V62666" s="8"/>
      <c r="W62666" s="8"/>
      <c r="X62666" s="8"/>
      <c r="Y62666" s="8"/>
      <c r="Z62666" s="8"/>
      <c r="AA62666" s="8"/>
    </row>
    <row r="62667" spans="1:27" x14ac:dyDescent="0.25">
      <c r="A62667" s="8"/>
      <c r="B62667" s="8"/>
      <c r="C62667" s="99"/>
      <c r="D62667" s="8"/>
      <c r="E62667" s="8"/>
      <c r="F62667" s="8"/>
      <c r="G62667" s="8"/>
      <c r="H62667" s="8"/>
      <c r="I62667" s="102"/>
      <c r="J62667" s="8"/>
      <c r="K62667" s="8"/>
      <c r="L62667" s="8"/>
      <c r="M62667" s="8"/>
      <c r="N62667" s="8"/>
      <c r="O62667" s="8"/>
      <c r="P62667" s="8"/>
      <c r="Q62667" s="8"/>
      <c r="R62667" s="103"/>
      <c r="S62667" s="8"/>
      <c r="T62667" s="8"/>
      <c r="U62667" s="8"/>
      <c r="V62667" s="8"/>
      <c r="W62667" s="8"/>
      <c r="X62667" s="8"/>
      <c r="Y62667" s="8"/>
      <c r="Z62667" s="8"/>
      <c r="AA62667" s="8"/>
    </row>
    <row r="62668" spans="1:27" x14ac:dyDescent="0.25">
      <c r="A62668" s="8"/>
      <c r="B62668" s="8"/>
      <c r="C62668" s="99"/>
      <c r="D62668" s="8"/>
      <c r="E62668" s="8"/>
      <c r="F62668" s="8"/>
      <c r="G62668" s="8"/>
      <c r="H62668" s="8"/>
      <c r="I62668" s="102"/>
      <c r="J62668" s="8"/>
      <c r="K62668" s="8"/>
      <c r="L62668" s="8"/>
      <c r="M62668" s="8"/>
      <c r="N62668" s="8"/>
      <c r="O62668" s="8"/>
      <c r="P62668" s="8"/>
      <c r="Q62668" s="8"/>
      <c r="R62668" s="103"/>
      <c r="S62668" s="8"/>
      <c r="T62668" s="8"/>
      <c r="U62668" s="8"/>
      <c r="V62668" s="8"/>
      <c r="W62668" s="8"/>
      <c r="X62668" s="8"/>
      <c r="Y62668" s="8"/>
      <c r="Z62668" s="8"/>
      <c r="AA62668" s="8"/>
    </row>
    <row r="62669" spans="1:27" x14ac:dyDescent="0.25">
      <c r="A62669" s="8"/>
      <c r="B62669" s="8"/>
      <c r="C62669" s="99"/>
      <c r="D62669" s="8"/>
      <c r="E62669" s="8"/>
      <c r="F62669" s="8"/>
      <c r="G62669" s="8"/>
      <c r="H62669" s="8"/>
      <c r="I62669" s="102"/>
      <c r="J62669" s="8"/>
      <c r="K62669" s="8"/>
      <c r="L62669" s="8"/>
      <c r="M62669" s="8"/>
      <c r="N62669" s="8"/>
      <c r="O62669" s="8"/>
      <c r="P62669" s="8"/>
      <c r="Q62669" s="8"/>
      <c r="R62669" s="103"/>
      <c r="S62669" s="8"/>
      <c r="T62669" s="8"/>
      <c r="U62669" s="8"/>
      <c r="V62669" s="8"/>
      <c r="W62669" s="8"/>
      <c r="X62669" s="8"/>
      <c r="Y62669" s="8"/>
      <c r="Z62669" s="8"/>
      <c r="AA62669" s="8"/>
    </row>
    <row r="62670" spans="1:27" x14ac:dyDescent="0.25">
      <c r="A62670" s="8"/>
      <c r="B62670" s="8"/>
      <c r="C62670" s="99"/>
      <c r="D62670" s="8"/>
      <c r="E62670" s="8"/>
      <c r="F62670" s="8"/>
      <c r="G62670" s="8"/>
      <c r="H62670" s="8"/>
      <c r="I62670" s="102"/>
      <c r="J62670" s="8"/>
      <c r="K62670" s="8"/>
      <c r="L62670" s="8"/>
      <c r="M62670" s="8"/>
      <c r="N62670" s="8"/>
      <c r="O62670" s="8"/>
      <c r="P62670" s="8"/>
      <c r="Q62670" s="8"/>
      <c r="R62670" s="103"/>
      <c r="S62670" s="8"/>
      <c r="T62670" s="8"/>
      <c r="U62670" s="8"/>
      <c r="V62670" s="8"/>
      <c r="W62670" s="8"/>
      <c r="X62670" s="8"/>
      <c r="Y62670" s="8"/>
      <c r="Z62670" s="8"/>
      <c r="AA62670" s="8"/>
    </row>
    <row r="62671" spans="1:27" x14ac:dyDescent="0.25">
      <c r="A62671" s="8"/>
      <c r="B62671" s="8"/>
      <c r="C62671" s="99"/>
      <c r="D62671" s="8"/>
      <c r="E62671" s="8"/>
      <c r="F62671" s="8"/>
      <c r="G62671" s="8"/>
      <c r="H62671" s="8"/>
      <c r="I62671" s="102"/>
      <c r="J62671" s="8"/>
      <c r="K62671" s="8"/>
      <c r="L62671" s="8"/>
      <c r="M62671" s="8"/>
      <c r="N62671" s="8"/>
      <c r="O62671" s="8"/>
      <c r="P62671" s="8"/>
      <c r="Q62671" s="8"/>
      <c r="R62671" s="103"/>
      <c r="S62671" s="8"/>
      <c r="T62671" s="8"/>
      <c r="U62671" s="8"/>
      <c r="V62671" s="8"/>
      <c r="W62671" s="8"/>
      <c r="X62671" s="8"/>
      <c r="Y62671" s="8"/>
      <c r="Z62671" s="8"/>
      <c r="AA62671" s="8"/>
    </row>
    <row r="62672" spans="1:27" x14ac:dyDescent="0.25">
      <c r="A62672" s="8"/>
      <c r="B62672" s="8"/>
      <c r="C62672" s="99"/>
      <c r="D62672" s="8"/>
      <c r="E62672" s="8"/>
      <c r="F62672" s="8"/>
      <c r="G62672" s="8"/>
      <c r="H62672" s="8"/>
      <c r="I62672" s="102"/>
      <c r="J62672" s="8"/>
      <c r="K62672" s="8"/>
      <c r="L62672" s="8"/>
      <c r="M62672" s="8"/>
      <c r="N62672" s="8"/>
      <c r="O62672" s="8"/>
      <c r="P62672" s="8"/>
      <c r="Q62672" s="8"/>
      <c r="R62672" s="103"/>
      <c r="S62672" s="8"/>
      <c r="T62672" s="8"/>
      <c r="U62672" s="8"/>
      <c r="V62672" s="8"/>
      <c r="W62672" s="8"/>
      <c r="X62672" s="8"/>
      <c r="Y62672" s="8"/>
      <c r="Z62672" s="8"/>
      <c r="AA62672" s="8"/>
    </row>
    <row r="62673" spans="1:27" x14ac:dyDescent="0.25">
      <c r="A62673" s="8"/>
      <c r="B62673" s="8"/>
      <c r="C62673" s="99"/>
      <c r="D62673" s="8"/>
      <c r="E62673" s="8"/>
      <c r="F62673" s="8"/>
      <c r="G62673" s="8"/>
      <c r="H62673" s="8"/>
      <c r="I62673" s="102"/>
      <c r="J62673" s="8"/>
      <c r="K62673" s="8"/>
      <c r="L62673" s="8"/>
      <c r="M62673" s="8"/>
      <c r="N62673" s="8"/>
      <c r="O62673" s="8"/>
      <c r="P62673" s="8"/>
      <c r="Q62673" s="8"/>
      <c r="R62673" s="103"/>
      <c r="S62673" s="8"/>
      <c r="T62673" s="8"/>
      <c r="U62673" s="8"/>
      <c r="V62673" s="8"/>
      <c r="W62673" s="8"/>
      <c r="X62673" s="8"/>
      <c r="Y62673" s="8"/>
      <c r="Z62673" s="8"/>
      <c r="AA62673" s="8"/>
    </row>
    <row r="62674" spans="1:27" x14ac:dyDescent="0.25">
      <c r="A62674" s="8"/>
      <c r="B62674" s="8"/>
      <c r="C62674" s="99"/>
      <c r="D62674" s="8"/>
      <c r="E62674" s="8"/>
      <c r="F62674" s="8"/>
      <c r="G62674" s="8"/>
      <c r="H62674" s="8"/>
      <c r="I62674" s="102"/>
      <c r="J62674" s="8"/>
      <c r="K62674" s="8"/>
      <c r="L62674" s="8"/>
      <c r="M62674" s="8"/>
      <c r="N62674" s="8"/>
      <c r="O62674" s="8"/>
      <c r="P62674" s="8"/>
      <c r="Q62674" s="8"/>
      <c r="R62674" s="103"/>
      <c r="S62674" s="8"/>
      <c r="T62674" s="8"/>
      <c r="U62674" s="8"/>
      <c r="V62674" s="8"/>
      <c r="W62674" s="8"/>
      <c r="X62674" s="8"/>
      <c r="Y62674" s="8"/>
      <c r="Z62674" s="8"/>
      <c r="AA62674" s="8"/>
    </row>
    <row r="62675" spans="1:27" x14ac:dyDescent="0.25">
      <c r="A62675" s="8"/>
      <c r="B62675" s="8"/>
      <c r="C62675" s="99"/>
      <c r="D62675" s="8"/>
      <c r="E62675" s="8"/>
      <c r="F62675" s="8"/>
      <c r="G62675" s="8"/>
      <c r="H62675" s="8"/>
      <c r="I62675" s="102"/>
      <c r="J62675" s="8"/>
      <c r="K62675" s="8"/>
      <c r="L62675" s="8"/>
      <c r="M62675" s="8"/>
      <c r="N62675" s="8"/>
      <c r="O62675" s="8"/>
      <c r="P62675" s="8"/>
      <c r="Q62675" s="8"/>
      <c r="R62675" s="103"/>
      <c r="S62675" s="8"/>
      <c r="T62675" s="8"/>
      <c r="U62675" s="8"/>
      <c r="V62675" s="8"/>
      <c r="W62675" s="8"/>
      <c r="X62675" s="8"/>
      <c r="Y62675" s="8"/>
      <c r="Z62675" s="8"/>
      <c r="AA62675" s="8"/>
    </row>
    <row r="62676" spans="1:27" x14ac:dyDescent="0.25">
      <c r="A62676" s="8"/>
      <c r="B62676" s="8"/>
      <c r="C62676" s="99"/>
      <c r="D62676" s="8"/>
      <c r="E62676" s="8"/>
      <c r="F62676" s="8"/>
      <c r="G62676" s="8"/>
      <c r="H62676" s="8"/>
      <c r="I62676" s="102"/>
      <c r="J62676" s="8"/>
      <c r="K62676" s="8"/>
      <c r="L62676" s="8"/>
      <c r="M62676" s="8"/>
      <c r="N62676" s="8"/>
      <c r="O62676" s="8"/>
      <c r="P62676" s="8"/>
      <c r="Q62676" s="8"/>
      <c r="R62676" s="103"/>
      <c r="S62676" s="8"/>
      <c r="T62676" s="8"/>
      <c r="U62676" s="8"/>
      <c r="V62676" s="8"/>
      <c r="W62676" s="8"/>
      <c r="X62676" s="8"/>
      <c r="Y62676" s="8"/>
      <c r="Z62676" s="8"/>
      <c r="AA62676" s="8"/>
    </row>
    <row r="62677" spans="1:27" x14ac:dyDescent="0.25">
      <c r="A62677" s="8"/>
      <c r="B62677" s="8"/>
      <c r="C62677" s="99"/>
      <c r="D62677" s="8"/>
      <c r="E62677" s="8"/>
      <c r="F62677" s="8"/>
      <c r="G62677" s="8"/>
      <c r="H62677" s="8"/>
      <c r="I62677" s="102"/>
      <c r="J62677" s="8"/>
      <c r="K62677" s="8"/>
      <c r="L62677" s="8"/>
      <c r="M62677" s="8"/>
      <c r="N62677" s="8"/>
      <c r="O62677" s="8"/>
      <c r="P62677" s="8"/>
      <c r="Q62677" s="8"/>
      <c r="R62677" s="103"/>
      <c r="S62677" s="8"/>
      <c r="T62677" s="8"/>
      <c r="U62677" s="8"/>
      <c r="V62677" s="8"/>
      <c r="W62677" s="8"/>
      <c r="X62677" s="8"/>
      <c r="Y62677" s="8"/>
      <c r="Z62677" s="8"/>
      <c r="AA62677" s="8"/>
    </row>
    <row r="62678" spans="1:27" x14ac:dyDescent="0.25">
      <c r="A62678" s="8"/>
      <c r="B62678" s="8"/>
      <c r="C62678" s="99"/>
      <c r="D62678" s="8"/>
      <c r="E62678" s="8"/>
      <c r="F62678" s="8"/>
      <c r="G62678" s="8"/>
      <c r="H62678" s="8"/>
      <c r="I62678" s="102"/>
      <c r="J62678" s="8"/>
      <c r="K62678" s="8"/>
      <c r="L62678" s="8"/>
      <c r="M62678" s="8"/>
      <c r="N62678" s="8"/>
      <c r="O62678" s="8"/>
      <c r="P62678" s="8"/>
      <c r="Q62678" s="8"/>
      <c r="R62678" s="103"/>
      <c r="S62678" s="8"/>
      <c r="T62678" s="8"/>
      <c r="U62678" s="8"/>
      <c r="V62678" s="8"/>
      <c r="W62678" s="8"/>
      <c r="X62678" s="8"/>
      <c r="Y62678" s="8"/>
      <c r="Z62678" s="8"/>
      <c r="AA62678" s="8"/>
    </row>
    <row r="62679" spans="1:27" x14ac:dyDescent="0.25">
      <c r="A62679" s="8"/>
      <c r="B62679" s="8"/>
      <c r="C62679" s="99"/>
      <c r="D62679" s="8"/>
      <c r="E62679" s="8"/>
      <c r="F62679" s="8"/>
      <c r="G62679" s="8"/>
      <c r="H62679" s="8"/>
      <c r="I62679" s="102"/>
      <c r="J62679" s="8"/>
      <c r="K62679" s="8"/>
      <c r="L62679" s="8"/>
      <c r="M62679" s="8"/>
      <c r="N62679" s="8"/>
      <c r="O62679" s="8"/>
      <c r="P62679" s="8"/>
      <c r="Q62679" s="8"/>
      <c r="R62679" s="103"/>
      <c r="S62679" s="8"/>
      <c r="T62679" s="8"/>
      <c r="U62679" s="8"/>
      <c r="V62679" s="8"/>
      <c r="W62679" s="8"/>
      <c r="X62679" s="8"/>
      <c r="Y62679" s="8"/>
      <c r="Z62679" s="8"/>
      <c r="AA62679" s="8"/>
    </row>
    <row r="62680" spans="1:27" x14ac:dyDescent="0.25">
      <c r="A62680" s="8"/>
      <c r="B62680" s="8"/>
      <c r="C62680" s="99"/>
      <c r="D62680" s="8"/>
      <c r="E62680" s="8"/>
      <c r="F62680" s="8"/>
      <c r="G62680" s="8"/>
      <c r="H62680" s="8"/>
      <c r="I62680" s="102"/>
      <c r="J62680" s="8"/>
      <c r="K62680" s="8"/>
      <c r="L62680" s="8"/>
      <c r="M62680" s="8"/>
      <c r="N62680" s="8"/>
      <c r="O62680" s="8"/>
      <c r="P62680" s="8"/>
      <c r="Q62680" s="8"/>
      <c r="R62680" s="103"/>
      <c r="S62680" s="8"/>
      <c r="T62680" s="8"/>
      <c r="U62680" s="8"/>
      <c r="V62680" s="8"/>
      <c r="W62680" s="8"/>
      <c r="X62680" s="8"/>
      <c r="Y62680" s="8"/>
      <c r="Z62680" s="8"/>
      <c r="AA62680" s="8"/>
    </row>
    <row r="62681" spans="1:27" x14ac:dyDescent="0.25">
      <c r="A62681" s="8"/>
      <c r="B62681" s="8"/>
      <c r="C62681" s="99"/>
      <c r="D62681" s="8"/>
      <c r="E62681" s="8"/>
      <c r="F62681" s="8"/>
      <c r="G62681" s="8"/>
      <c r="H62681" s="8"/>
      <c r="I62681" s="102"/>
      <c r="J62681" s="8"/>
      <c r="K62681" s="8"/>
      <c r="L62681" s="8"/>
      <c r="M62681" s="8"/>
      <c r="N62681" s="8"/>
      <c r="O62681" s="8"/>
      <c r="P62681" s="8"/>
      <c r="Q62681" s="8"/>
      <c r="R62681" s="103"/>
      <c r="S62681" s="8"/>
      <c r="T62681" s="8"/>
      <c r="U62681" s="8"/>
      <c r="V62681" s="8"/>
      <c r="W62681" s="8"/>
      <c r="X62681" s="8"/>
      <c r="Y62681" s="8"/>
      <c r="Z62681" s="8"/>
      <c r="AA62681" s="8"/>
    </row>
    <row r="62682" spans="1:27" x14ac:dyDescent="0.25">
      <c r="A62682" s="8"/>
      <c r="B62682" s="8"/>
      <c r="C62682" s="99"/>
      <c r="D62682" s="8"/>
      <c r="E62682" s="8"/>
      <c r="F62682" s="8"/>
      <c r="G62682" s="8"/>
      <c r="H62682" s="8"/>
      <c r="I62682" s="102"/>
      <c r="J62682" s="8"/>
      <c r="K62682" s="8"/>
      <c r="L62682" s="8"/>
      <c r="M62682" s="8"/>
      <c r="N62682" s="8"/>
      <c r="O62682" s="8"/>
      <c r="P62682" s="8"/>
      <c r="Q62682" s="8"/>
      <c r="R62682" s="103"/>
      <c r="S62682" s="8"/>
      <c r="T62682" s="8"/>
      <c r="U62682" s="8"/>
      <c r="V62682" s="8"/>
      <c r="W62682" s="8"/>
      <c r="X62682" s="8"/>
      <c r="Y62682" s="8"/>
      <c r="Z62682" s="8"/>
      <c r="AA62682" s="8"/>
    </row>
    <row r="62683" spans="1:27" x14ac:dyDescent="0.25">
      <c r="A62683" s="8"/>
      <c r="B62683" s="8"/>
      <c r="C62683" s="99"/>
      <c r="D62683" s="8"/>
      <c r="E62683" s="8"/>
      <c r="F62683" s="8"/>
      <c r="G62683" s="8"/>
      <c r="H62683" s="8"/>
      <c r="I62683" s="102"/>
      <c r="J62683" s="8"/>
      <c r="K62683" s="8"/>
      <c r="L62683" s="8"/>
      <c r="M62683" s="8"/>
      <c r="N62683" s="8"/>
      <c r="O62683" s="8"/>
      <c r="P62683" s="8"/>
      <c r="Q62683" s="8"/>
      <c r="R62683" s="103"/>
      <c r="S62683" s="8"/>
      <c r="T62683" s="8"/>
      <c r="U62683" s="8"/>
      <c r="V62683" s="8"/>
      <c r="W62683" s="8"/>
      <c r="X62683" s="8"/>
      <c r="Y62683" s="8"/>
      <c r="Z62683" s="8"/>
      <c r="AA62683" s="8"/>
    </row>
    <row r="62684" spans="1:27" x14ac:dyDescent="0.25">
      <c r="A62684" s="8"/>
      <c r="B62684" s="8"/>
      <c r="C62684" s="99"/>
      <c r="D62684" s="8"/>
      <c r="E62684" s="8"/>
      <c r="F62684" s="8"/>
      <c r="G62684" s="8"/>
      <c r="H62684" s="8"/>
      <c r="I62684" s="102"/>
      <c r="J62684" s="8"/>
      <c r="K62684" s="8"/>
      <c r="L62684" s="8"/>
      <c r="M62684" s="8"/>
      <c r="N62684" s="8"/>
      <c r="O62684" s="8"/>
      <c r="P62684" s="8"/>
      <c r="Q62684" s="8"/>
      <c r="R62684" s="103"/>
      <c r="S62684" s="8"/>
      <c r="T62684" s="8"/>
      <c r="U62684" s="8"/>
      <c r="V62684" s="8"/>
      <c r="W62684" s="8"/>
      <c r="X62684" s="8"/>
      <c r="Y62684" s="8"/>
      <c r="Z62684" s="8"/>
      <c r="AA62684" s="8"/>
    </row>
    <row r="62685" spans="1:27" x14ac:dyDescent="0.25">
      <c r="A62685" s="8"/>
      <c r="B62685" s="8"/>
      <c r="C62685" s="99"/>
      <c r="D62685" s="8"/>
      <c r="E62685" s="8"/>
      <c r="F62685" s="8"/>
      <c r="G62685" s="8"/>
      <c r="H62685" s="8"/>
      <c r="I62685" s="102"/>
      <c r="J62685" s="8"/>
      <c r="K62685" s="8"/>
      <c r="L62685" s="8"/>
      <c r="M62685" s="8"/>
      <c r="N62685" s="8"/>
      <c r="O62685" s="8"/>
      <c r="P62685" s="8"/>
      <c r="Q62685" s="8"/>
      <c r="R62685" s="103"/>
      <c r="S62685" s="8"/>
      <c r="T62685" s="8"/>
      <c r="U62685" s="8"/>
      <c r="V62685" s="8"/>
      <c r="W62685" s="8"/>
      <c r="X62685" s="8"/>
      <c r="Y62685" s="8"/>
      <c r="Z62685" s="8"/>
      <c r="AA62685" s="8"/>
    </row>
    <row r="62686" spans="1:27" x14ac:dyDescent="0.25">
      <c r="A62686" s="8"/>
      <c r="B62686" s="8"/>
      <c r="C62686" s="99"/>
      <c r="D62686" s="8"/>
      <c r="E62686" s="8"/>
      <c r="F62686" s="8"/>
      <c r="G62686" s="8"/>
      <c r="H62686" s="8"/>
      <c r="I62686" s="102"/>
      <c r="J62686" s="8"/>
      <c r="K62686" s="8"/>
      <c r="L62686" s="8"/>
      <c r="M62686" s="8"/>
      <c r="N62686" s="8"/>
      <c r="O62686" s="8"/>
      <c r="P62686" s="8"/>
      <c r="Q62686" s="8"/>
      <c r="R62686" s="103"/>
      <c r="S62686" s="8"/>
      <c r="T62686" s="8"/>
      <c r="U62686" s="8"/>
      <c r="V62686" s="8"/>
      <c r="W62686" s="8"/>
      <c r="X62686" s="8"/>
      <c r="Y62686" s="8"/>
      <c r="Z62686" s="8"/>
      <c r="AA62686" s="8"/>
    </row>
    <row r="62687" spans="1:27" x14ac:dyDescent="0.25">
      <c r="A62687" s="8"/>
      <c r="B62687" s="8"/>
      <c r="C62687" s="99"/>
      <c r="D62687" s="8"/>
      <c r="E62687" s="8"/>
      <c r="F62687" s="8"/>
      <c r="G62687" s="8"/>
      <c r="H62687" s="8"/>
      <c r="I62687" s="102"/>
      <c r="J62687" s="8"/>
      <c r="K62687" s="8"/>
      <c r="L62687" s="8"/>
      <c r="M62687" s="8"/>
      <c r="N62687" s="8"/>
      <c r="O62687" s="8"/>
      <c r="P62687" s="8"/>
      <c r="Q62687" s="8"/>
      <c r="R62687" s="103"/>
      <c r="S62687" s="8"/>
      <c r="T62687" s="8"/>
      <c r="U62687" s="8"/>
      <c r="V62687" s="8"/>
      <c r="W62687" s="8"/>
      <c r="X62687" s="8"/>
      <c r="Y62687" s="8"/>
      <c r="Z62687" s="8"/>
      <c r="AA62687" s="8"/>
    </row>
    <row r="62688" spans="1:27" x14ac:dyDescent="0.25">
      <c r="A62688" s="8"/>
      <c r="B62688" s="8"/>
      <c r="C62688" s="99"/>
      <c r="D62688" s="8"/>
      <c r="E62688" s="8"/>
      <c r="F62688" s="8"/>
      <c r="G62688" s="8"/>
      <c r="H62688" s="8"/>
      <c r="I62688" s="102"/>
      <c r="J62688" s="8"/>
      <c r="K62688" s="8"/>
      <c r="L62688" s="8"/>
      <c r="M62688" s="8"/>
      <c r="N62688" s="8"/>
      <c r="O62688" s="8"/>
      <c r="P62688" s="8"/>
      <c r="Q62688" s="8"/>
      <c r="R62688" s="103"/>
      <c r="S62688" s="8"/>
      <c r="T62688" s="8"/>
      <c r="U62688" s="8"/>
      <c r="V62688" s="8"/>
      <c r="W62688" s="8"/>
      <c r="X62688" s="8"/>
      <c r="Y62688" s="8"/>
      <c r="Z62688" s="8"/>
      <c r="AA62688" s="8"/>
    </row>
    <row r="62689" spans="1:27" x14ac:dyDescent="0.25">
      <c r="A62689" s="8"/>
      <c r="B62689" s="8"/>
      <c r="C62689" s="99"/>
      <c r="D62689" s="8"/>
      <c r="E62689" s="8"/>
      <c r="F62689" s="8"/>
      <c r="G62689" s="8"/>
      <c r="H62689" s="8"/>
      <c r="I62689" s="102"/>
      <c r="J62689" s="8"/>
      <c r="K62689" s="8"/>
      <c r="L62689" s="8"/>
      <c r="M62689" s="8"/>
      <c r="N62689" s="8"/>
      <c r="O62689" s="8"/>
      <c r="P62689" s="8"/>
      <c r="Q62689" s="8"/>
      <c r="R62689" s="103"/>
      <c r="S62689" s="8"/>
      <c r="T62689" s="8"/>
      <c r="U62689" s="8"/>
      <c r="V62689" s="8"/>
      <c r="W62689" s="8"/>
      <c r="X62689" s="8"/>
      <c r="Y62689" s="8"/>
      <c r="Z62689" s="8"/>
      <c r="AA62689" s="8"/>
    </row>
    <row r="62690" spans="1:27" x14ac:dyDescent="0.25">
      <c r="A62690" s="8"/>
      <c r="B62690" s="8"/>
      <c r="C62690" s="99"/>
      <c r="D62690" s="8"/>
      <c r="E62690" s="8"/>
      <c r="F62690" s="8"/>
      <c r="G62690" s="8"/>
      <c r="H62690" s="8"/>
      <c r="I62690" s="102"/>
      <c r="J62690" s="8"/>
      <c r="K62690" s="8"/>
      <c r="L62690" s="8"/>
      <c r="M62690" s="8"/>
      <c r="N62690" s="8"/>
      <c r="O62690" s="8"/>
      <c r="P62690" s="8"/>
      <c r="Q62690" s="8"/>
      <c r="R62690" s="103"/>
      <c r="S62690" s="8"/>
      <c r="T62690" s="8"/>
      <c r="U62690" s="8"/>
      <c r="V62690" s="8"/>
      <c r="W62690" s="8"/>
      <c r="X62690" s="8"/>
      <c r="Y62690" s="8"/>
      <c r="Z62690" s="8"/>
      <c r="AA62690" s="8"/>
    </row>
    <row r="62691" spans="1:27" x14ac:dyDescent="0.25">
      <c r="A62691" s="8"/>
      <c r="B62691" s="8"/>
      <c r="C62691" s="99"/>
      <c r="D62691" s="8"/>
      <c r="E62691" s="8"/>
      <c r="F62691" s="8"/>
      <c r="G62691" s="8"/>
      <c r="H62691" s="8"/>
      <c r="I62691" s="102"/>
      <c r="J62691" s="8"/>
      <c r="K62691" s="8"/>
      <c r="L62691" s="8"/>
      <c r="M62691" s="8"/>
      <c r="N62691" s="8"/>
      <c r="O62691" s="8"/>
      <c r="P62691" s="8"/>
      <c r="Q62691" s="8"/>
      <c r="R62691" s="103"/>
      <c r="S62691" s="8"/>
      <c r="T62691" s="8"/>
      <c r="U62691" s="8"/>
      <c r="V62691" s="8"/>
      <c r="W62691" s="8"/>
      <c r="X62691" s="8"/>
      <c r="Y62691" s="8"/>
      <c r="Z62691" s="8"/>
      <c r="AA62691" s="8"/>
    </row>
    <row r="62692" spans="1:27" x14ac:dyDescent="0.25">
      <c r="A62692" s="8"/>
      <c r="B62692" s="8"/>
      <c r="C62692" s="99"/>
      <c r="D62692" s="8"/>
      <c r="E62692" s="8"/>
      <c r="F62692" s="8"/>
      <c r="G62692" s="8"/>
      <c r="H62692" s="8"/>
      <c r="I62692" s="102"/>
      <c r="J62692" s="8"/>
      <c r="K62692" s="8"/>
      <c r="L62692" s="8"/>
      <c r="M62692" s="8"/>
      <c r="N62692" s="8"/>
      <c r="O62692" s="8"/>
      <c r="P62692" s="8"/>
      <c r="Q62692" s="8"/>
      <c r="R62692" s="103"/>
      <c r="S62692" s="8"/>
      <c r="T62692" s="8"/>
      <c r="U62692" s="8"/>
      <c r="V62692" s="8"/>
      <c r="W62692" s="8"/>
      <c r="X62692" s="8"/>
      <c r="Y62692" s="8"/>
      <c r="Z62692" s="8"/>
      <c r="AA62692" s="8"/>
    </row>
    <row r="62693" spans="1:27" x14ac:dyDescent="0.25">
      <c r="A62693" s="8"/>
      <c r="B62693" s="8"/>
      <c r="C62693" s="99"/>
      <c r="D62693" s="8"/>
      <c r="E62693" s="8"/>
      <c r="F62693" s="8"/>
      <c r="G62693" s="8"/>
      <c r="H62693" s="8"/>
      <c r="I62693" s="102"/>
      <c r="J62693" s="8"/>
      <c r="K62693" s="8"/>
      <c r="L62693" s="8"/>
      <c r="M62693" s="8"/>
      <c r="N62693" s="8"/>
      <c r="O62693" s="8"/>
      <c r="P62693" s="8"/>
      <c r="Q62693" s="8"/>
      <c r="R62693" s="103"/>
      <c r="S62693" s="8"/>
      <c r="T62693" s="8"/>
      <c r="U62693" s="8"/>
      <c r="V62693" s="8"/>
      <c r="W62693" s="8"/>
      <c r="X62693" s="8"/>
      <c r="Y62693" s="8"/>
      <c r="Z62693" s="8"/>
      <c r="AA62693" s="8"/>
    </row>
    <row r="62694" spans="1:27" x14ac:dyDescent="0.25">
      <c r="A62694" s="8"/>
      <c r="B62694" s="8"/>
      <c r="C62694" s="99"/>
      <c r="D62694" s="8"/>
      <c r="E62694" s="8"/>
      <c r="F62694" s="8"/>
      <c r="G62694" s="8"/>
      <c r="H62694" s="8"/>
      <c r="I62694" s="102"/>
      <c r="J62694" s="8"/>
      <c r="K62694" s="8"/>
      <c r="L62694" s="8"/>
      <c r="M62694" s="8"/>
      <c r="N62694" s="8"/>
      <c r="O62694" s="8"/>
      <c r="P62694" s="8"/>
      <c r="Q62694" s="8"/>
      <c r="R62694" s="103"/>
      <c r="S62694" s="8"/>
      <c r="T62694" s="8"/>
      <c r="U62694" s="8"/>
      <c r="V62694" s="8"/>
      <c r="W62694" s="8"/>
      <c r="X62694" s="8"/>
      <c r="Y62694" s="8"/>
      <c r="Z62694" s="8"/>
      <c r="AA62694" s="8"/>
    </row>
    <row r="62695" spans="1:27" x14ac:dyDescent="0.25">
      <c r="A62695" s="8"/>
      <c r="B62695" s="8"/>
      <c r="C62695" s="99"/>
      <c r="D62695" s="8"/>
      <c r="E62695" s="8"/>
      <c r="F62695" s="8"/>
      <c r="G62695" s="8"/>
      <c r="H62695" s="8"/>
      <c r="I62695" s="102"/>
      <c r="J62695" s="8"/>
      <c r="K62695" s="8"/>
      <c r="L62695" s="8"/>
      <c r="M62695" s="8"/>
      <c r="N62695" s="8"/>
      <c r="O62695" s="8"/>
      <c r="P62695" s="8"/>
      <c r="Q62695" s="8"/>
      <c r="R62695" s="103"/>
      <c r="S62695" s="8"/>
      <c r="T62695" s="8"/>
      <c r="U62695" s="8"/>
      <c r="V62695" s="8"/>
      <c r="W62695" s="8"/>
      <c r="X62695" s="8"/>
      <c r="Y62695" s="8"/>
      <c r="Z62695" s="8"/>
      <c r="AA62695" s="8"/>
    </row>
    <row r="62696" spans="1:27" x14ac:dyDescent="0.25">
      <c r="A62696" s="8"/>
      <c r="B62696" s="8"/>
      <c r="C62696" s="99"/>
      <c r="D62696" s="8"/>
      <c r="E62696" s="8"/>
      <c r="F62696" s="8"/>
      <c r="G62696" s="8"/>
      <c r="H62696" s="8"/>
      <c r="I62696" s="102"/>
      <c r="J62696" s="8"/>
      <c r="K62696" s="8"/>
      <c r="L62696" s="8"/>
      <c r="M62696" s="8"/>
      <c r="N62696" s="8"/>
      <c r="O62696" s="8"/>
      <c r="P62696" s="8"/>
      <c r="Q62696" s="8"/>
      <c r="R62696" s="103"/>
      <c r="S62696" s="8"/>
      <c r="T62696" s="8"/>
      <c r="U62696" s="8"/>
      <c r="V62696" s="8"/>
      <c r="W62696" s="8"/>
      <c r="X62696" s="8"/>
      <c r="Y62696" s="8"/>
      <c r="Z62696" s="8"/>
      <c r="AA62696" s="8"/>
    </row>
    <row r="62697" spans="1:27" x14ac:dyDescent="0.25">
      <c r="A62697" s="8"/>
      <c r="B62697" s="8"/>
      <c r="C62697" s="99"/>
      <c r="D62697" s="8"/>
      <c r="E62697" s="8"/>
      <c r="F62697" s="8"/>
      <c r="G62697" s="8"/>
      <c r="H62697" s="8"/>
      <c r="I62697" s="102"/>
      <c r="J62697" s="8"/>
      <c r="K62697" s="8"/>
      <c r="L62697" s="8"/>
      <c r="M62697" s="8"/>
      <c r="N62697" s="8"/>
      <c r="O62697" s="8"/>
      <c r="P62697" s="8"/>
      <c r="Q62697" s="8"/>
      <c r="R62697" s="103"/>
      <c r="S62697" s="8"/>
      <c r="T62697" s="8"/>
      <c r="U62697" s="8"/>
      <c r="V62697" s="8"/>
      <c r="W62697" s="8"/>
      <c r="X62697" s="8"/>
      <c r="Y62697" s="8"/>
      <c r="Z62697" s="8"/>
      <c r="AA62697" s="8"/>
    </row>
    <row r="62698" spans="1:27" x14ac:dyDescent="0.25">
      <c r="A62698" s="8"/>
      <c r="B62698" s="8"/>
      <c r="C62698" s="99"/>
      <c r="D62698" s="8"/>
      <c r="E62698" s="8"/>
      <c r="F62698" s="8"/>
      <c r="G62698" s="8"/>
      <c r="H62698" s="8"/>
      <c r="I62698" s="102"/>
      <c r="J62698" s="8"/>
      <c r="K62698" s="8"/>
      <c r="L62698" s="8"/>
      <c r="M62698" s="8"/>
      <c r="N62698" s="8"/>
      <c r="O62698" s="8"/>
      <c r="P62698" s="8"/>
      <c r="Q62698" s="8"/>
      <c r="R62698" s="103"/>
      <c r="S62698" s="8"/>
      <c r="T62698" s="8"/>
      <c r="U62698" s="8"/>
      <c r="V62698" s="8"/>
      <c r="W62698" s="8"/>
      <c r="X62698" s="8"/>
      <c r="Y62698" s="8"/>
      <c r="Z62698" s="8"/>
      <c r="AA62698" s="8"/>
    </row>
    <row r="62699" spans="1:27" x14ac:dyDescent="0.25">
      <c r="A62699" s="8"/>
      <c r="B62699" s="8"/>
      <c r="C62699" s="99"/>
      <c r="D62699" s="8"/>
      <c r="E62699" s="8"/>
      <c r="F62699" s="8"/>
      <c r="G62699" s="8"/>
      <c r="H62699" s="8"/>
      <c r="I62699" s="102"/>
      <c r="J62699" s="8"/>
      <c r="K62699" s="8"/>
      <c r="L62699" s="8"/>
      <c r="M62699" s="8"/>
      <c r="N62699" s="8"/>
      <c r="O62699" s="8"/>
      <c r="P62699" s="8"/>
      <c r="Q62699" s="8"/>
      <c r="R62699" s="103"/>
      <c r="S62699" s="8"/>
      <c r="T62699" s="8"/>
      <c r="U62699" s="8"/>
      <c r="V62699" s="8"/>
      <c r="W62699" s="8"/>
      <c r="X62699" s="8"/>
      <c r="Y62699" s="8"/>
      <c r="Z62699" s="8"/>
      <c r="AA62699" s="8"/>
    </row>
    <row r="62700" spans="1:27" x14ac:dyDescent="0.25">
      <c r="A62700" s="8"/>
      <c r="B62700" s="8"/>
      <c r="C62700" s="99"/>
      <c r="D62700" s="8"/>
      <c r="E62700" s="8"/>
      <c r="F62700" s="8"/>
      <c r="G62700" s="8"/>
      <c r="H62700" s="8"/>
      <c r="I62700" s="102"/>
      <c r="J62700" s="8"/>
      <c r="K62700" s="8"/>
      <c r="L62700" s="8"/>
      <c r="M62700" s="8"/>
      <c r="N62700" s="8"/>
      <c r="O62700" s="8"/>
      <c r="P62700" s="8"/>
      <c r="Q62700" s="8"/>
      <c r="R62700" s="103"/>
      <c r="S62700" s="8"/>
      <c r="T62700" s="8"/>
      <c r="U62700" s="8"/>
      <c r="V62700" s="8"/>
      <c r="W62700" s="8"/>
      <c r="X62700" s="8"/>
      <c r="Y62700" s="8"/>
      <c r="Z62700" s="8"/>
      <c r="AA62700" s="8"/>
    </row>
    <row r="62701" spans="1:27" x14ac:dyDescent="0.25">
      <c r="A62701" s="8"/>
      <c r="B62701" s="8"/>
      <c r="C62701" s="99"/>
      <c r="D62701" s="8"/>
      <c r="E62701" s="8"/>
      <c r="F62701" s="8"/>
      <c r="G62701" s="8"/>
      <c r="H62701" s="8"/>
      <c r="I62701" s="102"/>
      <c r="J62701" s="8"/>
      <c r="K62701" s="8"/>
      <c r="L62701" s="8"/>
      <c r="M62701" s="8"/>
      <c r="N62701" s="8"/>
      <c r="O62701" s="8"/>
      <c r="P62701" s="8"/>
      <c r="Q62701" s="8"/>
      <c r="R62701" s="103"/>
      <c r="S62701" s="8"/>
      <c r="T62701" s="8"/>
      <c r="U62701" s="8"/>
      <c r="V62701" s="8"/>
      <c r="W62701" s="8"/>
      <c r="X62701" s="8"/>
      <c r="Y62701" s="8"/>
      <c r="Z62701" s="8"/>
      <c r="AA62701" s="8"/>
    </row>
    <row r="62702" spans="1:27" x14ac:dyDescent="0.25">
      <c r="A62702" s="8"/>
      <c r="B62702" s="8"/>
      <c r="C62702" s="99"/>
      <c r="D62702" s="8"/>
      <c r="E62702" s="8"/>
      <c r="F62702" s="8"/>
      <c r="G62702" s="8"/>
      <c r="H62702" s="8"/>
      <c r="I62702" s="102"/>
      <c r="J62702" s="8"/>
      <c r="K62702" s="8"/>
      <c r="L62702" s="8"/>
      <c r="M62702" s="8"/>
      <c r="N62702" s="8"/>
      <c r="O62702" s="8"/>
      <c r="P62702" s="8"/>
      <c r="Q62702" s="8"/>
      <c r="R62702" s="103"/>
      <c r="S62702" s="8"/>
      <c r="T62702" s="8"/>
      <c r="U62702" s="8"/>
      <c r="V62702" s="8"/>
      <c r="W62702" s="8"/>
      <c r="X62702" s="8"/>
      <c r="Y62702" s="8"/>
      <c r="Z62702" s="8"/>
      <c r="AA62702" s="8"/>
    </row>
    <row r="62703" spans="1:27" x14ac:dyDescent="0.25">
      <c r="A62703" s="8"/>
      <c r="B62703" s="8"/>
      <c r="C62703" s="99"/>
      <c r="D62703" s="8"/>
      <c r="E62703" s="8"/>
      <c r="F62703" s="8"/>
      <c r="G62703" s="8"/>
      <c r="H62703" s="8"/>
      <c r="I62703" s="102"/>
      <c r="J62703" s="8"/>
      <c r="K62703" s="8"/>
      <c r="L62703" s="8"/>
      <c r="M62703" s="8"/>
      <c r="N62703" s="8"/>
      <c r="O62703" s="8"/>
      <c r="P62703" s="8"/>
      <c r="Q62703" s="8"/>
      <c r="R62703" s="103"/>
      <c r="S62703" s="8"/>
      <c r="T62703" s="8"/>
      <c r="U62703" s="8"/>
      <c r="V62703" s="8"/>
      <c r="W62703" s="8"/>
      <c r="X62703" s="8"/>
      <c r="Y62703" s="8"/>
      <c r="Z62703" s="8"/>
      <c r="AA62703" s="8"/>
    </row>
    <row r="62704" spans="1:27" x14ac:dyDescent="0.25">
      <c r="A62704" s="8"/>
      <c r="B62704" s="8"/>
      <c r="C62704" s="99"/>
      <c r="D62704" s="8"/>
      <c r="E62704" s="8"/>
      <c r="F62704" s="8"/>
      <c r="G62704" s="8"/>
      <c r="H62704" s="8"/>
      <c r="I62704" s="102"/>
      <c r="J62704" s="8"/>
      <c r="K62704" s="8"/>
      <c r="L62704" s="8"/>
      <c r="M62704" s="8"/>
      <c r="N62704" s="8"/>
      <c r="O62704" s="8"/>
      <c r="P62704" s="8"/>
      <c r="Q62704" s="8"/>
      <c r="R62704" s="103"/>
      <c r="S62704" s="8"/>
      <c r="T62704" s="8"/>
      <c r="U62704" s="8"/>
      <c r="V62704" s="8"/>
      <c r="W62704" s="8"/>
      <c r="X62704" s="8"/>
      <c r="Y62704" s="8"/>
      <c r="Z62704" s="8"/>
      <c r="AA62704" s="8"/>
    </row>
    <row r="62705" spans="1:27" x14ac:dyDescent="0.25">
      <c r="A62705" s="8"/>
      <c r="B62705" s="8"/>
      <c r="C62705" s="99"/>
      <c r="D62705" s="8"/>
      <c r="E62705" s="8"/>
      <c r="F62705" s="8"/>
      <c r="G62705" s="8"/>
      <c r="H62705" s="8"/>
      <c r="I62705" s="102"/>
      <c r="J62705" s="8"/>
      <c r="K62705" s="8"/>
      <c r="L62705" s="8"/>
      <c r="M62705" s="8"/>
      <c r="N62705" s="8"/>
      <c r="O62705" s="8"/>
      <c r="P62705" s="8"/>
      <c r="Q62705" s="8"/>
      <c r="R62705" s="103"/>
      <c r="S62705" s="8"/>
      <c r="T62705" s="8"/>
      <c r="U62705" s="8"/>
      <c r="V62705" s="8"/>
      <c r="W62705" s="8"/>
      <c r="X62705" s="8"/>
      <c r="Y62705" s="8"/>
      <c r="Z62705" s="8"/>
      <c r="AA62705" s="8"/>
    </row>
    <row r="62706" spans="1:27" x14ac:dyDescent="0.25">
      <c r="A62706" s="8"/>
      <c r="B62706" s="8"/>
      <c r="C62706" s="99"/>
      <c r="D62706" s="8"/>
      <c r="E62706" s="8"/>
      <c r="F62706" s="8"/>
      <c r="G62706" s="8"/>
      <c r="H62706" s="8"/>
      <c r="I62706" s="102"/>
      <c r="J62706" s="8"/>
      <c r="K62706" s="8"/>
      <c r="L62706" s="8"/>
      <c r="M62706" s="8"/>
      <c r="N62706" s="8"/>
      <c r="O62706" s="8"/>
      <c r="P62706" s="8"/>
      <c r="Q62706" s="8"/>
      <c r="R62706" s="103"/>
      <c r="S62706" s="8"/>
      <c r="T62706" s="8"/>
      <c r="U62706" s="8"/>
      <c r="V62706" s="8"/>
      <c r="W62706" s="8"/>
      <c r="X62706" s="8"/>
      <c r="Y62706" s="8"/>
      <c r="Z62706" s="8"/>
      <c r="AA62706" s="8"/>
    </row>
    <row r="62707" spans="1:27" x14ac:dyDescent="0.25">
      <c r="A62707" s="8"/>
      <c r="B62707" s="8"/>
      <c r="C62707" s="99"/>
      <c r="D62707" s="8"/>
      <c r="E62707" s="8"/>
      <c r="F62707" s="8"/>
      <c r="G62707" s="8"/>
      <c r="H62707" s="8"/>
      <c r="I62707" s="102"/>
      <c r="J62707" s="8"/>
      <c r="K62707" s="8"/>
      <c r="L62707" s="8"/>
      <c r="M62707" s="8"/>
      <c r="N62707" s="8"/>
      <c r="O62707" s="8"/>
      <c r="P62707" s="8"/>
      <c r="Q62707" s="8"/>
      <c r="R62707" s="103"/>
      <c r="S62707" s="8"/>
      <c r="T62707" s="8"/>
      <c r="U62707" s="8"/>
      <c r="V62707" s="8"/>
      <c r="W62707" s="8"/>
      <c r="X62707" s="8"/>
      <c r="Y62707" s="8"/>
      <c r="Z62707" s="8"/>
      <c r="AA62707" s="8"/>
    </row>
    <row r="62708" spans="1:27" x14ac:dyDescent="0.25">
      <c r="A62708" s="8"/>
      <c r="B62708" s="8"/>
      <c r="C62708" s="99"/>
      <c r="D62708" s="8"/>
      <c r="E62708" s="8"/>
      <c r="F62708" s="8"/>
      <c r="G62708" s="8"/>
      <c r="H62708" s="8"/>
      <c r="I62708" s="102"/>
      <c r="J62708" s="8"/>
      <c r="K62708" s="8"/>
      <c r="L62708" s="8"/>
      <c r="M62708" s="8"/>
      <c r="N62708" s="8"/>
      <c r="O62708" s="8"/>
      <c r="P62708" s="8"/>
      <c r="Q62708" s="8"/>
      <c r="R62708" s="103"/>
      <c r="S62708" s="8"/>
      <c r="T62708" s="8"/>
      <c r="U62708" s="8"/>
      <c r="V62708" s="8"/>
      <c r="W62708" s="8"/>
      <c r="X62708" s="8"/>
      <c r="Y62708" s="8"/>
      <c r="Z62708" s="8"/>
      <c r="AA62708" s="8"/>
    </row>
    <row r="62709" spans="1:27" x14ac:dyDescent="0.25">
      <c r="A62709" s="8"/>
      <c r="B62709" s="8"/>
      <c r="C62709" s="99"/>
      <c r="D62709" s="8"/>
      <c r="E62709" s="8"/>
      <c r="F62709" s="8"/>
      <c r="G62709" s="8"/>
      <c r="H62709" s="8"/>
      <c r="I62709" s="102"/>
      <c r="J62709" s="8"/>
      <c r="K62709" s="8"/>
      <c r="L62709" s="8"/>
      <c r="M62709" s="8"/>
      <c r="N62709" s="8"/>
      <c r="O62709" s="8"/>
      <c r="P62709" s="8"/>
      <c r="Q62709" s="8"/>
      <c r="R62709" s="103"/>
      <c r="S62709" s="8"/>
      <c r="T62709" s="8"/>
      <c r="U62709" s="8"/>
      <c r="V62709" s="8"/>
      <c r="W62709" s="8"/>
      <c r="X62709" s="8"/>
      <c r="Y62709" s="8"/>
      <c r="Z62709" s="8"/>
      <c r="AA62709" s="8"/>
    </row>
    <row r="62710" spans="1:27" x14ac:dyDescent="0.25">
      <c r="A62710" s="8"/>
      <c r="B62710" s="8"/>
      <c r="C62710" s="99"/>
      <c r="D62710" s="8"/>
      <c r="E62710" s="8"/>
      <c r="F62710" s="8"/>
      <c r="G62710" s="8"/>
      <c r="H62710" s="8"/>
      <c r="I62710" s="102"/>
      <c r="J62710" s="8"/>
      <c r="K62710" s="8"/>
      <c r="L62710" s="8"/>
      <c r="M62710" s="8"/>
      <c r="N62710" s="8"/>
      <c r="O62710" s="8"/>
      <c r="P62710" s="8"/>
      <c r="Q62710" s="8"/>
      <c r="R62710" s="103"/>
      <c r="S62710" s="8"/>
      <c r="T62710" s="8"/>
      <c r="U62710" s="8"/>
      <c r="V62710" s="8"/>
      <c r="W62710" s="8"/>
      <c r="X62710" s="8"/>
      <c r="Y62710" s="8"/>
      <c r="Z62710" s="8"/>
      <c r="AA62710" s="8"/>
    </row>
    <row r="62711" spans="1:27" x14ac:dyDescent="0.25">
      <c r="A62711" s="8"/>
      <c r="B62711" s="8"/>
      <c r="C62711" s="99"/>
      <c r="D62711" s="8"/>
      <c r="E62711" s="8"/>
      <c r="F62711" s="8"/>
      <c r="G62711" s="8"/>
      <c r="H62711" s="8"/>
      <c r="I62711" s="102"/>
      <c r="J62711" s="8"/>
      <c r="K62711" s="8"/>
      <c r="L62711" s="8"/>
      <c r="M62711" s="8"/>
      <c r="N62711" s="8"/>
      <c r="O62711" s="8"/>
      <c r="P62711" s="8"/>
      <c r="Q62711" s="8"/>
      <c r="R62711" s="103"/>
      <c r="S62711" s="8"/>
      <c r="T62711" s="8"/>
      <c r="U62711" s="8"/>
      <c r="V62711" s="8"/>
      <c r="W62711" s="8"/>
      <c r="X62711" s="8"/>
      <c r="Y62711" s="8"/>
      <c r="Z62711" s="8"/>
      <c r="AA62711" s="8"/>
    </row>
    <row r="62712" spans="1:27" x14ac:dyDescent="0.25">
      <c r="A62712" s="8"/>
      <c r="B62712" s="8"/>
      <c r="C62712" s="99"/>
      <c r="D62712" s="8"/>
      <c r="E62712" s="8"/>
      <c r="F62712" s="8"/>
      <c r="G62712" s="8"/>
      <c r="H62712" s="8"/>
      <c r="I62712" s="102"/>
      <c r="J62712" s="8"/>
      <c r="K62712" s="8"/>
      <c r="L62712" s="8"/>
      <c r="M62712" s="8"/>
      <c r="N62712" s="8"/>
      <c r="O62712" s="8"/>
      <c r="P62712" s="8"/>
      <c r="Q62712" s="8"/>
      <c r="R62712" s="103"/>
      <c r="S62712" s="8"/>
      <c r="T62712" s="8"/>
      <c r="U62712" s="8"/>
      <c r="V62712" s="8"/>
      <c r="W62712" s="8"/>
      <c r="X62712" s="8"/>
      <c r="Y62712" s="8"/>
      <c r="Z62712" s="8"/>
      <c r="AA62712" s="8"/>
    </row>
    <row r="62713" spans="1:27" x14ac:dyDescent="0.25">
      <c r="A62713" s="8"/>
      <c r="B62713" s="8"/>
      <c r="C62713" s="99"/>
      <c r="D62713" s="8"/>
      <c r="E62713" s="8"/>
      <c r="F62713" s="8"/>
      <c r="G62713" s="8"/>
      <c r="H62713" s="8"/>
      <c r="I62713" s="102"/>
      <c r="J62713" s="8"/>
      <c r="K62713" s="8"/>
      <c r="L62713" s="8"/>
      <c r="M62713" s="8"/>
      <c r="N62713" s="8"/>
      <c r="O62713" s="8"/>
      <c r="P62713" s="8"/>
      <c r="Q62713" s="8"/>
      <c r="R62713" s="103"/>
      <c r="S62713" s="8"/>
      <c r="T62713" s="8"/>
      <c r="U62713" s="8"/>
      <c r="V62713" s="8"/>
      <c r="W62713" s="8"/>
      <c r="X62713" s="8"/>
      <c r="Y62713" s="8"/>
      <c r="Z62713" s="8"/>
      <c r="AA62713" s="8"/>
    </row>
    <row r="62714" spans="1:27" x14ac:dyDescent="0.25">
      <c r="A62714" s="8"/>
      <c r="B62714" s="8"/>
      <c r="C62714" s="99"/>
      <c r="D62714" s="8"/>
      <c r="E62714" s="8"/>
      <c r="F62714" s="8"/>
      <c r="G62714" s="8"/>
      <c r="H62714" s="8"/>
      <c r="I62714" s="102"/>
      <c r="J62714" s="8"/>
      <c r="K62714" s="8"/>
      <c r="L62714" s="8"/>
      <c r="M62714" s="8"/>
      <c r="N62714" s="8"/>
      <c r="O62714" s="8"/>
      <c r="P62714" s="8"/>
      <c r="Q62714" s="8"/>
      <c r="R62714" s="103"/>
      <c r="S62714" s="8"/>
      <c r="T62714" s="8"/>
      <c r="U62714" s="8"/>
      <c r="V62714" s="8"/>
      <c r="W62714" s="8"/>
      <c r="X62714" s="8"/>
      <c r="Y62714" s="8"/>
      <c r="Z62714" s="8"/>
      <c r="AA62714" s="8"/>
    </row>
    <row r="62715" spans="1:27" x14ac:dyDescent="0.25">
      <c r="A62715" s="8"/>
      <c r="B62715" s="8"/>
      <c r="C62715" s="99"/>
      <c r="D62715" s="8"/>
      <c r="E62715" s="8"/>
      <c r="F62715" s="8"/>
      <c r="G62715" s="8"/>
      <c r="H62715" s="8"/>
      <c r="I62715" s="102"/>
      <c r="J62715" s="8"/>
      <c r="K62715" s="8"/>
      <c r="L62715" s="8"/>
      <c r="M62715" s="8"/>
      <c r="N62715" s="8"/>
      <c r="O62715" s="8"/>
      <c r="P62715" s="8"/>
      <c r="Q62715" s="8"/>
      <c r="R62715" s="103"/>
      <c r="S62715" s="8"/>
      <c r="T62715" s="8"/>
      <c r="U62715" s="8"/>
      <c r="V62715" s="8"/>
      <c r="W62715" s="8"/>
      <c r="X62715" s="8"/>
      <c r="Y62715" s="8"/>
      <c r="Z62715" s="8"/>
      <c r="AA62715" s="8"/>
    </row>
    <row r="62716" spans="1:27" x14ac:dyDescent="0.25">
      <c r="A62716" s="8"/>
      <c r="B62716" s="8"/>
      <c r="C62716" s="99"/>
      <c r="D62716" s="8"/>
      <c r="E62716" s="8"/>
      <c r="F62716" s="8"/>
      <c r="G62716" s="8"/>
      <c r="H62716" s="8"/>
      <c r="I62716" s="102"/>
      <c r="J62716" s="8"/>
      <c r="K62716" s="8"/>
      <c r="L62716" s="8"/>
      <c r="M62716" s="8"/>
      <c r="N62716" s="8"/>
      <c r="O62716" s="8"/>
      <c r="P62716" s="8"/>
      <c r="Q62716" s="8"/>
      <c r="R62716" s="103"/>
      <c r="S62716" s="8"/>
      <c r="T62716" s="8"/>
      <c r="U62716" s="8"/>
      <c r="V62716" s="8"/>
      <c r="W62716" s="8"/>
      <c r="X62716" s="8"/>
      <c r="Y62716" s="8"/>
      <c r="Z62716" s="8"/>
      <c r="AA62716" s="8"/>
    </row>
    <row r="62717" spans="1:27" x14ac:dyDescent="0.25">
      <c r="A62717" s="8"/>
      <c r="B62717" s="8"/>
      <c r="C62717" s="99"/>
      <c r="D62717" s="8"/>
      <c r="E62717" s="8"/>
      <c r="F62717" s="8"/>
      <c r="G62717" s="8"/>
      <c r="H62717" s="8"/>
      <c r="I62717" s="102"/>
      <c r="J62717" s="8"/>
      <c r="K62717" s="8"/>
      <c r="L62717" s="8"/>
      <c r="M62717" s="8"/>
      <c r="N62717" s="8"/>
      <c r="O62717" s="8"/>
      <c r="P62717" s="8"/>
      <c r="Q62717" s="8"/>
      <c r="R62717" s="103"/>
      <c r="S62717" s="8"/>
      <c r="T62717" s="8"/>
      <c r="U62717" s="8"/>
      <c r="V62717" s="8"/>
      <c r="W62717" s="8"/>
      <c r="X62717" s="8"/>
      <c r="Y62717" s="8"/>
      <c r="Z62717" s="8"/>
      <c r="AA62717" s="8"/>
    </row>
    <row r="62718" spans="1:27" x14ac:dyDescent="0.25">
      <c r="A62718" s="8"/>
      <c r="B62718" s="8"/>
      <c r="C62718" s="99"/>
      <c r="D62718" s="8"/>
      <c r="E62718" s="8"/>
      <c r="F62718" s="8"/>
      <c r="G62718" s="8"/>
      <c r="H62718" s="8"/>
      <c r="I62718" s="102"/>
      <c r="J62718" s="8"/>
      <c r="K62718" s="8"/>
      <c r="L62718" s="8"/>
      <c r="M62718" s="8"/>
      <c r="N62718" s="8"/>
      <c r="O62718" s="8"/>
      <c r="P62718" s="8"/>
      <c r="Q62718" s="8"/>
      <c r="R62718" s="103"/>
      <c r="S62718" s="8"/>
      <c r="T62718" s="8"/>
      <c r="U62718" s="8"/>
      <c r="V62718" s="8"/>
      <c r="W62718" s="8"/>
      <c r="X62718" s="8"/>
      <c r="Y62718" s="8"/>
      <c r="Z62718" s="8"/>
      <c r="AA62718" s="8"/>
    </row>
    <row r="62719" spans="1:27" x14ac:dyDescent="0.25">
      <c r="A62719" s="8"/>
      <c r="B62719" s="8"/>
      <c r="C62719" s="99"/>
      <c r="D62719" s="8"/>
      <c r="E62719" s="8"/>
      <c r="F62719" s="8"/>
      <c r="G62719" s="8"/>
      <c r="H62719" s="8"/>
      <c r="I62719" s="102"/>
      <c r="J62719" s="8"/>
      <c r="K62719" s="8"/>
      <c r="L62719" s="8"/>
      <c r="M62719" s="8"/>
      <c r="N62719" s="8"/>
      <c r="O62719" s="8"/>
      <c r="P62719" s="8"/>
      <c r="Q62719" s="8"/>
      <c r="R62719" s="103"/>
      <c r="S62719" s="8"/>
      <c r="T62719" s="8"/>
      <c r="U62719" s="8"/>
      <c r="V62719" s="8"/>
      <c r="W62719" s="8"/>
      <c r="X62719" s="8"/>
      <c r="Y62719" s="8"/>
      <c r="Z62719" s="8"/>
      <c r="AA62719" s="8"/>
    </row>
    <row r="62720" spans="1:27" x14ac:dyDescent="0.25">
      <c r="A62720" s="8"/>
      <c r="B62720" s="8"/>
      <c r="C62720" s="99"/>
      <c r="D62720" s="8"/>
      <c r="E62720" s="8"/>
      <c r="F62720" s="8"/>
      <c r="G62720" s="8"/>
      <c r="H62720" s="8"/>
      <c r="I62720" s="102"/>
      <c r="J62720" s="8"/>
      <c r="K62720" s="8"/>
      <c r="L62720" s="8"/>
      <c r="M62720" s="8"/>
      <c r="N62720" s="8"/>
      <c r="O62720" s="8"/>
      <c r="P62720" s="8"/>
      <c r="Q62720" s="8"/>
      <c r="R62720" s="103"/>
      <c r="S62720" s="8"/>
      <c r="T62720" s="8"/>
      <c r="U62720" s="8"/>
      <c r="V62720" s="8"/>
      <c r="W62720" s="8"/>
      <c r="X62720" s="8"/>
      <c r="Y62720" s="8"/>
      <c r="Z62720" s="8"/>
      <c r="AA62720" s="8"/>
    </row>
    <row r="62721" spans="1:27" x14ac:dyDescent="0.25">
      <c r="A62721" s="8"/>
      <c r="B62721" s="8"/>
      <c r="C62721" s="99"/>
      <c r="D62721" s="8"/>
      <c r="E62721" s="8"/>
      <c r="F62721" s="8"/>
      <c r="G62721" s="8"/>
      <c r="H62721" s="8"/>
      <c r="I62721" s="102"/>
      <c r="J62721" s="8"/>
      <c r="K62721" s="8"/>
      <c r="L62721" s="8"/>
      <c r="M62721" s="8"/>
      <c r="N62721" s="8"/>
      <c r="O62721" s="8"/>
      <c r="P62721" s="8"/>
      <c r="Q62721" s="8"/>
      <c r="R62721" s="103"/>
      <c r="S62721" s="8"/>
      <c r="T62721" s="8"/>
      <c r="U62721" s="8"/>
      <c r="V62721" s="8"/>
      <c r="W62721" s="8"/>
      <c r="X62721" s="8"/>
      <c r="Y62721" s="8"/>
      <c r="Z62721" s="8"/>
      <c r="AA62721" s="8"/>
    </row>
    <row r="62722" spans="1:27" x14ac:dyDescent="0.25">
      <c r="A62722" s="8"/>
      <c r="B62722" s="8"/>
      <c r="C62722" s="99"/>
      <c r="D62722" s="8"/>
      <c r="E62722" s="8"/>
      <c r="F62722" s="8"/>
      <c r="G62722" s="8"/>
      <c r="H62722" s="8"/>
      <c r="I62722" s="102"/>
      <c r="J62722" s="8"/>
      <c r="K62722" s="8"/>
      <c r="L62722" s="8"/>
      <c r="M62722" s="8"/>
      <c r="N62722" s="8"/>
      <c r="O62722" s="8"/>
      <c r="P62722" s="8"/>
      <c r="Q62722" s="8"/>
      <c r="R62722" s="103"/>
      <c r="S62722" s="8"/>
      <c r="T62722" s="8"/>
      <c r="U62722" s="8"/>
      <c r="V62722" s="8"/>
      <c r="W62722" s="8"/>
      <c r="X62722" s="8"/>
      <c r="Y62722" s="8"/>
      <c r="Z62722" s="8"/>
      <c r="AA62722" s="8"/>
    </row>
    <row r="62723" spans="1:27" x14ac:dyDescent="0.25">
      <c r="A62723" s="8"/>
      <c r="B62723" s="8"/>
      <c r="C62723" s="99"/>
      <c r="D62723" s="8"/>
      <c r="E62723" s="8"/>
      <c r="F62723" s="8"/>
      <c r="G62723" s="8"/>
      <c r="H62723" s="8"/>
      <c r="I62723" s="102"/>
      <c r="J62723" s="8"/>
      <c r="K62723" s="8"/>
      <c r="L62723" s="8"/>
      <c r="M62723" s="8"/>
      <c r="N62723" s="8"/>
      <c r="O62723" s="8"/>
      <c r="P62723" s="8"/>
      <c r="Q62723" s="8"/>
      <c r="R62723" s="103"/>
      <c r="S62723" s="8"/>
      <c r="T62723" s="8"/>
      <c r="U62723" s="8"/>
      <c r="V62723" s="8"/>
      <c r="W62723" s="8"/>
      <c r="X62723" s="8"/>
      <c r="Y62723" s="8"/>
      <c r="Z62723" s="8"/>
      <c r="AA62723" s="8"/>
    </row>
    <row r="62724" spans="1:27" x14ac:dyDescent="0.25">
      <c r="A62724" s="8"/>
      <c r="B62724" s="8"/>
      <c r="C62724" s="99"/>
      <c r="D62724" s="8"/>
      <c r="E62724" s="8"/>
      <c r="F62724" s="8"/>
      <c r="G62724" s="8"/>
      <c r="H62724" s="8"/>
      <c r="I62724" s="102"/>
      <c r="J62724" s="8"/>
      <c r="K62724" s="8"/>
      <c r="L62724" s="8"/>
      <c r="M62724" s="8"/>
      <c r="N62724" s="8"/>
      <c r="O62724" s="8"/>
      <c r="P62724" s="8"/>
      <c r="Q62724" s="8"/>
      <c r="R62724" s="103"/>
      <c r="S62724" s="8"/>
      <c r="T62724" s="8"/>
      <c r="U62724" s="8"/>
      <c r="V62724" s="8"/>
      <c r="W62724" s="8"/>
      <c r="X62724" s="8"/>
      <c r="Y62724" s="8"/>
      <c r="Z62724" s="8"/>
      <c r="AA62724" s="8"/>
    </row>
    <row r="62725" spans="1:27" x14ac:dyDescent="0.25">
      <c r="A62725" s="8"/>
      <c r="B62725" s="8"/>
      <c r="C62725" s="99"/>
      <c r="D62725" s="8"/>
      <c r="E62725" s="8"/>
      <c r="F62725" s="8"/>
      <c r="G62725" s="8"/>
      <c r="H62725" s="8"/>
      <c r="I62725" s="102"/>
      <c r="J62725" s="8"/>
      <c r="K62725" s="8"/>
      <c r="L62725" s="8"/>
      <c r="M62725" s="8"/>
      <c r="N62725" s="8"/>
      <c r="O62725" s="8"/>
      <c r="P62725" s="8"/>
      <c r="Q62725" s="8"/>
      <c r="R62725" s="103"/>
      <c r="S62725" s="8"/>
      <c r="T62725" s="8"/>
      <c r="U62725" s="8"/>
      <c r="V62725" s="8"/>
      <c r="W62725" s="8"/>
      <c r="X62725" s="8"/>
      <c r="Y62725" s="8"/>
      <c r="Z62725" s="8"/>
      <c r="AA62725" s="8"/>
    </row>
    <row r="62726" spans="1:27" x14ac:dyDescent="0.25">
      <c r="A62726" s="8"/>
      <c r="B62726" s="8"/>
      <c r="C62726" s="99"/>
      <c r="D62726" s="8"/>
      <c r="E62726" s="8"/>
      <c r="F62726" s="8"/>
      <c r="G62726" s="8"/>
      <c r="H62726" s="8"/>
      <c r="I62726" s="102"/>
      <c r="J62726" s="8"/>
      <c r="K62726" s="8"/>
      <c r="L62726" s="8"/>
      <c r="M62726" s="8"/>
      <c r="N62726" s="8"/>
      <c r="O62726" s="8"/>
      <c r="P62726" s="8"/>
      <c r="Q62726" s="8"/>
      <c r="R62726" s="103"/>
      <c r="S62726" s="8"/>
      <c r="T62726" s="8"/>
      <c r="U62726" s="8"/>
      <c r="V62726" s="8"/>
      <c r="W62726" s="8"/>
      <c r="X62726" s="8"/>
      <c r="Y62726" s="8"/>
      <c r="Z62726" s="8"/>
      <c r="AA62726" s="8"/>
    </row>
    <row r="62727" spans="1:27" x14ac:dyDescent="0.25">
      <c r="A62727" s="8"/>
      <c r="B62727" s="8"/>
      <c r="C62727" s="99"/>
      <c r="D62727" s="8"/>
      <c r="E62727" s="8"/>
      <c r="F62727" s="8"/>
      <c r="G62727" s="8"/>
      <c r="H62727" s="8"/>
      <c r="I62727" s="102"/>
      <c r="J62727" s="8"/>
      <c r="K62727" s="8"/>
      <c r="L62727" s="8"/>
      <c r="M62727" s="8"/>
      <c r="N62727" s="8"/>
      <c r="O62727" s="8"/>
      <c r="P62727" s="8"/>
      <c r="Q62727" s="8"/>
      <c r="R62727" s="103"/>
      <c r="S62727" s="8"/>
      <c r="T62727" s="8"/>
      <c r="U62727" s="8"/>
      <c r="V62727" s="8"/>
      <c r="W62727" s="8"/>
      <c r="X62727" s="8"/>
      <c r="Y62727" s="8"/>
      <c r="Z62727" s="8"/>
      <c r="AA62727" s="8"/>
    </row>
    <row r="62728" spans="1:27" x14ac:dyDescent="0.25">
      <c r="A62728" s="8"/>
      <c r="B62728" s="8"/>
      <c r="C62728" s="99"/>
      <c r="D62728" s="8"/>
      <c r="E62728" s="8"/>
      <c r="F62728" s="8"/>
      <c r="G62728" s="8"/>
      <c r="H62728" s="8"/>
      <c r="I62728" s="102"/>
      <c r="J62728" s="8"/>
      <c r="K62728" s="8"/>
      <c r="L62728" s="8"/>
      <c r="M62728" s="8"/>
      <c r="N62728" s="8"/>
      <c r="O62728" s="8"/>
      <c r="P62728" s="8"/>
      <c r="Q62728" s="8"/>
      <c r="R62728" s="103"/>
      <c r="S62728" s="8"/>
      <c r="T62728" s="8"/>
      <c r="U62728" s="8"/>
      <c r="V62728" s="8"/>
      <c r="W62728" s="8"/>
      <c r="X62728" s="8"/>
      <c r="Y62728" s="8"/>
      <c r="Z62728" s="8"/>
      <c r="AA62728" s="8"/>
    </row>
    <row r="62729" spans="1:27" x14ac:dyDescent="0.25">
      <c r="A62729" s="8"/>
      <c r="B62729" s="8"/>
      <c r="C62729" s="99"/>
      <c r="D62729" s="8"/>
      <c r="E62729" s="8"/>
      <c r="F62729" s="8"/>
      <c r="G62729" s="8"/>
      <c r="H62729" s="8"/>
      <c r="I62729" s="102"/>
      <c r="J62729" s="8"/>
      <c r="K62729" s="8"/>
      <c r="L62729" s="8"/>
      <c r="M62729" s="8"/>
      <c r="N62729" s="8"/>
      <c r="O62729" s="8"/>
      <c r="P62729" s="8"/>
      <c r="Q62729" s="8"/>
      <c r="R62729" s="103"/>
      <c r="S62729" s="8"/>
      <c r="T62729" s="8"/>
      <c r="U62729" s="8"/>
      <c r="V62729" s="8"/>
      <c r="W62729" s="8"/>
      <c r="X62729" s="8"/>
      <c r="Y62729" s="8"/>
      <c r="Z62729" s="8"/>
      <c r="AA62729" s="8"/>
    </row>
    <row r="62730" spans="1:27" x14ac:dyDescent="0.25">
      <c r="A62730" s="8"/>
      <c r="B62730" s="8"/>
      <c r="C62730" s="99"/>
      <c r="D62730" s="8"/>
      <c r="E62730" s="8"/>
      <c r="F62730" s="8"/>
      <c r="G62730" s="8"/>
      <c r="H62730" s="8"/>
      <c r="I62730" s="102"/>
      <c r="J62730" s="8"/>
      <c r="K62730" s="8"/>
      <c r="L62730" s="8"/>
      <c r="M62730" s="8"/>
      <c r="N62730" s="8"/>
      <c r="O62730" s="8"/>
      <c r="P62730" s="8"/>
      <c r="Q62730" s="8"/>
      <c r="R62730" s="103"/>
      <c r="S62730" s="8"/>
      <c r="T62730" s="8"/>
      <c r="U62730" s="8"/>
      <c r="V62730" s="8"/>
      <c r="W62730" s="8"/>
      <c r="X62730" s="8"/>
      <c r="Y62730" s="8"/>
      <c r="Z62730" s="8"/>
      <c r="AA62730" s="8"/>
    </row>
    <row r="62731" spans="1:27" x14ac:dyDescent="0.25">
      <c r="A62731" s="8"/>
      <c r="B62731" s="8"/>
      <c r="C62731" s="99"/>
      <c r="D62731" s="8"/>
      <c r="E62731" s="8"/>
      <c r="F62731" s="8"/>
      <c r="G62731" s="8"/>
      <c r="H62731" s="8"/>
      <c r="I62731" s="102"/>
      <c r="J62731" s="8"/>
      <c r="K62731" s="8"/>
      <c r="L62731" s="8"/>
      <c r="M62731" s="8"/>
      <c r="N62731" s="8"/>
      <c r="O62731" s="8"/>
      <c r="P62731" s="8"/>
      <c r="Q62731" s="8"/>
      <c r="R62731" s="103"/>
      <c r="S62731" s="8"/>
      <c r="T62731" s="8"/>
      <c r="U62731" s="8"/>
      <c r="V62731" s="8"/>
      <c r="W62731" s="8"/>
      <c r="X62731" s="8"/>
      <c r="Y62731" s="8"/>
      <c r="Z62731" s="8"/>
      <c r="AA62731" s="8"/>
    </row>
    <row r="62732" spans="1:27" x14ac:dyDescent="0.25">
      <c r="A62732" s="8"/>
      <c r="B62732" s="8"/>
      <c r="C62732" s="99"/>
      <c r="D62732" s="8"/>
      <c r="E62732" s="8"/>
      <c r="F62732" s="8"/>
      <c r="G62732" s="8"/>
      <c r="H62732" s="8"/>
      <c r="I62732" s="102"/>
      <c r="J62732" s="8"/>
      <c r="K62732" s="8"/>
      <c r="L62732" s="8"/>
      <c r="M62732" s="8"/>
      <c r="N62732" s="8"/>
      <c r="O62732" s="8"/>
      <c r="P62732" s="8"/>
      <c r="Q62732" s="8"/>
      <c r="R62732" s="103"/>
      <c r="S62732" s="8"/>
      <c r="T62732" s="8"/>
      <c r="U62732" s="8"/>
      <c r="V62732" s="8"/>
      <c r="W62732" s="8"/>
      <c r="X62732" s="8"/>
      <c r="Y62732" s="8"/>
      <c r="Z62732" s="8"/>
      <c r="AA62732" s="8"/>
    </row>
    <row r="62733" spans="1:27" x14ac:dyDescent="0.25">
      <c r="A62733" s="8"/>
      <c r="B62733" s="8"/>
      <c r="C62733" s="99"/>
      <c r="D62733" s="8"/>
      <c r="E62733" s="8"/>
      <c r="F62733" s="8"/>
      <c r="G62733" s="8"/>
      <c r="H62733" s="8"/>
      <c r="I62733" s="102"/>
      <c r="J62733" s="8"/>
      <c r="K62733" s="8"/>
      <c r="L62733" s="8"/>
      <c r="M62733" s="8"/>
      <c r="N62733" s="8"/>
      <c r="O62733" s="8"/>
      <c r="P62733" s="8"/>
      <c r="Q62733" s="8"/>
      <c r="R62733" s="103"/>
      <c r="S62733" s="8"/>
      <c r="T62733" s="8"/>
      <c r="U62733" s="8"/>
      <c r="V62733" s="8"/>
      <c r="W62733" s="8"/>
      <c r="X62733" s="8"/>
      <c r="Y62733" s="8"/>
      <c r="Z62733" s="8"/>
      <c r="AA62733" s="8"/>
    </row>
    <row r="62734" spans="1:27" x14ac:dyDescent="0.25">
      <c r="A62734" s="8"/>
      <c r="B62734" s="8"/>
      <c r="C62734" s="99"/>
      <c r="D62734" s="8"/>
      <c r="E62734" s="8"/>
      <c r="F62734" s="8"/>
      <c r="G62734" s="8"/>
      <c r="H62734" s="8"/>
      <c r="I62734" s="102"/>
      <c r="J62734" s="8"/>
      <c r="K62734" s="8"/>
      <c r="L62734" s="8"/>
      <c r="M62734" s="8"/>
      <c r="N62734" s="8"/>
      <c r="O62734" s="8"/>
      <c r="P62734" s="8"/>
      <c r="Q62734" s="8"/>
      <c r="R62734" s="103"/>
      <c r="S62734" s="8"/>
      <c r="T62734" s="8"/>
      <c r="U62734" s="8"/>
      <c r="V62734" s="8"/>
      <c r="W62734" s="8"/>
      <c r="X62734" s="8"/>
      <c r="Y62734" s="8"/>
      <c r="Z62734" s="8"/>
      <c r="AA62734" s="8"/>
    </row>
    <row r="62735" spans="1:27" x14ac:dyDescent="0.25">
      <c r="A62735" s="8"/>
      <c r="B62735" s="8"/>
      <c r="C62735" s="99"/>
      <c r="D62735" s="8"/>
      <c r="E62735" s="8"/>
      <c r="F62735" s="8"/>
      <c r="G62735" s="8"/>
      <c r="H62735" s="8"/>
      <c r="I62735" s="102"/>
      <c r="J62735" s="8"/>
      <c r="K62735" s="8"/>
      <c r="L62735" s="8"/>
      <c r="M62735" s="8"/>
      <c r="N62735" s="8"/>
      <c r="O62735" s="8"/>
      <c r="P62735" s="8"/>
      <c r="Q62735" s="8"/>
      <c r="R62735" s="103"/>
      <c r="S62735" s="8"/>
      <c r="T62735" s="8"/>
      <c r="U62735" s="8"/>
      <c r="V62735" s="8"/>
      <c r="W62735" s="8"/>
      <c r="X62735" s="8"/>
      <c r="Y62735" s="8"/>
      <c r="Z62735" s="8"/>
      <c r="AA62735" s="8"/>
    </row>
    <row r="62736" spans="1:27" x14ac:dyDescent="0.25">
      <c r="A62736" s="8"/>
      <c r="B62736" s="8"/>
      <c r="C62736" s="99"/>
      <c r="D62736" s="8"/>
      <c r="E62736" s="8"/>
      <c r="F62736" s="8"/>
      <c r="G62736" s="8"/>
      <c r="H62736" s="8"/>
      <c r="I62736" s="102"/>
      <c r="J62736" s="8"/>
      <c r="K62736" s="8"/>
      <c r="L62736" s="8"/>
      <c r="M62736" s="8"/>
      <c r="N62736" s="8"/>
      <c r="O62736" s="8"/>
      <c r="P62736" s="8"/>
      <c r="Q62736" s="8"/>
      <c r="R62736" s="103"/>
      <c r="S62736" s="8"/>
      <c r="T62736" s="8"/>
      <c r="U62736" s="8"/>
      <c r="V62736" s="8"/>
      <c r="W62736" s="8"/>
      <c r="X62736" s="8"/>
      <c r="Y62736" s="8"/>
      <c r="Z62736" s="8"/>
      <c r="AA62736" s="8"/>
    </row>
    <row r="62737" spans="1:27" x14ac:dyDescent="0.25">
      <c r="A62737" s="8"/>
      <c r="B62737" s="8"/>
      <c r="C62737" s="99"/>
      <c r="D62737" s="8"/>
      <c r="E62737" s="8"/>
      <c r="F62737" s="8"/>
      <c r="G62737" s="8"/>
      <c r="H62737" s="8"/>
      <c r="I62737" s="102"/>
      <c r="J62737" s="8"/>
      <c r="K62737" s="8"/>
      <c r="L62737" s="8"/>
      <c r="M62737" s="8"/>
      <c r="N62737" s="8"/>
      <c r="O62737" s="8"/>
      <c r="P62737" s="8"/>
      <c r="Q62737" s="8"/>
      <c r="R62737" s="103"/>
      <c r="S62737" s="8"/>
      <c r="T62737" s="8"/>
      <c r="U62737" s="8"/>
      <c r="V62737" s="8"/>
      <c r="W62737" s="8"/>
      <c r="X62737" s="8"/>
      <c r="Y62737" s="8"/>
      <c r="Z62737" s="8"/>
      <c r="AA62737" s="8"/>
    </row>
    <row r="62738" spans="1:27" x14ac:dyDescent="0.25">
      <c r="A62738" s="8"/>
      <c r="B62738" s="8"/>
      <c r="C62738" s="99"/>
      <c r="D62738" s="8"/>
      <c r="E62738" s="8"/>
      <c r="F62738" s="8"/>
      <c r="G62738" s="8"/>
      <c r="H62738" s="8"/>
      <c r="I62738" s="102"/>
      <c r="J62738" s="8"/>
      <c r="K62738" s="8"/>
      <c r="L62738" s="8"/>
      <c r="M62738" s="8"/>
      <c r="N62738" s="8"/>
      <c r="O62738" s="8"/>
      <c r="P62738" s="8"/>
      <c r="Q62738" s="8"/>
      <c r="R62738" s="103"/>
      <c r="S62738" s="8"/>
      <c r="T62738" s="8"/>
      <c r="U62738" s="8"/>
      <c r="V62738" s="8"/>
      <c r="W62738" s="8"/>
      <c r="X62738" s="8"/>
      <c r="Y62738" s="8"/>
      <c r="Z62738" s="8"/>
      <c r="AA62738" s="8"/>
    </row>
    <row r="62739" spans="1:27" x14ac:dyDescent="0.25">
      <c r="A62739" s="8"/>
      <c r="B62739" s="8"/>
      <c r="C62739" s="99"/>
      <c r="D62739" s="8"/>
      <c r="E62739" s="8"/>
      <c r="F62739" s="8"/>
      <c r="G62739" s="8"/>
      <c r="H62739" s="8"/>
      <c r="I62739" s="102"/>
      <c r="J62739" s="8"/>
      <c r="K62739" s="8"/>
      <c r="L62739" s="8"/>
      <c r="M62739" s="8"/>
      <c r="N62739" s="8"/>
      <c r="O62739" s="8"/>
      <c r="P62739" s="8"/>
      <c r="Q62739" s="8"/>
      <c r="R62739" s="103"/>
      <c r="S62739" s="8"/>
      <c r="T62739" s="8"/>
      <c r="U62739" s="8"/>
      <c r="V62739" s="8"/>
      <c r="W62739" s="8"/>
      <c r="X62739" s="8"/>
      <c r="Y62739" s="8"/>
      <c r="Z62739" s="8"/>
      <c r="AA62739" s="8"/>
    </row>
    <row r="62740" spans="1:27" x14ac:dyDescent="0.25">
      <c r="A62740" s="8"/>
      <c r="B62740" s="8"/>
      <c r="C62740" s="99"/>
      <c r="D62740" s="8"/>
      <c r="E62740" s="8"/>
      <c r="F62740" s="8"/>
      <c r="G62740" s="8"/>
      <c r="H62740" s="8"/>
      <c r="I62740" s="102"/>
      <c r="J62740" s="8"/>
      <c r="K62740" s="8"/>
      <c r="L62740" s="8"/>
      <c r="M62740" s="8"/>
      <c r="N62740" s="8"/>
      <c r="O62740" s="8"/>
      <c r="P62740" s="8"/>
      <c r="Q62740" s="8"/>
      <c r="R62740" s="103"/>
      <c r="S62740" s="8"/>
      <c r="T62740" s="8"/>
      <c r="U62740" s="8"/>
      <c r="V62740" s="8"/>
      <c r="W62740" s="8"/>
      <c r="X62740" s="8"/>
      <c r="Y62740" s="8"/>
      <c r="Z62740" s="8"/>
      <c r="AA62740" s="8"/>
    </row>
    <row r="62741" spans="1:27" x14ac:dyDescent="0.25">
      <c r="A62741" s="8"/>
      <c r="B62741" s="8"/>
      <c r="C62741" s="99"/>
      <c r="D62741" s="8"/>
      <c r="E62741" s="8"/>
      <c r="F62741" s="8"/>
      <c r="G62741" s="8"/>
      <c r="H62741" s="8"/>
      <c r="I62741" s="102"/>
      <c r="J62741" s="8"/>
      <c r="K62741" s="8"/>
      <c r="L62741" s="8"/>
      <c r="M62741" s="8"/>
      <c r="N62741" s="8"/>
      <c r="O62741" s="8"/>
      <c r="P62741" s="8"/>
      <c r="Q62741" s="8"/>
      <c r="R62741" s="103"/>
      <c r="S62741" s="8"/>
      <c r="T62741" s="8"/>
      <c r="U62741" s="8"/>
      <c r="V62741" s="8"/>
      <c r="W62741" s="8"/>
      <c r="X62741" s="8"/>
      <c r="Y62741" s="8"/>
      <c r="Z62741" s="8"/>
      <c r="AA62741" s="8"/>
    </row>
    <row r="62742" spans="1:27" x14ac:dyDescent="0.25">
      <c r="A62742" s="8"/>
      <c r="B62742" s="8"/>
      <c r="C62742" s="99"/>
      <c r="D62742" s="8"/>
      <c r="E62742" s="8"/>
      <c r="F62742" s="8"/>
      <c r="G62742" s="8"/>
      <c r="H62742" s="8"/>
      <c r="I62742" s="102"/>
      <c r="J62742" s="8"/>
      <c r="K62742" s="8"/>
      <c r="L62742" s="8"/>
      <c r="M62742" s="8"/>
      <c r="N62742" s="8"/>
      <c r="O62742" s="8"/>
      <c r="P62742" s="8"/>
      <c r="Q62742" s="8"/>
      <c r="R62742" s="103"/>
      <c r="S62742" s="8"/>
      <c r="T62742" s="8"/>
      <c r="U62742" s="8"/>
      <c r="V62742" s="8"/>
      <c r="W62742" s="8"/>
      <c r="X62742" s="8"/>
      <c r="Y62742" s="8"/>
      <c r="Z62742" s="8"/>
      <c r="AA62742" s="8"/>
    </row>
    <row r="62743" spans="1:27" x14ac:dyDescent="0.25">
      <c r="A62743" s="8"/>
      <c r="B62743" s="8"/>
      <c r="C62743" s="99"/>
      <c r="D62743" s="8"/>
      <c r="E62743" s="8"/>
      <c r="F62743" s="8"/>
      <c r="G62743" s="8"/>
      <c r="H62743" s="8"/>
      <c r="I62743" s="102"/>
      <c r="J62743" s="8"/>
      <c r="K62743" s="8"/>
      <c r="L62743" s="8"/>
      <c r="M62743" s="8"/>
      <c r="N62743" s="8"/>
      <c r="O62743" s="8"/>
      <c r="P62743" s="8"/>
      <c r="Q62743" s="8"/>
      <c r="R62743" s="103"/>
      <c r="S62743" s="8"/>
      <c r="T62743" s="8"/>
      <c r="U62743" s="8"/>
      <c r="V62743" s="8"/>
      <c r="W62743" s="8"/>
      <c r="X62743" s="8"/>
      <c r="Y62743" s="8"/>
      <c r="Z62743" s="8"/>
      <c r="AA62743" s="8"/>
    </row>
    <row r="62744" spans="1:27" x14ac:dyDescent="0.25">
      <c r="A62744" s="8"/>
      <c r="B62744" s="8"/>
      <c r="C62744" s="99"/>
      <c r="D62744" s="8"/>
      <c r="E62744" s="8"/>
      <c r="F62744" s="8"/>
      <c r="G62744" s="8"/>
      <c r="H62744" s="8"/>
      <c r="I62744" s="102"/>
      <c r="J62744" s="8"/>
      <c r="K62744" s="8"/>
      <c r="L62744" s="8"/>
      <c r="M62744" s="8"/>
      <c r="N62744" s="8"/>
      <c r="O62744" s="8"/>
      <c r="P62744" s="8"/>
      <c r="Q62744" s="8"/>
      <c r="R62744" s="103"/>
      <c r="S62744" s="8"/>
      <c r="T62744" s="8"/>
      <c r="U62744" s="8"/>
      <c r="V62744" s="8"/>
      <c r="W62744" s="8"/>
      <c r="X62744" s="8"/>
      <c r="Y62744" s="8"/>
      <c r="Z62744" s="8"/>
      <c r="AA62744" s="8"/>
    </row>
    <row r="62745" spans="1:27" x14ac:dyDescent="0.25">
      <c r="A62745" s="8"/>
      <c r="B62745" s="8"/>
      <c r="C62745" s="99"/>
      <c r="D62745" s="8"/>
      <c r="E62745" s="8"/>
      <c r="F62745" s="8"/>
      <c r="G62745" s="8"/>
      <c r="H62745" s="8"/>
      <c r="I62745" s="102"/>
      <c r="J62745" s="8"/>
      <c r="K62745" s="8"/>
      <c r="L62745" s="8"/>
      <c r="M62745" s="8"/>
      <c r="N62745" s="8"/>
      <c r="O62745" s="8"/>
      <c r="P62745" s="8"/>
      <c r="Q62745" s="8"/>
      <c r="R62745" s="103"/>
      <c r="S62745" s="8"/>
      <c r="T62745" s="8"/>
      <c r="U62745" s="8"/>
      <c r="V62745" s="8"/>
      <c r="W62745" s="8"/>
      <c r="X62745" s="8"/>
      <c r="Y62745" s="8"/>
      <c r="Z62745" s="8"/>
      <c r="AA62745" s="8"/>
    </row>
    <row r="62746" spans="1:27" x14ac:dyDescent="0.25">
      <c r="A62746" s="8"/>
      <c r="B62746" s="8"/>
      <c r="C62746" s="99"/>
      <c r="D62746" s="8"/>
      <c r="E62746" s="8"/>
      <c r="F62746" s="8"/>
      <c r="G62746" s="8"/>
      <c r="H62746" s="8"/>
      <c r="I62746" s="102"/>
      <c r="J62746" s="8"/>
      <c r="K62746" s="8"/>
      <c r="L62746" s="8"/>
      <c r="M62746" s="8"/>
      <c r="N62746" s="8"/>
      <c r="O62746" s="8"/>
      <c r="P62746" s="8"/>
      <c r="Q62746" s="8"/>
      <c r="R62746" s="103"/>
      <c r="S62746" s="8"/>
      <c r="T62746" s="8"/>
      <c r="U62746" s="8"/>
      <c r="V62746" s="8"/>
      <c r="W62746" s="8"/>
      <c r="X62746" s="8"/>
      <c r="Y62746" s="8"/>
      <c r="Z62746" s="8"/>
      <c r="AA62746" s="8"/>
    </row>
    <row r="62747" spans="1:27" x14ac:dyDescent="0.25">
      <c r="A62747" s="8"/>
      <c r="B62747" s="8"/>
      <c r="C62747" s="99"/>
      <c r="D62747" s="8"/>
      <c r="E62747" s="8"/>
      <c r="F62747" s="8"/>
      <c r="G62747" s="8"/>
      <c r="H62747" s="8"/>
      <c r="I62747" s="102"/>
      <c r="J62747" s="8"/>
      <c r="K62747" s="8"/>
      <c r="L62747" s="8"/>
      <c r="M62747" s="8"/>
      <c r="N62747" s="8"/>
      <c r="O62747" s="8"/>
      <c r="P62747" s="8"/>
      <c r="Q62747" s="8"/>
      <c r="R62747" s="103"/>
      <c r="S62747" s="8"/>
      <c r="T62747" s="8"/>
      <c r="U62747" s="8"/>
      <c r="V62747" s="8"/>
      <c r="W62747" s="8"/>
      <c r="X62747" s="8"/>
      <c r="Y62747" s="8"/>
      <c r="Z62747" s="8"/>
      <c r="AA62747" s="8"/>
    </row>
    <row r="62748" spans="1:27" x14ac:dyDescent="0.25">
      <c r="A62748" s="8"/>
      <c r="B62748" s="8"/>
      <c r="C62748" s="99"/>
      <c r="D62748" s="8"/>
      <c r="E62748" s="8"/>
      <c r="F62748" s="8"/>
      <c r="G62748" s="8"/>
      <c r="H62748" s="8"/>
      <c r="I62748" s="102"/>
      <c r="J62748" s="8"/>
      <c r="K62748" s="8"/>
      <c r="L62748" s="8"/>
      <c r="M62748" s="8"/>
      <c r="N62748" s="8"/>
      <c r="O62748" s="8"/>
      <c r="P62748" s="8"/>
      <c r="Q62748" s="8"/>
      <c r="R62748" s="103"/>
      <c r="S62748" s="8"/>
      <c r="T62748" s="8"/>
      <c r="U62748" s="8"/>
      <c r="V62748" s="8"/>
      <c r="W62748" s="8"/>
      <c r="X62748" s="8"/>
      <c r="Y62748" s="8"/>
      <c r="Z62748" s="8"/>
      <c r="AA62748" s="8"/>
    </row>
    <row r="62749" spans="1:27" x14ac:dyDescent="0.25">
      <c r="A62749" s="8"/>
      <c r="B62749" s="8"/>
      <c r="C62749" s="99"/>
      <c r="D62749" s="8"/>
      <c r="E62749" s="8"/>
      <c r="F62749" s="8"/>
      <c r="G62749" s="8"/>
      <c r="H62749" s="8"/>
      <c r="I62749" s="102"/>
      <c r="J62749" s="8"/>
      <c r="K62749" s="8"/>
      <c r="L62749" s="8"/>
      <c r="M62749" s="8"/>
      <c r="N62749" s="8"/>
      <c r="O62749" s="8"/>
      <c r="P62749" s="8"/>
      <c r="Q62749" s="8"/>
      <c r="R62749" s="103"/>
      <c r="S62749" s="8"/>
      <c r="T62749" s="8"/>
      <c r="U62749" s="8"/>
      <c r="V62749" s="8"/>
      <c r="W62749" s="8"/>
      <c r="X62749" s="8"/>
      <c r="Y62749" s="8"/>
      <c r="Z62749" s="8"/>
      <c r="AA62749" s="8"/>
    </row>
    <row r="62750" spans="1:27" x14ac:dyDescent="0.25">
      <c r="A62750" s="8"/>
      <c r="B62750" s="8"/>
      <c r="C62750" s="99"/>
      <c r="D62750" s="8"/>
      <c r="E62750" s="8"/>
      <c r="F62750" s="8"/>
      <c r="G62750" s="8"/>
      <c r="H62750" s="8"/>
      <c r="I62750" s="102"/>
      <c r="J62750" s="8"/>
      <c r="K62750" s="8"/>
      <c r="L62750" s="8"/>
      <c r="M62750" s="8"/>
      <c r="N62750" s="8"/>
      <c r="O62750" s="8"/>
      <c r="P62750" s="8"/>
      <c r="Q62750" s="8"/>
      <c r="R62750" s="103"/>
      <c r="S62750" s="8"/>
      <c r="T62750" s="8"/>
      <c r="U62750" s="8"/>
      <c r="V62750" s="8"/>
      <c r="W62750" s="8"/>
      <c r="X62750" s="8"/>
      <c r="Y62750" s="8"/>
      <c r="Z62750" s="8"/>
      <c r="AA62750" s="8"/>
    </row>
    <row r="62751" spans="1:27" x14ac:dyDescent="0.25">
      <c r="A62751" s="8"/>
      <c r="B62751" s="8"/>
      <c r="C62751" s="99"/>
      <c r="D62751" s="8"/>
      <c r="E62751" s="8"/>
      <c r="F62751" s="8"/>
      <c r="G62751" s="8"/>
      <c r="H62751" s="8"/>
      <c r="I62751" s="102"/>
      <c r="J62751" s="8"/>
      <c r="K62751" s="8"/>
      <c r="L62751" s="8"/>
      <c r="M62751" s="8"/>
      <c r="N62751" s="8"/>
      <c r="O62751" s="8"/>
      <c r="P62751" s="8"/>
      <c r="Q62751" s="8"/>
      <c r="R62751" s="103"/>
      <c r="S62751" s="8"/>
      <c r="T62751" s="8"/>
      <c r="U62751" s="8"/>
      <c r="V62751" s="8"/>
      <c r="W62751" s="8"/>
      <c r="X62751" s="8"/>
      <c r="Y62751" s="8"/>
      <c r="Z62751" s="8"/>
      <c r="AA62751" s="8"/>
    </row>
    <row r="62752" spans="1:27" x14ac:dyDescent="0.25">
      <c r="A62752" s="8"/>
      <c r="B62752" s="8"/>
      <c r="C62752" s="99"/>
      <c r="D62752" s="8"/>
      <c r="E62752" s="8"/>
      <c r="F62752" s="8"/>
      <c r="G62752" s="8"/>
      <c r="H62752" s="8"/>
      <c r="I62752" s="102"/>
      <c r="J62752" s="8"/>
      <c r="K62752" s="8"/>
      <c r="L62752" s="8"/>
      <c r="M62752" s="8"/>
      <c r="N62752" s="8"/>
      <c r="O62752" s="8"/>
      <c r="P62752" s="8"/>
      <c r="Q62752" s="8"/>
      <c r="R62752" s="103"/>
      <c r="S62752" s="8"/>
      <c r="T62752" s="8"/>
      <c r="U62752" s="8"/>
      <c r="V62752" s="8"/>
      <c r="W62752" s="8"/>
      <c r="X62752" s="8"/>
      <c r="Y62752" s="8"/>
      <c r="Z62752" s="8"/>
      <c r="AA62752" s="8"/>
    </row>
    <row r="62753" spans="1:27" x14ac:dyDescent="0.25">
      <c r="A62753" s="8"/>
      <c r="B62753" s="8"/>
      <c r="C62753" s="99"/>
      <c r="D62753" s="8"/>
      <c r="E62753" s="8"/>
      <c r="F62753" s="8"/>
      <c r="G62753" s="8"/>
      <c r="H62753" s="8"/>
      <c r="I62753" s="102"/>
      <c r="J62753" s="8"/>
      <c r="K62753" s="8"/>
      <c r="L62753" s="8"/>
      <c r="M62753" s="8"/>
      <c r="N62753" s="8"/>
      <c r="O62753" s="8"/>
      <c r="P62753" s="8"/>
      <c r="Q62753" s="8"/>
      <c r="R62753" s="103"/>
      <c r="S62753" s="8"/>
      <c r="T62753" s="8"/>
      <c r="U62753" s="8"/>
      <c r="V62753" s="8"/>
      <c r="W62753" s="8"/>
      <c r="X62753" s="8"/>
      <c r="Y62753" s="8"/>
      <c r="Z62753" s="8"/>
      <c r="AA62753" s="8"/>
    </row>
    <row r="62754" spans="1:27" x14ac:dyDescent="0.25">
      <c r="A62754" s="8"/>
      <c r="B62754" s="8"/>
      <c r="C62754" s="99"/>
      <c r="D62754" s="8"/>
      <c r="E62754" s="8"/>
      <c r="F62754" s="8"/>
      <c r="G62754" s="8"/>
      <c r="H62754" s="8"/>
      <c r="I62754" s="102"/>
      <c r="J62754" s="8"/>
      <c r="K62754" s="8"/>
      <c r="L62754" s="8"/>
      <c r="M62754" s="8"/>
      <c r="N62754" s="8"/>
      <c r="O62754" s="8"/>
      <c r="P62754" s="8"/>
      <c r="Q62754" s="8"/>
      <c r="R62754" s="103"/>
      <c r="S62754" s="8"/>
      <c r="T62754" s="8"/>
      <c r="U62754" s="8"/>
      <c r="V62754" s="8"/>
      <c r="W62754" s="8"/>
      <c r="X62754" s="8"/>
      <c r="Y62754" s="8"/>
      <c r="Z62754" s="8"/>
      <c r="AA62754" s="8"/>
    </row>
    <row r="62755" spans="1:27" x14ac:dyDescent="0.25">
      <c r="A62755" s="8"/>
      <c r="B62755" s="8"/>
      <c r="C62755" s="99"/>
      <c r="D62755" s="8"/>
      <c r="E62755" s="8"/>
      <c r="F62755" s="8"/>
      <c r="G62755" s="8"/>
      <c r="H62755" s="8"/>
      <c r="I62755" s="102"/>
      <c r="J62755" s="8"/>
      <c r="K62755" s="8"/>
      <c r="L62755" s="8"/>
      <c r="M62755" s="8"/>
      <c r="N62755" s="8"/>
      <c r="O62755" s="8"/>
      <c r="P62755" s="8"/>
      <c r="Q62755" s="8"/>
      <c r="R62755" s="103"/>
      <c r="S62755" s="8"/>
      <c r="T62755" s="8"/>
      <c r="U62755" s="8"/>
      <c r="V62755" s="8"/>
      <c r="W62755" s="8"/>
      <c r="X62755" s="8"/>
      <c r="Y62755" s="8"/>
      <c r="Z62755" s="8"/>
      <c r="AA62755" s="8"/>
    </row>
    <row r="62756" spans="1:27" x14ac:dyDescent="0.25">
      <c r="A62756" s="8"/>
      <c r="B62756" s="8"/>
      <c r="C62756" s="99"/>
      <c r="D62756" s="8"/>
      <c r="E62756" s="8"/>
      <c r="F62756" s="8"/>
      <c r="G62756" s="8"/>
      <c r="H62756" s="8"/>
      <c r="I62756" s="102"/>
      <c r="J62756" s="8"/>
      <c r="K62756" s="8"/>
      <c r="L62756" s="8"/>
      <c r="M62756" s="8"/>
      <c r="N62756" s="8"/>
      <c r="O62756" s="8"/>
      <c r="P62756" s="8"/>
      <c r="Q62756" s="8"/>
      <c r="R62756" s="103"/>
      <c r="S62756" s="8"/>
      <c r="T62756" s="8"/>
      <c r="U62756" s="8"/>
      <c r="V62756" s="8"/>
      <c r="W62756" s="8"/>
      <c r="X62756" s="8"/>
      <c r="Y62756" s="8"/>
      <c r="Z62756" s="8"/>
      <c r="AA62756" s="8"/>
    </row>
    <row r="62757" spans="1:27" x14ac:dyDescent="0.25">
      <c r="A62757" s="8"/>
      <c r="B62757" s="8"/>
      <c r="C62757" s="99"/>
      <c r="D62757" s="8"/>
      <c r="E62757" s="8"/>
      <c r="F62757" s="8"/>
      <c r="G62757" s="8"/>
      <c r="H62757" s="8"/>
      <c r="I62757" s="102"/>
      <c r="J62757" s="8"/>
      <c r="K62757" s="8"/>
      <c r="L62757" s="8"/>
      <c r="M62757" s="8"/>
      <c r="N62757" s="8"/>
      <c r="O62757" s="8"/>
      <c r="P62757" s="8"/>
      <c r="Q62757" s="8"/>
      <c r="R62757" s="103"/>
      <c r="S62757" s="8"/>
      <c r="T62757" s="8"/>
      <c r="U62757" s="8"/>
      <c r="V62757" s="8"/>
      <c r="W62757" s="8"/>
      <c r="X62757" s="8"/>
      <c r="Y62757" s="8"/>
      <c r="Z62757" s="8"/>
      <c r="AA62757" s="8"/>
    </row>
    <row r="62758" spans="1:27" x14ac:dyDescent="0.25">
      <c r="A62758" s="8"/>
      <c r="B62758" s="8"/>
      <c r="C62758" s="99"/>
      <c r="D62758" s="8"/>
      <c r="E62758" s="8"/>
      <c r="F62758" s="8"/>
      <c r="G62758" s="8"/>
      <c r="H62758" s="8"/>
      <c r="I62758" s="102"/>
      <c r="J62758" s="8"/>
      <c r="K62758" s="8"/>
      <c r="L62758" s="8"/>
      <c r="M62758" s="8"/>
      <c r="N62758" s="8"/>
      <c r="O62758" s="8"/>
      <c r="P62758" s="8"/>
      <c r="Q62758" s="8"/>
      <c r="R62758" s="103"/>
      <c r="S62758" s="8"/>
      <c r="T62758" s="8"/>
      <c r="U62758" s="8"/>
      <c r="V62758" s="8"/>
      <c r="W62758" s="8"/>
      <c r="X62758" s="8"/>
      <c r="Y62758" s="8"/>
      <c r="Z62758" s="8"/>
      <c r="AA62758" s="8"/>
    </row>
    <row r="62759" spans="1:27" x14ac:dyDescent="0.25">
      <c r="A62759" s="8"/>
      <c r="B62759" s="8"/>
      <c r="C62759" s="99"/>
      <c r="D62759" s="8"/>
      <c r="E62759" s="8"/>
      <c r="F62759" s="8"/>
      <c r="G62759" s="8"/>
      <c r="H62759" s="8"/>
      <c r="I62759" s="102"/>
      <c r="J62759" s="8"/>
      <c r="K62759" s="8"/>
      <c r="L62759" s="8"/>
      <c r="M62759" s="8"/>
      <c r="N62759" s="8"/>
      <c r="O62759" s="8"/>
      <c r="P62759" s="8"/>
      <c r="Q62759" s="8"/>
      <c r="R62759" s="103"/>
      <c r="S62759" s="8"/>
      <c r="T62759" s="8"/>
      <c r="U62759" s="8"/>
      <c r="V62759" s="8"/>
      <c r="W62759" s="8"/>
      <c r="X62759" s="8"/>
      <c r="Y62759" s="8"/>
      <c r="Z62759" s="8"/>
      <c r="AA62759" s="8"/>
    </row>
    <row r="62760" spans="1:27" x14ac:dyDescent="0.25">
      <c r="A62760" s="8"/>
      <c r="B62760" s="8"/>
      <c r="C62760" s="99"/>
      <c r="D62760" s="8"/>
      <c r="E62760" s="8"/>
      <c r="F62760" s="8"/>
      <c r="G62760" s="8"/>
      <c r="H62760" s="8"/>
      <c r="I62760" s="102"/>
      <c r="J62760" s="8"/>
      <c r="K62760" s="8"/>
      <c r="L62760" s="8"/>
      <c r="M62760" s="8"/>
      <c r="N62760" s="8"/>
      <c r="O62760" s="8"/>
      <c r="P62760" s="8"/>
      <c r="Q62760" s="8"/>
      <c r="R62760" s="103"/>
      <c r="S62760" s="8"/>
      <c r="T62760" s="8"/>
      <c r="U62760" s="8"/>
      <c r="V62760" s="8"/>
      <c r="W62760" s="8"/>
      <c r="X62760" s="8"/>
      <c r="Y62760" s="8"/>
      <c r="Z62760" s="8"/>
      <c r="AA62760" s="8"/>
    </row>
    <row r="62761" spans="1:27" x14ac:dyDescent="0.25">
      <c r="A62761" s="8"/>
      <c r="B62761" s="8"/>
      <c r="C62761" s="99"/>
      <c r="D62761" s="8"/>
      <c r="E62761" s="8"/>
      <c r="F62761" s="8"/>
      <c r="G62761" s="8"/>
      <c r="H62761" s="8"/>
      <c r="I62761" s="102"/>
      <c r="J62761" s="8"/>
      <c r="K62761" s="8"/>
      <c r="L62761" s="8"/>
      <c r="M62761" s="8"/>
      <c r="N62761" s="8"/>
      <c r="O62761" s="8"/>
      <c r="P62761" s="8"/>
      <c r="Q62761" s="8"/>
      <c r="R62761" s="103"/>
      <c r="S62761" s="8"/>
      <c r="T62761" s="8"/>
      <c r="U62761" s="8"/>
      <c r="V62761" s="8"/>
      <c r="W62761" s="8"/>
      <c r="X62761" s="8"/>
      <c r="Y62761" s="8"/>
      <c r="Z62761" s="8"/>
      <c r="AA62761" s="8"/>
    </row>
    <row r="62762" spans="1:27" x14ac:dyDescent="0.25">
      <c r="A62762" s="8"/>
      <c r="B62762" s="8"/>
      <c r="C62762" s="99"/>
      <c r="D62762" s="8"/>
      <c r="E62762" s="8"/>
      <c r="F62762" s="8"/>
      <c r="G62762" s="8"/>
      <c r="H62762" s="8"/>
      <c r="I62762" s="102"/>
      <c r="J62762" s="8"/>
      <c r="K62762" s="8"/>
      <c r="L62762" s="8"/>
      <c r="M62762" s="8"/>
      <c r="N62762" s="8"/>
      <c r="O62762" s="8"/>
      <c r="P62762" s="8"/>
      <c r="Q62762" s="8"/>
      <c r="R62762" s="103"/>
      <c r="S62762" s="8"/>
      <c r="T62762" s="8"/>
      <c r="U62762" s="8"/>
      <c r="V62762" s="8"/>
      <c r="W62762" s="8"/>
      <c r="X62762" s="8"/>
      <c r="Y62762" s="8"/>
      <c r="Z62762" s="8"/>
      <c r="AA62762" s="8"/>
    </row>
    <row r="62763" spans="1:27" x14ac:dyDescent="0.25">
      <c r="A62763" s="8"/>
      <c r="B62763" s="8"/>
      <c r="C62763" s="99"/>
      <c r="D62763" s="8"/>
      <c r="E62763" s="8"/>
      <c r="F62763" s="8"/>
      <c r="G62763" s="8"/>
      <c r="H62763" s="8"/>
      <c r="I62763" s="102"/>
      <c r="J62763" s="8"/>
      <c r="K62763" s="8"/>
      <c r="L62763" s="8"/>
      <c r="M62763" s="8"/>
      <c r="N62763" s="8"/>
      <c r="O62763" s="8"/>
      <c r="P62763" s="8"/>
      <c r="Q62763" s="8"/>
      <c r="R62763" s="103"/>
      <c r="S62763" s="8"/>
      <c r="T62763" s="8"/>
      <c r="U62763" s="8"/>
      <c r="V62763" s="8"/>
      <c r="W62763" s="8"/>
      <c r="X62763" s="8"/>
      <c r="Y62763" s="8"/>
      <c r="Z62763" s="8"/>
      <c r="AA62763" s="8"/>
    </row>
    <row r="62764" spans="1:27" x14ac:dyDescent="0.25">
      <c r="A62764" s="8"/>
      <c r="B62764" s="8"/>
      <c r="C62764" s="99"/>
      <c r="D62764" s="8"/>
      <c r="E62764" s="8"/>
      <c r="F62764" s="8"/>
      <c r="G62764" s="8"/>
      <c r="H62764" s="8"/>
      <c r="I62764" s="102"/>
      <c r="J62764" s="8"/>
      <c r="K62764" s="8"/>
      <c r="L62764" s="8"/>
      <c r="M62764" s="8"/>
      <c r="N62764" s="8"/>
      <c r="O62764" s="8"/>
      <c r="P62764" s="8"/>
      <c r="Q62764" s="8"/>
      <c r="R62764" s="103"/>
      <c r="S62764" s="8"/>
      <c r="T62764" s="8"/>
      <c r="U62764" s="8"/>
      <c r="V62764" s="8"/>
      <c r="W62764" s="8"/>
      <c r="X62764" s="8"/>
      <c r="Y62764" s="8"/>
      <c r="Z62764" s="8"/>
      <c r="AA62764" s="8"/>
    </row>
    <row r="62765" spans="1:27" x14ac:dyDescent="0.25">
      <c r="A62765" s="8"/>
      <c r="B62765" s="8"/>
      <c r="C62765" s="99"/>
      <c r="D62765" s="8"/>
      <c r="E62765" s="8"/>
      <c r="F62765" s="8"/>
      <c r="G62765" s="8"/>
      <c r="H62765" s="8"/>
      <c r="I62765" s="102"/>
      <c r="J62765" s="8"/>
      <c r="K62765" s="8"/>
      <c r="L62765" s="8"/>
      <c r="M62765" s="8"/>
      <c r="N62765" s="8"/>
      <c r="O62765" s="8"/>
      <c r="P62765" s="8"/>
      <c r="Q62765" s="8"/>
      <c r="R62765" s="103"/>
      <c r="S62765" s="8"/>
      <c r="T62765" s="8"/>
      <c r="U62765" s="8"/>
      <c r="V62765" s="8"/>
      <c r="W62765" s="8"/>
      <c r="X62765" s="8"/>
      <c r="Y62765" s="8"/>
      <c r="Z62765" s="8"/>
      <c r="AA62765" s="8"/>
    </row>
    <row r="62766" spans="1:27" x14ac:dyDescent="0.25">
      <c r="A62766" s="8"/>
      <c r="B62766" s="8"/>
      <c r="C62766" s="99"/>
      <c r="D62766" s="8"/>
      <c r="E62766" s="8"/>
      <c r="F62766" s="8"/>
      <c r="G62766" s="8"/>
      <c r="H62766" s="8"/>
      <c r="I62766" s="102"/>
      <c r="J62766" s="8"/>
      <c r="K62766" s="8"/>
      <c r="L62766" s="8"/>
      <c r="M62766" s="8"/>
      <c r="N62766" s="8"/>
      <c r="O62766" s="8"/>
      <c r="P62766" s="8"/>
      <c r="Q62766" s="8"/>
      <c r="R62766" s="103"/>
      <c r="S62766" s="8"/>
      <c r="T62766" s="8"/>
      <c r="U62766" s="8"/>
      <c r="V62766" s="8"/>
      <c r="W62766" s="8"/>
      <c r="X62766" s="8"/>
      <c r="Y62766" s="8"/>
      <c r="Z62766" s="8"/>
      <c r="AA62766" s="8"/>
    </row>
    <row r="62767" spans="1:27" x14ac:dyDescent="0.25">
      <c r="A62767" s="8"/>
      <c r="B62767" s="8"/>
      <c r="C62767" s="99"/>
      <c r="D62767" s="8"/>
      <c r="E62767" s="8"/>
      <c r="F62767" s="8"/>
      <c r="G62767" s="8"/>
      <c r="H62767" s="8"/>
      <c r="I62767" s="102"/>
      <c r="J62767" s="8"/>
      <c r="K62767" s="8"/>
      <c r="L62767" s="8"/>
      <c r="M62767" s="8"/>
      <c r="N62767" s="8"/>
      <c r="O62767" s="8"/>
      <c r="P62767" s="8"/>
      <c r="Q62767" s="8"/>
      <c r="R62767" s="103"/>
      <c r="S62767" s="8"/>
      <c r="T62767" s="8"/>
      <c r="U62767" s="8"/>
      <c r="V62767" s="8"/>
      <c r="W62767" s="8"/>
      <c r="X62767" s="8"/>
      <c r="Y62767" s="8"/>
      <c r="Z62767" s="8"/>
      <c r="AA62767" s="8"/>
    </row>
    <row r="62768" spans="1:27" x14ac:dyDescent="0.25">
      <c r="A62768" s="8"/>
      <c r="B62768" s="8"/>
      <c r="C62768" s="99"/>
      <c r="D62768" s="8"/>
      <c r="E62768" s="8"/>
      <c r="F62768" s="8"/>
      <c r="G62768" s="8"/>
      <c r="H62768" s="8"/>
      <c r="I62768" s="102"/>
      <c r="J62768" s="8"/>
      <c r="K62768" s="8"/>
      <c r="L62768" s="8"/>
      <c r="M62768" s="8"/>
      <c r="N62768" s="8"/>
      <c r="O62768" s="8"/>
      <c r="P62768" s="8"/>
      <c r="Q62768" s="8"/>
      <c r="R62768" s="103"/>
      <c r="S62768" s="8"/>
      <c r="T62768" s="8"/>
      <c r="U62768" s="8"/>
      <c r="V62768" s="8"/>
      <c r="W62768" s="8"/>
      <c r="X62768" s="8"/>
      <c r="Y62768" s="8"/>
      <c r="Z62768" s="8"/>
      <c r="AA62768" s="8"/>
    </row>
    <row r="62769" spans="1:27" x14ac:dyDescent="0.25">
      <c r="A62769" s="8"/>
      <c r="B62769" s="8"/>
      <c r="C62769" s="99"/>
      <c r="D62769" s="8"/>
      <c r="E62769" s="8"/>
      <c r="F62769" s="8"/>
      <c r="G62769" s="8"/>
      <c r="H62769" s="8"/>
      <c r="I62769" s="102"/>
      <c r="J62769" s="8"/>
      <c r="K62769" s="8"/>
      <c r="L62769" s="8"/>
      <c r="M62769" s="8"/>
      <c r="N62769" s="8"/>
      <c r="O62769" s="8"/>
      <c r="P62769" s="8"/>
      <c r="Q62769" s="8"/>
      <c r="R62769" s="103"/>
      <c r="S62769" s="8"/>
      <c r="T62769" s="8"/>
      <c r="U62769" s="8"/>
      <c r="V62769" s="8"/>
      <c r="W62769" s="8"/>
      <c r="X62769" s="8"/>
      <c r="Y62769" s="8"/>
      <c r="Z62769" s="8"/>
      <c r="AA62769" s="8"/>
    </row>
    <row r="62770" spans="1:27" x14ac:dyDescent="0.25">
      <c r="A62770" s="8"/>
      <c r="B62770" s="8"/>
      <c r="C62770" s="99"/>
      <c r="D62770" s="8"/>
      <c r="E62770" s="8"/>
      <c r="F62770" s="8"/>
      <c r="G62770" s="8"/>
      <c r="H62770" s="8"/>
      <c r="I62770" s="102"/>
      <c r="J62770" s="8"/>
      <c r="K62770" s="8"/>
      <c r="L62770" s="8"/>
      <c r="M62770" s="8"/>
      <c r="N62770" s="8"/>
      <c r="O62770" s="8"/>
      <c r="P62770" s="8"/>
      <c r="Q62770" s="8"/>
      <c r="R62770" s="103"/>
      <c r="S62770" s="8"/>
      <c r="T62770" s="8"/>
      <c r="U62770" s="8"/>
      <c r="V62770" s="8"/>
      <c r="W62770" s="8"/>
      <c r="X62770" s="8"/>
      <c r="Y62770" s="8"/>
      <c r="Z62770" s="8"/>
      <c r="AA62770" s="8"/>
    </row>
    <row r="62771" spans="1:27" x14ac:dyDescent="0.25">
      <c r="A62771" s="8"/>
      <c r="B62771" s="8"/>
      <c r="C62771" s="99"/>
      <c r="D62771" s="8"/>
      <c r="E62771" s="8"/>
      <c r="F62771" s="8"/>
      <c r="G62771" s="8"/>
      <c r="H62771" s="8"/>
      <c r="I62771" s="102"/>
      <c r="J62771" s="8"/>
      <c r="K62771" s="8"/>
      <c r="L62771" s="8"/>
      <c r="M62771" s="8"/>
      <c r="N62771" s="8"/>
      <c r="O62771" s="8"/>
      <c r="P62771" s="8"/>
      <c r="Q62771" s="8"/>
      <c r="R62771" s="103"/>
      <c r="S62771" s="8"/>
      <c r="T62771" s="8"/>
      <c r="U62771" s="8"/>
      <c r="V62771" s="8"/>
      <c r="W62771" s="8"/>
      <c r="X62771" s="8"/>
      <c r="Y62771" s="8"/>
      <c r="Z62771" s="8"/>
      <c r="AA62771" s="8"/>
    </row>
    <row r="62772" spans="1:27" x14ac:dyDescent="0.25">
      <c r="A62772" s="8"/>
      <c r="B62772" s="8"/>
      <c r="C62772" s="99"/>
      <c r="D62772" s="8"/>
      <c r="E62772" s="8"/>
      <c r="F62772" s="8"/>
      <c r="G62772" s="8"/>
      <c r="H62772" s="8"/>
      <c r="I62772" s="102"/>
      <c r="J62772" s="8"/>
      <c r="K62772" s="8"/>
      <c r="L62772" s="8"/>
      <c r="M62772" s="8"/>
      <c r="N62772" s="8"/>
      <c r="O62772" s="8"/>
      <c r="P62772" s="8"/>
      <c r="Q62772" s="8"/>
      <c r="R62772" s="103"/>
      <c r="S62772" s="8"/>
      <c r="T62772" s="8"/>
      <c r="U62772" s="8"/>
      <c r="V62772" s="8"/>
      <c r="W62772" s="8"/>
      <c r="X62772" s="8"/>
      <c r="Y62772" s="8"/>
      <c r="Z62772" s="8"/>
      <c r="AA62772" s="8"/>
    </row>
    <row r="62773" spans="1:27" x14ac:dyDescent="0.25">
      <c r="A62773" s="8"/>
      <c r="B62773" s="8"/>
      <c r="C62773" s="99"/>
      <c r="D62773" s="8"/>
      <c r="E62773" s="8"/>
      <c r="F62773" s="8"/>
      <c r="G62773" s="8"/>
      <c r="H62773" s="8"/>
      <c r="I62773" s="102"/>
      <c r="J62773" s="8"/>
      <c r="K62773" s="8"/>
      <c r="L62773" s="8"/>
      <c r="M62773" s="8"/>
      <c r="N62773" s="8"/>
      <c r="O62773" s="8"/>
      <c r="P62773" s="8"/>
      <c r="Q62773" s="8"/>
      <c r="R62773" s="103"/>
      <c r="S62773" s="8"/>
      <c r="T62773" s="8"/>
      <c r="U62773" s="8"/>
      <c r="V62773" s="8"/>
      <c r="W62773" s="8"/>
      <c r="X62773" s="8"/>
      <c r="Y62773" s="8"/>
      <c r="Z62773" s="8"/>
      <c r="AA62773" s="8"/>
    </row>
    <row r="62774" spans="1:27" x14ac:dyDescent="0.25">
      <c r="A62774" s="8"/>
      <c r="B62774" s="8"/>
      <c r="C62774" s="99"/>
      <c r="D62774" s="8"/>
      <c r="E62774" s="8"/>
      <c r="F62774" s="8"/>
      <c r="G62774" s="8"/>
      <c r="H62774" s="8"/>
      <c r="I62774" s="102"/>
      <c r="J62774" s="8"/>
      <c r="K62774" s="8"/>
      <c r="L62774" s="8"/>
      <c r="M62774" s="8"/>
      <c r="N62774" s="8"/>
      <c r="O62774" s="8"/>
      <c r="P62774" s="8"/>
      <c r="Q62774" s="8"/>
      <c r="R62774" s="103"/>
      <c r="S62774" s="8"/>
      <c r="T62774" s="8"/>
      <c r="U62774" s="8"/>
      <c r="V62774" s="8"/>
      <c r="W62774" s="8"/>
      <c r="X62774" s="8"/>
      <c r="Y62774" s="8"/>
      <c r="Z62774" s="8"/>
      <c r="AA62774" s="8"/>
    </row>
    <row r="62775" spans="1:27" x14ac:dyDescent="0.25">
      <c r="A62775" s="8"/>
      <c r="B62775" s="8"/>
      <c r="C62775" s="99"/>
      <c r="D62775" s="8"/>
      <c r="E62775" s="8"/>
      <c r="F62775" s="8"/>
      <c r="G62775" s="8"/>
      <c r="H62775" s="8"/>
      <c r="I62775" s="102"/>
      <c r="J62775" s="8"/>
      <c r="K62775" s="8"/>
      <c r="L62775" s="8"/>
      <c r="M62775" s="8"/>
      <c r="N62775" s="8"/>
      <c r="O62775" s="8"/>
      <c r="P62775" s="8"/>
      <c r="Q62775" s="8"/>
      <c r="R62775" s="103"/>
      <c r="S62775" s="8"/>
      <c r="T62775" s="8"/>
      <c r="U62775" s="8"/>
      <c r="V62775" s="8"/>
      <c r="W62775" s="8"/>
      <c r="X62775" s="8"/>
      <c r="Y62775" s="8"/>
      <c r="Z62775" s="8"/>
      <c r="AA62775" s="8"/>
    </row>
    <row r="62776" spans="1:27" x14ac:dyDescent="0.25">
      <c r="A62776" s="8"/>
      <c r="B62776" s="8"/>
      <c r="C62776" s="99"/>
      <c r="D62776" s="8"/>
      <c r="E62776" s="8"/>
      <c r="F62776" s="8"/>
      <c r="G62776" s="8"/>
      <c r="H62776" s="8"/>
      <c r="I62776" s="102"/>
      <c r="J62776" s="8"/>
      <c r="K62776" s="8"/>
      <c r="L62776" s="8"/>
      <c r="M62776" s="8"/>
      <c r="N62776" s="8"/>
      <c r="O62776" s="8"/>
      <c r="P62776" s="8"/>
      <c r="Q62776" s="8"/>
      <c r="R62776" s="103"/>
      <c r="S62776" s="8"/>
      <c r="T62776" s="8"/>
      <c r="U62776" s="8"/>
      <c r="V62776" s="8"/>
      <c r="W62776" s="8"/>
      <c r="X62776" s="8"/>
      <c r="Y62776" s="8"/>
      <c r="Z62776" s="8"/>
      <c r="AA62776" s="8"/>
    </row>
    <row r="62777" spans="1:27" x14ac:dyDescent="0.25">
      <c r="A62777" s="8"/>
      <c r="B62777" s="8"/>
      <c r="C62777" s="99"/>
      <c r="D62777" s="8"/>
      <c r="E62777" s="8"/>
      <c r="F62777" s="8"/>
      <c r="G62777" s="8"/>
      <c r="H62777" s="8"/>
      <c r="I62777" s="102"/>
      <c r="J62777" s="8"/>
      <c r="K62777" s="8"/>
      <c r="L62777" s="8"/>
      <c r="M62777" s="8"/>
      <c r="N62777" s="8"/>
      <c r="O62777" s="8"/>
      <c r="P62777" s="8"/>
      <c r="Q62777" s="8"/>
      <c r="R62777" s="103"/>
      <c r="S62777" s="8"/>
      <c r="T62777" s="8"/>
      <c r="U62777" s="8"/>
      <c r="V62777" s="8"/>
      <c r="W62777" s="8"/>
      <c r="X62777" s="8"/>
      <c r="Y62777" s="8"/>
      <c r="Z62777" s="8"/>
      <c r="AA62777" s="8"/>
    </row>
    <row r="62778" spans="1:27" x14ac:dyDescent="0.25">
      <c r="A62778" s="8"/>
      <c r="B62778" s="8"/>
      <c r="C62778" s="99"/>
      <c r="D62778" s="8"/>
      <c r="E62778" s="8"/>
      <c r="F62778" s="8"/>
      <c r="G62778" s="8"/>
      <c r="H62778" s="8"/>
      <c r="I62778" s="102"/>
      <c r="J62778" s="8"/>
      <c r="K62778" s="8"/>
      <c r="L62778" s="8"/>
      <c r="M62778" s="8"/>
      <c r="N62778" s="8"/>
      <c r="O62778" s="8"/>
      <c r="P62778" s="8"/>
      <c r="Q62778" s="8"/>
      <c r="R62778" s="103"/>
      <c r="S62778" s="8"/>
      <c r="T62778" s="8"/>
      <c r="U62778" s="8"/>
      <c r="V62778" s="8"/>
      <c r="W62778" s="8"/>
      <c r="X62778" s="8"/>
      <c r="Y62778" s="8"/>
      <c r="Z62778" s="8"/>
      <c r="AA62778" s="8"/>
    </row>
    <row r="62779" spans="1:27" x14ac:dyDescent="0.25">
      <c r="A62779" s="8"/>
      <c r="B62779" s="8"/>
      <c r="C62779" s="99"/>
      <c r="D62779" s="8"/>
      <c r="E62779" s="8"/>
      <c r="F62779" s="8"/>
      <c r="G62779" s="8"/>
      <c r="H62779" s="8"/>
      <c r="I62779" s="102"/>
      <c r="J62779" s="8"/>
      <c r="K62779" s="8"/>
      <c r="L62779" s="8"/>
      <c r="M62779" s="8"/>
      <c r="N62779" s="8"/>
      <c r="O62779" s="8"/>
      <c r="P62779" s="8"/>
      <c r="Q62779" s="8"/>
      <c r="R62779" s="103"/>
      <c r="S62779" s="8"/>
      <c r="T62779" s="8"/>
      <c r="U62779" s="8"/>
      <c r="V62779" s="8"/>
      <c r="W62779" s="8"/>
      <c r="X62779" s="8"/>
      <c r="Y62779" s="8"/>
      <c r="Z62779" s="8"/>
      <c r="AA62779" s="8"/>
    </row>
    <row r="62780" spans="1:27" x14ac:dyDescent="0.25">
      <c r="A62780" s="8"/>
      <c r="B62780" s="8"/>
      <c r="C62780" s="99"/>
      <c r="D62780" s="8"/>
      <c r="E62780" s="8"/>
      <c r="F62780" s="8"/>
      <c r="G62780" s="8"/>
      <c r="H62780" s="8"/>
      <c r="I62780" s="102"/>
      <c r="J62780" s="8"/>
      <c r="K62780" s="8"/>
      <c r="L62780" s="8"/>
      <c r="M62780" s="8"/>
      <c r="N62780" s="8"/>
      <c r="O62780" s="8"/>
      <c r="P62780" s="8"/>
      <c r="Q62780" s="8"/>
      <c r="R62780" s="103"/>
      <c r="S62780" s="8"/>
      <c r="T62780" s="8"/>
      <c r="U62780" s="8"/>
      <c r="V62780" s="8"/>
      <c r="W62780" s="8"/>
      <c r="X62780" s="8"/>
      <c r="Y62780" s="8"/>
      <c r="Z62780" s="8"/>
      <c r="AA62780" s="8"/>
    </row>
    <row r="62781" spans="1:27" x14ac:dyDescent="0.25">
      <c r="A62781" s="8"/>
      <c r="B62781" s="8"/>
      <c r="C62781" s="99"/>
      <c r="D62781" s="8"/>
      <c r="E62781" s="8"/>
      <c r="F62781" s="8"/>
      <c r="G62781" s="8"/>
      <c r="H62781" s="8"/>
      <c r="I62781" s="102"/>
      <c r="J62781" s="8"/>
      <c r="K62781" s="8"/>
      <c r="L62781" s="8"/>
      <c r="M62781" s="8"/>
      <c r="N62781" s="8"/>
      <c r="O62781" s="8"/>
      <c r="P62781" s="8"/>
      <c r="Q62781" s="8"/>
      <c r="R62781" s="103"/>
      <c r="S62781" s="8"/>
      <c r="T62781" s="8"/>
      <c r="U62781" s="8"/>
      <c r="V62781" s="8"/>
      <c r="W62781" s="8"/>
      <c r="X62781" s="8"/>
      <c r="Y62781" s="8"/>
      <c r="Z62781" s="8"/>
      <c r="AA62781" s="8"/>
    </row>
    <row r="62782" spans="1:27" x14ac:dyDescent="0.25">
      <c r="A62782" s="8"/>
      <c r="B62782" s="8"/>
      <c r="C62782" s="99"/>
      <c r="D62782" s="8"/>
      <c r="E62782" s="8"/>
      <c r="F62782" s="8"/>
      <c r="G62782" s="8"/>
      <c r="H62782" s="8"/>
      <c r="I62782" s="102"/>
      <c r="J62782" s="8"/>
      <c r="K62782" s="8"/>
      <c r="L62782" s="8"/>
      <c r="M62782" s="8"/>
      <c r="N62782" s="8"/>
      <c r="O62782" s="8"/>
      <c r="P62782" s="8"/>
      <c r="Q62782" s="8"/>
      <c r="R62782" s="103"/>
      <c r="S62782" s="8"/>
      <c r="T62782" s="8"/>
      <c r="U62782" s="8"/>
      <c r="V62782" s="8"/>
      <c r="W62782" s="8"/>
      <c r="X62782" s="8"/>
      <c r="Y62782" s="8"/>
      <c r="Z62782" s="8"/>
      <c r="AA62782" s="8"/>
    </row>
    <row r="62783" spans="1:27" x14ac:dyDescent="0.25">
      <c r="A62783" s="8"/>
      <c r="B62783" s="8"/>
      <c r="C62783" s="99"/>
      <c r="D62783" s="8"/>
      <c r="E62783" s="8"/>
      <c r="F62783" s="8"/>
      <c r="G62783" s="8"/>
      <c r="H62783" s="8"/>
      <c r="I62783" s="102"/>
      <c r="J62783" s="8"/>
      <c r="K62783" s="8"/>
      <c r="L62783" s="8"/>
      <c r="M62783" s="8"/>
      <c r="N62783" s="8"/>
      <c r="O62783" s="8"/>
      <c r="P62783" s="8"/>
      <c r="Q62783" s="8"/>
      <c r="R62783" s="103"/>
      <c r="S62783" s="8"/>
      <c r="T62783" s="8"/>
      <c r="U62783" s="8"/>
      <c r="V62783" s="8"/>
      <c r="W62783" s="8"/>
      <c r="X62783" s="8"/>
      <c r="Y62783" s="8"/>
      <c r="Z62783" s="8"/>
      <c r="AA62783" s="8"/>
    </row>
    <row r="62784" spans="1:27" x14ac:dyDescent="0.25">
      <c r="A62784" s="8"/>
      <c r="B62784" s="8"/>
      <c r="C62784" s="99"/>
      <c r="D62784" s="8"/>
      <c r="E62784" s="8"/>
      <c r="F62784" s="8"/>
      <c r="G62784" s="8"/>
      <c r="H62784" s="8"/>
      <c r="I62784" s="102"/>
      <c r="J62784" s="8"/>
      <c r="K62784" s="8"/>
      <c r="L62784" s="8"/>
      <c r="M62784" s="8"/>
      <c r="N62784" s="8"/>
      <c r="O62784" s="8"/>
      <c r="P62784" s="8"/>
      <c r="Q62784" s="8"/>
      <c r="R62784" s="103"/>
      <c r="S62784" s="8"/>
      <c r="T62784" s="8"/>
      <c r="U62784" s="8"/>
      <c r="V62784" s="8"/>
      <c r="W62784" s="8"/>
      <c r="X62784" s="8"/>
      <c r="Y62784" s="8"/>
      <c r="Z62784" s="8"/>
      <c r="AA62784" s="8"/>
    </row>
    <row r="62785" spans="1:27" x14ac:dyDescent="0.25">
      <c r="A62785" s="8"/>
      <c r="B62785" s="8"/>
      <c r="C62785" s="99"/>
      <c r="D62785" s="8"/>
      <c r="E62785" s="8"/>
      <c r="F62785" s="8"/>
      <c r="G62785" s="8"/>
      <c r="H62785" s="8"/>
      <c r="I62785" s="102"/>
      <c r="J62785" s="8"/>
      <c r="K62785" s="8"/>
      <c r="L62785" s="8"/>
      <c r="M62785" s="8"/>
      <c r="N62785" s="8"/>
      <c r="O62785" s="8"/>
      <c r="P62785" s="8"/>
      <c r="Q62785" s="8"/>
      <c r="R62785" s="103"/>
      <c r="S62785" s="8"/>
      <c r="T62785" s="8"/>
      <c r="U62785" s="8"/>
      <c r="V62785" s="8"/>
      <c r="W62785" s="8"/>
      <c r="X62785" s="8"/>
      <c r="Y62785" s="8"/>
      <c r="Z62785" s="8"/>
      <c r="AA62785" s="8"/>
    </row>
    <row r="62786" spans="1:27" x14ac:dyDescent="0.25">
      <c r="A62786" s="8"/>
      <c r="B62786" s="8"/>
      <c r="C62786" s="99"/>
      <c r="D62786" s="8"/>
      <c r="E62786" s="8"/>
      <c r="F62786" s="8"/>
      <c r="G62786" s="8"/>
      <c r="H62786" s="8"/>
      <c r="I62786" s="102"/>
      <c r="J62786" s="8"/>
      <c r="K62786" s="8"/>
      <c r="L62786" s="8"/>
      <c r="M62786" s="8"/>
      <c r="N62786" s="8"/>
      <c r="O62786" s="8"/>
      <c r="P62786" s="8"/>
      <c r="Q62786" s="8"/>
      <c r="R62786" s="103"/>
      <c r="S62786" s="8"/>
      <c r="T62786" s="8"/>
      <c r="U62786" s="8"/>
      <c r="V62786" s="8"/>
      <c r="W62786" s="8"/>
      <c r="X62786" s="8"/>
      <c r="Y62786" s="8"/>
      <c r="Z62786" s="8"/>
      <c r="AA62786" s="8"/>
    </row>
    <row r="62787" spans="1:27" x14ac:dyDescent="0.25">
      <c r="A62787" s="8"/>
      <c r="B62787" s="8"/>
      <c r="C62787" s="99"/>
      <c r="D62787" s="8"/>
      <c r="E62787" s="8"/>
      <c r="F62787" s="8"/>
      <c r="G62787" s="8"/>
      <c r="H62787" s="8"/>
      <c r="I62787" s="102"/>
      <c r="J62787" s="8"/>
      <c r="K62787" s="8"/>
      <c r="L62787" s="8"/>
      <c r="M62787" s="8"/>
      <c r="N62787" s="8"/>
      <c r="O62787" s="8"/>
      <c r="P62787" s="8"/>
      <c r="Q62787" s="8"/>
      <c r="R62787" s="103"/>
      <c r="S62787" s="8"/>
      <c r="T62787" s="8"/>
      <c r="U62787" s="8"/>
      <c r="V62787" s="8"/>
      <c r="W62787" s="8"/>
      <c r="X62787" s="8"/>
      <c r="Y62787" s="8"/>
      <c r="Z62787" s="8"/>
      <c r="AA62787" s="8"/>
    </row>
    <row r="62788" spans="1:27" x14ac:dyDescent="0.25">
      <c r="A62788" s="8"/>
      <c r="B62788" s="8"/>
      <c r="C62788" s="99"/>
      <c r="D62788" s="8"/>
      <c r="E62788" s="8"/>
      <c r="F62788" s="8"/>
      <c r="G62788" s="8"/>
      <c r="H62788" s="8"/>
      <c r="I62788" s="102"/>
      <c r="J62788" s="8"/>
      <c r="K62788" s="8"/>
      <c r="L62788" s="8"/>
      <c r="M62788" s="8"/>
      <c r="N62788" s="8"/>
      <c r="O62788" s="8"/>
      <c r="P62788" s="8"/>
      <c r="Q62788" s="8"/>
      <c r="R62788" s="103"/>
      <c r="S62788" s="8"/>
      <c r="T62788" s="8"/>
      <c r="U62788" s="8"/>
      <c r="V62788" s="8"/>
      <c r="W62788" s="8"/>
      <c r="X62788" s="8"/>
      <c r="Y62788" s="8"/>
      <c r="Z62788" s="8"/>
      <c r="AA62788" s="8"/>
    </row>
    <row r="62789" spans="1:27" x14ac:dyDescent="0.25">
      <c r="A62789" s="8"/>
      <c r="B62789" s="8"/>
      <c r="C62789" s="99"/>
      <c r="D62789" s="8"/>
      <c r="E62789" s="8"/>
      <c r="F62789" s="8"/>
      <c r="G62789" s="8"/>
      <c r="H62789" s="8"/>
      <c r="I62789" s="102"/>
      <c r="J62789" s="8"/>
      <c r="K62789" s="8"/>
      <c r="L62789" s="8"/>
      <c r="M62789" s="8"/>
      <c r="N62789" s="8"/>
      <c r="O62789" s="8"/>
      <c r="P62789" s="8"/>
      <c r="Q62789" s="8"/>
      <c r="R62789" s="103"/>
      <c r="S62789" s="8"/>
      <c r="T62789" s="8"/>
      <c r="U62789" s="8"/>
      <c r="V62789" s="8"/>
      <c r="W62789" s="8"/>
      <c r="X62789" s="8"/>
      <c r="Y62789" s="8"/>
      <c r="Z62789" s="8"/>
      <c r="AA62789" s="8"/>
    </row>
    <row r="62790" spans="1:27" x14ac:dyDescent="0.25">
      <c r="A62790" s="8"/>
      <c r="B62790" s="8"/>
      <c r="C62790" s="99"/>
      <c r="D62790" s="8"/>
      <c r="E62790" s="8"/>
      <c r="F62790" s="8"/>
      <c r="G62790" s="8"/>
      <c r="H62790" s="8"/>
      <c r="I62790" s="102"/>
      <c r="J62790" s="8"/>
      <c r="K62790" s="8"/>
      <c r="L62790" s="8"/>
      <c r="M62790" s="8"/>
      <c r="N62790" s="8"/>
      <c r="O62790" s="8"/>
      <c r="P62790" s="8"/>
      <c r="Q62790" s="8"/>
      <c r="R62790" s="103"/>
      <c r="S62790" s="8"/>
      <c r="T62790" s="8"/>
      <c r="U62790" s="8"/>
      <c r="V62790" s="8"/>
      <c r="W62790" s="8"/>
      <c r="X62790" s="8"/>
      <c r="Y62790" s="8"/>
      <c r="Z62790" s="8"/>
      <c r="AA62790" s="8"/>
    </row>
    <row r="62791" spans="1:27" x14ac:dyDescent="0.25">
      <c r="A62791" s="8"/>
      <c r="B62791" s="8"/>
      <c r="C62791" s="99"/>
      <c r="D62791" s="8"/>
      <c r="E62791" s="8"/>
      <c r="F62791" s="8"/>
      <c r="G62791" s="8"/>
      <c r="H62791" s="8"/>
      <c r="I62791" s="102"/>
      <c r="J62791" s="8"/>
      <c r="K62791" s="8"/>
      <c r="L62791" s="8"/>
      <c r="M62791" s="8"/>
      <c r="N62791" s="8"/>
      <c r="O62791" s="8"/>
      <c r="P62791" s="8"/>
      <c r="Q62791" s="8"/>
      <c r="R62791" s="103"/>
      <c r="S62791" s="8"/>
      <c r="T62791" s="8"/>
      <c r="U62791" s="8"/>
      <c r="V62791" s="8"/>
      <c r="W62791" s="8"/>
      <c r="X62791" s="8"/>
      <c r="Y62791" s="8"/>
      <c r="Z62791" s="8"/>
      <c r="AA62791" s="8"/>
    </row>
    <row r="62792" spans="1:27" x14ac:dyDescent="0.25">
      <c r="A62792" s="8"/>
      <c r="B62792" s="8"/>
      <c r="C62792" s="99"/>
      <c r="D62792" s="8"/>
      <c r="E62792" s="8"/>
      <c r="F62792" s="8"/>
      <c r="G62792" s="8"/>
      <c r="H62792" s="8"/>
      <c r="I62792" s="102"/>
      <c r="J62792" s="8"/>
      <c r="K62792" s="8"/>
      <c r="L62792" s="8"/>
      <c r="M62792" s="8"/>
      <c r="N62792" s="8"/>
      <c r="O62792" s="8"/>
      <c r="P62792" s="8"/>
      <c r="Q62792" s="8"/>
      <c r="R62792" s="103"/>
      <c r="S62792" s="8"/>
      <c r="T62792" s="8"/>
      <c r="U62792" s="8"/>
      <c r="V62792" s="8"/>
      <c r="W62792" s="8"/>
      <c r="X62792" s="8"/>
      <c r="Y62792" s="8"/>
      <c r="Z62792" s="8"/>
      <c r="AA62792" s="8"/>
    </row>
    <row r="62793" spans="1:27" x14ac:dyDescent="0.25">
      <c r="A62793" s="8"/>
      <c r="B62793" s="8"/>
      <c r="C62793" s="99"/>
      <c r="D62793" s="8"/>
      <c r="E62793" s="8"/>
      <c r="F62793" s="8"/>
      <c r="G62793" s="8"/>
      <c r="H62793" s="8"/>
      <c r="I62793" s="102"/>
      <c r="J62793" s="8"/>
      <c r="K62793" s="8"/>
      <c r="L62793" s="8"/>
      <c r="M62793" s="8"/>
      <c r="N62793" s="8"/>
      <c r="O62793" s="8"/>
      <c r="P62793" s="8"/>
      <c r="Q62793" s="8"/>
      <c r="R62793" s="103"/>
      <c r="S62793" s="8"/>
      <c r="T62793" s="8"/>
      <c r="U62793" s="8"/>
      <c r="V62793" s="8"/>
      <c r="W62793" s="8"/>
      <c r="X62793" s="8"/>
      <c r="Y62793" s="8"/>
      <c r="Z62793" s="8"/>
      <c r="AA62793" s="8"/>
    </row>
    <row r="62794" spans="1:27" x14ac:dyDescent="0.25">
      <c r="A62794" s="8"/>
      <c r="B62794" s="8"/>
      <c r="C62794" s="99"/>
      <c r="D62794" s="8"/>
      <c r="E62794" s="8"/>
      <c r="F62794" s="8"/>
      <c r="G62794" s="8"/>
      <c r="H62794" s="8"/>
      <c r="I62794" s="102"/>
      <c r="J62794" s="8"/>
      <c r="K62794" s="8"/>
      <c r="L62794" s="8"/>
      <c r="M62794" s="8"/>
      <c r="N62794" s="8"/>
      <c r="O62794" s="8"/>
      <c r="P62794" s="8"/>
      <c r="Q62794" s="8"/>
      <c r="R62794" s="103"/>
      <c r="S62794" s="8"/>
      <c r="T62794" s="8"/>
      <c r="U62794" s="8"/>
      <c r="V62794" s="8"/>
      <c r="W62794" s="8"/>
      <c r="X62794" s="8"/>
      <c r="Y62794" s="8"/>
      <c r="Z62794" s="8"/>
      <c r="AA62794" s="8"/>
    </row>
    <row r="62795" spans="1:27" x14ac:dyDescent="0.25">
      <c r="A62795" s="8"/>
      <c r="B62795" s="8"/>
      <c r="C62795" s="99"/>
      <c r="D62795" s="8"/>
      <c r="E62795" s="8"/>
      <c r="F62795" s="8"/>
      <c r="G62795" s="8"/>
      <c r="H62795" s="8"/>
      <c r="I62795" s="102"/>
      <c r="J62795" s="8"/>
      <c r="K62795" s="8"/>
      <c r="L62795" s="8"/>
      <c r="M62795" s="8"/>
      <c r="N62795" s="8"/>
      <c r="O62795" s="8"/>
      <c r="P62795" s="8"/>
      <c r="Q62795" s="8"/>
      <c r="R62795" s="103"/>
      <c r="S62795" s="8"/>
      <c r="T62795" s="8"/>
      <c r="U62795" s="8"/>
      <c r="V62795" s="8"/>
      <c r="W62795" s="8"/>
      <c r="X62795" s="8"/>
      <c r="Y62795" s="8"/>
      <c r="Z62795" s="8"/>
      <c r="AA62795" s="8"/>
    </row>
    <row r="62796" spans="1:27" x14ac:dyDescent="0.25">
      <c r="A62796" s="8"/>
      <c r="B62796" s="8"/>
      <c r="C62796" s="99"/>
      <c r="D62796" s="8"/>
      <c r="E62796" s="8"/>
      <c r="F62796" s="8"/>
      <c r="G62796" s="8"/>
      <c r="H62796" s="8"/>
      <c r="I62796" s="102"/>
      <c r="J62796" s="8"/>
      <c r="K62796" s="8"/>
      <c r="L62796" s="8"/>
      <c r="M62796" s="8"/>
      <c r="N62796" s="8"/>
      <c r="O62796" s="8"/>
      <c r="P62796" s="8"/>
      <c r="Q62796" s="8"/>
      <c r="R62796" s="103"/>
      <c r="S62796" s="8"/>
      <c r="T62796" s="8"/>
      <c r="U62796" s="8"/>
      <c r="V62796" s="8"/>
      <c r="W62796" s="8"/>
      <c r="X62796" s="8"/>
      <c r="Y62796" s="8"/>
      <c r="Z62796" s="8"/>
      <c r="AA62796" s="8"/>
    </row>
    <row r="62797" spans="1:27" x14ac:dyDescent="0.25">
      <c r="A62797" s="8"/>
      <c r="B62797" s="8"/>
      <c r="C62797" s="99"/>
      <c r="D62797" s="8"/>
      <c r="E62797" s="8"/>
      <c r="F62797" s="8"/>
      <c r="G62797" s="8"/>
      <c r="H62797" s="8"/>
      <c r="I62797" s="102"/>
      <c r="J62797" s="8"/>
      <c r="K62797" s="8"/>
      <c r="L62797" s="8"/>
      <c r="M62797" s="8"/>
      <c r="N62797" s="8"/>
      <c r="O62797" s="8"/>
      <c r="P62797" s="8"/>
      <c r="Q62797" s="8"/>
      <c r="R62797" s="103"/>
      <c r="S62797" s="8"/>
      <c r="T62797" s="8"/>
      <c r="U62797" s="8"/>
      <c r="V62797" s="8"/>
      <c r="W62797" s="8"/>
      <c r="X62797" s="8"/>
      <c r="Y62797" s="8"/>
      <c r="Z62797" s="8"/>
      <c r="AA62797" s="8"/>
    </row>
    <row r="62798" spans="1:27" x14ac:dyDescent="0.25">
      <c r="A62798" s="8"/>
      <c r="B62798" s="8"/>
      <c r="C62798" s="99"/>
      <c r="D62798" s="8"/>
      <c r="E62798" s="8"/>
      <c r="F62798" s="8"/>
      <c r="G62798" s="8"/>
      <c r="H62798" s="8"/>
      <c r="I62798" s="102"/>
      <c r="J62798" s="8"/>
      <c r="K62798" s="8"/>
      <c r="L62798" s="8"/>
      <c r="M62798" s="8"/>
      <c r="N62798" s="8"/>
      <c r="O62798" s="8"/>
      <c r="P62798" s="8"/>
      <c r="Q62798" s="8"/>
      <c r="R62798" s="103"/>
      <c r="S62798" s="8"/>
      <c r="T62798" s="8"/>
      <c r="U62798" s="8"/>
      <c r="V62798" s="8"/>
      <c r="W62798" s="8"/>
      <c r="X62798" s="8"/>
      <c r="Y62798" s="8"/>
      <c r="Z62798" s="8"/>
      <c r="AA62798" s="8"/>
    </row>
    <row r="62799" spans="1:27" x14ac:dyDescent="0.25">
      <c r="A62799" s="8"/>
      <c r="B62799" s="8"/>
      <c r="C62799" s="99"/>
      <c r="D62799" s="8"/>
      <c r="E62799" s="8"/>
      <c r="F62799" s="8"/>
      <c r="G62799" s="8"/>
      <c r="H62799" s="8"/>
      <c r="I62799" s="102"/>
      <c r="J62799" s="8"/>
      <c r="K62799" s="8"/>
      <c r="L62799" s="8"/>
      <c r="M62799" s="8"/>
      <c r="N62799" s="8"/>
      <c r="O62799" s="8"/>
      <c r="P62799" s="8"/>
      <c r="Q62799" s="8"/>
      <c r="R62799" s="103"/>
      <c r="S62799" s="8"/>
      <c r="T62799" s="8"/>
      <c r="U62799" s="8"/>
      <c r="V62799" s="8"/>
      <c r="W62799" s="8"/>
      <c r="X62799" s="8"/>
      <c r="Y62799" s="8"/>
      <c r="Z62799" s="8"/>
      <c r="AA62799" s="8"/>
    </row>
    <row r="62800" spans="1:27" x14ac:dyDescent="0.25">
      <c r="A62800" s="8"/>
      <c r="B62800" s="8"/>
      <c r="C62800" s="99"/>
      <c r="D62800" s="8"/>
      <c r="E62800" s="8"/>
      <c r="F62800" s="8"/>
      <c r="G62800" s="8"/>
      <c r="H62800" s="8"/>
      <c r="I62800" s="102"/>
      <c r="J62800" s="8"/>
      <c r="K62800" s="8"/>
      <c r="L62800" s="8"/>
      <c r="M62800" s="8"/>
      <c r="N62800" s="8"/>
      <c r="O62800" s="8"/>
      <c r="P62800" s="8"/>
      <c r="Q62800" s="8"/>
      <c r="R62800" s="103"/>
      <c r="S62800" s="8"/>
      <c r="T62800" s="8"/>
      <c r="U62800" s="8"/>
      <c r="V62800" s="8"/>
      <c r="W62800" s="8"/>
      <c r="X62800" s="8"/>
      <c r="Y62800" s="8"/>
      <c r="Z62800" s="8"/>
      <c r="AA62800" s="8"/>
    </row>
    <row r="62801" spans="1:27" x14ac:dyDescent="0.25">
      <c r="A62801" s="8"/>
      <c r="B62801" s="8"/>
      <c r="C62801" s="99"/>
      <c r="D62801" s="8"/>
      <c r="E62801" s="8"/>
      <c r="F62801" s="8"/>
      <c r="G62801" s="8"/>
      <c r="H62801" s="8"/>
      <c r="I62801" s="102"/>
      <c r="J62801" s="8"/>
      <c r="K62801" s="8"/>
      <c r="L62801" s="8"/>
      <c r="M62801" s="8"/>
      <c r="N62801" s="8"/>
      <c r="O62801" s="8"/>
      <c r="P62801" s="8"/>
      <c r="Q62801" s="8"/>
      <c r="R62801" s="103"/>
      <c r="S62801" s="8"/>
      <c r="T62801" s="8"/>
      <c r="U62801" s="8"/>
      <c r="V62801" s="8"/>
      <c r="W62801" s="8"/>
      <c r="X62801" s="8"/>
      <c r="Y62801" s="8"/>
      <c r="Z62801" s="8"/>
      <c r="AA62801" s="8"/>
    </row>
    <row r="62802" spans="1:27" x14ac:dyDescent="0.25">
      <c r="A62802" s="8"/>
      <c r="B62802" s="8"/>
      <c r="C62802" s="99"/>
      <c r="D62802" s="8"/>
      <c r="E62802" s="8"/>
      <c r="F62802" s="8"/>
      <c r="G62802" s="8"/>
      <c r="H62802" s="8"/>
      <c r="I62802" s="102"/>
      <c r="J62802" s="8"/>
      <c r="K62802" s="8"/>
      <c r="L62802" s="8"/>
      <c r="M62802" s="8"/>
      <c r="N62802" s="8"/>
      <c r="O62802" s="8"/>
      <c r="P62802" s="8"/>
      <c r="Q62802" s="8"/>
      <c r="R62802" s="103"/>
      <c r="S62802" s="8"/>
      <c r="T62802" s="8"/>
      <c r="U62802" s="8"/>
      <c r="V62802" s="8"/>
      <c r="W62802" s="8"/>
      <c r="X62802" s="8"/>
      <c r="Y62802" s="8"/>
      <c r="Z62802" s="8"/>
      <c r="AA62802" s="8"/>
    </row>
    <row r="62803" spans="1:27" x14ac:dyDescent="0.25">
      <c r="A62803" s="8"/>
      <c r="B62803" s="8"/>
      <c r="C62803" s="99"/>
      <c r="D62803" s="8"/>
      <c r="E62803" s="8"/>
      <c r="F62803" s="8"/>
      <c r="G62803" s="8"/>
      <c r="H62803" s="8"/>
      <c r="I62803" s="102"/>
      <c r="J62803" s="8"/>
      <c r="K62803" s="8"/>
      <c r="L62803" s="8"/>
      <c r="M62803" s="8"/>
      <c r="N62803" s="8"/>
      <c r="O62803" s="8"/>
      <c r="P62803" s="8"/>
      <c r="Q62803" s="8"/>
      <c r="R62803" s="103"/>
      <c r="S62803" s="8"/>
      <c r="T62803" s="8"/>
      <c r="U62803" s="8"/>
      <c r="V62803" s="8"/>
      <c r="W62803" s="8"/>
      <c r="X62803" s="8"/>
      <c r="Y62803" s="8"/>
      <c r="Z62803" s="8"/>
      <c r="AA62803" s="8"/>
    </row>
    <row r="62804" spans="1:27" x14ac:dyDescent="0.25">
      <c r="A62804" s="8"/>
      <c r="B62804" s="8"/>
      <c r="C62804" s="99"/>
      <c r="D62804" s="8"/>
      <c r="E62804" s="8"/>
      <c r="F62804" s="8"/>
      <c r="G62804" s="8"/>
      <c r="H62804" s="8"/>
      <c r="I62804" s="102"/>
      <c r="J62804" s="8"/>
      <c r="K62804" s="8"/>
      <c r="L62804" s="8"/>
      <c r="M62804" s="8"/>
      <c r="N62804" s="8"/>
      <c r="O62804" s="8"/>
      <c r="P62804" s="8"/>
      <c r="Q62804" s="8"/>
      <c r="R62804" s="103"/>
      <c r="S62804" s="8"/>
      <c r="T62804" s="8"/>
      <c r="U62804" s="8"/>
      <c r="V62804" s="8"/>
      <c r="W62804" s="8"/>
      <c r="X62804" s="8"/>
      <c r="Y62804" s="8"/>
      <c r="Z62804" s="8"/>
      <c r="AA62804" s="8"/>
    </row>
    <row r="62805" spans="1:27" x14ac:dyDescent="0.25">
      <c r="A62805" s="8"/>
      <c r="B62805" s="8"/>
      <c r="C62805" s="99"/>
      <c r="D62805" s="8"/>
      <c r="E62805" s="8"/>
      <c r="F62805" s="8"/>
      <c r="G62805" s="8"/>
      <c r="H62805" s="8"/>
      <c r="I62805" s="102"/>
      <c r="J62805" s="8"/>
      <c r="K62805" s="8"/>
      <c r="L62805" s="8"/>
      <c r="M62805" s="8"/>
      <c r="N62805" s="8"/>
      <c r="O62805" s="8"/>
      <c r="P62805" s="8"/>
      <c r="Q62805" s="8"/>
      <c r="R62805" s="103"/>
      <c r="S62805" s="8"/>
      <c r="T62805" s="8"/>
      <c r="U62805" s="8"/>
      <c r="V62805" s="8"/>
      <c r="W62805" s="8"/>
      <c r="X62805" s="8"/>
      <c r="Y62805" s="8"/>
      <c r="Z62805" s="8"/>
      <c r="AA62805" s="8"/>
    </row>
    <row r="62806" spans="1:27" x14ac:dyDescent="0.25">
      <c r="A62806" s="8"/>
      <c r="B62806" s="8"/>
      <c r="C62806" s="99"/>
      <c r="D62806" s="8"/>
      <c r="E62806" s="8"/>
      <c r="F62806" s="8"/>
      <c r="G62806" s="8"/>
      <c r="H62806" s="8"/>
      <c r="I62806" s="102"/>
      <c r="J62806" s="8"/>
      <c r="K62806" s="8"/>
      <c r="L62806" s="8"/>
      <c r="M62806" s="8"/>
      <c r="N62806" s="8"/>
      <c r="O62806" s="8"/>
      <c r="P62806" s="8"/>
      <c r="Q62806" s="8"/>
      <c r="R62806" s="103"/>
      <c r="S62806" s="8"/>
      <c r="T62806" s="8"/>
      <c r="U62806" s="8"/>
      <c r="V62806" s="8"/>
      <c r="W62806" s="8"/>
      <c r="X62806" s="8"/>
      <c r="Y62806" s="8"/>
      <c r="Z62806" s="8"/>
      <c r="AA62806" s="8"/>
    </row>
    <row r="62807" spans="1:27" x14ac:dyDescent="0.25">
      <c r="A62807" s="8"/>
      <c r="B62807" s="8"/>
      <c r="C62807" s="99"/>
      <c r="D62807" s="8"/>
      <c r="E62807" s="8"/>
      <c r="F62807" s="8"/>
      <c r="G62807" s="8"/>
      <c r="H62807" s="8"/>
      <c r="I62807" s="102"/>
      <c r="J62807" s="8"/>
      <c r="K62807" s="8"/>
      <c r="L62807" s="8"/>
      <c r="M62807" s="8"/>
      <c r="N62807" s="8"/>
      <c r="O62807" s="8"/>
      <c r="P62807" s="8"/>
      <c r="Q62807" s="8"/>
      <c r="R62807" s="103"/>
      <c r="S62807" s="8"/>
      <c r="T62807" s="8"/>
      <c r="U62807" s="8"/>
      <c r="V62807" s="8"/>
      <c r="W62807" s="8"/>
      <c r="X62807" s="8"/>
      <c r="Y62807" s="8"/>
      <c r="Z62807" s="8"/>
      <c r="AA62807" s="8"/>
    </row>
    <row r="62808" spans="1:27" x14ac:dyDescent="0.25">
      <c r="A62808" s="8"/>
      <c r="B62808" s="8"/>
      <c r="C62808" s="99"/>
      <c r="D62808" s="8"/>
      <c r="E62808" s="8"/>
      <c r="F62808" s="8"/>
      <c r="G62808" s="8"/>
      <c r="H62808" s="8"/>
      <c r="I62808" s="102"/>
      <c r="J62808" s="8"/>
      <c r="K62808" s="8"/>
      <c r="L62808" s="8"/>
      <c r="M62808" s="8"/>
      <c r="N62808" s="8"/>
      <c r="O62808" s="8"/>
      <c r="P62808" s="8"/>
      <c r="Q62808" s="8"/>
      <c r="R62808" s="103"/>
      <c r="S62808" s="8"/>
      <c r="T62808" s="8"/>
      <c r="U62808" s="8"/>
      <c r="V62808" s="8"/>
      <c r="W62808" s="8"/>
      <c r="X62808" s="8"/>
      <c r="Y62808" s="8"/>
      <c r="Z62808" s="8"/>
      <c r="AA62808" s="8"/>
    </row>
    <row r="62809" spans="1:27" x14ac:dyDescent="0.25">
      <c r="A62809" s="8"/>
      <c r="B62809" s="8"/>
      <c r="C62809" s="99"/>
      <c r="D62809" s="8"/>
      <c r="E62809" s="8"/>
      <c r="F62809" s="8"/>
      <c r="G62809" s="8"/>
      <c r="H62809" s="8"/>
      <c r="I62809" s="102"/>
      <c r="J62809" s="8"/>
      <c r="K62809" s="8"/>
      <c r="L62809" s="8"/>
      <c r="M62809" s="8"/>
      <c r="N62809" s="8"/>
      <c r="O62809" s="8"/>
      <c r="P62809" s="8"/>
      <c r="Q62809" s="8"/>
      <c r="R62809" s="103"/>
      <c r="S62809" s="8"/>
      <c r="T62809" s="8"/>
      <c r="U62809" s="8"/>
      <c r="V62809" s="8"/>
      <c r="W62809" s="8"/>
      <c r="X62809" s="8"/>
      <c r="Y62809" s="8"/>
      <c r="Z62809" s="8"/>
      <c r="AA62809" s="8"/>
    </row>
    <row r="62810" spans="1:27" x14ac:dyDescent="0.25">
      <c r="A62810" s="8"/>
      <c r="B62810" s="8"/>
      <c r="C62810" s="99"/>
      <c r="D62810" s="8"/>
      <c r="E62810" s="8"/>
      <c r="F62810" s="8"/>
      <c r="G62810" s="8"/>
      <c r="H62810" s="8"/>
      <c r="I62810" s="102"/>
      <c r="J62810" s="8"/>
      <c r="K62810" s="8"/>
      <c r="L62810" s="8"/>
      <c r="M62810" s="8"/>
      <c r="N62810" s="8"/>
      <c r="O62810" s="8"/>
      <c r="P62810" s="8"/>
      <c r="Q62810" s="8"/>
      <c r="R62810" s="103"/>
      <c r="S62810" s="8"/>
      <c r="T62810" s="8"/>
      <c r="U62810" s="8"/>
      <c r="V62810" s="8"/>
      <c r="W62810" s="8"/>
      <c r="X62810" s="8"/>
      <c r="Y62810" s="8"/>
      <c r="Z62810" s="8"/>
      <c r="AA62810" s="8"/>
    </row>
    <row r="62811" spans="1:27" x14ac:dyDescent="0.25">
      <c r="A62811" s="8"/>
      <c r="B62811" s="8"/>
      <c r="C62811" s="99"/>
      <c r="D62811" s="8"/>
      <c r="E62811" s="8"/>
      <c r="F62811" s="8"/>
      <c r="G62811" s="8"/>
      <c r="H62811" s="8"/>
      <c r="I62811" s="102"/>
      <c r="J62811" s="8"/>
      <c r="K62811" s="8"/>
      <c r="L62811" s="8"/>
      <c r="M62811" s="8"/>
      <c r="N62811" s="8"/>
      <c r="O62811" s="8"/>
      <c r="P62811" s="8"/>
      <c r="Q62811" s="8"/>
      <c r="R62811" s="103"/>
      <c r="S62811" s="8"/>
      <c r="T62811" s="8"/>
      <c r="U62811" s="8"/>
      <c r="V62811" s="8"/>
      <c r="W62811" s="8"/>
      <c r="X62811" s="8"/>
      <c r="Y62811" s="8"/>
      <c r="Z62811" s="8"/>
      <c r="AA62811" s="8"/>
    </row>
    <row r="62812" spans="1:27" x14ac:dyDescent="0.25">
      <c r="A62812" s="8"/>
      <c r="B62812" s="8"/>
      <c r="C62812" s="99"/>
      <c r="D62812" s="8"/>
      <c r="E62812" s="8"/>
      <c r="F62812" s="8"/>
      <c r="G62812" s="8"/>
      <c r="H62812" s="8"/>
      <c r="I62812" s="102"/>
      <c r="J62812" s="8"/>
      <c r="K62812" s="8"/>
      <c r="L62812" s="8"/>
      <c r="M62812" s="8"/>
      <c r="N62812" s="8"/>
      <c r="O62812" s="8"/>
      <c r="P62812" s="8"/>
      <c r="Q62812" s="8"/>
      <c r="R62812" s="103"/>
      <c r="S62812" s="8"/>
      <c r="T62812" s="8"/>
      <c r="U62812" s="8"/>
      <c r="V62812" s="8"/>
      <c r="W62812" s="8"/>
      <c r="X62812" s="8"/>
      <c r="Y62812" s="8"/>
      <c r="Z62812" s="8"/>
      <c r="AA62812" s="8"/>
    </row>
    <row r="62813" spans="1:27" x14ac:dyDescent="0.25">
      <c r="A62813" s="8"/>
      <c r="B62813" s="8"/>
      <c r="C62813" s="99"/>
      <c r="D62813" s="8"/>
      <c r="E62813" s="8"/>
      <c r="F62813" s="8"/>
      <c r="G62813" s="8"/>
      <c r="H62813" s="8"/>
      <c r="I62813" s="102"/>
      <c r="J62813" s="8"/>
      <c r="K62813" s="8"/>
      <c r="L62813" s="8"/>
      <c r="M62813" s="8"/>
      <c r="N62813" s="8"/>
      <c r="O62813" s="8"/>
      <c r="P62813" s="8"/>
      <c r="Q62813" s="8"/>
      <c r="R62813" s="103"/>
      <c r="S62813" s="8"/>
      <c r="T62813" s="8"/>
      <c r="U62813" s="8"/>
      <c r="V62813" s="8"/>
      <c r="W62813" s="8"/>
      <c r="X62813" s="8"/>
      <c r="Y62813" s="8"/>
      <c r="Z62813" s="8"/>
      <c r="AA62813" s="8"/>
    </row>
    <row r="62814" spans="1:27" x14ac:dyDescent="0.25">
      <c r="A62814" s="8"/>
      <c r="B62814" s="8"/>
      <c r="C62814" s="99"/>
      <c r="D62814" s="8"/>
      <c r="E62814" s="8"/>
      <c r="F62814" s="8"/>
      <c r="G62814" s="8"/>
      <c r="H62814" s="8"/>
      <c r="I62814" s="102"/>
      <c r="J62814" s="8"/>
      <c r="K62814" s="8"/>
      <c r="L62814" s="8"/>
      <c r="M62814" s="8"/>
      <c r="N62814" s="8"/>
      <c r="O62814" s="8"/>
      <c r="P62814" s="8"/>
      <c r="Q62814" s="8"/>
      <c r="R62814" s="103"/>
      <c r="S62814" s="8"/>
      <c r="T62814" s="8"/>
      <c r="U62814" s="8"/>
      <c r="V62814" s="8"/>
      <c r="W62814" s="8"/>
      <c r="X62814" s="8"/>
      <c r="Y62814" s="8"/>
      <c r="Z62814" s="8"/>
      <c r="AA62814" s="8"/>
    </row>
    <row r="62815" spans="1:27" x14ac:dyDescent="0.25">
      <c r="A62815" s="8"/>
      <c r="B62815" s="8"/>
      <c r="C62815" s="99"/>
      <c r="D62815" s="8"/>
      <c r="E62815" s="8"/>
      <c r="F62815" s="8"/>
      <c r="G62815" s="8"/>
      <c r="H62815" s="8"/>
      <c r="I62815" s="102"/>
      <c r="J62815" s="8"/>
      <c r="K62815" s="8"/>
      <c r="L62815" s="8"/>
      <c r="M62815" s="8"/>
      <c r="N62815" s="8"/>
      <c r="O62815" s="8"/>
      <c r="P62815" s="8"/>
      <c r="Q62815" s="8"/>
      <c r="R62815" s="103"/>
      <c r="S62815" s="8"/>
      <c r="T62815" s="8"/>
      <c r="U62815" s="8"/>
      <c r="V62815" s="8"/>
      <c r="W62815" s="8"/>
      <c r="X62815" s="8"/>
      <c r="Y62815" s="8"/>
      <c r="Z62815" s="8"/>
      <c r="AA62815" s="8"/>
    </row>
    <row r="62816" spans="1:27" x14ac:dyDescent="0.25">
      <c r="A62816" s="8"/>
      <c r="B62816" s="8"/>
      <c r="C62816" s="99"/>
      <c r="D62816" s="8"/>
      <c r="E62816" s="8"/>
      <c r="F62816" s="8"/>
      <c r="G62816" s="8"/>
      <c r="H62816" s="8"/>
      <c r="I62816" s="102"/>
      <c r="J62816" s="8"/>
      <c r="K62816" s="8"/>
      <c r="L62816" s="8"/>
      <c r="M62816" s="8"/>
      <c r="N62816" s="8"/>
      <c r="O62816" s="8"/>
      <c r="P62816" s="8"/>
      <c r="Q62816" s="8"/>
      <c r="R62816" s="103"/>
      <c r="S62816" s="8"/>
      <c r="T62816" s="8"/>
      <c r="U62816" s="8"/>
      <c r="V62816" s="8"/>
      <c r="W62816" s="8"/>
      <c r="X62816" s="8"/>
      <c r="Y62816" s="8"/>
      <c r="Z62816" s="8"/>
      <c r="AA62816" s="8"/>
    </row>
    <row r="62817" spans="1:27" x14ac:dyDescent="0.25">
      <c r="A62817" s="8"/>
      <c r="B62817" s="8"/>
      <c r="C62817" s="99"/>
      <c r="D62817" s="8"/>
      <c r="E62817" s="8"/>
      <c r="F62817" s="8"/>
      <c r="G62817" s="8"/>
      <c r="H62817" s="8"/>
      <c r="I62817" s="102"/>
      <c r="J62817" s="8"/>
      <c r="K62817" s="8"/>
      <c r="L62817" s="8"/>
      <c r="M62817" s="8"/>
      <c r="N62817" s="8"/>
      <c r="O62817" s="8"/>
      <c r="P62817" s="8"/>
      <c r="Q62817" s="8"/>
      <c r="R62817" s="103"/>
      <c r="S62817" s="8"/>
      <c r="T62817" s="8"/>
      <c r="U62817" s="8"/>
      <c r="V62817" s="8"/>
      <c r="W62817" s="8"/>
      <c r="X62817" s="8"/>
      <c r="Y62817" s="8"/>
      <c r="Z62817" s="8"/>
      <c r="AA62817" s="8"/>
    </row>
    <row r="62818" spans="1:27" x14ac:dyDescent="0.25">
      <c r="A62818" s="8"/>
      <c r="B62818" s="8"/>
      <c r="C62818" s="99"/>
      <c r="D62818" s="8"/>
      <c r="E62818" s="8"/>
      <c r="F62818" s="8"/>
      <c r="G62818" s="8"/>
      <c r="H62818" s="8"/>
      <c r="I62818" s="102"/>
      <c r="J62818" s="8"/>
      <c r="K62818" s="8"/>
      <c r="L62818" s="8"/>
      <c r="M62818" s="8"/>
      <c r="N62818" s="8"/>
      <c r="O62818" s="8"/>
      <c r="P62818" s="8"/>
      <c r="Q62818" s="8"/>
      <c r="R62818" s="103"/>
      <c r="S62818" s="8"/>
      <c r="T62818" s="8"/>
      <c r="U62818" s="8"/>
      <c r="V62818" s="8"/>
      <c r="W62818" s="8"/>
      <c r="X62818" s="8"/>
      <c r="Y62818" s="8"/>
      <c r="Z62818" s="8"/>
      <c r="AA62818" s="8"/>
    </row>
    <row r="62819" spans="1:27" x14ac:dyDescent="0.25">
      <c r="A62819" s="8"/>
      <c r="B62819" s="8"/>
      <c r="C62819" s="99"/>
      <c r="D62819" s="8"/>
      <c r="E62819" s="8"/>
      <c r="F62819" s="8"/>
      <c r="G62819" s="8"/>
      <c r="H62819" s="8"/>
      <c r="I62819" s="102"/>
      <c r="J62819" s="8"/>
      <c r="K62819" s="8"/>
      <c r="L62819" s="8"/>
      <c r="M62819" s="8"/>
      <c r="N62819" s="8"/>
      <c r="O62819" s="8"/>
      <c r="P62819" s="8"/>
      <c r="Q62819" s="8"/>
      <c r="R62819" s="103"/>
      <c r="S62819" s="8"/>
      <c r="T62819" s="8"/>
      <c r="U62819" s="8"/>
      <c r="V62819" s="8"/>
      <c r="W62819" s="8"/>
      <c r="X62819" s="8"/>
      <c r="Y62819" s="8"/>
      <c r="Z62819" s="8"/>
      <c r="AA62819" s="8"/>
    </row>
    <row r="62820" spans="1:27" x14ac:dyDescent="0.25">
      <c r="A62820" s="8"/>
      <c r="B62820" s="8"/>
      <c r="C62820" s="99"/>
      <c r="D62820" s="8"/>
      <c r="E62820" s="8"/>
      <c r="F62820" s="8"/>
      <c r="G62820" s="8"/>
      <c r="H62820" s="8"/>
      <c r="I62820" s="102"/>
      <c r="J62820" s="8"/>
      <c r="K62820" s="8"/>
      <c r="L62820" s="8"/>
      <c r="M62820" s="8"/>
      <c r="N62820" s="8"/>
      <c r="O62820" s="8"/>
      <c r="P62820" s="8"/>
      <c r="Q62820" s="8"/>
      <c r="R62820" s="103"/>
      <c r="S62820" s="8"/>
      <c r="T62820" s="8"/>
      <c r="U62820" s="8"/>
      <c r="V62820" s="8"/>
      <c r="W62820" s="8"/>
      <c r="X62820" s="8"/>
      <c r="Y62820" s="8"/>
      <c r="Z62820" s="8"/>
      <c r="AA62820" s="8"/>
    </row>
    <row r="62821" spans="1:27" x14ac:dyDescent="0.25">
      <c r="A62821" s="8"/>
      <c r="B62821" s="8"/>
      <c r="C62821" s="99"/>
      <c r="D62821" s="8"/>
      <c r="E62821" s="8"/>
      <c r="F62821" s="8"/>
      <c r="G62821" s="8"/>
      <c r="H62821" s="8"/>
      <c r="I62821" s="102"/>
      <c r="J62821" s="8"/>
      <c r="K62821" s="8"/>
      <c r="L62821" s="8"/>
      <c r="M62821" s="8"/>
      <c r="N62821" s="8"/>
      <c r="O62821" s="8"/>
      <c r="P62821" s="8"/>
      <c r="Q62821" s="8"/>
      <c r="R62821" s="103"/>
      <c r="S62821" s="8"/>
      <c r="T62821" s="8"/>
      <c r="U62821" s="8"/>
      <c r="V62821" s="8"/>
      <c r="W62821" s="8"/>
      <c r="X62821" s="8"/>
      <c r="Y62821" s="8"/>
      <c r="Z62821" s="8"/>
      <c r="AA62821" s="8"/>
    </row>
    <row r="62822" spans="1:27" x14ac:dyDescent="0.25">
      <c r="A62822" s="8"/>
      <c r="B62822" s="8"/>
      <c r="C62822" s="99"/>
      <c r="D62822" s="8"/>
      <c r="E62822" s="8"/>
      <c r="F62822" s="8"/>
      <c r="G62822" s="8"/>
      <c r="H62822" s="8"/>
      <c r="I62822" s="102"/>
      <c r="J62822" s="8"/>
      <c r="K62822" s="8"/>
      <c r="L62822" s="8"/>
      <c r="M62822" s="8"/>
      <c r="N62822" s="8"/>
      <c r="O62822" s="8"/>
      <c r="P62822" s="8"/>
      <c r="Q62822" s="8"/>
      <c r="R62822" s="103"/>
      <c r="S62822" s="8"/>
      <c r="T62822" s="8"/>
      <c r="U62822" s="8"/>
      <c r="V62822" s="8"/>
      <c r="W62822" s="8"/>
      <c r="X62822" s="8"/>
      <c r="Y62822" s="8"/>
      <c r="Z62822" s="8"/>
      <c r="AA62822" s="8"/>
    </row>
    <row r="62823" spans="1:27" x14ac:dyDescent="0.25">
      <c r="A62823" s="8"/>
      <c r="B62823" s="8"/>
      <c r="C62823" s="99"/>
      <c r="D62823" s="8"/>
      <c r="E62823" s="8"/>
      <c r="F62823" s="8"/>
      <c r="G62823" s="8"/>
      <c r="H62823" s="8"/>
      <c r="I62823" s="102"/>
      <c r="J62823" s="8"/>
      <c r="K62823" s="8"/>
      <c r="L62823" s="8"/>
      <c r="M62823" s="8"/>
      <c r="N62823" s="8"/>
      <c r="O62823" s="8"/>
      <c r="P62823" s="8"/>
      <c r="Q62823" s="8"/>
      <c r="R62823" s="103"/>
      <c r="S62823" s="8"/>
      <c r="T62823" s="8"/>
      <c r="U62823" s="8"/>
      <c r="V62823" s="8"/>
      <c r="W62823" s="8"/>
      <c r="X62823" s="8"/>
      <c r="Y62823" s="8"/>
      <c r="Z62823" s="8"/>
      <c r="AA62823" s="8"/>
    </row>
    <row r="62824" spans="1:27" x14ac:dyDescent="0.25">
      <c r="A62824" s="8"/>
      <c r="B62824" s="8"/>
      <c r="C62824" s="99"/>
      <c r="D62824" s="8"/>
      <c r="E62824" s="8"/>
      <c r="F62824" s="8"/>
      <c r="G62824" s="8"/>
      <c r="H62824" s="8"/>
      <c r="I62824" s="102"/>
      <c r="J62824" s="8"/>
      <c r="K62824" s="8"/>
      <c r="L62824" s="8"/>
      <c r="M62824" s="8"/>
      <c r="N62824" s="8"/>
      <c r="O62824" s="8"/>
      <c r="P62824" s="8"/>
      <c r="Q62824" s="8"/>
      <c r="R62824" s="103"/>
      <c r="S62824" s="8"/>
      <c r="T62824" s="8"/>
      <c r="U62824" s="8"/>
      <c r="V62824" s="8"/>
      <c r="W62824" s="8"/>
      <c r="X62824" s="8"/>
      <c r="Y62824" s="8"/>
      <c r="Z62824" s="8"/>
      <c r="AA62824" s="8"/>
    </row>
    <row r="62825" spans="1:27" x14ac:dyDescent="0.25">
      <c r="A62825" s="8"/>
      <c r="B62825" s="8"/>
      <c r="C62825" s="99"/>
      <c r="D62825" s="8"/>
      <c r="E62825" s="8"/>
      <c r="F62825" s="8"/>
      <c r="G62825" s="8"/>
      <c r="H62825" s="8"/>
      <c r="I62825" s="102"/>
      <c r="J62825" s="8"/>
      <c r="K62825" s="8"/>
      <c r="L62825" s="8"/>
      <c r="M62825" s="8"/>
      <c r="N62825" s="8"/>
      <c r="O62825" s="8"/>
      <c r="P62825" s="8"/>
      <c r="Q62825" s="8"/>
      <c r="R62825" s="103"/>
      <c r="S62825" s="8"/>
      <c r="T62825" s="8"/>
      <c r="U62825" s="8"/>
      <c r="V62825" s="8"/>
      <c r="W62825" s="8"/>
      <c r="X62825" s="8"/>
      <c r="Y62825" s="8"/>
      <c r="Z62825" s="8"/>
      <c r="AA62825" s="8"/>
    </row>
    <row r="62826" spans="1:27" x14ac:dyDescent="0.25">
      <c r="A62826" s="8"/>
      <c r="B62826" s="8"/>
      <c r="C62826" s="99"/>
      <c r="D62826" s="8"/>
      <c r="E62826" s="8"/>
      <c r="F62826" s="8"/>
      <c r="G62826" s="8"/>
      <c r="H62826" s="8"/>
      <c r="I62826" s="102"/>
      <c r="J62826" s="8"/>
      <c r="K62826" s="8"/>
      <c r="L62826" s="8"/>
      <c r="M62826" s="8"/>
      <c r="N62826" s="8"/>
      <c r="O62826" s="8"/>
      <c r="P62826" s="8"/>
      <c r="Q62826" s="8"/>
      <c r="R62826" s="103"/>
      <c r="S62826" s="8"/>
      <c r="T62826" s="8"/>
      <c r="U62826" s="8"/>
      <c r="V62826" s="8"/>
      <c r="W62826" s="8"/>
      <c r="X62826" s="8"/>
      <c r="Y62826" s="8"/>
      <c r="Z62826" s="8"/>
      <c r="AA62826" s="8"/>
    </row>
    <row r="62827" spans="1:27" x14ac:dyDescent="0.25">
      <c r="A62827" s="8"/>
      <c r="B62827" s="8"/>
      <c r="C62827" s="99"/>
      <c r="D62827" s="8"/>
      <c r="E62827" s="8"/>
      <c r="F62827" s="8"/>
      <c r="G62827" s="8"/>
      <c r="H62827" s="8"/>
      <c r="I62827" s="102"/>
      <c r="J62827" s="8"/>
      <c r="K62827" s="8"/>
      <c r="L62827" s="8"/>
      <c r="M62827" s="8"/>
      <c r="N62827" s="8"/>
      <c r="O62827" s="8"/>
      <c r="P62827" s="8"/>
      <c r="Q62827" s="8"/>
      <c r="R62827" s="103"/>
      <c r="S62827" s="8"/>
      <c r="T62827" s="8"/>
      <c r="U62827" s="8"/>
      <c r="V62827" s="8"/>
      <c r="W62827" s="8"/>
      <c r="X62827" s="8"/>
      <c r="Y62827" s="8"/>
      <c r="Z62827" s="8"/>
      <c r="AA62827" s="8"/>
    </row>
    <row r="62828" spans="1:27" x14ac:dyDescent="0.25">
      <c r="A62828" s="8"/>
      <c r="B62828" s="8"/>
      <c r="C62828" s="99"/>
      <c r="D62828" s="8"/>
      <c r="E62828" s="8"/>
      <c r="F62828" s="8"/>
      <c r="G62828" s="8"/>
      <c r="H62828" s="8"/>
      <c r="I62828" s="102"/>
      <c r="J62828" s="8"/>
      <c r="K62828" s="8"/>
      <c r="L62828" s="8"/>
      <c r="M62828" s="8"/>
      <c r="N62828" s="8"/>
      <c r="O62828" s="8"/>
      <c r="P62828" s="8"/>
      <c r="Q62828" s="8"/>
      <c r="R62828" s="103"/>
      <c r="S62828" s="8"/>
      <c r="T62828" s="8"/>
      <c r="U62828" s="8"/>
      <c r="V62828" s="8"/>
      <c r="W62828" s="8"/>
      <c r="X62828" s="8"/>
      <c r="Y62828" s="8"/>
      <c r="Z62828" s="8"/>
      <c r="AA62828" s="8"/>
    </row>
    <row r="62829" spans="1:27" x14ac:dyDescent="0.25">
      <c r="A62829" s="8"/>
      <c r="B62829" s="8"/>
      <c r="C62829" s="99"/>
      <c r="D62829" s="8"/>
      <c r="E62829" s="8"/>
      <c r="F62829" s="8"/>
      <c r="G62829" s="8"/>
      <c r="H62829" s="8"/>
      <c r="I62829" s="102"/>
      <c r="J62829" s="8"/>
      <c r="K62829" s="8"/>
      <c r="L62829" s="8"/>
      <c r="M62829" s="8"/>
      <c r="N62829" s="8"/>
      <c r="O62829" s="8"/>
      <c r="P62829" s="8"/>
      <c r="Q62829" s="8"/>
      <c r="R62829" s="103"/>
      <c r="S62829" s="8"/>
      <c r="T62829" s="8"/>
      <c r="U62829" s="8"/>
      <c r="V62829" s="8"/>
      <c r="W62829" s="8"/>
      <c r="X62829" s="8"/>
      <c r="Y62829" s="8"/>
      <c r="Z62829" s="8"/>
      <c r="AA62829" s="8"/>
    </row>
    <row r="62830" spans="1:27" x14ac:dyDescent="0.25">
      <c r="A62830" s="8"/>
      <c r="B62830" s="8"/>
      <c r="C62830" s="99"/>
      <c r="D62830" s="8"/>
      <c r="E62830" s="8"/>
      <c r="F62830" s="8"/>
      <c r="G62830" s="8"/>
      <c r="H62830" s="8"/>
      <c r="I62830" s="102"/>
      <c r="J62830" s="8"/>
      <c r="K62830" s="8"/>
      <c r="L62830" s="8"/>
      <c r="M62830" s="8"/>
      <c r="N62830" s="8"/>
      <c r="O62830" s="8"/>
      <c r="P62830" s="8"/>
      <c r="Q62830" s="8"/>
      <c r="R62830" s="103"/>
      <c r="S62830" s="8"/>
      <c r="T62830" s="8"/>
      <c r="U62830" s="8"/>
      <c r="V62830" s="8"/>
      <c r="W62830" s="8"/>
      <c r="X62830" s="8"/>
      <c r="Y62830" s="8"/>
      <c r="Z62830" s="8"/>
      <c r="AA62830" s="8"/>
    </row>
    <row r="62831" spans="1:27" x14ac:dyDescent="0.25">
      <c r="A62831" s="8"/>
      <c r="B62831" s="8"/>
      <c r="C62831" s="99"/>
      <c r="D62831" s="8"/>
      <c r="E62831" s="8"/>
      <c r="F62831" s="8"/>
      <c r="G62831" s="8"/>
      <c r="H62831" s="8"/>
      <c r="I62831" s="102"/>
      <c r="J62831" s="8"/>
      <c r="K62831" s="8"/>
      <c r="L62831" s="8"/>
      <c r="M62831" s="8"/>
      <c r="N62831" s="8"/>
      <c r="O62831" s="8"/>
      <c r="P62831" s="8"/>
      <c r="Q62831" s="8"/>
      <c r="R62831" s="103"/>
      <c r="S62831" s="8"/>
      <c r="T62831" s="8"/>
      <c r="U62831" s="8"/>
      <c r="V62831" s="8"/>
      <c r="W62831" s="8"/>
      <c r="X62831" s="8"/>
      <c r="Y62831" s="8"/>
      <c r="Z62831" s="8"/>
      <c r="AA62831" s="8"/>
    </row>
    <row r="62832" spans="1:27" x14ac:dyDescent="0.25">
      <c r="A62832" s="8"/>
      <c r="B62832" s="8"/>
      <c r="C62832" s="99"/>
      <c r="D62832" s="8"/>
      <c r="E62832" s="8"/>
      <c r="F62832" s="8"/>
      <c r="G62832" s="8"/>
      <c r="H62832" s="8"/>
      <c r="I62832" s="102"/>
      <c r="J62832" s="8"/>
      <c r="K62832" s="8"/>
      <c r="L62832" s="8"/>
      <c r="M62832" s="8"/>
      <c r="N62832" s="8"/>
      <c r="O62832" s="8"/>
      <c r="P62832" s="8"/>
      <c r="Q62832" s="8"/>
      <c r="R62832" s="103"/>
      <c r="S62832" s="8"/>
      <c r="T62832" s="8"/>
      <c r="U62832" s="8"/>
      <c r="V62832" s="8"/>
      <c r="W62832" s="8"/>
      <c r="X62832" s="8"/>
      <c r="Y62832" s="8"/>
      <c r="Z62832" s="8"/>
      <c r="AA62832" s="8"/>
    </row>
    <row r="62833" spans="1:27" x14ac:dyDescent="0.25">
      <c r="A62833" s="8"/>
      <c r="B62833" s="8"/>
      <c r="C62833" s="99"/>
      <c r="D62833" s="8"/>
      <c r="E62833" s="8"/>
      <c r="F62833" s="8"/>
      <c r="G62833" s="8"/>
      <c r="H62833" s="8"/>
      <c r="I62833" s="102"/>
      <c r="J62833" s="8"/>
      <c r="K62833" s="8"/>
      <c r="L62833" s="8"/>
      <c r="M62833" s="8"/>
      <c r="N62833" s="8"/>
      <c r="O62833" s="8"/>
      <c r="P62833" s="8"/>
      <c r="Q62833" s="8"/>
      <c r="R62833" s="103"/>
      <c r="S62833" s="8"/>
      <c r="T62833" s="8"/>
      <c r="U62833" s="8"/>
      <c r="V62833" s="8"/>
      <c r="W62833" s="8"/>
      <c r="X62833" s="8"/>
      <c r="Y62833" s="8"/>
      <c r="Z62833" s="8"/>
      <c r="AA62833" s="8"/>
    </row>
    <row r="62834" spans="1:27" x14ac:dyDescent="0.25">
      <c r="A62834" s="8"/>
      <c r="B62834" s="8"/>
      <c r="C62834" s="99"/>
      <c r="D62834" s="8"/>
      <c r="E62834" s="8"/>
      <c r="F62834" s="8"/>
      <c r="G62834" s="8"/>
      <c r="H62834" s="8"/>
      <c r="I62834" s="102"/>
      <c r="J62834" s="8"/>
      <c r="K62834" s="8"/>
      <c r="L62834" s="8"/>
      <c r="M62834" s="8"/>
      <c r="N62834" s="8"/>
      <c r="O62834" s="8"/>
      <c r="P62834" s="8"/>
      <c r="Q62834" s="8"/>
      <c r="R62834" s="103"/>
      <c r="S62834" s="8"/>
      <c r="T62834" s="8"/>
      <c r="U62834" s="8"/>
      <c r="V62834" s="8"/>
      <c r="W62834" s="8"/>
      <c r="X62834" s="8"/>
      <c r="Y62834" s="8"/>
      <c r="Z62834" s="8"/>
      <c r="AA62834" s="8"/>
    </row>
    <row r="62835" spans="1:27" x14ac:dyDescent="0.25">
      <c r="A62835" s="8"/>
      <c r="B62835" s="8"/>
      <c r="C62835" s="99"/>
      <c r="D62835" s="8"/>
      <c r="E62835" s="8"/>
      <c r="F62835" s="8"/>
      <c r="G62835" s="8"/>
      <c r="H62835" s="8"/>
      <c r="I62835" s="102"/>
      <c r="J62835" s="8"/>
      <c r="K62835" s="8"/>
      <c r="L62835" s="8"/>
      <c r="M62835" s="8"/>
      <c r="N62835" s="8"/>
      <c r="O62835" s="8"/>
      <c r="P62835" s="8"/>
      <c r="Q62835" s="8"/>
      <c r="R62835" s="103"/>
      <c r="S62835" s="8"/>
      <c r="T62835" s="8"/>
      <c r="U62835" s="8"/>
      <c r="V62835" s="8"/>
      <c r="W62835" s="8"/>
      <c r="X62835" s="8"/>
      <c r="Y62835" s="8"/>
      <c r="Z62835" s="8"/>
      <c r="AA62835" s="8"/>
    </row>
    <row r="62836" spans="1:27" x14ac:dyDescent="0.25">
      <c r="A62836" s="8"/>
      <c r="B62836" s="8"/>
      <c r="C62836" s="99"/>
      <c r="D62836" s="8"/>
      <c r="E62836" s="8"/>
      <c r="F62836" s="8"/>
      <c r="G62836" s="8"/>
      <c r="H62836" s="8"/>
      <c r="I62836" s="102"/>
      <c r="J62836" s="8"/>
      <c r="K62836" s="8"/>
      <c r="L62836" s="8"/>
      <c r="M62836" s="8"/>
      <c r="N62836" s="8"/>
      <c r="O62836" s="8"/>
      <c r="P62836" s="8"/>
      <c r="Q62836" s="8"/>
      <c r="R62836" s="103"/>
      <c r="S62836" s="8"/>
      <c r="T62836" s="8"/>
      <c r="U62836" s="8"/>
      <c r="V62836" s="8"/>
      <c r="W62836" s="8"/>
      <c r="X62836" s="8"/>
      <c r="Y62836" s="8"/>
      <c r="Z62836" s="8"/>
      <c r="AA62836" s="8"/>
    </row>
    <row r="62837" spans="1:27" x14ac:dyDescent="0.25">
      <c r="A62837" s="8"/>
      <c r="B62837" s="8"/>
      <c r="C62837" s="99"/>
      <c r="D62837" s="8"/>
      <c r="E62837" s="8"/>
      <c r="F62837" s="8"/>
      <c r="G62837" s="8"/>
      <c r="H62837" s="8"/>
      <c r="I62837" s="102"/>
      <c r="J62837" s="8"/>
      <c r="K62837" s="8"/>
      <c r="L62837" s="8"/>
      <c r="M62837" s="8"/>
      <c r="N62837" s="8"/>
      <c r="O62837" s="8"/>
      <c r="P62837" s="8"/>
      <c r="Q62837" s="8"/>
      <c r="R62837" s="103"/>
      <c r="S62837" s="8"/>
      <c r="T62837" s="8"/>
      <c r="U62837" s="8"/>
      <c r="V62837" s="8"/>
      <c r="W62837" s="8"/>
      <c r="X62837" s="8"/>
      <c r="Y62837" s="8"/>
      <c r="Z62837" s="8"/>
      <c r="AA62837" s="8"/>
    </row>
    <row r="62838" spans="1:27" x14ac:dyDescent="0.25">
      <c r="A62838" s="8"/>
      <c r="B62838" s="8"/>
      <c r="C62838" s="99"/>
      <c r="D62838" s="8"/>
      <c r="E62838" s="8"/>
      <c r="F62838" s="8"/>
      <c r="G62838" s="8"/>
      <c r="H62838" s="8"/>
      <c r="I62838" s="102"/>
      <c r="J62838" s="8"/>
      <c r="K62838" s="8"/>
      <c r="L62838" s="8"/>
      <c r="M62838" s="8"/>
      <c r="N62838" s="8"/>
      <c r="O62838" s="8"/>
      <c r="P62838" s="8"/>
      <c r="Q62838" s="8"/>
      <c r="R62838" s="103"/>
      <c r="S62838" s="8"/>
      <c r="T62838" s="8"/>
      <c r="U62838" s="8"/>
      <c r="V62838" s="8"/>
      <c r="W62838" s="8"/>
      <c r="X62838" s="8"/>
      <c r="Y62838" s="8"/>
      <c r="Z62838" s="8"/>
      <c r="AA62838" s="8"/>
    </row>
    <row r="62839" spans="1:27" x14ac:dyDescent="0.25">
      <c r="A62839" s="8"/>
      <c r="B62839" s="8"/>
      <c r="C62839" s="99"/>
      <c r="D62839" s="8"/>
      <c r="E62839" s="8"/>
      <c r="F62839" s="8"/>
      <c r="G62839" s="8"/>
      <c r="H62839" s="8"/>
      <c r="I62839" s="102"/>
      <c r="J62839" s="8"/>
      <c r="K62839" s="8"/>
      <c r="L62839" s="8"/>
      <c r="M62839" s="8"/>
      <c r="N62839" s="8"/>
      <c r="O62839" s="8"/>
      <c r="P62839" s="8"/>
      <c r="Q62839" s="8"/>
      <c r="R62839" s="103"/>
      <c r="S62839" s="8"/>
      <c r="T62839" s="8"/>
      <c r="U62839" s="8"/>
      <c r="V62839" s="8"/>
      <c r="W62839" s="8"/>
      <c r="X62839" s="8"/>
      <c r="Y62839" s="8"/>
      <c r="Z62839" s="8"/>
      <c r="AA62839" s="8"/>
    </row>
    <row r="62840" spans="1:27" x14ac:dyDescent="0.25">
      <c r="A62840" s="8"/>
      <c r="B62840" s="8"/>
      <c r="C62840" s="99"/>
      <c r="D62840" s="8"/>
      <c r="E62840" s="8"/>
      <c r="F62840" s="8"/>
      <c r="G62840" s="8"/>
      <c r="H62840" s="8"/>
      <c r="I62840" s="102"/>
      <c r="J62840" s="8"/>
      <c r="K62840" s="8"/>
      <c r="L62840" s="8"/>
      <c r="M62840" s="8"/>
      <c r="N62840" s="8"/>
      <c r="O62840" s="8"/>
      <c r="P62840" s="8"/>
      <c r="Q62840" s="8"/>
      <c r="R62840" s="103"/>
      <c r="S62840" s="8"/>
      <c r="T62840" s="8"/>
      <c r="U62840" s="8"/>
      <c r="V62840" s="8"/>
      <c r="W62840" s="8"/>
      <c r="X62840" s="8"/>
      <c r="Y62840" s="8"/>
      <c r="Z62840" s="8"/>
      <c r="AA62840" s="8"/>
    </row>
    <row r="62841" spans="1:27" x14ac:dyDescent="0.25">
      <c r="A62841" s="8"/>
      <c r="B62841" s="8"/>
      <c r="C62841" s="99"/>
      <c r="D62841" s="8"/>
      <c r="E62841" s="8"/>
      <c r="F62841" s="8"/>
      <c r="G62841" s="8"/>
      <c r="H62841" s="8"/>
      <c r="I62841" s="102"/>
      <c r="J62841" s="8"/>
      <c r="K62841" s="8"/>
      <c r="L62841" s="8"/>
      <c r="M62841" s="8"/>
      <c r="N62841" s="8"/>
      <c r="O62841" s="8"/>
      <c r="P62841" s="8"/>
      <c r="Q62841" s="8"/>
      <c r="R62841" s="103"/>
      <c r="S62841" s="8"/>
      <c r="T62841" s="8"/>
      <c r="U62841" s="8"/>
      <c r="V62841" s="8"/>
      <c r="W62841" s="8"/>
      <c r="X62841" s="8"/>
      <c r="Y62841" s="8"/>
      <c r="Z62841" s="8"/>
      <c r="AA62841" s="8"/>
    </row>
    <row r="62842" spans="1:27" x14ac:dyDescent="0.25">
      <c r="A62842" s="8"/>
      <c r="B62842" s="8"/>
      <c r="C62842" s="99"/>
      <c r="D62842" s="8"/>
      <c r="E62842" s="8"/>
      <c r="F62842" s="8"/>
      <c r="G62842" s="8"/>
      <c r="H62842" s="8"/>
      <c r="I62842" s="102"/>
      <c r="J62842" s="8"/>
      <c r="K62842" s="8"/>
      <c r="L62842" s="8"/>
      <c r="M62842" s="8"/>
      <c r="N62842" s="8"/>
      <c r="O62842" s="8"/>
      <c r="P62842" s="8"/>
      <c r="Q62842" s="8"/>
      <c r="R62842" s="103"/>
      <c r="S62842" s="8"/>
      <c r="T62842" s="8"/>
      <c r="U62842" s="8"/>
      <c r="V62842" s="8"/>
      <c r="W62842" s="8"/>
      <c r="X62842" s="8"/>
      <c r="Y62842" s="8"/>
      <c r="Z62842" s="8"/>
      <c r="AA62842" s="8"/>
    </row>
    <row r="62843" spans="1:27" x14ac:dyDescent="0.25">
      <c r="A62843" s="8"/>
      <c r="B62843" s="8"/>
      <c r="C62843" s="99"/>
      <c r="D62843" s="8"/>
      <c r="E62843" s="8"/>
      <c r="F62843" s="8"/>
      <c r="G62843" s="8"/>
      <c r="H62843" s="8"/>
      <c r="I62843" s="102"/>
      <c r="J62843" s="8"/>
      <c r="K62843" s="8"/>
      <c r="L62843" s="8"/>
      <c r="M62843" s="8"/>
      <c r="N62843" s="8"/>
      <c r="O62843" s="8"/>
      <c r="P62843" s="8"/>
      <c r="Q62843" s="8"/>
      <c r="R62843" s="103"/>
      <c r="S62843" s="8"/>
      <c r="T62843" s="8"/>
      <c r="U62843" s="8"/>
      <c r="V62843" s="8"/>
      <c r="W62843" s="8"/>
      <c r="X62843" s="8"/>
      <c r="Y62843" s="8"/>
      <c r="Z62843" s="8"/>
      <c r="AA62843" s="8"/>
    </row>
    <row r="62844" spans="1:27" x14ac:dyDescent="0.25">
      <c r="A62844" s="8"/>
      <c r="B62844" s="8"/>
      <c r="C62844" s="99"/>
      <c r="D62844" s="8"/>
      <c r="E62844" s="8"/>
      <c r="F62844" s="8"/>
      <c r="G62844" s="8"/>
      <c r="H62844" s="8"/>
      <c r="I62844" s="102"/>
      <c r="J62844" s="8"/>
      <c r="K62844" s="8"/>
      <c r="L62844" s="8"/>
      <c r="M62844" s="8"/>
      <c r="N62844" s="8"/>
      <c r="O62844" s="8"/>
      <c r="P62844" s="8"/>
      <c r="Q62844" s="8"/>
      <c r="R62844" s="103"/>
      <c r="S62844" s="8"/>
      <c r="T62844" s="8"/>
      <c r="U62844" s="8"/>
      <c r="V62844" s="8"/>
      <c r="W62844" s="8"/>
      <c r="X62844" s="8"/>
      <c r="Y62844" s="8"/>
      <c r="Z62844" s="8"/>
      <c r="AA62844" s="8"/>
    </row>
    <row r="62845" spans="1:27" x14ac:dyDescent="0.25">
      <c r="A62845" s="8"/>
      <c r="B62845" s="8"/>
      <c r="C62845" s="99"/>
      <c r="D62845" s="8"/>
      <c r="E62845" s="8"/>
      <c r="F62845" s="8"/>
      <c r="G62845" s="8"/>
      <c r="H62845" s="8"/>
      <c r="I62845" s="102"/>
      <c r="J62845" s="8"/>
      <c r="K62845" s="8"/>
      <c r="L62845" s="8"/>
      <c r="M62845" s="8"/>
      <c r="N62845" s="8"/>
      <c r="O62845" s="8"/>
      <c r="P62845" s="8"/>
      <c r="Q62845" s="8"/>
      <c r="R62845" s="103"/>
      <c r="S62845" s="8"/>
      <c r="T62845" s="8"/>
      <c r="U62845" s="8"/>
      <c r="V62845" s="8"/>
      <c r="W62845" s="8"/>
      <c r="X62845" s="8"/>
      <c r="Y62845" s="8"/>
      <c r="Z62845" s="8"/>
      <c r="AA62845" s="8"/>
    </row>
    <row r="62846" spans="1:27" x14ac:dyDescent="0.25">
      <c r="A62846" s="8"/>
      <c r="B62846" s="8"/>
      <c r="C62846" s="99"/>
      <c r="D62846" s="8"/>
      <c r="E62846" s="8"/>
      <c r="F62846" s="8"/>
      <c r="G62846" s="8"/>
      <c r="H62846" s="8"/>
      <c r="I62846" s="102"/>
      <c r="J62846" s="8"/>
      <c r="K62846" s="8"/>
      <c r="L62846" s="8"/>
      <c r="M62846" s="8"/>
      <c r="N62846" s="8"/>
      <c r="O62846" s="8"/>
      <c r="P62846" s="8"/>
      <c r="Q62846" s="8"/>
      <c r="R62846" s="103"/>
      <c r="S62846" s="8"/>
      <c r="T62846" s="8"/>
      <c r="U62846" s="8"/>
      <c r="V62846" s="8"/>
      <c r="W62846" s="8"/>
      <c r="X62846" s="8"/>
      <c r="Y62846" s="8"/>
      <c r="Z62846" s="8"/>
      <c r="AA62846" s="8"/>
    </row>
    <row r="62847" spans="1:27" x14ac:dyDescent="0.25">
      <c r="A62847" s="8"/>
      <c r="B62847" s="8"/>
      <c r="C62847" s="99"/>
      <c r="D62847" s="8"/>
      <c r="E62847" s="8"/>
      <c r="F62847" s="8"/>
      <c r="G62847" s="8"/>
      <c r="H62847" s="8"/>
      <c r="I62847" s="102"/>
      <c r="J62847" s="8"/>
      <c r="K62847" s="8"/>
      <c r="L62847" s="8"/>
      <c r="M62847" s="8"/>
      <c r="N62847" s="8"/>
      <c r="O62847" s="8"/>
      <c r="P62847" s="8"/>
      <c r="Q62847" s="8"/>
      <c r="R62847" s="103"/>
      <c r="S62847" s="8"/>
      <c r="T62847" s="8"/>
      <c r="U62847" s="8"/>
      <c r="V62847" s="8"/>
      <c r="W62847" s="8"/>
      <c r="X62847" s="8"/>
      <c r="Y62847" s="8"/>
      <c r="Z62847" s="8"/>
      <c r="AA62847" s="8"/>
    </row>
    <row r="62848" spans="1:27" x14ac:dyDescent="0.25">
      <c r="A62848" s="8"/>
      <c r="B62848" s="8"/>
      <c r="C62848" s="99"/>
      <c r="D62848" s="8"/>
      <c r="E62848" s="8"/>
      <c r="F62848" s="8"/>
      <c r="G62848" s="8"/>
      <c r="H62848" s="8"/>
      <c r="I62848" s="102"/>
      <c r="J62848" s="8"/>
      <c r="K62848" s="8"/>
      <c r="L62848" s="8"/>
      <c r="M62848" s="8"/>
      <c r="N62848" s="8"/>
      <c r="O62848" s="8"/>
      <c r="P62848" s="8"/>
      <c r="Q62848" s="8"/>
      <c r="R62848" s="103"/>
      <c r="S62848" s="8"/>
      <c r="T62848" s="8"/>
      <c r="U62848" s="8"/>
      <c r="V62848" s="8"/>
      <c r="W62848" s="8"/>
      <c r="X62848" s="8"/>
      <c r="Y62848" s="8"/>
      <c r="Z62848" s="8"/>
      <c r="AA62848" s="8"/>
    </row>
    <row r="62849" spans="1:27" x14ac:dyDescent="0.25">
      <c r="A62849" s="8"/>
      <c r="B62849" s="8"/>
      <c r="C62849" s="99"/>
      <c r="D62849" s="8"/>
      <c r="E62849" s="8"/>
      <c r="F62849" s="8"/>
      <c r="G62849" s="8"/>
      <c r="H62849" s="8"/>
      <c r="I62849" s="102"/>
      <c r="J62849" s="8"/>
      <c r="K62849" s="8"/>
      <c r="L62849" s="8"/>
      <c r="M62849" s="8"/>
      <c r="N62849" s="8"/>
      <c r="O62849" s="8"/>
      <c r="P62849" s="8"/>
      <c r="Q62849" s="8"/>
      <c r="R62849" s="103"/>
      <c r="S62849" s="8"/>
      <c r="T62849" s="8"/>
      <c r="U62849" s="8"/>
      <c r="V62849" s="8"/>
      <c r="W62849" s="8"/>
      <c r="X62849" s="8"/>
      <c r="Y62849" s="8"/>
      <c r="Z62849" s="8"/>
      <c r="AA62849" s="8"/>
    </row>
    <row r="62850" spans="1:27" x14ac:dyDescent="0.25">
      <c r="A62850" s="8"/>
      <c r="B62850" s="8"/>
      <c r="C62850" s="99"/>
      <c r="D62850" s="8"/>
      <c r="E62850" s="8"/>
      <c r="F62850" s="8"/>
      <c r="G62850" s="8"/>
      <c r="H62850" s="8"/>
      <c r="I62850" s="102"/>
      <c r="J62850" s="8"/>
      <c r="K62850" s="8"/>
      <c r="L62850" s="8"/>
      <c r="M62850" s="8"/>
      <c r="N62850" s="8"/>
      <c r="O62850" s="8"/>
      <c r="P62850" s="8"/>
      <c r="Q62850" s="8"/>
      <c r="R62850" s="103"/>
      <c r="S62850" s="8"/>
      <c r="T62850" s="8"/>
      <c r="U62850" s="8"/>
      <c r="V62850" s="8"/>
      <c r="W62850" s="8"/>
      <c r="X62850" s="8"/>
      <c r="Y62850" s="8"/>
      <c r="Z62850" s="8"/>
      <c r="AA62850" s="8"/>
    </row>
    <row r="62851" spans="1:27" x14ac:dyDescent="0.25">
      <c r="A62851" s="8"/>
      <c r="B62851" s="8"/>
      <c r="C62851" s="99"/>
      <c r="D62851" s="8"/>
      <c r="E62851" s="8"/>
      <c r="F62851" s="8"/>
      <c r="G62851" s="8"/>
      <c r="H62851" s="8"/>
      <c r="I62851" s="102"/>
      <c r="J62851" s="8"/>
      <c r="K62851" s="8"/>
      <c r="L62851" s="8"/>
      <c r="M62851" s="8"/>
      <c r="N62851" s="8"/>
      <c r="O62851" s="8"/>
      <c r="P62851" s="8"/>
      <c r="Q62851" s="8"/>
      <c r="R62851" s="103"/>
      <c r="S62851" s="8"/>
      <c r="T62851" s="8"/>
      <c r="U62851" s="8"/>
      <c r="V62851" s="8"/>
      <c r="W62851" s="8"/>
      <c r="X62851" s="8"/>
      <c r="Y62851" s="8"/>
      <c r="Z62851" s="8"/>
      <c r="AA62851" s="8"/>
    </row>
    <row r="62852" spans="1:27" x14ac:dyDescent="0.25">
      <c r="A62852" s="8"/>
      <c r="B62852" s="8"/>
      <c r="C62852" s="99"/>
      <c r="D62852" s="8"/>
      <c r="E62852" s="8"/>
      <c r="F62852" s="8"/>
      <c r="G62852" s="8"/>
      <c r="H62852" s="8"/>
      <c r="I62852" s="102"/>
      <c r="J62852" s="8"/>
      <c r="K62852" s="8"/>
      <c r="L62852" s="8"/>
      <c r="M62852" s="8"/>
      <c r="N62852" s="8"/>
      <c r="O62852" s="8"/>
      <c r="P62852" s="8"/>
      <c r="Q62852" s="8"/>
      <c r="R62852" s="103"/>
      <c r="S62852" s="8"/>
      <c r="T62852" s="8"/>
      <c r="U62852" s="8"/>
      <c r="V62852" s="8"/>
      <c r="W62852" s="8"/>
      <c r="X62852" s="8"/>
      <c r="Y62852" s="8"/>
      <c r="Z62852" s="8"/>
      <c r="AA62852" s="8"/>
    </row>
    <row r="62853" spans="1:27" x14ac:dyDescent="0.25">
      <c r="A62853" s="8"/>
      <c r="B62853" s="8"/>
      <c r="C62853" s="99"/>
      <c r="D62853" s="8"/>
      <c r="E62853" s="8"/>
      <c r="F62853" s="8"/>
      <c r="G62853" s="8"/>
      <c r="H62853" s="8"/>
      <c r="I62853" s="102"/>
      <c r="J62853" s="8"/>
      <c r="K62853" s="8"/>
      <c r="L62853" s="8"/>
      <c r="M62853" s="8"/>
      <c r="N62853" s="8"/>
      <c r="O62853" s="8"/>
      <c r="P62853" s="8"/>
      <c r="Q62853" s="8"/>
      <c r="R62853" s="103"/>
      <c r="S62853" s="8"/>
      <c r="T62853" s="8"/>
      <c r="U62853" s="8"/>
      <c r="V62853" s="8"/>
      <c r="W62853" s="8"/>
      <c r="X62853" s="8"/>
      <c r="Y62853" s="8"/>
      <c r="Z62853" s="8"/>
      <c r="AA62853" s="8"/>
    </row>
    <row r="62854" spans="1:27" x14ac:dyDescent="0.25">
      <c r="A62854" s="8"/>
      <c r="B62854" s="8"/>
      <c r="C62854" s="99"/>
      <c r="D62854" s="8"/>
      <c r="E62854" s="8"/>
      <c r="F62854" s="8"/>
      <c r="G62854" s="8"/>
      <c r="H62854" s="8"/>
      <c r="I62854" s="102"/>
      <c r="J62854" s="8"/>
      <c r="K62854" s="8"/>
      <c r="L62854" s="8"/>
      <c r="M62854" s="8"/>
      <c r="N62854" s="8"/>
      <c r="O62854" s="8"/>
      <c r="P62854" s="8"/>
      <c r="Q62854" s="8"/>
      <c r="R62854" s="103"/>
      <c r="S62854" s="8"/>
      <c r="T62854" s="8"/>
      <c r="U62854" s="8"/>
      <c r="V62854" s="8"/>
      <c r="W62854" s="8"/>
      <c r="X62854" s="8"/>
      <c r="Y62854" s="8"/>
      <c r="Z62854" s="8"/>
      <c r="AA62854" s="8"/>
    </row>
    <row r="62855" spans="1:27" x14ac:dyDescent="0.25">
      <c r="A62855" s="8"/>
      <c r="B62855" s="8"/>
      <c r="C62855" s="99"/>
      <c r="D62855" s="8"/>
      <c r="E62855" s="8"/>
      <c r="F62855" s="8"/>
      <c r="G62855" s="8"/>
      <c r="H62855" s="8"/>
      <c r="I62855" s="102"/>
      <c r="J62855" s="8"/>
      <c r="K62855" s="8"/>
      <c r="L62855" s="8"/>
      <c r="M62855" s="8"/>
      <c r="N62855" s="8"/>
      <c r="O62855" s="8"/>
      <c r="P62855" s="8"/>
      <c r="Q62855" s="8"/>
      <c r="R62855" s="103"/>
      <c r="S62855" s="8"/>
      <c r="T62855" s="8"/>
      <c r="U62855" s="8"/>
      <c r="V62855" s="8"/>
      <c r="W62855" s="8"/>
      <c r="X62855" s="8"/>
      <c r="Y62855" s="8"/>
      <c r="Z62855" s="8"/>
      <c r="AA62855" s="8"/>
    </row>
    <row r="62856" spans="1:27" x14ac:dyDescent="0.25">
      <c r="A62856" s="8"/>
      <c r="B62856" s="8"/>
      <c r="C62856" s="99"/>
      <c r="D62856" s="8"/>
      <c r="E62856" s="8"/>
      <c r="F62856" s="8"/>
      <c r="G62856" s="8"/>
      <c r="H62856" s="8"/>
      <c r="I62856" s="102"/>
      <c r="J62856" s="8"/>
      <c r="K62856" s="8"/>
      <c r="L62856" s="8"/>
      <c r="M62856" s="8"/>
      <c r="N62856" s="8"/>
      <c r="O62856" s="8"/>
      <c r="P62856" s="8"/>
      <c r="Q62856" s="8"/>
      <c r="R62856" s="103"/>
      <c r="S62856" s="8"/>
      <c r="T62856" s="8"/>
      <c r="U62856" s="8"/>
      <c r="V62856" s="8"/>
      <c r="W62856" s="8"/>
      <c r="X62856" s="8"/>
      <c r="Y62856" s="8"/>
      <c r="Z62856" s="8"/>
      <c r="AA62856" s="8"/>
    </row>
    <row r="62857" spans="1:27" x14ac:dyDescent="0.25">
      <c r="A62857" s="8"/>
      <c r="B62857" s="8"/>
      <c r="C62857" s="99"/>
      <c r="D62857" s="8"/>
      <c r="E62857" s="8"/>
      <c r="F62857" s="8"/>
      <c r="G62857" s="8"/>
      <c r="H62857" s="8"/>
      <c r="I62857" s="102"/>
      <c r="J62857" s="8"/>
      <c r="K62857" s="8"/>
      <c r="L62857" s="8"/>
      <c r="M62857" s="8"/>
      <c r="N62857" s="8"/>
      <c r="O62857" s="8"/>
      <c r="P62857" s="8"/>
      <c r="Q62857" s="8"/>
      <c r="R62857" s="103"/>
      <c r="S62857" s="8"/>
      <c r="T62857" s="8"/>
      <c r="U62857" s="8"/>
      <c r="V62857" s="8"/>
      <c r="W62857" s="8"/>
      <c r="X62857" s="8"/>
      <c r="Y62857" s="8"/>
      <c r="Z62857" s="8"/>
      <c r="AA62857" s="8"/>
    </row>
    <row r="62858" spans="1:27" x14ac:dyDescent="0.25">
      <c r="A62858" s="8"/>
      <c r="B62858" s="8"/>
      <c r="C62858" s="99"/>
      <c r="D62858" s="8"/>
      <c r="E62858" s="8"/>
      <c r="F62858" s="8"/>
      <c r="G62858" s="8"/>
      <c r="H62858" s="8"/>
      <c r="I62858" s="102"/>
      <c r="J62858" s="8"/>
      <c r="K62858" s="8"/>
      <c r="L62858" s="8"/>
      <c r="M62858" s="8"/>
      <c r="N62858" s="8"/>
      <c r="O62858" s="8"/>
      <c r="P62858" s="8"/>
      <c r="Q62858" s="8"/>
      <c r="R62858" s="103"/>
      <c r="S62858" s="8"/>
      <c r="T62858" s="8"/>
      <c r="U62858" s="8"/>
      <c r="V62858" s="8"/>
      <c r="W62858" s="8"/>
      <c r="X62858" s="8"/>
      <c r="Y62858" s="8"/>
      <c r="Z62858" s="8"/>
      <c r="AA62858" s="8"/>
    </row>
    <row r="62859" spans="1:27" x14ac:dyDescent="0.25">
      <c r="A62859" s="8"/>
      <c r="B62859" s="8"/>
      <c r="C62859" s="99"/>
      <c r="D62859" s="8"/>
      <c r="E62859" s="8"/>
      <c r="F62859" s="8"/>
      <c r="G62859" s="8"/>
      <c r="H62859" s="8"/>
      <c r="I62859" s="102"/>
      <c r="J62859" s="8"/>
      <c r="K62859" s="8"/>
      <c r="L62859" s="8"/>
      <c r="M62859" s="8"/>
      <c r="N62859" s="8"/>
      <c r="O62859" s="8"/>
      <c r="P62859" s="8"/>
      <c r="Q62859" s="8"/>
      <c r="R62859" s="103"/>
      <c r="S62859" s="8"/>
      <c r="T62859" s="8"/>
      <c r="U62859" s="8"/>
      <c r="V62859" s="8"/>
      <c r="W62859" s="8"/>
      <c r="X62859" s="8"/>
      <c r="Y62859" s="8"/>
      <c r="Z62859" s="8"/>
      <c r="AA62859" s="8"/>
    </row>
    <row r="62860" spans="1:27" x14ac:dyDescent="0.25">
      <c r="A62860" s="8"/>
      <c r="B62860" s="8"/>
      <c r="C62860" s="99"/>
      <c r="D62860" s="8"/>
      <c r="E62860" s="8"/>
      <c r="F62860" s="8"/>
      <c r="G62860" s="8"/>
      <c r="H62860" s="8"/>
      <c r="I62860" s="102"/>
      <c r="J62860" s="8"/>
      <c r="K62860" s="8"/>
      <c r="L62860" s="8"/>
      <c r="M62860" s="8"/>
      <c r="N62860" s="8"/>
      <c r="O62860" s="8"/>
      <c r="P62860" s="8"/>
      <c r="Q62860" s="8"/>
      <c r="R62860" s="103"/>
      <c r="S62860" s="8"/>
      <c r="T62860" s="8"/>
      <c r="U62860" s="8"/>
      <c r="V62860" s="8"/>
      <c r="W62860" s="8"/>
      <c r="X62860" s="8"/>
      <c r="Y62860" s="8"/>
      <c r="Z62860" s="8"/>
      <c r="AA62860" s="8"/>
    </row>
    <row r="62861" spans="1:27" x14ac:dyDescent="0.25">
      <c r="A62861" s="8"/>
      <c r="B62861" s="8"/>
      <c r="C62861" s="99"/>
      <c r="D62861" s="8"/>
      <c r="E62861" s="8"/>
      <c r="F62861" s="8"/>
      <c r="G62861" s="8"/>
      <c r="H62861" s="8"/>
      <c r="I62861" s="102"/>
      <c r="J62861" s="8"/>
      <c r="K62861" s="8"/>
      <c r="L62861" s="8"/>
      <c r="M62861" s="8"/>
      <c r="N62861" s="8"/>
      <c r="O62861" s="8"/>
      <c r="P62861" s="8"/>
      <c r="Q62861" s="8"/>
      <c r="R62861" s="103"/>
      <c r="S62861" s="8"/>
      <c r="T62861" s="8"/>
      <c r="U62861" s="8"/>
      <c r="V62861" s="8"/>
      <c r="W62861" s="8"/>
      <c r="X62861" s="8"/>
      <c r="Y62861" s="8"/>
      <c r="Z62861" s="8"/>
      <c r="AA62861" s="8"/>
    </row>
    <row r="62862" spans="1:27" x14ac:dyDescent="0.25">
      <c r="A62862" s="8"/>
      <c r="B62862" s="8"/>
      <c r="C62862" s="99"/>
      <c r="D62862" s="8"/>
      <c r="E62862" s="8"/>
      <c r="F62862" s="8"/>
      <c r="G62862" s="8"/>
      <c r="H62862" s="8"/>
      <c r="I62862" s="102"/>
      <c r="J62862" s="8"/>
      <c r="K62862" s="8"/>
      <c r="L62862" s="8"/>
      <c r="M62862" s="8"/>
      <c r="N62862" s="8"/>
      <c r="O62862" s="8"/>
      <c r="P62862" s="8"/>
      <c r="Q62862" s="8"/>
      <c r="R62862" s="103"/>
      <c r="S62862" s="8"/>
      <c r="T62862" s="8"/>
      <c r="U62862" s="8"/>
      <c r="V62862" s="8"/>
      <c r="W62862" s="8"/>
      <c r="X62862" s="8"/>
      <c r="Y62862" s="8"/>
      <c r="Z62862" s="8"/>
      <c r="AA62862" s="8"/>
    </row>
    <row r="62863" spans="1:27" x14ac:dyDescent="0.25">
      <c r="A62863" s="8"/>
      <c r="B62863" s="8"/>
      <c r="C62863" s="99"/>
      <c r="D62863" s="8"/>
      <c r="E62863" s="8"/>
      <c r="F62863" s="8"/>
      <c r="G62863" s="8"/>
      <c r="H62863" s="8"/>
      <c r="I62863" s="102"/>
      <c r="J62863" s="8"/>
      <c r="K62863" s="8"/>
      <c r="L62863" s="8"/>
      <c r="M62863" s="8"/>
      <c r="N62863" s="8"/>
      <c r="O62863" s="8"/>
      <c r="P62863" s="8"/>
      <c r="Q62863" s="8"/>
      <c r="R62863" s="103"/>
      <c r="S62863" s="8"/>
      <c r="T62863" s="8"/>
      <c r="U62863" s="8"/>
      <c r="V62863" s="8"/>
      <c r="W62863" s="8"/>
      <c r="X62863" s="8"/>
      <c r="Y62863" s="8"/>
      <c r="Z62863" s="8"/>
      <c r="AA62863" s="8"/>
    </row>
    <row r="62864" spans="1:27" x14ac:dyDescent="0.25">
      <c r="A62864" s="8"/>
      <c r="B62864" s="8"/>
      <c r="C62864" s="99"/>
      <c r="D62864" s="8"/>
      <c r="E62864" s="8"/>
      <c r="F62864" s="8"/>
      <c r="G62864" s="8"/>
      <c r="H62864" s="8"/>
      <c r="I62864" s="102"/>
      <c r="J62864" s="8"/>
      <c r="K62864" s="8"/>
      <c r="L62864" s="8"/>
      <c r="M62864" s="8"/>
      <c r="N62864" s="8"/>
      <c r="O62864" s="8"/>
      <c r="P62864" s="8"/>
      <c r="Q62864" s="8"/>
      <c r="R62864" s="103"/>
      <c r="S62864" s="8"/>
      <c r="T62864" s="8"/>
      <c r="U62864" s="8"/>
      <c r="V62864" s="8"/>
      <c r="W62864" s="8"/>
      <c r="X62864" s="8"/>
      <c r="Y62864" s="8"/>
      <c r="Z62864" s="8"/>
      <c r="AA62864" s="8"/>
    </row>
    <row r="62865" spans="1:27" x14ac:dyDescent="0.25">
      <c r="A62865" s="8"/>
      <c r="B62865" s="8"/>
      <c r="C62865" s="99"/>
      <c r="D62865" s="8"/>
      <c r="E62865" s="8"/>
      <c r="F62865" s="8"/>
      <c r="G62865" s="8"/>
      <c r="H62865" s="8"/>
      <c r="I62865" s="102"/>
      <c r="J62865" s="8"/>
      <c r="K62865" s="8"/>
      <c r="L62865" s="8"/>
      <c r="M62865" s="8"/>
      <c r="N62865" s="8"/>
      <c r="O62865" s="8"/>
      <c r="P62865" s="8"/>
      <c r="Q62865" s="8"/>
      <c r="R62865" s="103"/>
      <c r="S62865" s="8"/>
      <c r="T62865" s="8"/>
      <c r="U62865" s="8"/>
      <c r="V62865" s="8"/>
      <c r="W62865" s="8"/>
      <c r="X62865" s="8"/>
      <c r="Y62865" s="8"/>
      <c r="Z62865" s="8"/>
      <c r="AA62865" s="8"/>
    </row>
    <row r="62866" spans="1:27" x14ac:dyDescent="0.25">
      <c r="A62866" s="8"/>
      <c r="B62866" s="8"/>
      <c r="C62866" s="99"/>
      <c r="D62866" s="8"/>
      <c r="E62866" s="8"/>
      <c r="F62866" s="8"/>
      <c r="G62866" s="8"/>
      <c r="H62866" s="8"/>
      <c r="I62866" s="102"/>
      <c r="J62866" s="8"/>
      <c r="K62866" s="8"/>
      <c r="L62866" s="8"/>
      <c r="M62866" s="8"/>
      <c r="N62866" s="8"/>
      <c r="O62866" s="8"/>
      <c r="P62866" s="8"/>
      <c r="Q62866" s="8"/>
      <c r="R62866" s="103"/>
      <c r="S62866" s="8"/>
      <c r="T62866" s="8"/>
      <c r="U62866" s="8"/>
      <c r="V62866" s="8"/>
      <c r="W62866" s="8"/>
      <c r="X62866" s="8"/>
      <c r="Y62866" s="8"/>
      <c r="Z62866" s="8"/>
      <c r="AA62866" s="8"/>
    </row>
    <row r="62867" spans="1:27" x14ac:dyDescent="0.25">
      <c r="A62867" s="8"/>
      <c r="B62867" s="8"/>
      <c r="C62867" s="99"/>
      <c r="D62867" s="8"/>
      <c r="E62867" s="8"/>
      <c r="F62867" s="8"/>
      <c r="G62867" s="8"/>
      <c r="H62867" s="8"/>
      <c r="I62867" s="102"/>
      <c r="J62867" s="8"/>
      <c r="K62867" s="8"/>
      <c r="L62867" s="8"/>
      <c r="M62867" s="8"/>
      <c r="N62867" s="8"/>
      <c r="O62867" s="8"/>
      <c r="P62867" s="8"/>
      <c r="Q62867" s="8"/>
      <c r="R62867" s="103"/>
      <c r="S62867" s="8"/>
      <c r="T62867" s="8"/>
      <c r="U62867" s="8"/>
      <c r="V62867" s="8"/>
      <c r="W62867" s="8"/>
      <c r="X62867" s="8"/>
      <c r="Y62867" s="8"/>
      <c r="Z62867" s="8"/>
      <c r="AA62867" s="8"/>
    </row>
    <row r="62868" spans="1:27" x14ac:dyDescent="0.25">
      <c r="A62868" s="8"/>
      <c r="B62868" s="8"/>
      <c r="C62868" s="99"/>
      <c r="D62868" s="8"/>
      <c r="E62868" s="8"/>
      <c r="F62868" s="8"/>
      <c r="G62868" s="8"/>
      <c r="H62868" s="8"/>
      <c r="I62868" s="102"/>
      <c r="J62868" s="8"/>
      <c r="K62868" s="8"/>
      <c r="L62868" s="8"/>
      <c r="M62868" s="8"/>
      <c r="N62868" s="8"/>
      <c r="O62868" s="8"/>
      <c r="P62868" s="8"/>
      <c r="Q62868" s="8"/>
      <c r="R62868" s="103"/>
      <c r="S62868" s="8"/>
      <c r="T62868" s="8"/>
      <c r="U62868" s="8"/>
      <c r="V62868" s="8"/>
      <c r="W62868" s="8"/>
      <c r="X62868" s="8"/>
      <c r="Y62868" s="8"/>
      <c r="Z62868" s="8"/>
      <c r="AA62868" s="8"/>
    </row>
    <row r="62869" spans="1:27" x14ac:dyDescent="0.25">
      <c r="A62869" s="8"/>
      <c r="B62869" s="8"/>
      <c r="C62869" s="99"/>
      <c r="D62869" s="8"/>
      <c r="E62869" s="8"/>
      <c r="F62869" s="8"/>
      <c r="G62869" s="8"/>
      <c r="H62869" s="8"/>
      <c r="I62869" s="102"/>
      <c r="J62869" s="8"/>
      <c r="K62869" s="8"/>
      <c r="L62869" s="8"/>
      <c r="M62869" s="8"/>
      <c r="N62869" s="8"/>
      <c r="O62869" s="8"/>
      <c r="P62869" s="8"/>
      <c r="Q62869" s="8"/>
      <c r="R62869" s="103"/>
      <c r="S62869" s="8"/>
      <c r="T62869" s="8"/>
      <c r="U62869" s="8"/>
      <c r="V62869" s="8"/>
      <c r="W62869" s="8"/>
      <c r="X62869" s="8"/>
      <c r="Y62869" s="8"/>
      <c r="Z62869" s="8"/>
      <c r="AA62869" s="8"/>
    </row>
    <row r="62870" spans="1:27" x14ac:dyDescent="0.25">
      <c r="A62870" s="8"/>
      <c r="B62870" s="8"/>
      <c r="C62870" s="99"/>
      <c r="D62870" s="8"/>
      <c r="E62870" s="8"/>
      <c r="F62870" s="8"/>
      <c r="G62870" s="8"/>
      <c r="H62870" s="8"/>
      <c r="I62870" s="102"/>
      <c r="J62870" s="8"/>
      <c r="K62870" s="8"/>
      <c r="L62870" s="8"/>
      <c r="M62870" s="8"/>
      <c r="N62870" s="8"/>
      <c r="O62870" s="8"/>
      <c r="P62870" s="8"/>
      <c r="Q62870" s="8"/>
      <c r="R62870" s="103"/>
      <c r="S62870" s="8"/>
      <c r="T62870" s="8"/>
      <c r="U62870" s="8"/>
      <c r="V62870" s="8"/>
      <c r="W62870" s="8"/>
      <c r="X62870" s="8"/>
      <c r="Y62870" s="8"/>
      <c r="Z62870" s="8"/>
      <c r="AA62870" s="8"/>
    </row>
    <row r="62871" spans="1:27" x14ac:dyDescent="0.25">
      <c r="A62871" s="8"/>
      <c r="B62871" s="8"/>
      <c r="C62871" s="99"/>
      <c r="D62871" s="8"/>
      <c r="E62871" s="8"/>
      <c r="F62871" s="8"/>
      <c r="G62871" s="8"/>
      <c r="H62871" s="8"/>
      <c r="I62871" s="102"/>
      <c r="J62871" s="8"/>
      <c r="K62871" s="8"/>
      <c r="L62871" s="8"/>
      <c r="M62871" s="8"/>
      <c r="N62871" s="8"/>
      <c r="O62871" s="8"/>
      <c r="P62871" s="8"/>
      <c r="Q62871" s="8"/>
      <c r="R62871" s="103"/>
      <c r="S62871" s="8"/>
      <c r="T62871" s="8"/>
      <c r="U62871" s="8"/>
      <c r="V62871" s="8"/>
      <c r="W62871" s="8"/>
      <c r="X62871" s="8"/>
      <c r="Y62871" s="8"/>
      <c r="Z62871" s="8"/>
      <c r="AA62871" s="8"/>
    </row>
    <row r="62872" spans="1:27" x14ac:dyDescent="0.25">
      <c r="A62872" s="8"/>
      <c r="B62872" s="8"/>
      <c r="C62872" s="99"/>
      <c r="D62872" s="8"/>
      <c r="E62872" s="8"/>
      <c r="F62872" s="8"/>
      <c r="G62872" s="8"/>
      <c r="H62872" s="8"/>
      <c r="I62872" s="102"/>
      <c r="J62872" s="8"/>
      <c r="K62872" s="8"/>
      <c r="L62872" s="8"/>
      <c r="M62872" s="8"/>
      <c r="N62872" s="8"/>
      <c r="O62872" s="8"/>
      <c r="P62872" s="8"/>
      <c r="Q62872" s="8"/>
      <c r="R62872" s="103"/>
      <c r="S62872" s="8"/>
      <c r="T62872" s="8"/>
      <c r="U62872" s="8"/>
      <c r="V62872" s="8"/>
      <c r="W62872" s="8"/>
      <c r="X62872" s="8"/>
      <c r="Y62872" s="8"/>
      <c r="Z62872" s="8"/>
      <c r="AA62872" s="8"/>
    </row>
    <row r="62873" spans="1:27" x14ac:dyDescent="0.25">
      <c r="A62873" s="8"/>
      <c r="B62873" s="8"/>
      <c r="C62873" s="99"/>
      <c r="D62873" s="8"/>
      <c r="E62873" s="8"/>
      <c r="F62873" s="8"/>
      <c r="G62873" s="8"/>
      <c r="H62873" s="8"/>
      <c r="I62873" s="102"/>
      <c r="J62873" s="8"/>
      <c r="K62873" s="8"/>
      <c r="L62873" s="8"/>
      <c r="M62873" s="8"/>
      <c r="N62873" s="8"/>
      <c r="O62873" s="8"/>
      <c r="P62873" s="8"/>
      <c r="Q62873" s="8"/>
      <c r="R62873" s="103"/>
      <c r="S62873" s="8"/>
      <c r="T62873" s="8"/>
      <c r="U62873" s="8"/>
      <c r="V62873" s="8"/>
      <c r="W62873" s="8"/>
      <c r="X62873" s="8"/>
      <c r="Y62873" s="8"/>
      <c r="Z62873" s="8"/>
      <c r="AA62873" s="8"/>
    </row>
    <row r="62874" spans="1:27" x14ac:dyDescent="0.25">
      <c r="A62874" s="8"/>
      <c r="B62874" s="8"/>
      <c r="C62874" s="99"/>
      <c r="D62874" s="8"/>
      <c r="E62874" s="8"/>
      <c r="F62874" s="8"/>
      <c r="G62874" s="8"/>
      <c r="H62874" s="8"/>
      <c r="I62874" s="102"/>
      <c r="J62874" s="8"/>
      <c r="K62874" s="8"/>
      <c r="L62874" s="8"/>
      <c r="M62874" s="8"/>
      <c r="N62874" s="8"/>
      <c r="O62874" s="8"/>
      <c r="P62874" s="8"/>
      <c r="Q62874" s="8"/>
      <c r="R62874" s="103"/>
      <c r="S62874" s="8"/>
      <c r="T62874" s="8"/>
      <c r="U62874" s="8"/>
      <c r="V62874" s="8"/>
      <c r="W62874" s="8"/>
      <c r="X62874" s="8"/>
      <c r="Y62874" s="8"/>
      <c r="Z62874" s="8"/>
      <c r="AA62874" s="8"/>
    </row>
    <row r="62875" spans="1:27" x14ac:dyDescent="0.25">
      <c r="A62875" s="8"/>
      <c r="B62875" s="8"/>
      <c r="C62875" s="99"/>
      <c r="D62875" s="8"/>
      <c r="E62875" s="8"/>
      <c r="F62875" s="8"/>
      <c r="G62875" s="8"/>
      <c r="H62875" s="8"/>
      <c r="I62875" s="102"/>
      <c r="J62875" s="8"/>
      <c r="K62875" s="8"/>
      <c r="L62875" s="8"/>
      <c r="M62875" s="8"/>
      <c r="N62875" s="8"/>
      <c r="O62875" s="8"/>
      <c r="P62875" s="8"/>
      <c r="Q62875" s="8"/>
      <c r="R62875" s="103"/>
      <c r="S62875" s="8"/>
      <c r="T62875" s="8"/>
      <c r="U62875" s="8"/>
      <c r="V62875" s="8"/>
      <c r="W62875" s="8"/>
      <c r="X62875" s="8"/>
      <c r="Y62875" s="8"/>
      <c r="Z62875" s="8"/>
      <c r="AA62875" s="8"/>
    </row>
    <row r="62876" spans="1:27" x14ac:dyDescent="0.25">
      <c r="A62876" s="8"/>
      <c r="B62876" s="8"/>
      <c r="C62876" s="99"/>
      <c r="D62876" s="8"/>
      <c r="E62876" s="8"/>
      <c r="F62876" s="8"/>
      <c r="G62876" s="8"/>
      <c r="H62876" s="8"/>
      <c r="I62876" s="102"/>
      <c r="J62876" s="8"/>
      <c r="K62876" s="8"/>
      <c r="L62876" s="8"/>
      <c r="M62876" s="8"/>
      <c r="N62876" s="8"/>
      <c r="O62876" s="8"/>
      <c r="P62876" s="8"/>
      <c r="Q62876" s="8"/>
      <c r="R62876" s="103"/>
      <c r="S62876" s="8"/>
      <c r="T62876" s="8"/>
      <c r="U62876" s="8"/>
      <c r="V62876" s="8"/>
      <c r="W62876" s="8"/>
      <c r="X62876" s="8"/>
      <c r="Y62876" s="8"/>
      <c r="Z62876" s="8"/>
      <c r="AA62876" s="8"/>
    </row>
    <row r="62877" spans="1:27" x14ac:dyDescent="0.25">
      <c r="A62877" s="8"/>
      <c r="B62877" s="8"/>
      <c r="C62877" s="99"/>
      <c r="D62877" s="8"/>
      <c r="E62877" s="8"/>
      <c r="F62877" s="8"/>
      <c r="G62877" s="8"/>
      <c r="H62877" s="8"/>
      <c r="I62877" s="102"/>
      <c r="J62877" s="8"/>
      <c r="K62877" s="8"/>
      <c r="L62877" s="8"/>
      <c r="M62877" s="8"/>
      <c r="N62877" s="8"/>
      <c r="O62877" s="8"/>
      <c r="P62877" s="8"/>
      <c r="Q62877" s="8"/>
      <c r="R62877" s="103"/>
      <c r="S62877" s="8"/>
      <c r="T62877" s="8"/>
      <c r="U62877" s="8"/>
      <c r="V62877" s="8"/>
      <c r="W62877" s="8"/>
      <c r="X62877" s="8"/>
      <c r="Y62877" s="8"/>
      <c r="Z62877" s="8"/>
      <c r="AA62877" s="8"/>
    </row>
    <row r="62878" spans="1:27" x14ac:dyDescent="0.25">
      <c r="A62878" s="8"/>
      <c r="B62878" s="8"/>
      <c r="C62878" s="99"/>
      <c r="D62878" s="8"/>
      <c r="E62878" s="8"/>
      <c r="F62878" s="8"/>
      <c r="G62878" s="8"/>
      <c r="H62878" s="8"/>
      <c r="I62878" s="102"/>
      <c r="J62878" s="8"/>
      <c r="K62878" s="8"/>
      <c r="L62878" s="8"/>
      <c r="M62878" s="8"/>
      <c r="N62878" s="8"/>
      <c r="O62878" s="8"/>
      <c r="P62878" s="8"/>
      <c r="Q62878" s="8"/>
      <c r="R62878" s="103"/>
      <c r="S62878" s="8"/>
      <c r="T62878" s="8"/>
      <c r="U62878" s="8"/>
      <c r="V62878" s="8"/>
      <c r="W62878" s="8"/>
      <c r="X62878" s="8"/>
      <c r="Y62878" s="8"/>
      <c r="Z62878" s="8"/>
      <c r="AA62878" s="8"/>
    </row>
    <row r="62879" spans="1:27" x14ac:dyDescent="0.25">
      <c r="A62879" s="8"/>
      <c r="B62879" s="8"/>
      <c r="C62879" s="99"/>
      <c r="D62879" s="8"/>
      <c r="E62879" s="8"/>
      <c r="F62879" s="8"/>
      <c r="G62879" s="8"/>
      <c r="H62879" s="8"/>
      <c r="I62879" s="102"/>
      <c r="J62879" s="8"/>
      <c r="K62879" s="8"/>
      <c r="L62879" s="8"/>
      <c r="M62879" s="8"/>
      <c r="N62879" s="8"/>
      <c r="O62879" s="8"/>
      <c r="P62879" s="8"/>
      <c r="Q62879" s="8"/>
      <c r="R62879" s="103"/>
      <c r="S62879" s="8"/>
      <c r="T62879" s="8"/>
      <c r="U62879" s="8"/>
      <c r="V62879" s="8"/>
      <c r="W62879" s="8"/>
      <c r="X62879" s="8"/>
      <c r="Y62879" s="8"/>
      <c r="Z62879" s="8"/>
      <c r="AA62879" s="8"/>
    </row>
    <row r="62880" spans="1:27" x14ac:dyDescent="0.25">
      <c r="A62880" s="8"/>
      <c r="B62880" s="8"/>
      <c r="C62880" s="99"/>
      <c r="D62880" s="8"/>
      <c r="E62880" s="8"/>
      <c r="F62880" s="8"/>
      <c r="G62880" s="8"/>
      <c r="H62880" s="8"/>
      <c r="I62880" s="102"/>
      <c r="J62880" s="8"/>
      <c r="K62880" s="8"/>
      <c r="L62880" s="8"/>
      <c r="M62880" s="8"/>
      <c r="N62880" s="8"/>
      <c r="O62880" s="8"/>
      <c r="P62880" s="8"/>
      <c r="Q62880" s="8"/>
      <c r="R62880" s="103"/>
      <c r="S62880" s="8"/>
      <c r="T62880" s="8"/>
      <c r="U62880" s="8"/>
      <c r="V62880" s="8"/>
      <c r="W62880" s="8"/>
      <c r="X62880" s="8"/>
      <c r="Y62880" s="8"/>
      <c r="Z62880" s="8"/>
      <c r="AA62880" s="8"/>
    </row>
    <row r="62881" spans="1:27" x14ac:dyDescent="0.25">
      <c r="A62881" s="8"/>
      <c r="B62881" s="8"/>
      <c r="C62881" s="99"/>
      <c r="D62881" s="8"/>
      <c r="E62881" s="8"/>
      <c r="F62881" s="8"/>
      <c r="G62881" s="8"/>
      <c r="H62881" s="8"/>
      <c r="I62881" s="102"/>
      <c r="J62881" s="8"/>
      <c r="K62881" s="8"/>
      <c r="L62881" s="8"/>
      <c r="M62881" s="8"/>
      <c r="N62881" s="8"/>
      <c r="O62881" s="8"/>
      <c r="P62881" s="8"/>
      <c r="Q62881" s="8"/>
      <c r="R62881" s="103"/>
      <c r="S62881" s="8"/>
      <c r="T62881" s="8"/>
      <c r="U62881" s="8"/>
      <c r="V62881" s="8"/>
      <c r="W62881" s="8"/>
      <c r="X62881" s="8"/>
      <c r="Y62881" s="8"/>
      <c r="Z62881" s="8"/>
      <c r="AA62881" s="8"/>
    </row>
    <row r="62882" spans="1:27" x14ac:dyDescent="0.25">
      <c r="A62882" s="8"/>
      <c r="B62882" s="8"/>
      <c r="C62882" s="99"/>
      <c r="D62882" s="8"/>
      <c r="E62882" s="8"/>
      <c r="F62882" s="8"/>
      <c r="G62882" s="8"/>
      <c r="H62882" s="8"/>
      <c r="I62882" s="102"/>
      <c r="J62882" s="8"/>
      <c r="K62882" s="8"/>
      <c r="L62882" s="8"/>
      <c r="M62882" s="8"/>
      <c r="N62882" s="8"/>
      <c r="O62882" s="8"/>
      <c r="P62882" s="8"/>
      <c r="Q62882" s="8"/>
      <c r="R62882" s="103"/>
      <c r="S62882" s="8"/>
      <c r="T62882" s="8"/>
      <c r="U62882" s="8"/>
      <c r="V62882" s="8"/>
      <c r="W62882" s="8"/>
      <c r="X62882" s="8"/>
      <c r="Y62882" s="8"/>
      <c r="Z62882" s="8"/>
      <c r="AA62882" s="8"/>
    </row>
    <row r="62883" spans="1:27" x14ac:dyDescent="0.25">
      <c r="A62883" s="8"/>
      <c r="B62883" s="8"/>
      <c r="C62883" s="99"/>
      <c r="D62883" s="8"/>
      <c r="E62883" s="8"/>
      <c r="F62883" s="8"/>
      <c r="G62883" s="8"/>
      <c r="H62883" s="8"/>
      <c r="I62883" s="102"/>
      <c r="J62883" s="8"/>
      <c r="K62883" s="8"/>
      <c r="L62883" s="8"/>
      <c r="M62883" s="8"/>
      <c r="N62883" s="8"/>
      <c r="O62883" s="8"/>
      <c r="P62883" s="8"/>
      <c r="Q62883" s="8"/>
      <c r="R62883" s="103"/>
      <c r="S62883" s="8"/>
      <c r="T62883" s="8"/>
      <c r="U62883" s="8"/>
      <c r="V62883" s="8"/>
      <c r="W62883" s="8"/>
      <c r="X62883" s="8"/>
      <c r="Y62883" s="8"/>
      <c r="Z62883" s="8"/>
      <c r="AA62883" s="8"/>
    </row>
    <row r="62884" spans="1:27" x14ac:dyDescent="0.25">
      <c r="A62884" s="8"/>
      <c r="B62884" s="8"/>
      <c r="C62884" s="99"/>
      <c r="D62884" s="8"/>
      <c r="E62884" s="8"/>
      <c r="F62884" s="8"/>
      <c r="G62884" s="8"/>
      <c r="H62884" s="8"/>
      <c r="I62884" s="102"/>
      <c r="J62884" s="8"/>
      <c r="K62884" s="8"/>
      <c r="L62884" s="8"/>
      <c r="M62884" s="8"/>
      <c r="N62884" s="8"/>
      <c r="O62884" s="8"/>
      <c r="P62884" s="8"/>
      <c r="Q62884" s="8"/>
      <c r="R62884" s="103"/>
      <c r="S62884" s="8"/>
      <c r="T62884" s="8"/>
      <c r="U62884" s="8"/>
      <c r="V62884" s="8"/>
      <c r="W62884" s="8"/>
      <c r="X62884" s="8"/>
      <c r="Y62884" s="8"/>
      <c r="Z62884" s="8"/>
      <c r="AA62884" s="8"/>
    </row>
    <row r="62885" spans="1:27" x14ac:dyDescent="0.25">
      <c r="A62885" s="8"/>
      <c r="B62885" s="8"/>
      <c r="C62885" s="99"/>
      <c r="D62885" s="8"/>
      <c r="E62885" s="8"/>
      <c r="F62885" s="8"/>
      <c r="G62885" s="8"/>
      <c r="H62885" s="8"/>
      <c r="I62885" s="102"/>
      <c r="J62885" s="8"/>
      <c r="K62885" s="8"/>
      <c r="L62885" s="8"/>
      <c r="M62885" s="8"/>
      <c r="N62885" s="8"/>
      <c r="O62885" s="8"/>
      <c r="P62885" s="8"/>
      <c r="Q62885" s="8"/>
      <c r="R62885" s="103"/>
      <c r="S62885" s="8"/>
      <c r="T62885" s="8"/>
      <c r="U62885" s="8"/>
      <c r="V62885" s="8"/>
      <c r="W62885" s="8"/>
      <c r="X62885" s="8"/>
      <c r="Y62885" s="8"/>
      <c r="Z62885" s="8"/>
      <c r="AA62885" s="8"/>
    </row>
    <row r="62886" spans="1:27" x14ac:dyDescent="0.25">
      <c r="A62886" s="8"/>
      <c r="B62886" s="8"/>
      <c r="C62886" s="99"/>
      <c r="D62886" s="8"/>
      <c r="E62886" s="8"/>
      <c r="F62886" s="8"/>
      <c r="G62886" s="8"/>
      <c r="H62886" s="8"/>
      <c r="I62886" s="102"/>
      <c r="J62886" s="8"/>
      <c r="K62886" s="8"/>
      <c r="L62886" s="8"/>
      <c r="M62886" s="8"/>
      <c r="N62886" s="8"/>
      <c r="O62886" s="8"/>
      <c r="P62886" s="8"/>
      <c r="Q62886" s="8"/>
      <c r="R62886" s="103"/>
      <c r="S62886" s="8"/>
      <c r="T62886" s="8"/>
      <c r="U62886" s="8"/>
      <c r="V62886" s="8"/>
      <c r="W62886" s="8"/>
      <c r="X62886" s="8"/>
      <c r="Y62886" s="8"/>
      <c r="Z62886" s="8"/>
      <c r="AA62886" s="8"/>
    </row>
    <row r="62887" spans="1:27" x14ac:dyDescent="0.25">
      <c r="A62887" s="8"/>
      <c r="B62887" s="8"/>
      <c r="C62887" s="99"/>
      <c r="D62887" s="8"/>
      <c r="E62887" s="8"/>
      <c r="F62887" s="8"/>
      <c r="G62887" s="8"/>
      <c r="H62887" s="8"/>
      <c r="I62887" s="102"/>
      <c r="J62887" s="8"/>
      <c r="K62887" s="8"/>
      <c r="L62887" s="8"/>
      <c r="M62887" s="8"/>
      <c r="N62887" s="8"/>
      <c r="O62887" s="8"/>
      <c r="P62887" s="8"/>
      <c r="Q62887" s="8"/>
      <c r="R62887" s="103"/>
      <c r="S62887" s="8"/>
      <c r="T62887" s="8"/>
      <c r="U62887" s="8"/>
      <c r="V62887" s="8"/>
      <c r="W62887" s="8"/>
      <c r="X62887" s="8"/>
      <c r="Y62887" s="8"/>
      <c r="Z62887" s="8"/>
      <c r="AA62887" s="8"/>
    </row>
    <row r="62888" spans="1:27" x14ac:dyDescent="0.25">
      <c r="A62888" s="8"/>
      <c r="B62888" s="8"/>
      <c r="C62888" s="99"/>
      <c r="D62888" s="8"/>
      <c r="E62888" s="8"/>
      <c r="F62888" s="8"/>
      <c r="G62888" s="8"/>
      <c r="H62888" s="8"/>
      <c r="I62888" s="102"/>
      <c r="J62888" s="8"/>
      <c r="K62888" s="8"/>
      <c r="L62888" s="8"/>
      <c r="M62888" s="8"/>
      <c r="N62888" s="8"/>
      <c r="O62888" s="8"/>
      <c r="P62888" s="8"/>
      <c r="Q62888" s="8"/>
      <c r="R62888" s="103"/>
      <c r="S62888" s="8"/>
      <c r="T62888" s="8"/>
      <c r="U62888" s="8"/>
      <c r="V62888" s="8"/>
      <c r="W62888" s="8"/>
      <c r="X62888" s="8"/>
      <c r="Y62888" s="8"/>
      <c r="Z62888" s="8"/>
      <c r="AA62888" s="8"/>
    </row>
    <row r="62889" spans="1:27" x14ac:dyDescent="0.25">
      <c r="A62889" s="8"/>
      <c r="B62889" s="8"/>
      <c r="C62889" s="99"/>
      <c r="D62889" s="8"/>
      <c r="E62889" s="8"/>
      <c r="F62889" s="8"/>
      <c r="G62889" s="8"/>
      <c r="H62889" s="8"/>
      <c r="I62889" s="102"/>
      <c r="J62889" s="8"/>
      <c r="K62889" s="8"/>
      <c r="L62889" s="8"/>
      <c r="M62889" s="8"/>
      <c r="N62889" s="8"/>
      <c r="O62889" s="8"/>
      <c r="P62889" s="8"/>
      <c r="Q62889" s="8"/>
      <c r="R62889" s="103"/>
      <c r="S62889" s="8"/>
      <c r="T62889" s="8"/>
      <c r="U62889" s="8"/>
      <c r="V62889" s="8"/>
      <c r="W62889" s="8"/>
      <c r="X62889" s="8"/>
      <c r="Y62889" s="8"/>
      <c r="Z62889" s="8"/>
      <c r="AA62889" s="8"/>
    </row>
    <row r="62890" spans="1:27" x14ac:dyDescent="0.25">
      <c r="A62890" s="8"/>
      <c r="B62890" s="8"/>
      <c r="C62890" s="99"/>
      <c r="D62890" s="8"/>
      <c r="E62890" s="8"/>
      <c r="F62890" s="8"/>
      <c r="G62890" s="8"/>
      <c r="H62890" s="8"/>
      <c r="I62890" s="102"/>
      <c r="J62890" s="8"/>
      <c r="K62890" s="8"/>
      <c r="L62890" s="8"/>
      <c r="M62890" s="8"/>
      <c r="N62890" s="8"/>
      <c r="O62890" s="8"/>
      <c r="P62890" s="8"/>
      <c r="Q62890" s="8"/>
      <c r="R62890" s="103"/>
      <c r="S62890" s="8"/>
      <c r="T62890" s="8"/>
      <c r="U62890" s="8"/>
      <c r="V62890" s="8"/>
      <c r="W62890" s="8"/>
      <c r="X62890" s="8"/>
      <c r="Y62890" s="8"/>
      <c r="Z62890" s="8"/>
      <c r="AA62890" s="8"/>
    </row>
    <row r="62891" spans="1:27" x14ac:dyDescent="0.25">
      <c r="A62891" s="8"/>
      <c r="B62891" s="8"/>
      <c r="C62891" s="99"/>
      <c r="D62891" s="8"/>
      <c r="E62891" s="8"/>
      <c r="F62891" s="8"/>
      <c r="G62891" s="8"/>
      <c r="H62891" s="8"/>
      <c r="I62891" s="102"/>
      <c r="J62891" s="8"/>
      <c r="K62891" s="8"/>
      <c r="L62891" s="8"/>
      <c r="M62891" s="8"/>
      <c r="N62891" s="8"/>
      <c r="O62891" s="8"/>
      <c r="P62891" s="8"/>
      <c r="Q62891" s="8"/>
      <c r="R62891" s="103"/>
      <c r="S62891" s="8"/>
      <c r="T62891" s="8"/>
      <c r="U62891" s="8"/>
      <c r="V62891" s="8"/>
      <c r="W62891" s="8"/>
      <c r="X62891" s="8"/>
      <c r="Y62891" s="8"/>
      <c r="Z62891" s="8"/>
      <c r="AA62891" s="8"/>
    </row>
    <row r="62892" spans="1:27" x14ac:dyDescent="0.25">
      <c r="A62892" s="8"/>
      <c r="B62892" s="8"/>
      <c r="C62892" s="99"/>
      <c r="D62892" s="8"/>
      <c r="E62892" s="8"/>
      <c r="F62892" s="8"/>
      <c r="G62892" s="8"/>
      <c r="H62892" s="8"/>
      <c r="I62892" s="102"/>
      <c r="J62892" s="8"/>
      <c r="K62892" s="8"/>
      <c r="L62892" s="8"/>
      <c r="M62892" s="8"/>
      <c r="N62892" s="8"/>
      <c r="O62892" s="8"/>
      <c r="P62892" s="8"/>
      <c r="Q62892" s="8"/>
      <c r="R62892" s="103"/>
      <c r="S62892" s="8"/>
      <c r="T62892" s="8"/>
      <c r="U62892" s="8"/>
      <c r="V62892" s="8"/>
      <c r="W62892" s="8"/>
      <c r="X62892" s="8"/>
      <c r="Y62892" s="8"/>
      <c r="Z62892" s="8"/>
      <c r="AA62892" s="8"/>
    </row>
    <row r="62893" spans="1:27" x14ac:dyDescent="0.25">
      <c r="A62893" s="8"/>
      <c r="B62893" s="8"/>
      <c r="C62893" s="99"/>
      <c r="D62893" s="8"/>
      <c r="E62893" s="8"/>
      <c r="F62893" s="8"/>
      <c r="G62893" s="8"/>
      <c r="H62893" s="8"/>
      <c r="I62893" s="102"/>
      <c r="J62893" s="8"/>
      <c r="K62893" s="8"/>
      <c r="L62893" s="8"/>
      <c r="M62893" s="8"/>
      <c r="N62893" s="8"/>
      <c r="O62893" s="8"/>
      <c r="P62893" s="8"/>
      <c r="Q62893" s="8"/>
      <c r="R62893" s="103"/>
      <c r="S62893" s="8"/>
      <c r="T62893" s="8"/>
      <c r="U62893" s="8"/>
      <c r="V62893" s="8"/>
      <c r="W62893" s="8"/>
      <c r="X62893" s="8"/>
      <c r="Y62893" s="8"/>
      <c r="Z62893" s="8"/>
      <c r="AA62893" s="8"/>
    </row>
    <row r="62894" spans="1:27" x14ac:dyDescent="0.25">
      <c r="A62894" s="8"/>
      <c r="B62894" s="8"/>
      <c r="C62894" s="99"/>
      <c r="D62894" s="8"/>
      <c r="E62894" s="8"/>
      <c r="F62894" s="8"/>
      <c r="G62894" s="8"/>
      <c r="H62894" s="8"/>
      <c r="I62894" s="102"/>
      <c r="J62894" s="8"/>
      <c r="K62894" s="8"/>
      <c r="L62894" s="8"/>
      <c r="M62894" s="8"/>
      <c r="N62894" s="8"/>
      <c r="O62894" s="8"/>
      <c r="P62894" s="8"/>
      <c r="Q62894" s="8"/>
      <c r="R62894" s="103"/>
      <c r="S62894" s="8"/>
      <c r="T62894" s="8"/>
      <c r="U62894" s="8"/>
      <c r="V62894" s="8"/>
      <c r="W62894" s="8"/>
      <c r="X62894" s="8"/>
      <c r="Y62894" s="8"/>
      <c r="Z62894" s="8"/>
      <c r="AA62894" s="8"/>
    </row>
    <row r="62895" spans="1:27" x14ac:dyDescent="0.25">
      <c r="A62895" s="8"/>
      <c r="B62895" s="8"/>
      <c r="C62895" s="99"/>
      <c r="D62895" s="8"/>
      <c r="E62895" s="8"/>
      <c r="F62895" s="8"/>
      <c r="G62895" s="8"/>
      <c r="H62895" s="8"/>
      <c r="I62895" s="102"/>
      <c r="J62895" s="8"/>
      <c r="K62895" s="8"/>
      <c r="L62895" s="8"/>
      <c r="M62895" s="8"/>
      <c r="N62895" s="8"/>
      <c r="O62895" s="8"/>
      <c r="P62895" s="8"/>
      <c r="Q62895" s="8"/>
      <c r="R62895" s="103"/>
      <c r="S62895" s="8"/>
      <c r="T62895" s="8"/>
      <c r="U62895" s="8"/>
      <c r="V62895" s="8"/>
      <c r="W62895" s="8"/>
      <c r="X62895" s="8"/>
      <c r="Y62895" s="8"/>
      <c r="Z62895" s="8"/>
      <c r="AA62895" s="8"/>
    </row>
    <row r="62896" spans="1:27" x14ac:dyDescent="0.25">
      <c r="A62896" s="8"/>
      <c r="B62896" s="8"/>
      <c r="C62896" s="99"/>
      <c r="D62896" s="8"/>
      <c r="E62896" s="8"/>
      <c r="F62896" s="8"/>
      <c r="G62896" s="8"/>
      <c r="H62896" s="8"/>
      <c r="I62896" s="102"/>
      <c r="J62896" s="8"/>
      <c r="K62896" s="8"/>
      <c r="L62896" s="8"/>
      <c r="M62896" s="8"/>
      <c r="N62896" s="8"/>
      <c r="O62896" s="8"/>
      <c r="P62896" s="8"/>
      <c r="Q62896" s="8"/>
      <c r="R62896" s="103"/>
      <c r="S62896" s="8"/>
      <c r="T62896" s="8"/>
      <c r="U62896" s="8"/>
      <c r="V62896" s="8"/>
      <c r="W62896" s="8"/>
      <c r="X62896" s="8"/>
      <c r="Y62896" s="8"/>
      <c r="Z62896" s="8"/>
      <c r="AA62896" s="8"/>
    </row>
    <row r="62897" spans="1:27" x14ac:dyDescent="0.25">
      <c r="A62897" s="8"/>
      <c r="B62897" s="8"/>
      <c r="C62897" s="99"/>
      <c r="D62897" s="8"/>
      <c r="E62897" s="8"/>
      <c r="F62897" s="8"/>
      <c r="G62897" s="8"/>
      <c r="H62897" s="8"/>
      <c r="I62897" s="102"/>
      <c r="J62897" s="8"/>
      <c r="K62897" s="8"/>
      <c r="L62897" s="8"/>
      <c r="M62897" s="8"/>
      <c r="N62897" s="8"/>
      <c r="O62897" s="8"/>
      <c r="P62897" s="8"/>
      <c r="Q62897" s="8"/>
      <c r="R62897" s="103"/>
      <c r="S62897" s="8"/>
      <c r="T62897" s="8"/>
      <c r="U62897" s="8"/>
      <c r="V62897" s="8"/>
      <c r="W62897" s="8"/>
      <c r="X62897" s="8"/>
      <c r="Y62897" s="8"/>
      <c r="Z62897" s="8"/>
      <c r="AA62897" s="8"/>
    </row>
    <row r="62898" spans="1:27" x14ac:dyDescent="0.25">
      <c r="A62898" s="8"/>
      <c r="B62898" s="8"/>
      <c r="C62898" s="99"/>
      <c r="D62898" s="8"/>
      <c r="E62898" s="8"/>
      <c r="F62898" s="8"/>
      <c r="G62898" s="8"/>
      <c r="H62898" s="8"/>
      <c r="I62898" s="102"/>
      <c r="J62898" s="8"/>
      <c r="K62898" s="8"/>
      <c r="L62898" s="8"/>
      <c r="M62898" s="8"/>
      <c r="N62898" s="8"/>
      <c r="O62898" s="8"/>
      <c r="P62898" s="8"/>
      <c r="Q62898" s="8"/>
      <c r="R62898" s="103"/>
      <c r="S62898" s="8"/>
      <c r="T62898" s="8"/>
      <c r="U62898" s="8"/>
      <c r="V62898" s="8"/>
      <c r="W62898" s="8"/>
      <c r="X62898" s="8"/>
      <c r="Y62898" s="8"/>
      <c r="Z62898" s="8"/>
      <c r="AA62898" s="8"/>
    </row>
    <row r="62899" spans="1:27" x14ac:dyDescent="0.25">
      <c r="A62899" s="8"/>
      <c r="B62899" s="8"/>
      <c r="C62899" s="99"/>
      <c r="D62899" s="8"/>
      <c r="E62899" s="8"/>
      <c r="F62899" s="8"/>
      <c r="G62899" s="8"/>
      <c r="H62899" s="8"/>
      <c r="I62899" s="102"/>
      <c r="J62899" s="8"/>
      <c r="K62899" s="8"/>
      <c r="L62899" s="8"/>
      <c r="M62899" s="8"/>
      <c r="N62899" s="8"/>
      <c r="O62899" s="8"/>
      <c r="P62899" s="8"/>
      <c r="Q62899" s="8"/>
      <c r="R62899" s="103"/>
      <c r="S62899" s="8"/>
      <c r="T62899" s="8"/>
      <c r="U62899" s="8"/>
      <c r="V62899" s="8"/>
      <c r="W62899" s="8"/>
      <c r="X62899" s="8"/>
      <c r="Y62899" s="8"/>
      <c r="Z62899" s="8"/>
      <c r="AA62899" s="8"/>
    </row>
    <row r="62900" spans="1:27" x14ac:dyDescent="0.25">
      <c r="A62900" s="8"/>
      <c r="B62900" s="8"/>
      <c r="C62900" s="99"/>
      <c r="D62900" s="8"/>
      <c r="E62900" s="8"/>
      <c r="F62900" s="8"/>
      <c r="G62900" s="8"/>
      <c r="H62900" s="8"/>
      <c r="I62900" s="102"/>
      <c r="J62900" s="8"/>
      <c r="K62900" s="8"/>
      <c r="L62900" s="8"/>
      <c r="M62900" s="8"/>
      <c r="N62900" s="8"/>
      <c r="O62900" s="8"/>
      <c r="P62900" s="8"/>
      <c r="Q62900" s="8"/>
      <c r="R62900" s="103"/>
      <c r="S62900" s="8"/>
      <c r="T62900" s="8"/>
      <c r="U62900" s="8"/>
      <c r="V62900" s="8"/>
      <c r="W62900" s="8"/>
      <c r="X62900" s="8"/>
      <c r="Y62900" s="8"/>
      <c r="Z62900" s="8"/>
      <c r="AA62900" s="8"/>
    </row>
    <row r="62901" spans="1:27" x14ac:dyDescent="0.25">
      <c r="A62901" s="8"/>
      <c r="B62901" s="8"/>
      <c r="C62901" s="99"/>
      <c r="D62901" s="8"/>
      <c r="E62901" s="8"/>
      <c r="F62901" s="8"/>
      <c r="G62901" s="8"/>
      <c r="H62901" s="8"/>
      <c r="I62901" s="102"/>
      <c r="J62901" s="8"/>
      <c r="K62901" s="8"/>
      <c r="L62901" s="8"/>
      <c r="M62901" s="8"/>
      <c r="N62901" s="8"/>
      <c r="O62901" s="8"/>
      <c r="P62901" s="8"/>
      <c r="Q62901" s="8"/>
      <c r="R62901" s="103"/>
      <c r="S62901" s="8"/>
      <c r="T62901" s="8"/>
      <c r="U62901" s="8"/>
      <c r="V62901" s="8"/>
      <c r="W62901" s="8"/>
      <c r="X62901" s="8"/>
      <c r="Y62901" s="8"/>
      <c r="Z62901" s="8"/>
      <c r="AA62901" s="8"/>
    </row>
    <row r="62902" spans="1:27" x14ac:dyDescent="0.25">
      <c r="A62902" s="8"/>
      <c r="B62902" s="8"/>
      <c r="C62902" s="99"/>
      <c r="D62902" s="8"/>
      <c r="E62902" s="8"/>
      <c r="F62902" s="8"/>
      <c r="G62902" s="8"/>
      <c r="H62902" s="8"/>
      <c r="I62902" s="102"/>
      <c r="J62902" s="8"/>
      <c r="K62902" s="8"/>
      <c r="L62902" s="8"/>
      <c r="M62902" s="8"/>
      <c r="N62902" s="8"/>
      <c r="O62902" s="8"/>
      <c r="P62902" s="8"/>
      <c r="Q62902" s="8"/>
      <c r="R62902" s="103"/>
      <c r="S62902" s="8"/>
      <c r="T62902" s="8"/>
      <c r="U62902" s="8"/>
      <c r="V62902" s="8"/>
      <c r="W62902" s="8"/>
      <c r="X62902" s="8"/>
      <c r="Y62902" s="8"/>
      <c r="Z62902" s="8"/>
      <c r="AA62902" s="8"/>
    </row>
    <row r="62903" spans="1:27" x14ac:dyDescent="0.25">
      <c r="A62903" s="8"/>
      <c r="B62903" s="8"/>
      <c r="C62903" s="99"/>
      <c r="D62903" s="8"/>
      <c r="E62903" s="8"/>
      <c r="F62903" s="8"/>
      <c r="G62903" s="8"/>
      <c r="H62903" s="8"/>
      <c r="I62903" s="102"/>
      <c r="J62903" s="8"/>
      <c r="K62903" s="8"/>
      <c r="L62903" s="8"/>
      <c r="M62903" s="8"/>
      <c r="N62903" s="8"/>
      <c r="O62903" s="8"/>
      <c r="P62903" s="8"/>
      <c r="Q62903" s="8"/>
      <c r="R62903" s="103"/>
      <c r="S62903" s="8"/>
      <c r="T62903" s="8"/>
      <c r="U62903" s="8"/>
      <c r="V62903" s="8"/>
      <c r="W62903" s="8"/>
      <c r="X62903" s="8"/>
      <c r="Y62903" s="8"/>
      <c r="Z62903" s="8"/>
      <c r="AA62903" s="8"/>
    </row>
    <row r="62904" spans="1:27" x14ac:dyDescent="0.25">
      <c r="A62904" s="8"/>
      <c r="B62904" s="8"/>
      <c r="C62904" s="99"/>
      <c r="D62904" s="8"/>
      <c r="E62904" s="8"/>
      <c r="F62904" s="8"/>
      <c r="G62904" s="8"/>
      <c r="H62904" s="8"/>
      <c r="I62904" s="102"/>
      <c r="J62904" s="8"/>
      <c r="K62904" s="8"/>
      <c r="L62904" s="8"/>
      <c r="M62904" s="8"/>
      <c r="N62904" s="8"/>
      <c r="O62904" s="8"/>
      <c r="P62904" s="8"/>
      <c r="Q62904" s="8"/>
      <c r="R62904" s="103"/>
      <c r="S62904" s="8"/>
      <c r="T62904" s="8"/>
      <c r="U62904" s="8"/>
      <c r="V62904" s="8"/>
      <c r="W62904" s="8"/>
      <c r="X62904" s="8"/>
      <c r="Y62904" s="8"/>
      <c r="Z62904" s="8"/>
      <c r="AA62904" s="8"/>
    </row>
    <row r="62905" spans="1:27" x14ac:dyDescent="0.25">
      <c r="A62905" s="8"/>
      <c r="B62905" s="8"/>
      <c r="C62905" s="99"/>
      <c r="D62905" s="8"/>
      <c r="E62905" s="8"/>
      <c r="F62905" s="8"/>
      <c r="G62905" s="8"/>
      <c r="H62905" s="8"/>
      <c r="I62905" s="102"/>
      <c r="J62905" s="8"/>
      <c r="K62905" s="8"/>
      <c r="L62905" s="8"/>
      <c r="M62905" s="8"/>
      <c r="N62905" s="8"/>
      <c r="O62905" s="8"/>
      <c r="P62905" s="8"/>
      <c r="Q62905" s="8"/>
      <c r="R62905" s="103"/>
      <c r="S62905" s="8"/>
      <c r="T62905" s="8"/>
      <c r="U62905" s="8"/>
      <c r="V62905" s="8"/>
      <c r="W62905" s="8"/>
      <c r="X62905" s="8"/>
      <c r="Y62905" s="8"/>
      <c r="Z62905" s="8"/>
      <c r="AA62905" s="8"/>
    </row>
    <row r="62906" spans="1:27" x14ac:dyDescent="0.25">
      <c r="A62906" s="8"/>
      <c r="B62906" s="8"/>
      <c r="C62906" s="99"/>
      <c r="D62906" s="8"/>
      <c r="E62906" s="8"/>
      <c r="F62906" s="8"/>
      <c r="G62906" s="8"/>
      <c r="H62906" s="8"/>
      <c r="I62906" s="102"/>
      <c r="J62906" s="8"/>
      <c r="K62906" s="8"/>
      <c r="L62906" s="8"/>
      <c r="M62906" s="8"/>
      <c r="N62906" s="8"/>
      <c r="O62906" s="8"/>
      <c r="P62906" s="8"/>
      <c r="Q62906" s="8"/>
      <c r="R62906" s="103"/>
      <c r="S62906" s="8"/>
      <c r="T62906" s="8"/>
      <c r="U62906" s="8"/>
      <c r="V62906" s="8"/>
      <c r="W62906" s="8"/>
      <c r="X62906" s="8"/>
      <c r="Y62906" s="8"/>
      <c r="Z62906" s="8"/>
      <c r="AA62906" s="8"/>
    </row>
    <row r="62907" spans="1:27" x14ac:dyDescent="0.25">
      <c r="A62907" s="8"/>
      <c r="B62907" s="8"/>
      <c r="C62907" s="99"/>
      <c r="D62907" s="8"/>
      <c r="E62907" s="8"/>
      <c r="F62907" s="8"/>
      <c r="G62907" s="8"/>
      <c r="H62907" s="8"/>
      <c r="I62907" s="102"/>
      <c r="J62907" s="8"/>
      <c r="K62907" s="8"/>
      <c r="L62907" s="8"/>
      <c r="M62907" s="8"/>
      <c r="N62907" s="8"/>
      <c r="O62907" s="8"/>
      <c r="P62907" s="8"/>
      <c r="Q62907" s="8"/>
      <c r="R62907" s="103"/>
      <c r="S62907" s="8"/>
      <c r="T62907" s="8"/>
      <c r="U62907" s="8"/>
      <c r="V62907" s="8"/>
      <c r="W62907" s="8"/>
      <c r="X62907" s="8"/>
      <c r="Y62907" s="8"/>
      <c r="Z62907" s="8"/>
      <c r="AA62907" s="8"/>
    </row>
    <row r="62908" spans="1:27" x14ac:dyDescent="0.25">
      <c r="A62908" s="8"/>
      <c r="B62908" s="8"/>
      <c r="C62908" s="99"/>
      <c r="D62908" s="8"/>
      <c r="E62908" s="8"/>
      <c r="F62908" s="8"/>
      <c r="G62908" s="8"/>
      <c r="H62908" s="8"/>
      <c r="I62908" s="102"/>
      <c r="J62908" s="8"/>
      <c r="K62908" s="8"/>
      <c r="L62908" s="8"/>
      <c r="M62908" s="8"/>
      <c r="N62908" s="8"/>
      <c r="O62908" s="8"/>
      <c r="P62908" s="8"/>
      <c r="Q62908" s="8"/>
      <c r="R62908" s="103"/>
      <c r="S62908" s="8"/>
      <c r="T62908" s="8"/>
      <c r="U62908" s="8"/>
      <c r="V62908" s="8"/>
      <c r="W62908" s="8"/>
      <c r="X62908" s="8"/>
      <c r="Y62908" s="8"/>
      <c r="Z62908" s="8"/>
      <c r="AA62908" s="8"/>
    </row>
    <row r="62909" spans="1:27" x14ac:dyDescent="0.25">
      <c r="A62909" s="8"/>
      <c r="B62909" s="8"/>
      <c r="C62909" s="99"/>
      <c r="D62909" s="8"/>
      <c r="E62909" s="8"/>
      <c r="F62909" s="8"/>
      <c r="G62909" s="8"/>
      <c r="H62909" s="8"/>
      <c r="I62909" s="102"/>
      <c r="J62909" s="8"/>
      <c r="K62909" s="8"/>
      <c r="L62909" s="8"/>
      <c r="M62909" s="8"/>
      <c r="N62909" s="8"/>
      <c r="O62909" s="8"/>
      <c r="P62909" s="8"/>
      <c r="Q62909" s="8"/>
      <c r="R62909" s="103"/>
      <c r="S62909" s="8"/>
      <c r="T62909" s="8"/>
      <c r="U62909" s="8"/>
      <c r="V62909" s="8"/>
      <c r="W62909" s="8"/>
      <c r="X62909" s="8"/>
      <c r="Y62909" s="8"/>
      <c r="Z62909" s="8"/>
      <c r="AA62909" s="8"/>
    </row>
    <row r="62910" spans="1:27" x14ac:dyDescent="0.25">
      <c r="A62910" s="8"/>
      <c r="B62910" s="8"/>
      <c r="C62910" s="99"/>
      <c r="D62910" s="8"/>
      <c r="E62910" s="8"/>
      <c r="F62910" s="8"/>
      <c r="G62910" s="8"/>
      <c r="H62910" s="8"/>
      <c r="I62910" s="102"/>
      <c r="J62910" s="8"/>
      <c r="K62910" s="8"/>
      <c r="L62910" s="8"/>
      <c r="M62910" s="8"/>
      <c r="N62910" s="8"/>
      <c r="O62910" s="8"/>
      <c r="P62910" s="8"/>
      <c r="Q62910" s="8"/>
      <c r="R62910" s="103"/>
      <c r="S62910" s="8"/>
      <c r="T62910" s="8"/>
      <c r="U62910" s="8"/>
      <c r="V62910" s="8"/>
      <c r="W62910" s="8"/>
      <c r="X62910" s="8"/>
      <c r="Y62910" s="8"/>
      <c r="Z62910" s="8"/>
      <c r="AA62910" s="8"/>
    </row>
    <row r="62911" spans="1:27" x14ac:dyDescent="0.25">
      <c r="A62911" s="8"/>
      <c r="B62911" s="8"/>
      <c r="C62911" s="99"/>
      <c r="D62911" s="8"/>
      <c r="E62911" s="8"/>
      <c r="F62911" s="8"/>
      <c r="G62911" s="8"/>
      <c r="H62911" s="8"/>
      <c r="I62911" s="102"/>
      <c r="J62911" s="8"/>
      <c r="K62911" s="8"/>
      <c r="L62911" s="8"/>
      <c r="M62911" s="8"/>
      <c r="N62911" s="8"/>
      <c r="O62911" s="8"/>
      <c r="P62911" s="8"/>
      <c r="Q62911" s="8"/>
      <c r="R62911" s="103"/>
      <c r="S62911" s="8"/>
      <c r="T62911" s="8"/>
      <c r="U62911" s="8"/>
      <c r="V62911" s="8"/>
      <c r="W62911" s="8"/>
      <c r="X62911" s="8"/>
      <c r="Y62911" s="8"/>
      <c r="Z62911" s="8"/>
      <c r="AA62911" s="8"/>
    </row>
    <row r="62912" spans="1:27" x14ac:dyDescent="0.25">
      <c r="A62912" s="8"/>
      <c r="B62912" s="8"/>
      <c r="C62912" s="99"/>
      <c r="D62912" s="8"/>
      <c r="E62912" s="8"/>
      <c r="F62912" s="8"/>
      <c r="G62912" s="8"/>
      <c r="H62912" s="8"/>
      <c r="I62912" s="102"/>
      <c r="J62912" s="8"/>
      <c r="K62912" s="8"/>
      <c r="L62912" s="8"/>
      <c r="M62912" s="8"/>
      <c r="N62912" s="8"/>
      <c r="O62912" s="8"/>
      <c r="P62912" s="8"/>
      <c r="Q62912" s="8"/>
      <c r="R62912" s="103"/>
      <c r="S62912" s="8"/>
      <c r="T62912" s="8"/>
      <c r="U62912" s="8"/>
      <c r="V62912" s="8"/>
      <c r="W62912" s="8"/>
      <c r="X62912" s="8"/>
      <c r="Y62912" s="8"/>
      <c r="Z62912" s="8"/>
      <c r="AA62912" s="8"/>
    </row>
    <row r="62913" spans="1:27" x14ac:dyDescent="0.25">
      <c r="A62913" s="8"/>
      <c r="B62913" s="8"/>
      <c r="C62913" s="99"/>
      <c r="D62913" s="8"/>
      <c r="E62913" s="8"/>
      <c r="F62913" s="8"/>
      <c r="G62913" s="8"/>
      <c r="H62913" s="8"/>
      <c r="I62913" s="102"/>
      <c r="J62913" s="8"/>
      <c r="K62913" s="8"/>
      <c r="L62913" s="8"/>
      <c r="M62913" s="8"/>
      <c r="N62913" s="8"/>
      <c r="O62913" s="8"/>
      <c r="P62913" s="8"/>
      <c r="Q62913" s="8"/>
      <c r="R62913" s="103"/>
      <c r="S62913" s="8"/>
      <c r="T62913" s="8"/>
      <c r="U62913" s="8"/>
      <c r="V62913" s="8"/>
      <c r="W62913" s="8"/>
      <c r="X62913" s="8"/>
      <c r="Y62913" s="8"/>
      <c r="Z62913" s="8"/>
      <c r="AA62913" s="8"/>
    </row>
    <row r="62914" spans="1:27" x14ac:dyDescent="0.25">
      <c r="A62914" s="8"/>
      <c r="B62914" s="8"/>
      <c r="C62914" s="99"/>
      <c r="D62914" s="8"/>
      <c r="E62914" s="8"/>
      <c r="F62914" s="8"/>
      <c r="G62914" s="8"/>
      <c r="H62914" s="8"/>
      <c r="I62914" s="102"/>
      <c r="J62914" s="8"/>
      <c r="K62914" s="8"/>
      <c r="L62914" s="8"/>
      <c r="M62914" s="8"/>
      <c r="N62914" s="8"/>
      <c r="O62914" s="8"/>
      <c r="P62914" s="8"/>
      <c r="Q62914" s="8"/>
      <c r="R62914" s="103"/>
      <c r="S62914" s="8"/>
      <c r="T62914" s="8"/>
      <c r="U62914" s="8"/>
      <c r="V62914" s="8"/>
      <c r="W62914" s="8"/>
      <c r="X62914" s="8"/>
      <c r="Y62914" s="8"/>
      <c r="Z62914" s="8"/>
      <c r="AA62914" s="8"/>
    </row>
    <row r="62915" spans="1:27" x14ac:dyDescent="0.25">
      <c r="A62915" s="8"/>
      <c r="B62915" s="8"/>
      <c r="C62915" s="99"/>
      <c r="D62915" s="8"/>
      <c r="E62915" s="8"/>
      <c r="F62915" s="8"/>
      <c r="G62915" s="8"/>
      <c r="H62915" s="8"/>
      <c r="I62915" s="102"/>
      <c r="J62915" s="8"/>
      <c r="K62915" s="8"/>
      <c r="L62915" s="8"/>
      <c r="M62915" s="8"/>
      <c r="N62915" s="8"/>
      <c r="O62915" s="8"/>
      <c r="P62915" s="8"/>
      <c r="Q62915" s="8"/>
      <c r="R62915" s="103"/>
      <c r="S62915" s="8"/>
      <c r="T62915" s="8"/>
      <c r="U62915" s="8"/>
      <c r="V62915" s="8"/>
      <c r="W62915" s="8"/>
      <c r="X62915" s="8"/>
      <c r="Y62915" s="8"/>
      <c r="Z62915" s="8"/>
      <c r="AA62915" s="8"/>
    </row>
    <row r="62916" spans="1:27" x14ac:dyDescent="0.25">
      <c r="A62916" s="8"/>
      <c r="B62916" s="8"/>
      <c r="C62916" s="99"/>
      <c r="D62916" s="8"/>
      <c r="E62916" s="8"/>
      <c r="F62916" s="8"/>
      <c r="G62916" s="8"/>
      <c r="H62916" s="8"/>
      <c r="I62916" s="102"/>
      <c r="J62916" s="8"/>
      <c r="K62916" s="8"/>
      <c r="L62916" s="8"/>
      <c r="M62916" s="8"/>
      <c r="N62916" s="8"/>
      <c r="O62916" s="8"/>
      <c r="P62916" s="8"/>
      <c r="Q62916" s="8"/>
      <c r="R62916" s="103"/>
      <c r="S62916" s="8"/>
      <c r="T62916" s="8"/>
      <c r="U62916" s="8"/>
      <c r="V62916" s="8"/>
      <c r="W62916" s="8"/>
      <c r="X62916" s="8"/>
      <c r="Y62916" s="8"/>
      <c r="Z62916" s="8"/>
      <c r="AA62916" s="8"/>
    </row>
    <row r="62917" spans="1:27" x14ac:dyDescent="0.25">
      <c r="A62917" s="8"/>
      <c r="B62917" s="8"/>
      <c r="C62917" s="99"/>
      <c r="D62917" s="8"/>
      <c r="E62917" s="8"/>
      <c r="F62917" s="8"/>
      <c r="G62917" s="8"/>
      <c r="H62917" s="8"/>
      <c r="I62917" s="102"/>
      <c r="J62917" s="8"/>
      <c r="K62917" s="8"/>
      <c r="L62917" s="8"/>
      <c r="M62917" s="8"/>
      <c r="N62917" s="8"/>
      <c r="O62917" s="8"/>
      <c r="P62917" s="8"/>
      <c r="Q62917" s="8"/>
      <c r="R62917" s="103"/>
      <c r="S62917" s="8"/>
      <c r="T62917" s="8"/>
      <c r="U62917" s="8"/>
      <c r="V62917" s="8"/>
      <c r="W62917" s="8"/>
      <c r="X62917" s="8"/>
      <c r="Y62917" s="8"/>
      <c r="Z62917" s="8"/>
      <c r="AA62917" s="8"/>
    </row>
    <row r="62918" spans="1:27" x14ac:dyDescent="0.25">
      <c r="A62918" s="8"/>
      <c r="B62918" s="8"/>
      <c r="C62918" s="99"/>
      <c r="D62918" s="8"/>
      <c r="E62918" s="8"/>
      <c r="F62918" s="8"/>
      <c r="G62918" s="8"/>
      <c r="H62918" s="8"/>
      <c r="I62918" s="102"/>
      <c r="J62918" s="8"/>
      <c r="K62918" s="8"/>
      <c r="L62918" s="8"/>
      <c r="M62918" s="8"/>
      <c r="N62918" s="8"/>
      <c r="O62918" s="8"/>
      <c r="P62918" s="8"/>
      <c r="Q62918" s="8"/>
      <c r="R62918" s="103"/>
      <c r="S62918" s="8"/>
      <c r="T62918" s="8"/>
      <c r="U62918" s="8"/>
      <c r="V62918" s="8"/>
      <c r="W62918" s="8"/>
      <c r="X62918" s="8"/>
      <c r="Y62918" s="8"/>
      <c r="Z62918" s="8"/>
      <c r="AA62918" s="8"/>
    </row>
    <row r="62919" spans="1:27" x14ac:dyDescent="0.25">
      <c r="A62919" s="8"/>
      <c r="B62919" s="8"/>
      <c r="C62919" s="99"/>
      <c r="D62919" s="8"/>
      <c r="E62919" s="8"/>
      <c r="F62919" s="8"/>
      <c r="G62919" s="8"/>
      <c r="H62919" s="8"/>
      <c r="I62919" s="102"/>
      <c r="J62919" s="8"/>
      <c r="K62919" s="8"/>
      <c r="L62919" s="8"/>
      <c r="M62919" s="8"/>
      <c r="N62919" s="8"/>
      <c r="O62919" s="8"/>
      <c r="P62919" s="8"/>
      <c r="Q62919" s="8"/>
      <c r="R62919" s="103"/>
      <c r="S62919" s="8"/>
      <c r="T62919" s="8"/>
      <c r="U62919" s="8"/>
      <c r="V62919" s="8"/>
      <c r="W62919" s="8"/>
      <c r="X62919" s="8"/>
      <c r="Y62919" s="8"/>
      <c r="Z62919" s="8"/>
      <c r="AA62919" s="8"/>
    </row>
    <row r="62920" spans="1:27" x14ac:dyDescent="0.25">
      <c r="A62920" s="8"/>
      <c r="B62920" s="8"/>
      <c r="C62920" s="99"/>
      <c r="D62920" s="8"/>
      <c r="E62920" s="8"/>
      <c r="F62920" s="8"/>
      <c r="G62920" s="8"/>
      <c r="H62920" s="8"/>
      <c r="I62920" s="102"/>
      <c r="J62920" s="8"/>
      <c r="K62920" s="8"/>
      <c r="L62920" s="8"/>
      <c r="M62920" s="8"/>
      <c r="N62920" s="8"/>
      <c r="O62920" s="8"/>
      <c r="P62920" s="8"/>
      <c r="Q62920" s="8"/>
      <c r="R62920" s="103"/>
      <c r="S62920" s="8"/>
      <c r="T62920" s="8"/>
      <c r="U62920" s="8"/>
      <c r="V62920" s="8"/>
      <c r="W62920" s="8"/>
      <c r="X62920" s="8"/>
      <c r="Y62920" s="8"/>
      <c r="Z62920" s="8"/>
      <c r="AA62920" s="8"/>
    </row>
    <row r="62921" spans="1:27" x14ac:dyDescent="0.25">
      <c r="A62921" s="8"/>
      <c r="B62921" s="8"/>
      <c r="C62921" s="99"/>
      <c r="D62921" s="8"/>
      <c r="E62921" s="8"/>
      <c r="F62921" s="8"/>
      <c r="G62921" s="8"/>
      <c r="H62921" s="8"/>
      <c r="I62921" s="102"/>
      <c r="J62921" s="8"/>
      <c r="K62921" s="8"/>
      <c r="L62921" s="8"/>
      <c r="M62921" s="8"/>
      <c r="N62921" s="8"/>
      <c r="O62921" s="8"/>
      <c r="P62921" s="8"/>
      <c r="Q62921" s="8"/>
      <c r="R62921" s="103"/>
      <c r="S62921" s="8"/>
      <c r="T62921" s="8"/>
      <c r="U62921" s="8"/>
      <c r="V62921" s="8"/>
      <c r="W62921" s="8"/>
      <c r="X62921" s="8"/>
      <c r="Y62921" s="8"/>
      <c r="Z62921" s="8"/>
      <c r="AA62921" s="8"/>
    </row>
    <row r="62922" spans="1:27" x14ac:dyDescent="0.25">
      <c r="A62922" s="8"/>
      <c r="B62922" s="8"/>
      <c r="C62922" s="99"/>
      <c r="D62922" s="8"/>
      <c r="E62922" s="8"/>
      <c r="F62922" s="8"/>
      <c r="G62922" s="8"/>
      <c r="H62922" s="8"/>
      <c r="I62922" s="102"/>
      <c r="J62922" s="8"/>
      <c r="K62922" s="8"/>
      <c r="L62922" s="8"/>
      <c r="M62922" s="8"/>
      <c r="N62922" s="8"/>
      <c r="O62922" s="8"/>
      <c r="P62922" s="8"/>
      <c r="Q62922" s="8"/>
      <c r="R62922" s="103"/>
      <c r="S62922" s="8"/>
      <c r="T62922" s="8"/>
      <c r="U62922" s="8"/>
      <c r="V62922" s="8"/>
      <c r="W62922" s="8"/>
      <c r="X62922" s="8"/>
      <c r="Y62922" s="8"/>
      <c r="Z62922" s="8"/>
      <c r="AA62922" s="8"/>
    </row>
    <row r="62923" spans="1:27" x14ac:dyDescent="0.25">
      <c r="A62923" s="8"/>
      <c r="B62923" s="8"/>
      <c r="C62923" s="99"/>
      <c r="D62923" s="8"/>
      <c r="E62923" s="8"/>
      <c r="F62923" s="8"/>
      <c r="G62923" s="8"/>
      <c r="H62923" s="8"/>
      <c r="I62923" s="102"/>
      <c r="J62923" s="8"/>
      <c r="K62923" s="8"/>
      <c r="L62923" s="8"/>
      <c r="M62923" s="8"/>
      <c r="N62923" s="8"/>
      <c r="O62923" s="8"/>
      <c r="P62923" s="8"/>
      <c r="Q62923" s="8"/>
      <c r="R62923" s="103"/>
      <c r="S62923" s="8"/>
      <c r="T62923" s="8"/>
      <c r="U62923" s="8"/>
      <c r="V62923" s="8"/>
      <c r="W62923" s="8"/>
      <c r="X62923" s="8"/>
      <c r="Y62923" s="8"/>
      <c r="Z62923" s="8"/>
      <c r="AA62923" s="8"/>
    </row>
    <row r="62924" spans="1:27" x14ac:dyDescent="0.25">
      <c r="A62924" s="8"/>
      <c r="B62924" s="8"/>
      <c r="C62924" s="99"/>
      <c r="D62924" s="8"/>
      <c r="E62924" s="8"/>
      <c r="F62924" s="8"/>
      <c r="G62924" s="8"/>
      <c r="H62924" s="8"/>
      <c r="I62924" s="102"/>
      <c r="J62924" s="8"/>
      <c r="K62924" s="8"/>
      <c r="L62924" s="8"/>
      <c r="M62924" s="8"/>
      <c r="N62924" s="8"/>
      <c r="O62924" s="8"/>
      <c r="P62924" s="8"/>
      <c r="Q62924" s="8"/>
      <c r="R62924" s="103"/>
      <c r="S62924" s="8"/>
      <c r="T62924" s="8"/>
      <c r="U62924" s="8"/>
      <c r="V62924" s="8"/>
      <c r="W62924" s="8"/>
      <c r="X62924" s="8"/>
      <c r="Y62924" s="8"/>
      <c r="Z62924" s="8"/>
      <c r="AA62924" s="8"/>
    </row>
    <row r="62925" spans="1:27" x14ac:dyDescent="0.25">
      <c r="A62925" s="8"/>
      <c r="B62925" s="8"/>
      <c r="C62925" s="99"/>
      <c r="D62925" s="8"/>
      <c r="E62925" s="8"/>
      <c r="F62925" s="8"/>
      <c r="G62925" s="8"/>
      <c r="H62925" s="8"/>
      <c r="I62925" s="102"/>
      <c r="J62925" s="8"/>
      <c r="K62925" s="8"/>
      <c r="L62925" s="8"/>
      <c r="M62925" s="8"/>
      <c r="N62925" s="8"/>
      <c r="O62925" s="8"/>
      <c r="P62925" s="8"/>
      <c r="Q62925" s="8"/>
      <c r="R62925" s="103"/>
      <c r="S62925" s="8"/>
      <c r="T62925" s="8"/>
      <c r="U62925" s="8"/>
      <c r="V62925" s="8"/>
      <c r="W62925" s="8"/>
      <c r="X62925" s="8"/>
      <c r="Y62925" s="8"/>
      <c r="Z62925" s="8"/>
      <c r="AA62925" s="8"/>
    </row>
    <row r="62926" spans="1:27" x14ac:dyDescent="0.25">
      <c r="A62926" s="8"/>
      <c r="B62926" s="8"/>
      <c r="C62926" s="99"/>
      <c r="D62926" s="8"/>
      <c r="E62926" s="8"/>
      <c r="F62926" s="8"/>
      <c r="G62926" s="8"/>
      <c r="H62926" s="8"/>
      <c r="I62926" s="102"/>
      <c r="J62926" s="8"/>
      <c r="K62926" s="8"/>
      <c r="L62926" s="8"/>
      <c r="M62926" s="8"/>
      <c r="N62926" s="8"/>
      <c r="O62926" s="8"/>
      <c r="P62926" s="8"/>
      <c r="Q62926" s="8"/>
      <c r="R62926" s="103"/>
      <c r="S62926" s="8"/>
      <c r="T62926" s="8"/>
      <c r="U62926" s="8"/>
      <c r="V62926" s="8"/>
      <c r="W62926" s="8"/>
      <c r="X62926" s="8"/>
      <c r="Y62926" s="8"/>
      <c r="Z62926" s="8"/>
      <c r="AA62926" s="8"/>
    </row>
    <row r="62927" spans="1:27" x14ac:dyDescent="0.25">
      <c r="A62927" s="8"/>
      <c r="B62927" s="8"/>
      <c r="C62927" s="99"/>
      <c r="D62927" s="8"/>
      <c r="E62927" s="8"/>
      <c r="F62927" s="8"/>
      <c r="G62927" s="8"/>
      <c r="H62927" s="8"/>
      <c r="I62927" s="102"/>
      <c r="J62927" s="8"/>
      <c r="K62927" s="8"/>
      <c r="L62927" s="8"/>
      <c r="M62927" s="8"/>
      <c r="N62927" s="8"/>
      <c r="O62927" s="8"/>
      <c r="P62927" s="8"/>
      <c r="Q62927" s="8"/>
      <c r="R62927" s="103"/>
      <c r="S62927" s="8"/>
      <c r="T62927" s="8"/>
      <c r="U62927" s="8"/>
      <c r="V62927" s="8"/>
      <c r="W62927" s="8"/>
      <c r="X62927" s="8"/>
      <c r="Y62927" s="8"/>
      <c r="Z62927" s="8"/>
      <c r="AA62927" s="8"/>
    </row>
    <row r="62928" spans="1:27" x14ac:dyDescent="0.25">
      <c r="A62928" s="8"/>
      <c r="B62928" s="8"/>
      <c r="C62928" s="99"/>
      <c r="D62928" s="8"/>
      <c r="E62928" s="8"/>
      <c r="F62928" s="8"/>
      <c r="G62928" s="8"/>
      <c r="H62928" s="8"/>
      <c r="I62928" s="102"/>
      <c r="J62928" s="8"/>
      <c r="K62928" s="8"/>
      <c r="L62928" s="8"/>
      <c r="M62928" s="8"/>
      <c r="N62928" s="8"/>
      <c r="O62928" s="8"/>
      <c r="P62928" s="8"/>
      <c r="Q62928" s="8"/>
      <c r="R62928" s="103"/>
      <c r="S62928" s="8"/>
      <c r="T62928" s="8"/>
      <c r="U62928" s="8"/>
      <c r="V62928" s="8"/>
      <c r="W62928" s="8"/>
      <c r="X62928" s="8"/>
      <c r="Y62928" s="8"/>
      <c r="Z62928" s="8"/>
      <c r="AA62928" s="8"/>
    </row>
    <row r="62929" spans="1:27" x14ac:dyDescent="0.25">
      <c r="A62929" s="8"/>
      <c r="B62929" s="8"/>
      <c r="C62929" s="99"/>
      <c r="D62929" s="8"/>
      <c r="E62929" s="8"/>
      <c r="F62929" s="8"/>
      <c r="G62929" s="8"/>
      <c r="H62929" s="8"/>
      <c r="I62929" s="102"/>
      <c r="J62929" s="8"/>
      <c r="K62929" s="8"/>
      <c r="L62929" s="8"/>
      <c r="M62929" s="8"/>
      <c r="N62929" s="8"/>
      <c r="O62929" s="8"/>
      <c r="P62929" s="8"/>
      <c r="Q62929" s="8"/>
      <c r="R62929" s="103"/>
      <c r="S62929" s="8"/>
      <c r="T62929" s="8"/>
      <c r="U62929" s="8"/>
      <c r="V62929" s="8"/>
      <c r="W62929" s="8"/>
      <c r="X62929" s="8"/>
      <c r="Y62929" s="8"/>
      <c r="Z62929" s="8"/>
      <c r="AA62929" s="8"/>
    </row>
    <row r="62930" spans="1:27" x14ac:dyDescent="0.25">
      <c r="A62930" s="8"/>
      <c r="B62930" s="8"/>
      <c r="C62930" s="99"/>
      <c r="D62930" s="8"/>
      <c r="E62930" s="8"/>
      <c r="F62930" s="8"/>
      <c r="G62930" s="8"/>
      <c r="H62930" s="8"/>
      <c r="I62930" s="102"/>
      <c r="J62930" s="8"/>
      <c r="K62930" s="8"/>
      <c r="L62930" s="8"/>
      <c r="M62930" s="8"/>
      <c r="N62930" s="8"/>
      <c r="O62930" s="8"/>
      <c r="P62930" s="8"/>
      <c r="Q62930" s="8"/>
      <c r="R62930" s="103"/>
      <c r="S62930" s="8"/>
      <c r="T62930" s="8"/>
      <c r="U62930" s="8"/>
      <c r="V62930" s="8"/>
      <c r="W62930" s="8"/>
      <c r="X62930" s="8"/>
      <c r="Y62930" s="8"/>
      <c r="Z62930" s="8"/>
      <c r="AA62930" s="8"/>
    </row>
    <row r="62931" spans="1:27" x14ac:dyDescent="0.25">
      <c r="A62931" s="8"/>
      <c r="B62931" s="8"/>
      <c r="C62931" s="99"/>
      <c r="D62931" s="8"/>
      <c r="E62931" s="8"/>
      <c r="F62931" s="8"/>
      <c r="G62931" s="8"/>
      <c r="H62931" s="8"/>
      <c r="I62931" s="102"/>
      <c r="J62931" s="8"/>
      <c r="K62931" s="8"/>
      <c r="L62931" s="8"/>
      <c r="M62931" s="8"/>
      <c r="N62931" s="8"/>
      <c r="O62931" s="8"/>
      <c r="P62931" s="8"/>
      <c r="Q62931" s="8"/>
      <c r="R62931" s="103"/>
      <c r="S62931" s="8"/>
      <c r="T62931" s="8"/>
      <c r="U62931" s="8"/>
      <c r="V62931" s="8"/>
      <c r="W62931" s="8"/>
      <c r="X62931" s="8"/>
      <c r="Y62931" s="8"/>
      <c r="Z62931" s="8"/>
      <c r="AA62931" s="8"/>
    </row>
    <row r="62932" spans="1:27" x14ac:dyDescent="0.25">
      <c r="A62932" s="8"/>
      <c r="B62932" s="8"/>
      <c r="C62932" s="99"/>
      <c r="D62932" s="8"/>
      <c r="E62932" s="8"/>
      <c r="F62932" s="8"/>
      <c r="G62932" s="8"/>
      <c r="H62932" s="8"/>
      <c r="I62932" s="102"/>
      <c r="J62932" s="8"/>
      <c r="K62932" s="8"/>
      <c r="L62932" s="8"/>
      <c r="M62932" s="8"/>
      <c r="N62932" s="8"/>
      <c r="O62932" s="8"/>
      <c r="P62932" s="8"/>
      <c r="Q62932" s="8"/>
      <c r="R62932" s="103"/>
      <c r="S62932" s="8"/>
      <c r="T62932" s="8"/>
      <c r="U62932" s="8"/>
      <c r="V62932" s="8"/>
      <c r="W62932" s="8"/>
      <c r="X62932" s="8"/>
      <c r="Y62932" s="8"/>
      <c r="Z62932" s="8"/>
      <c r="AA62932" s="8"/>
    </row>
    <row r="62933" spans="1:27" x14ac:dyDescent="0.25">
      <c r="A62933" s="8"/>
      <c r="B62933" s="8"/>
      <c r="C62933" s="99"/>
      <c r="D62933" s="8"/>
      <c r="E62933" s="8"/>
      <c r="F62933" s="8"/>
      <c r="G62933" s="8"/>
      <c r="H62933" s="8"/>
      <c r="I62933" s="102"/>
      <c r="J62933" s="8"/>
      <c r="K62933" s="8"/>
      <c r="L62933" s="8"/>
      <c r="M62933" s="8"/>
      <c r="N62933" s="8"/>
      <c r="O62933" s="8"/>
      <c r="P62933" s="8"/>
      <c r="Q62933" s="8"/>
      <c r="R62933" s="103"/>
      <c r="S62933" s="8"/>
      <c r="T62933" s="8"/>
      <c r="U62933" s="8"/>
      <c r="V62933" s="8"/>
      <c r="W62933" s="8"/>
      <c r="X62933" s="8"/>
      <c r="Y62933" s="8"/>
      <c r="Z62933" s="8"/>
      <c r="AA62933" s="8"/>
    </row>
    <row r="62934" spans="1:27" x14ac:dyDescent="0.25">
      <c r="A62934" s="8"/>
      <c r="B62934" s="8"/>
      <c r="C62934" s="99"/>
      <c r="D62934" s="8"/>
      <c r="E62934" s="8"/>
      <c r="F62934" s="8"/>
      <c r="G62934" s="8"/>
      <c r="H62934" s="8"/>
      <c r="I62934" s="102"/>
      <c r="J62934" s="8"/>
      <c r="K62934" s="8"/>
      <c r="L62934" s="8"/>
      <c r="M62934" s="8"/>
      <c r="N62934" s="8"/>
      <c r="O62934" s="8"/>
      <c r="P62934" s="8"/>
      <c r="Q62934" s="8"/>
      <c r="R62934" s="103"/>
      <c r="S62934" s="8"/>
      <c r="T62934" s="8"/>
      <c r="U62934" s="8"/>
      <c r="V62934" s="8"/>
      <c r="W62934" s="8"/>
      <c r="X62934" s="8"/>
      <c r="Y62934" s="8"/>
      <c r="Z62934" s="8"/>
      <c r="AA62934" s="8"/>
    </row>
    <row r="62935" spans="1:27" x14ac:dyDescent="0.25">
      <c r="A62935" s="8"/>
      <c r="B62935" s="8"/>
      <c r="C62935" s="99"/>
      <c r="D62935" s="8"/>
      <c r="E62935" s="8"/>
      <c r="F62935" s="8"/>
      <c r="G62935" s="8"/>
      <c r="H62935" s="8"/>
      <c r="I62935" s="102"/>
      <c r="J62935" s="8"/>
      <c r="K62935" s="8"/>
      <c r="L62935" s="8"/>
      <c r="M62935" s="8"/>
      <c r="N62935" s="8"/>
      <c r="O62935" s="8"/>
      <c r="P62935" s="8"/>
      <c r="Q62935" s="8"/>
      <c r="R62935" s="103"/>
      <c r="S62935" s="8"/>
      <c r="T62935" s="8"/>
      <c r="U62935" s="8"/>
      <c r="V62935" s="8"/>
      <c r="W62935" s="8"/>
      <c r="X62935" s="8"/>
      <c r="Y62935" s="8"/>
      <c r="Z62935" s="8"/>
      <c r="AA62935" s="8"/>
    </row>
    <row r="62936" spans="1:27" x14ac:dyDescent="0.25">
      <c r="A62936" s="8"/>
      <c r="B62936" s="8"/>
      <c r="C62936" s="99"/>
      <c r="D62936" s="8"/>
      <c r="E62936" s="8"/>
      <c r="F62936" s="8"/>
      <c r="G62936" s="8"/>
      <c r="H62936" s="8"/>
      <c r="I62936" s="102"/>
      <c r="J62936" s="8"/>
      <c r="K62936" s="8"/>
      <c r="L62936" s="8"/>
      <c r="M62936" s="8"/>
      <c r="N62936" s="8"/>
      <c r="O62936" s="8"/>
      <c r="P62936" s="8"/>
      <c r="Q62936" s="8"/>
      <c r="R62936" s="103"/>
      <c r="S62936" s="8"/>
      <c r="T62936" s="8"/>
      <c r="U62936" s="8"/>
      <c r="V62936" s="8"/>
      <c r="W62936" s="8"/>
      <c r="X62936" s="8"/>
      <c r="Y62936" s="8"/>
      <c r="Z62936" s="8"/>
      <c r="AA62936" s="8"/>
    </row>
    <row r="62937" spans="1:27" x14ac:dyDescent="0.25">
      <c r="A62937" s="8"/>
      <c r="B62937" s="8"/>
      <c r="C62937" s="99"/>
      <c r="D62937" s="8"/>
      <c r="E62937" s="8"/>
      <c r="F62937" s="8"/>
      <c r="G62937" s="8"/>
      <c r="H62937" s="8"/>
      <c r="I62937" s="102"/>
      <c r="J62937" s="8"/>
      <c r="K62937" s="8"/>
      <c r="L62937" s="8"/>
      <c r="M62937" s="8"/>
      <c r="N62937" s="8"/>
      <c r="O62937" s="8"/>
      <c r="P62937" s="8"/>
      <c r="Q62937" s="8"/>
      <c r="R62937" s="103"/>
      <c r="S62937" s="8"/>
      <c r="T62937" s="8"/>
      <c r="U62937" s="8"/>
      <c r="V62937" s="8"/>
      <c r="W62937" s="8"/>
      <c r="X62937" s="8"/>
      <c r="Y62937" s="8"/>
      <c r="Z62937" s="8"/>
      <c r="AA62937" s="8"/>
    </row>
    <row r="62938" spans="1:27" x14ac:dyDescent="0.25">
      <c r="A62938" s="8"/>
      <c r="B62938" s="8"/>
      <c r="C62938" s="99"/>
      <c r="D62938" s="8"/>
      <c r="E62938" s="8"/>
      <c r="F62938" s="8"/>
      <c r="G62938" s="8"/>
      <c r="H62938" s="8"/>
      <c r="I62938" s="102"/>
      <c r="J62938" s="8"/>
      <c r="K62938" s="8"/>
      <c r="L62938" s="8"/>
      <c r="M62938" s="8"/>
      <c r="N62938" s="8"/>
      <c r="O62938" s="8"/>
      <c r="P62938" s="8"/>
      <c r="Q62938" s="8"/>
      <c r="R62938" s="103"/>
      <c r="S62938" s="8"/>
      <c r="T62938" s="8"/>
      <c r="U62938" s="8"/>
      <c r="V62938" s="8"/>
      <c r="W62938" s="8"/>
      <c r="X62938" s="8"/>
      <c r="Y62938" s="8"/>
      <c r="Z62938" s="8"/>
      <c r="AA62938" s="8"/>
    </row>
    <row r="62939" spans="1:27" x14ac:dyDescent="0.25">
      <c r="A62939" s="8"/>
      <c r="B62939" s="8"/>
      <c r="C62939" s="99"/>
      <c r="D62939" s="8"/>
      <c r="E62939" s="8"/>
      <c r="F62939" s="8"/>
      <c r="G62939" s="8"/>
      <c r="H62939" s="8"/>
      <c r="I62939" s="102"/>
      <c r="J62939" s="8"/>
      <c r="K62939" s="8"/>
      <c r="L62939" s="8"/>
      <c r="M62939" s="8"/>
      <c r="N62939" s="8"/>
      <c r="O62939" s="8"/>
      <c r="P62939" s="8"/>
      <c r="Q62939" s="8"/>
      <c r="R62939" s="103"/>
      <c r="S62939" s="8"/>
      <c r="T62939" s="8"/>
      <c r="U62939" s="8"/>
      <c r="V62939" s="8"/>
      <c r="W62939" s="8"/>
      <c r="X62939" s="8"/>
      <c r="Y62939" s="8"/>
      <c r="Z62939" s="8"/>
      <c r="AA62939" s="8"/>
    </row>
    <row r="62940" spans="1:27" x14ac:dyDescent="0.25">
      <c r="A62940" s="8"/>
      <c r="B62940" s="8"/>
      <c r="C62940" s="99"/>
      <c r="D62940" s="8"/>
      <c r="E62940" s="8"/>
      <c r="F62940" s="8"/>
      <c r="G62940" s="8"/>
      <c r="H62940" s="8"/>
      <c r="I62940" s="102"/>
      <c r="J62940" s="8"/>
      <c r="K62940" s="8"/>
      <c r="L62940" s="8"/>
      <c r="M62940" s="8"/>
      <c r="N62940" s="8"/>
      <c r="O62940" s="8"/>
      <c r="P62940" s="8"/>
      <c r="Q62940" s="8"/>
      <c r="R62940" s="103"/>
      <c r="S62940" s="8"/>
      <c r="T62940" s="8"/>
      <c r="U62940" s="8"/>
      <c r="V62940" s="8"/>
      <c r="W62940" s="8"/>
      <c r="X62940" s="8"/>
      <c r="Y62940" s="8"/>
      <c r="Z62940" s="8"/>
      <c r="AA62940" s="8"/>
    </row>
    <row r="62941" spans="1:27" x14ac:dyDescent="0.25">
      <c r="A62941" s="8"/>
      <c r="B62941" s="8"/>
      <c r="C62941" s="99"/>
      <c r="D62941" s="8"/>
      <c r="E62941" s="8"/>
      <c r="F62941" s="8"/>
      <c r="G62941" s="8"/>
      <c r="H62941" s="8"/>
      <c r="I62941" s="102"/>
      <c r="J62941" s="8"/>
      <c r="K62941" s="8"/>
      <c r="L62941" s="8"/>
      <c r="M62941" s="8"/>
      <c r="N62941" s="8"/>
      <c r="O62941" s="8"/>
      <c r="P62941" s="8"/>
      <c r="Q62941" s="8"/>
      <c r="R62941" s="103"/>
      <c r="S62941" s="8"/>
      <c r="T62941" s="8"/>
      <c r="U62941" s="8"/>
      <c r="V62941" s="8"/>
      <c r="W62941" s="8"/>
      <c r="X62941" s="8"/>
      <c r="Y62941" s="8"/>
      <c r="Z62941" s="8"/>
      <c r="AA62941" s="8"/>
    </row>
    <row r="62942" spans="1:27" x14ac:dyDescent="0.25">
      <c r="A62942" s="8"/>
      <c r="B62942" s="8"/>
      <c r="C62942" s="99"/>
      <c r="D62942" s="8"/>
      <c r="E62942" s="8"/>
      <c r="F62942" s="8"/>
      <c r="G62942" s="8"/>
      <c r="H62942" s="8"/>
      <c r="I62942" s="102"/>
      <c r="J62942" s="8"/>
      <c r="K62942" s="8"/>
      <c r="L62942" s="8"/>
      <c r="M62942" s="8"/>
      <c r="N62942" s="8"/>
      <c r="O62942" s="8"/>
      <c r="P62942" s="8"/>
      <c r="Q62942" s="8"/>
      <c r="R62942" s="103"/>
      <c r="S62942" s="8"/>
      <c r="T62942" s="8"/>
      <c r="U62942" s="8"/>
      <c r="V62942" s="8"/>
      <c r="W62942" s="8"/>
      <c r="X62942" s="8"/>
      <c r="Y62942" s="8"/>
      <c r="Z62942" s="8"/>
      <c r="AA62942" s="8"/>
    </row>
    <row r="62943" spans="1:27" x14ac:dyDescent="0.25">
      <c r="A62943" s="8"/>
      <c r="B62943" s="8"/>
      <c r="C62943" s="99"/>
      <c r="D62943" s="8"/>
      <c r="E62943" s="8"/>
      <c r="F62943" s="8"/>
      <c r="G62943" s="8"/>
      <c r="H62943" s="8"/>
      <c r="I62943" s="102"/>
      <c r="J62943" s="8"/>
      <c r="K62943" s="8"/>
      <c r="L62943" s="8"/>
      <c r="M62943" s="8"/>
      <c r="N62943" s="8"/>
      <c r="O62943" s="8"/>
      <c r="P62943" s="8"/>
      <c r="Q62943" s="8"/>
      <c r="R62943" s="103"/>
      <c r="S62943" s="8"/>
      <c r="T62943" s="8"/>
      <c r="U62943" s="8"/>
      <c r="V62943" s="8"/>
      <c r="W62943" s="8"/>
      <c r="X62943" s="8"/>
      <c r="Y62943" s="8"/>
      <c r="Z62943" s="8"/>
      <c r="AA62943" s="8"/>
    </row>
    <row r="62944" spans="1:27" x14ac:dyDescent="0.25">
      <c r="A62944" s="8"/>
      <c r="B62944" s="8"/>
      <c r="C62944" s="99"/>
      <c r="D62944" s="8"/>
      <c r="E62944" s="8"/>
      <c r="F62944" s="8"/>
      <c r="G62944" s="8"/>
      <c r="H62944" s="8"/>
      <c r="I62944" s="102"/>
      <c r="J62944" s="8"/>
      <c r="K62944" s="8"/>
      <c r="L62944" s="8"/>
      <c r="M62944" s="8"/>
      <c r="N62944" s="8"/>
      <c r="O62944" s="8"/>
      <c r="P62944" s="8"/>
      <c r="Q62944" s="8"/>
      <c r="R62944" s="103"/>
      <c r="S62944" s="8"/>
      <c r="T62944" s="8"/>
      <c r="U62944" s="8"/>
      <c r="V62944" s="8"/>
      <c r="W62944" s="8"/>
      <c r="X62944" s="8"/>
      <c r="Y62944" s="8"/>
      <c r="Z62944" s="8"/>
      <c r="AA62944" s="8"/>
    </row>
    <row r="62945" spans="1:27" x14ac:dyDescent="0.25">
      <c r="A62945" s="8"/>
      <c r="B62945" s="8"/>
      <c r="C62945" s="99"/>
      <c r="D62945" s="8"/>
      <c r="E62945" s="8"/>
      <c r="F62945" s="8"/>
      <c r="G62945" s="8"/>
      <c r="H62945" s="8"/>
      <c r="I62945" s="102"/>
      <c r="J62945" s="8"/>
      <c r="K62945" s="8"/>
      <c r="L62945" s="8"/>
      <c r="M62945" s="8"/>
      <c r="N62945" s="8"/>
      <c r="O62945" s="8"/>
      <c r="P62945" s="8"/>
      <c r="Q62945" s="8"/>
      <c r="R62945" s="103"/>
      <c r="S62945" s="8"/>
      <c r="T62945" s="8"/>
      <c r="U62945" s="8"/>
      <c r="V62945" s="8"/>
      <c r="W62945" s="8"/>
      <c r="X62945" s="8"/>
      <c r="Y62945" s="8"/>
      <c r="Z62945" s="8"/>
      <c r="AA62945" s="8"/>
    </row>
    <row r="62946" spans="1:27" x14ac:dyDescent="0.25">
      <c r="A62946" s="8"/>
      <c r="B62946" s="8"/>
      <c r="C62946" s="99"/>
      <c r="D62946" s="8"/>
      <c r="E62946" s="8"/>
      <c r="F62946" s="8"/>
      <c r="G62946" s="8"/>
      <c r="H62946" s="8"/>
      <c r="I62946" s="102"/>
      <c r="J62946" s="8"/>
      <c r="K62946" s="8"/>
      <c r="L62946" s="8"/>
      <c r="M62946" s="8"/>
      <c r="N62946" s="8"/>
      <c r="O62946" s="8"/>
      <c r="P62946" s="8"/>
      <c r="Q62946" s="8"/>
      <c r="R62946" s="103"/>
      <c r="S62946" s="8"/>
      <c r="T62946" s="8"/>
      <c r="U62946" s="8"/>
      <c r="V62946" s="8"/>
      <c r="W62946" s="8"/>
      <c r="X62946" s="8"/>
      <c r="Y62946" s="8"/>
      <c r="Z62946" s="8"/>
      <c r="AA62946" s="8"/>
    </row>
    <row r="62947" spans="1:27" x14ac:dyDescent="0.25">
      <c r="A62947" s="8"/>
      <c r="B62947" s="8"/>
      <c r="C62947" s="99"/>
      <c r="D62947" s="8"/>
      <c r="E62947" s="8"/>
      <c r="F62947" s="8"/>
      <c r="G62947" s="8"/>
      <c r="H62947" s="8"/>
      <c r="I62947" s="102"/>
      <c r="J62947" s="8"/>
      <c r="K62947" s="8"/>
      <c r="L62947" s="8"/>
      <c r="M62947" s="8"/>
      <c r="N62947" s="8"/>
      <c r="O62947" s="8"/>
      <c r="P62947" s="8"/>
      <c r="Q62947" s="8"/>
      <c r="R62947" s="103"/>
      <c r="S62947" s="8"/>
      <c r="T62947" s="8"/>
      <c r="U62947" s="8"/>
      <c r="V62947" s="8"/>
      <c r="W62947" s="8"/>
      <c r="X62947" s="8"/>
      <c r="Y62947" s="8"/>
      <c r="Z62947" s="8"/>
      <c r="AA62947" s="8"/>
    </row>
    <row r="62948" spans="1:27" x14ac:dyDescent="0.25">
      <c r="A62948" s="8"/>
      <c r="B62948" s="8"/>
      <c r="C62948" s="99"/>
      <c r="D62948" s="8"/>
      <c r="E62948" s="8"/>
      <c r="F62948" s="8"/>
      <c r="G62948" s="8"/>
      <c r="H62948" s="8"/>
      <c r="I62948" s="102"/>
      <c r="J62948" s="8"/>
      <c r="K62948" s="8"/>
      <c r="L62948" s="8"/>
      <c r="M62948" s="8"/>
      <c r="N62948" s="8"/>
      <c r="O62948" s="8"/>
      <c r="P62948" s="8"/>
      <c r="Q62948" s="8"/>
      <c r="R62948" s="103"/>
      <c r="S62948" s="8"/>
      <c r="T62948" s="8"/>
      <c r="U62948" s="8"/>
      <c r="V62948" s="8"/>
      <c r="W62948" s="8"/>
      <c r="X62948" s="8"/>
      <c r="Y62948" s="8"/>
      <c r="Z62948" s="8"/>
      <c r="AA62948" s="8"/>
    </row>
    <row r="62949" spans="1:27" x14ac:dyDescent="0.25">
      <c r="A62949" s="8"/>
      <c r="B62949" s="8"/>
      <c r="C62949" s="99"/>
      <c r="D62949" s="8"/>
      <c r="E62949" s="8"/>
      <c r="F62949" s="8"/>
      <c r="G62949" s="8"/>
      <c r="H62949" s="8"/>
      <c r="I62949" s="102"/>
      <c r="J62949" s="8"/>
      <c r="K62949" s="8"/>
      <c r="L62949" s="8"/>
      <c r="M62949" s="8"/>
      <c r="N62949" s="8"/>
      <c r="O62949" s="8"/>
      <c r="P62949" s="8"/>
      <c r="Q62949" s="8"/>
      <c r="R62949" s="103"/>
      <c r="S62949" s="8"/>
      <c r="T62949" s="8"/>
      <c r="U62949" s="8"/>
      <c r="V62949" s="8"/>
      <c r="W62949" s="8"/>
      <c r="X62949" s="8"/>
      <c r="Y62949" s="8"/>
      <c r="Z62949" s="8"/>
      <c r="AA62949" s="8"/>
    </row>
    <row r="62950" spans="1:27" x14ac:dyDescent="0.25">
      <c r="A62950" s="8"/>
      <c r="B62950" s="8"/>
      <c r="C62950" s="99"/>
      <c r="D62950" s="8"/>
      <c r="E62950" s="8"/>
      <c r="F62950" s="8"/>
      <c r="G62950" s="8"/>
      <c r="H62950" s="8"/>
      <c r="I62950" s="102"/>
      <c r="J62950" s="8"/>
      <c r="K62950" s="8"/>
      <c r="L62950" s="8"/>
      <c r="M62950" s="8"/>
      <c r="N62950" s="8"/>
      <c r="O62950" s="8"/>
      <c r="P62950" s="8"/>
      <c r="Q62950" s="8"/>
      <c r="R62950" s="103"/>
      <c r="S62950" s="8"/>
      <c r="T62950" s="8"/>
      <c r="U62950" s="8"/>
      <c r="V62950" s="8"/>
      <c r="W62950" s="8"/>
      <c r="X62950" s="8"/>
      <c r="Y62950" s="8"/>
      <c r="Z62950" s="8"/>
      <c r="AA62950" s="8"/>
    </row>
    <row r="62951" spans="1:27" x14ac:dyDescent="0.25">
      <c r="A62951" s="8"/>
      <c r="B62951" s="8"/>
      <c r="C62951" s="99"/>
      <c r="D62951" s="8"/>
      <c r="E62951" s="8"/>
      <c r="F62951" s="8"/>
      <c r="G62951" s="8"/>
      <c r="H62951" s="8"/>
      <c r="I62951" s="102"/>
      <c r="J62951" s="8"/>
      <c r="K62951" s="8"/>
      <c r="L62951" s="8"/>
      <c r="M62951" s="8"/>
      <c r="N62951" s="8"/>
      <c r="O62951" s="8"/>
      <c r="P62951" s="8"/>
      <c r="Q62951" s="8"/>
      <c r="R62951" s="103"/>
      <c r="S62951" s="8"/>
      <c r="T62951" s="8"/>
      <c r="U62951" s="8"/>
      <c r="V62951" s="8"/>
      <c r="W62951" s="8"/>
      <c r="X62951" s="8"/>
      <c r="Y62951" s="8"/>
      <c r="Z62951" s="8"/>
      <c r="AA62951" s="8"/>
    </row>
    <row r="62952" spans="1:27" x14ac:dyDescent="0.25">
      <c r="A62952" s="8"/>
      <c r="B62952" s="8"/>
      <c r="C62952" s="99"/>
      <c r="D62952" s="8"/>
      <c r="E62952" s="8"/>
      <c r="F62952" s="8"/>
      <c r="G62952" s="8"/>
      <c r="H62952" s="8"/>
      <c r="I62952" s="102"/>
      <c r="J62952" s="8"/>
      <c r="K62952" s="8"/>
      <c r="L62952" s="8"/>
      <c r="M62952" s="8"/>
      <c r="N62952" s="8"/>
      <c r="O62952" s="8"/>
      <c r="P62952" s="8"/>
      <c r="Q62952" s="8"/>
      <c r="R62952" s="103"/>
      <c r="S62952" s="8"/>
      <c r="T62952" s="8"/>
      <c r="U62952" s="8"/>
      <c r="V62952" s="8"/>
      <c r="W62952" s="8"/>
      <c r="X62952" s="8"/>
      <c r="Y62952" s="8"/>
      <c r="Z62952" s="8"/>
      <c r="AA62952" s="8"/>
    </row>
    <row r="62953" spans="1:27" x14ac:dyDescent="0.25">
      <c r="A62953" s="8"/>
      <c r="B62953" s="8"/>
      <c r="C62953" s="99"/>
      <c r="D62953" s="8"/>
      <c r="E62953" s="8"/>
      <c r="F62953" s="8"/>
      <c r="G62953" s="8"/>
      <c r="H62953" s="8"/>
      <c r="I62953" s="102"/>
      <c r="J62953" s="8"/>
      <c r="K62953" s="8"/>
      <c r="L62953" s="8"/>
      <c r="M62953" s="8"/>
      <c r="N62953" s="8"/>
      <c r="O62953" s="8"/>
      <c r="P62953" s="8"/>
      <c r="Q62953" s="8"/>
      <c r="R62953" s="103"/>
      <c r="S62953" s="8"/>
      <c r="T62953" s="8"/>
      <c r="U62953" s="8"/>
      <c r="V62953" s="8"/>
      <c r="W62953" s="8"/>
      <c r="X62953" s="8"/>
      <c r="Y62953" s="8"/>
      <c r="Z62953" s="8"/>
      <c r="AA62953" s="8"/>
    </row>
    <row r="62954" spans="1:27" x14ac:dyDescent="0.25">
      <c r="A62954" s="8"/>
      <c r="B62954" s="8"/>
      <c r="C62954" s="99"/>
      <c r="D62954" s="8"/>
      <c r="E62954" s="8"/>
      <c r="F62954" s="8"/>
      <c r="G62954" s="8"/>
      <c r="H62954" s="8"/>
      <c r="I62954" s="102"/>
      <c r="J62954" s="8"/>
      <c r="K62954" s="8"/>
      <c r="L62954" s="8"/>
      <c r="M62954" s="8"/>
      <c r="N62954" s="8"/>
      <c r="O62954" s="8"/>
      <c r="P62954" s="8"/>
      <c r="Q62954" s="8"/>
      <c r="R62954" s="103"/>
      <c r="S62954" s="8"/>
      <c r="T62954" s="8"/>
      <c r="U62954" s="8"/>
      <c r="V62954" s="8"/>
      <c r="W62954" s="8"/>
      <c r="X62954" s="8"/>
      <c r="Y62954" s="8"/>
      <c r="Z62954" s="8"/>
      <c r="AA62954" s="8"/>
    </row>
    <row r="62955" spans="1:27" x14ac:dyDescent="0.25">
      <c r="A62955" s="8"/>
      <c r="B62955" s="8"/>
      <c r="C62955" s="99"/>
      <c r="D62955" s="8"/>
      <c r="E62955" s="8"/>
      <c r="F62955" s="8"/>
      <c r="G62955" s="8"/>
      <c r="H62955" s="8"/>
      <c r="I62955" s="102"/>
      <c r="J62955" s="8"/>
      <c r="K62955" s="8"/>
      <c r="L62955" s="8"/>
      <c r="M62955" s="8"/>
      <c r="N62955" s="8"/>
      <c r="O62955" s="8"/>
      <c r="P62955" s="8"/>
      <c r="Q62955" s="8"/>
      <c r="R62955" s="103"/>
      <c r="S62955" s="8"/>
      <c r="T62955" s="8"/>
      <c r="U62955" s="8"/>
      <c r="V62955" s="8"/>
      <c r="W62955" s="8"/>
      <c r="X62955" s="8"/>
      <c r="Y62955" s="8"/>
      <c r="Z62955" s="8"/>
      <c r="AA62955" s="8"/>
    </row>
    <row r="62956" spans="1:27" x14ac:dyDescent="0.25">
      <c r="A62956" s="8"/>
      <c r="B62956" s="8"/>
      <c r="C62956" s="99"/>
      <c r="D62956" s="8"/>
      <c r="E62956" s="8"/>
      <c r="F62956" s="8"/>
      <c r="G62956" s="8"/>
      <c r="H62956" s="8"/>
      <c r="I62956" s="102"/>
      <c r="J62956" s="8"/>
      <c r="K62956" s="8"/>
      <c r="L62956" s="8"/>
      <c r="M62956" s="8"/>
      <c r="N62956" s="8"/>
      <c r="O62956" s="8"/>
      <c r="P62956" s="8"/>
      <c r="Q62956" s="8"/>
      <c r="R62956" s="103"/>
      <c r="S62956" s="8"/>
      <c r="T62956" s="8"/>
      <c r="U62956" s="8"/>
      <c r="V62956" s="8"/>
      <c r="W62956" s="8"/>
      <c r="X62956" s="8"/>
      <c r="Y62956" s="8"/>
      <c r="Z62956" s="8"/>
      <c r="AA62956" s="8"/>
    </row>
    <row r="62957" spans="1:27" x14ac:dyDescent="0.25">
      <c r="A62957" s="8"/>
      <c r="B62957" s="8"/>
      <c r="C62957" s="99"/>
      <c r="D62957" s="8"/>
      <c r="E62957" s="8"/>
      <c r="F62957" s="8"/>
      <c r="G62957" s="8"/>
      <c r="H62957" s="8"/>
      <c r="I62957" s="102"/>
      <c r="J62957" s="8"/>
      <c r="K62957" s="8"/>
      <c r="L62957" s="8"/>
      <c r="M62957" s="8"/>
      <c r="N62957" s="8"/>
      <c r="O62957" s="8"/>
      <c r="P62957" s="8"/>
      <c r="Q62957" s="8"/>
      <c r="R62957" s="103"/>
      <c r="S62957" s="8"/>
      <c r="T62957" s="8"/>
      <c r="U62957" s="8"/>
      <c r="V62957" s="8"/>
      <c r="W62957" s="8"/>
      <c r="X62957" s="8"/>
      <c r="Y62957" s="8"/>
      <c r="Z62957" s="8"/>
      <c r="AA62957" s="8"/>
    </row>
    <row r="62958" spans="1:27" x14ac:dyDescent="0.25">
      <c r="A62958" s="8"/>
      <c r="B62958" s="8"/>
      <c r="C62958" s="99"/>
      <c r="D62958" s="8"/>
      <c r="E62958" s="8"/>
      <c r="F62958" s="8"/>
      <c r="G62958" s="8"/>
      <c r="H62958" s="8"/>
      <c r="I62958" s="102"/>
      <c r="J62958" s="8"/>
      <c r="K62958" s="8"/>
      <c r="L62958" s="8"/>
      <c r="M62958" s="8"/>
      <c r="N62958" s="8"/>
      <c r="O62958" s="8"/>
      <c r="P62958" s="8"/>
      <c r="Q62958" s="8"/>
      <c r="R62958" s="103"/>
      <c r="S62958" s="8"/>
      <c r="T62958" s="8"/>
      <c r="U62958" s="8"/>
      <c r="V62958" s="8"/>
      <c r="W62958" s="8"/>
      <c r="X62958" s="8"/>
      <c r="Y62958" s="8"/>
      <c r="Z62958" s="8"/>
      <c r="AA62958" s="8"/>
    </row>
    <row r="62959" spans="1:27" x14ac:dyDescent="0.25">
      <c r="A62959" s="8"/>
      <c r="B62959" s="8"/>
      <c r="C62959" s="99"/>
      <c r="D62959" s="8"/>
      <c r="E62959" s="8"/>
      <c r="F62959" s="8"/>
      <c r="G62959" s="8"/>
      <c r="H62959" s="8"/>
      <c r="I62959" s="102"/>
      <c r="J62959" s="8"/>
      <c r="K62959" s="8"/>
      <c r="L62959" s="8"/>
      <c r="M62959" s="8"/>
      <c r="N62959" s="8"/>
      <c r="O62959" s="8"/>
      <c r="P62959" s="8"/>
      <c r="Q62959" s="8"/>
      <c r="R62959" s="103"/>
      <c r="S62959" s="8"/>
      <c r="T62959" s="8"/>
      <c r="U62959" s="8"/>
      <c r="V62959" s="8"/>
      <c r="W62959" s="8"/>
      <c r="X62959" s="8"/>
      <c r="Y62959" s="8"/>
      <c r="Z62959" s="8"/>
      <c r="AA62959" s="8"/>
    </row>
    <row r="62960" spans="1:27" x14ac:dyDescent="0.25">
      <c r="A62960" s="8"/>
      <c r="B62960" s="8"/>
      <c r="C62960" s="99"/>
      <c r="D62960" s="8"/>
      <c r="E62960" s="8"/>
      <c r="F62960" s="8"/>
      <c r="G62960" s="8"/>
      <c r="H62960" s="8"/>
      <c r="I62960" s="102"/>
      <c r="J62960" s="8"/>
      <c r="K62960" s="8"/>
      <c r="L62960" s="8"/>
      <c r="M62960" s="8"/>
      <c r="N62960" s="8"/>
      <c r="O62960" s="8"/>
      <c r="P62960" s="8"/>
      <c r="Q62960" s="8"/>
      <c r="R62960" s="103"/>
      <c r="S62960" s="8"/>
      <c r="T62960" s="8"/>
      <c r="U62960" s="8"/>
      <c r="V62960" s="8"/>
      <c r="W62960" s="8"/>
      <c r="X62960" s="8"/>
      <c r="Y62960" s="8"/>
      <c r="Z62960" s="8"/>
      <c r="AA62960" s="8"/>
    </row>
    <row r="62961" spans="1:27" x14ac:dyDescent="0.25">
      <c r="A62961" s="8"/>
      <c r="B62961" s="8"/>
      <c r="C62961" s="99"/>
      <c r="D62961" s="8"/>
      <c r="E62961" s="8"/>
      <c r="F62961" s="8"/>
      <c r="G62961" s="8"/>
      <c r="H62961" s="8"/>
      <c r="I62961" s="102"/>
      <c r="J62961" s="8"/>
      <c r="K62961" s="8"/>
      <c r="L62961" s="8"/>
      <c r="M62961" s="8"/>
      <c r="N62961" s="8"/>
      <c r="O62961" s="8"/>
      <c r="P62961" s="8"/>
      <c r="Q62961" s="8"/>
      <c r="R62961" s="103"/>
      <c r="S62961" s="8"/>
      <c r="T62961" s="8"/>
      <c r="U62961" s="8"/>
      <c r="V62961" s="8"/>
      <c r="W62961" s="8"/>
      <c r="X62961" s="8"/>
      <c r="Y62961" s="8"/>
      <c r="Z62961" s="8"/>
      <c r="AA62961" s="8"/>
    </row>
    <row r="62962" spans="1:27" x14ac:dyDescent="0.25">
      <c r="A62962" s="8"/>
      <c r="B62962" s="8"/>
      <c r="C62962" s="99"/>
      <c r="D62962" s="8"/>
      <c r="E62962" s="8"/>
      <c r="F62962" s="8"/>
      <c r="G62962" s="8"/>
      <c r="H62962" s="8"/>
      <c r="I62962" s="102"/>
      <c r="J62962" s="8"/>
      <c r="K62962" s="8"/>
      <c r="L62962" s="8"/>
      <c r="M62962" s="8"/>
      <c r="N62962" s="8"/>
      <c r="O62962" s="8"/>
      <c r="P62962" s="8"/>
      <c r="Q62962" s="8"/>
      <c r="R62962" s="103"/>
      <c r="S62962" s="8"/>
      <c r="T62962" s="8"/>
      <c r="U62962" s="8"/>
      <c r="V62962" s="8"/>
      <c r="W62962" s="8"/>
      <c r="X62962" s="8"/>
      <c r="Y62962" s="8"/>
      <c r="Z62962" s="8"/>
      <c r="AA62962" s="8"/>
    </row>
    <row r="62963" spans="1:27" x14ac:dyDescent="0.25">
      <c r="A62963" s="8"/>
      <c r="B62963" s="8"/>
      <c r="C62963" s="99"/>
      <c r="D62963" s="8"/>
      <c r="E62963" s="8"/>
      <c r="F62963" s="8"/>
      <c r="G62963" s="8"/>
      <c r="H62963" s="8"/>
      <c r="I62963" s="102"/>
      <c r="J62963" s="8"/>
      <c r="K62963" s="8"/>
      <c r="L62963" s="8"/>
      <c r="M62963" s="8"/>
      <c r="N62963" s="8"/>
      <c r="O62963" s="8"/>
      <c r="P62963" s="8"/>
      <c r="Q62963" s="8"/>
      <c r="R62963" s="103"/>
      <c r="S62963" s="8"/>
      <c r="T62963" s="8"/>
      <c r="U62963" s="8"/>
      <c r="V62963" s="8"/>
      <c r="W62963" s="8"/>
      <c r="X62963" s="8"/>
      <c r="Y62963" s="8"/>
      <c r="Z62963" s="8"/>
      <c r="AA62963" s="8"/>
    </row>
    <row r="62964" spans="1:27" x14ac:dyDescent="0.25">
      <c r="A62964" s="8"/>
      <c r="B62964" s="8"/>
      <c r="C62964" s="99"/>
      <c r="D62964" s="8"/>
      <c r="E62964" s="8"/>
      <c r="F62964" s="8"/>
      <c r="G62964" s="8"/>
      <c r="H62964" s="8"/>
      <c r="I62964" s="102"/>
      <c r="J62964" s="8"/>
      <c r="K62964" s="8"/>
      <c r="L62964" s="8"/>
      <c r="M62964" s="8"/>
      <c r="N62964" s="8"/>
      <c r="O62964" s="8"/>
      <c r="P62964" s="8"/>
      <c r="Q62964" s="8"/>
      <c r="R62964" s="103"/>
      <c r="S62964" s="8"/>
      <c r="T62964" s="8"/>
      <c r="U62964" s="8"/>
      <c r="V62964" s="8"/>
      <c r="W62964" s="8"/>
      <c r="X62964" s="8"/>
      <c r="Y62964" s="8"/>
      <c r="Z62964" s="8"/>
      <c r="AA62964" s="8"/>
    </row>
    <row r="62965" spans="1:27" x14ac:dyDescent="0.25">
      <c r="A62965" s="8"/>
      <c r="B62965" s="8"/>
      <c r="C62965" s="99"/>
      <c r="D62965" s="8"/>
      <c r="E62965" s="8"/>
      <c r="F62965" s="8"/>
      <c r="G62965" s="8"/>
      <c r="H62965" s="8"/>
      <c r="I62965" s="102"/>
      <c r="J62965" s="8"/>
      <c r="K62965" s="8"/>
      <c r="L62965" s="8"/>
      <c r="M62965" s="8"/>
      <c r="N62965" s="8"/>
      <c r="O62965" s="8"/>
      <c r="P62965" s="8"/>
      <c r="Q62965" s="8"/>
      <c r="R62965" s="103"/>
      <c r="S62965" s="8"/>
      <c r="T62965" s="8"/>
      <c r="U62965" s="8"/>
      <c r="V62965" s="8"/>
      <c r="W62965" s="8"/>
      <c r="X62965" s="8"/>
      <c r="Y62965" s="8"/>
      <c r="Z62965" s="8"/>
      <c r="AA62965" s="8"/>
    </row>
    <row r="62966" spans="1:27" x14ac:dyDescent="0.25">
      <c r="A62966" s="8"/>
      <c r="B62966" s="8"/>
      <c r="C62966" s="99"/>
      <c r="D62966" s="8"/>
      <c r="E62966" s="8"/>
      <c r="F62966" s="8"/>
      <c r="G62966" s="8"/>
      <c r="H62966" s="8"/>
      <c r="I62966" s="102"/>
      <c r="J62966" s="8"/>
      <c r="K62966" s="8"/>
      <c r="L62966" s="8"/>
      <c r="M62966" s="8"/>
      <c r="N62966" s="8"/>
      <c r="O62966" s="8"/>
      <c r="P62966" s="8"/>
      <c r="Q62966" s="8"/>
      <c r="R62966" s="103"/>
      <c r="S62966" s="8"/>
      <c r="T62966" s="8"/>
      <c r="U62966" s="8"/>
      <c r="V62966" s="8"/>
      <c r="W62966" s="8"/>
      <c r="X62966" s="8"/>
      <c r="Y62966" s="8"/>
      <c r="Z62966" s="8"/>
      <c r="AA62966" s="8"/>
    </row>
    <row r="62967" spans="1:27" x14ac:dyDescent="0.25">
      <c r="A62967" s="8"/>
      <c r="B62967" s="8"/>
      <c r="C62967" s="99"/>
      <c r="D62967" s="8"/>
      <c r="E62967" s="8"/>
      <c r="F62967" s="8"/>
      <c r="G62967" s="8"/>
      <c r="H62967" s="8"/>
      <c r="I62967" s="102"/>
      <c r="J62967" s="8"/>
      <c r="K62967" s="8"/>
      <c r="L62967" s="8"/>
      <c r="M62967" s="8"/>
      <c r="N62967" s="8"/>
      <c r="O62967" s="8"/>
      <c r="P62967" s="8"/>
      <c r="Q62967" s="8"/>
      <c r="R62967" s="103"/>
      <c r="S62967" s="8"/>
      <c r="T62967" s="8"/>
      <c r="U62967" s="8"/>
      <c r="V62967" s="8"/>
      <c r="W62967" s="8"/>
      <c r="X62967" s="8"/>
      <c r="Y62967" s="8"/>
      <c r="Z62967" s="8"/>
      <c r="AA62967" s="8"/>
    </row>
    <row r="62968" spans="1:27" x14ac:dyDescent="0.25">
      <c r="A62968" s="8"/>
      <c r="B62968" s="8"/>
      <c r="C62968" s="99"/>
      <c r="D62968" s="8"/>
      <c r="E62968" s="8"/>
      <c r="F62968" s="8"/>
      <c r="G62968" s="8"/>
      <c r="H62968" s="8"/>
      <c r="I62968" s="102"/>
      <c r="J62968" s="8"/>
      <c r="K62968" s="8"/>
      <c r="L62968" s="8"/>
      <c r="M62968" s="8"/>
      <c r="N62968" s="8"/>
      <c r="O62968" s="8"/>
      <c r="P62968" s="8"/>
      <c r="Q62968" s="8"/>
      <c r="R62968" s="103"/>
      <c r="S62968" s="8"/>
      <c r="T62968" s="8"/>
      <c r="U62968" s="8"/>
      <c r="V62968" s="8"/>
      <c r="W62968" s="8"/>
      <c r="X62968" s="8"/>
      <c r="Y62968" s="8"/>
      <c r="Z62968" s="8"/>
      <c r="AA62968" s="8"/>
    </row>
    <row r="62969" spans="1:27" x14ac:dyDescent="0.25">
      <c r="A62969" s="8"/>
      <c r="B62969" s="8"/>
      <c r="C62969" s="99"/>
      <c r="D62969" s="8"/>
      <c r="E62969" s="8"/>
      <c r="F62969" s="8"/>
      <c r="G62969" s="8"/>
      <c r="H62969" s="8"/>
      <c r="I62969" s="102"/>
      <c r="J62969" s="8"/>
      <c r="K62969" s="8"/>
      <c r="L62969" s="8"/>
      <c r="M62969" s="8"/>
      <c r="N62969" s="8"/>
      <c r="O62969" s="8"/>
      <c r="P62969" s="8"/>
      <c r="Q62969" s="8"/>
      <c r="R62969" s="103"/>
      <c r="S62969" s="8"/>
      <c r="T62969" s="8"/>
      <c r="U62969" s="8"/>
      <c r="V62969" s="8"/>
      <c r="W62969" s="8"/>
      <c r="X62969" s="8"/>
      <c r="Y62969" s="8"/>
      <c r="Z62969" s="8"/>
      <c r="AA62969" s="8"/>
    </row>
    <row r="62970" spans="1:27" x14ac:dyDescent="0.25">
      <c r="A62970" s="8"/>
      <c r="B62970" s="8"/>
      <c r="C62970" s="99"/>
      <c r="D62970" s="8"/>
      <c r="E62970" s="8"/>
      <c r="F62970" s="8"/>
      <c r="G62970" s="8"/>
      <c r="H62970" s="8"/>
      <c r="I62970" s="102"/>
      <c r="J62970" s="8"/>
      <c r="K62970" s="8"/>
      <c r="L62970" s="8"/>
      <c r="M62970" s="8"/>
      <c r="N62970" s="8"/>
      <c r="O62970" s="8"/>
      <c r="P62970" s="8"/>
      <c r="Q62970" s="8"/>
      <c r="R62970" s="103"/>
      <c r="S62970" s="8"/>
      <c r="T62970" s="8"/>
      <c r="U62970" s="8"/>
      <c r="V62970" s="8"/>
      <c r="W62970" s="8"/>
      <c r="X62970" s="8"/>
      <c r="Y62970" s="8"/>
      <c r="Z62970" s="8"/>
      <c r="AA62970" s="8"/>
    </row>
    <row r="62971" spans="1:27" x14ac:dyDescent="0.25">
      <c r="A62971" s="8"/>
      <c r="B62971" s="8"/>
      <c r="C62971" s="99"/>
      <c r="D62971" s="8"/>
      <c r="E62971" s="8"/>
      <c r="F62971" s="8"/>
      <c r="G62971" s="8"/>
      <c r="H62971" s="8"/>
      <c r="I62971" s="102"/>
      <c r="J62971" s="8"/>
      <c r="K62971" s="8"/>
      <c r="L62971" s="8"/>
      <c r="M62971" s="8"/>
      <c r="N62971" s="8"/>
      <c r="O62971" s="8"/>
      <c r="P62971" s="8"/>
      <c r="Q62971" s="8"/>
      <c r="R62971" s="103"/>
      <c r="S62971" s="8"/>
      <c r="T62971" s="8"/>
      <c r="U62971" s="8"/>
      <c r="V62971" s="8"/>
      <c r="W62971" s="8"/>
      <c r="X62971" s="8"/>
      <c r="Y62971" s="8"/>
      <c r="Z62971" s="8"/>
      <c r="AA62971" s="8"/>
    </row>
    <row r="62972" spans="1:27" x14ac:dyDescent="0.25">
      <c r="A62972" s="8"/>
      <c r="B62972" s="8"/>
      <c r="C62972" s="99"/>
      <c r="D62972" s="8"/>
      <c r="E62972" s="8"/>
      <c r="F62972" s="8"/>
      <c r="G62972" s="8"/>
      <c r="H62972" s="8"/>
      <c r="I62972" s="102"/>
      <c r="J62972" s="8"/>
      <c r="K62972" s="8"/>
      <c r="L62972" s="8"/>
      <c r="M62972" s="8"/>
      <c r="N62972" s="8"/>
      <c r="O62972" s="8"/>
      <c r="P62972" s="8"/>
      <c r="Q62972" s="8"/>
      <c r="R62972" s="103"/>
      <c r="S62972" s="8"/>
      <c r="T62972" s="8"/>
      <c r="U62972" s="8"/>
      <c r="V62972" s="8"/>
      <c r="W62972" s="8"/>
      <c r="X62972" s="8"/>
      <c r="Y62972" s="8"/>
      <c r="Z62972" s="8"/>
      <c r="AA62972" s="8"/>
    </row>
    <row r="62973" spans="1:27" x14ac:dyDescent="0.25">
      <c r="A62973" s="8"/>
      <c r="B62973" s="8"/>
      <c r="C62973" s="99"/>
      <c r="D62973" s="8"/>
      <c r="E62973" s="8"/>
      <c r="F62973" s="8"/>
      <c r="G62973" s="8"/>
      <c r="H62973" s="8"/>
      <c r="I62973" s="102"/>
      <c r="J62973" s="8"/>
      <c r="K62973" s="8"/>
      <c r="L62973" s="8"/>
      <c r="M62973" s="8"/>
      <c r="N62973" s="8"/>
      <c r="O62973" s="8"/>
      <c r="P62973" s="8"/>
      <c r="Q62973" s="8"/>
      <c r="R62973" s="103"/>
      <c r="S62973" s="8"/>
      <c r="T62973" s="8"/>
      <c r="U62973" s="8"/>
      <c r="V62973" s="8"/>
      <c r="W62973" s="8"/>
      <c r="X62973" s="8"/>
      <c r="Y62973" s="8"/>
      <c r="Z62973" s="8"/>
      <c r="AA62973" s="8"/>
    </row>
    <row r="62974" spans="1:27" x14ac:dyDescent="0.25">
      <c r="A62974" s="8"/>
      <c r="B62974" s="8"/>
      <c r="C62974" s="99"/>
      <c r="D62974" s="8"/>
      <c r="E62974" s="8"/>
      <c r="F62974" s="8"/>
      <c r="G62974" s="8"/>
      <c r="H62974" s="8"/>
      <c r="I62974" s="102"/>
      <c r="J62974" s="8"/>
      <c r="K62974" s="8"/>
      <c r="L62974" s="8"/>
      <c r="M62974" s="8"/>
      <c r="N62974" s="8"/>
      <c r="O62974" s="8"/>
      <c r="P62974" s="8"/>
      <c r="Q62974" s="8"/>
      <c r="R62974" s="103"/>
      <c r="S62974" s="8"/>
      <c r="T62974" s="8"/>
      <c r="U62974" s="8"/>
      <c r="V62974" s="8"/>
      <c r="W62974" s="8"/>
      <c r="X62974" s="8"/>
      <c r="Y62974" s="8"/>
      <c r="Z62974" s="8"/>
      <c r="AA62974" s="8"/>
    </row>
    <row r="62975" spans="1:27" x14ac:dyDescent="0.25">
      <c r="A62975" s="8"/>
      <c r="B62975" s="8"/>
      <c r="C62975" s="99"/>
      <c r="D62975" s="8"/>
      <c r="E62975" s="8"/>
      <c r="F62975" s="8"/>
      <c r="G62975" s="8"/>
      <c r="H62975" s="8"/>
      <c r="I62975" s="102"/>
      <c r="J62975" s="8"/>
      <c r="K62975" s="8"/>
      <c r="L62975" s="8"/>
      <c r="M62975" s="8"/>
      <c r="N62975" s="8"/>
      <c r="O62975" s="8"/>
      <c r="P62975" s="8"/>
      <c r="Q62975" s="8"/>
      <c r="R62975" s="103"/>
      <c r="S62975" s="8"/>
      <c r="T62975" s="8"/>
      <c r="U62975" s="8"/>
      <c r="V62975" s="8"/>
      <c r="W62975" s="8"/>
      <c r="X62975" s="8"/>
      <c r="Y62975" s="8"/>
      <c r="Z62975" s="8"/>
      <c r="AA62975" s="8"/>
    </row>
    <row r="62976" spans="1:27" x14ac:dyDescent="0.25">
      <c r="A62976" s="8"/>
      <c r="B62976" s="8"/>
      <c r="C62976" s="99"/>
      <c r="D62976" s="8"/>
      <c r="E62976" s="8"/>
      <c r="F62976" s="8"/>
      <c r="G62976" s="8"/>
      <c r="H62976" s="8"/>
      <c r="I62976" s="102"/>
      <c r="J62976" s="8"/>
      <c r="K62976" s="8"/>
      <c r="L62976" s="8"/>
      <c r="M62976" s="8"/>
      <c r="N62976" s="8"/>
      <c r="O62976" s="8"/>
      <c r="P62976" s="8"/>
      <c r="Q62976" s="8"/>
      <c r="R62976" s="103"/>
      <c r="S62976" s="8"/>
      <c r="T62976" s="8"/>
      <c r="U62976" s="8"/>
      <c r="V62976" s="8"/>
      <c r="W62976" s="8"/>
      <c r="X62976" s="8"/>
      <c r="Y62976" s="8"/>
      <c r="Z62976" s="8"/>
      <c r="AA62976" s="8"/>
    </row>
    <row r="62977" spans="1:27" x14ac:dyDescent="0.25">
      <c r="A62977" s="8"/>
      <c r="B62977" s="8"/>
      <c r="C62977" s="99"/>
      <c r="D62977" s="8"/>
      <c r="E62977" s="8"/>
      <c r="F62977" s="8"/>
      <c r="G62977" s="8"/>
      <c r="H62977" s="8"/>
      <c r="I62977" s="102"/>
      <c r="J62977" s="8"/>
      <c r="K62977" s="8"/>
      <c r="L62977" s="8"/>
      <c r="M62977" s="8"/>
      <c r="N62977" s="8"/>
      <c r="O62977" s="8"/>
      <c r="P62977" s="8"/>
      <c r="Q62977" s="8"/>
      <c r="R62977" s="103"/>
      <c r="S62977" s="8"/>
      <c r="T62977" s="8"/>
      <c r="U62977" s="8"/>
      <c r="V62977" s="8"/>
      <c r="W62977" s="8"/>
      <c r="X62977" s="8"/>
      <c r="Y62977" s="8"/>
      <c r="Z62977" s="8"/>
      <c r="AA62977" s="8"/>
    </row>
    <row r="62978" spans="1:27" x14ac:dyDescent="0.25">
      <c r="A62978" s="8"/>
      <c r="B62978" s="8"/>
      <c r="C62978" s="99"/>
      <c r="D62978" s="8"/>
      <c r="E62978" s="8"/>
      <c r="F62978" s="8"/>
      <c r="G62978" s="8"/>
      <c r="H62978" s="8"/>
      <c r="I62978" s="102"/>
      <c r="J62978" s="8"/>
      <c r="K62978" s="8"/>
      <c r="L62978" s="8"/>
      <c r="M62978" s="8"/>
      <c r="N62978" s="8"/>
      <c r="O62978" s="8"/>
      <c r="P62978" s="8"/>
      <c r="Q62978" s="8"/>
      <c r="R62978" s="103"/>
      <c r="S62978" s="8"/>
      <c r="T62978" s="8"/>
      <c r="U62978" s="8"/>
      <c r="V62978" s="8"/>
      <c r="W62978" s="8"/>
      <c r="X62978" s="8"/>
      <c r="Y62978" s="8"/>
      <c r="Z62978" s="8"/>
      <c r="AA62978" s="8"/>
    </row>
    <row r="62979" spans="1:27" x14ac:dyDescent="0.25">
      <c r="A62979" s="8"/>
      <c r="B62979" s="8"/>
      <c r="C62979" s="99"/>
      <c r="D62979" s="8"/>
      <c r="E62979" s="8"/>
      <c r="F62979" s="8"/>
      <c r="G62979" s="8"/>
      <c r="H62979" s="8"/>
      <c r="I62979" s="102"/>
      <c r="J62979" s="8"/>
      <c r="K62979" s="8"/>
      <c r="L62979" s="8"/>
      <c r="M62979" s="8"/>
      <c r="N62979" s="8"/>
      <c r="O62979" s="8"/>
      <c r="P62979" s="8"/>
      <c r="Q62979" s="8"/>
      <c r="R62979" s="103"/>
      <c r="S62979" s="8"/>
      <c r="T62979" s="8"/>
      <c r="U62979" s="8"/>
      <c r="V62979" s="8"/>
      <c r="W62979" s="8"/>
      <c r="X62979" s="8"/>
      <c r="Y62979" s="8"/>
      <c r="Z62979" s="8"/>
      <c r="AA62979" s="8"/>
    </row>
    <row r="62980" spans="1:27" x14ac:dyDescent="0.25">
      <c r="A62980" s="8"/>
      <c r="B62980" s="8"/>
      <c r="C62980" s="99"/>
      <c r="D62980" s="8"/>
      <c r="E62980" s="8"/>
      <c r="F62980" s="8"/>
      <c r="G62980" s="8"/>
      <c r="H62980" s="8"/>
      <c r="I62980" s="102"/>
      <c r="J62980" s="8"/>
      <c r="K62980" s="8"/>
      <c r="L62980" s="8"/>
      <c r="M62980" s="8"/>
      <c r="N62980" s="8"/>
      <c r="O62980" s="8"/>
      <c r="P62980" s="8"/>
      <c r="Q62980" s="8"/>
      <c r="R62980" s="103"/>
      <c r="S62980" s="8"/>
      <c r="T62980" s="8"/>
      <c r="U62980" s="8"/>
      <c r="V62980" s="8"/>
      <c r="W62980" s="8"/>
      <c r="X62980" s="8"/>
      <c r="Y62980" s="8"/>
      <c r="Z62980" s="8"/>
      <c r="AA62980" s="8"/>
    </row>
    <row r="62981" spans="1:27" x14ac:dyDescent="0.25">
      <c r="A62981" s="8"/>
      <c r="B62981" s="8"/>
      <c r="C62981" s="99"/>
      <c r="D62981" s="8"/>
      <c r="E62981" s="8"/>
      <c r="F62981" s="8"/>
      <c r="G62981" s="8"/>
      <c r="H62981" s="8"/>
      <c r="I62981" s="102"/>
      <c r="J62981" s="8"/>
      <c r="K62981" s="8"/>
      <c r="L62981" s="8"/>
      <c r="M62981" s="8"/>
      <c r="N62981" s="8"/>
      <c r="O62981" s="8"/>
      <c r="P62981" s="8"/>
      <c r="Q62981" s="8"/>
      <c r="R62981" s="103"/>
      <c r="S62981" s="8"/>
      <c r="T62981" s="8"/>
      <c r="U62981" s="8"/>
      <c r="V62981" s="8"/>
      <c r="W62981" s="8"/>
      <c r="X62981" s="8"/>
      <c r="Y62981" s="8"/>
      <c r="Z62981" s="8"/>
      <c r="AA62981" s="8"/>
    </row>
    <row r="62982" spans="1:27" x14ac:dyDescent="0.25">
      <c r="A62982" s="8"/>
      <c r="B62982" s="8"/>
      <c r="C62982" s="99"/>
      <c r="D62982" s="8"/>
      <c r="E62982" s="8"/>
      <c r="F62982" s="8"/>
      <c r="G62982" s="8"/>
      <c r="H62982" s="8"/>
      <c r="I62982" s="102"/>
      <c r="J62982" s="8"/>
      <c r="K62982" s="8"/>
      <c r="L62982" s="8"/>
      <c r="M62982" s="8"/>
      <c r="N62982" s="8"/>
      <c r="O62982" s="8"/>
      <c r="P62982" s="8"/>
      <c r="Q62982" s="8"/>
      <c r="R62982" s="103"/>
      <c r="S62982" s="8"/>
      <c r="T62982" s="8"/>
      <c r="U62982" s="8"/>
      <c r="V62982" s="8"/>
      <c r="W62982" s="8"/>
      <c r="X62982" s="8"/>
      <c r="Y62982" s="8"/>
      <c r="Z62982" s="8"/>
      <c r="AA62982" s="8"/>
    </row>
    <row r="62983" spans="1:27" x14ac:dyDescent="0.25">
      <c r="A62983" s="8"/>
      <c r="B62983" s="8"/>
      <c r="C62983" s="99"/>
      <c r="D62983" s="8"/>
      <c r="E62983" s="8"/>
      <c r="F62983" s="8"/>
      <c r="G62983" s="8"/>
      <c r="H62983" s="8"/>
      <c r="I62983" s="102"/>
      <c r="J62983" s="8"/>
      <c r="K62983" s="8"/>
      <c r="L62983" s="8"/>
      <c r="M62983" s="8"/>
      <c r="N62983" s="8"/>
      <c r="O62983" s="8"/>
      <c r="P62983" s="8"/>
      <c r="Q62983" s="8"/>
      <c r="R62983" s="103"/>
      <c r="S62983" s="8"/>
      <c r="T62983" s="8"/>
      <c r="U62983" s="8"/>
      <c r="V62983" s="8"/>
      <c r="W62983" s="8"/>
      <c r="X62983" s="8"/>
      <c r="Y62983" s="8"/>
      <c r="Z62983" s="8"/>
      <c r="AA62983" s="8"/>
    </row>
    <row r="62984" spans="1:27" x14ac:dyDescent="0.25">
      <c r="A62984" s="8"/>
      <c r="B62984" s="8"/>
      <c r="C62984" s="99"/>
      <c r="D62984" s="8"/>
      <c r="E62984" s="8"/>
      <c r="F62984" s="8"/>
      <c r="G62984" s="8"/>
      <c r="H62984" s="8"/>
      <c r="I62984" s="102"/>
      <c r="J62984" s="8"/>
      <c r="K62984" s="8"/>
      <c r="L62984" s="8"/>
      <c r="M62984" s="8"/>
      <c r="N62984" s="8"/>
      <c r="O62984" s="8"/>
      <c r="P62984" s="8"/>
      <c r="Q62984" s="8"/>
      <c r="R62984" s="103"/>
      <c r="S62984" s="8"/>
      <c r="T62984" s="8"/>
      <c r="U62984" s="8"/>
      <c r="V62984" s="8"/>
      <c r="W62984" s="8"/>
      <c r="X62984" s="8"/>
      <c r="Y62984" s="8"/>
      <c r="Z62984" s="8"/>
      <c r="AA62984" s="8"/>
    </row>
    <row r="62985" spans="1:27" x14ac:dyDescent="0.25">
      <c r="A62985" s="8"/>
      <c r="B62985" s="8"/>
      <c r="C62985" s="99"/>
      <c r="D62985" s="8"/>
      <c r="E62985" s="8"/>
      <c r="F62985" s="8"/>
      <c r="G62985" s="8"/>
      <c r="H62985" s="8"/>
      <c r="I62985" s="102"/>
      <c r="J62985" s="8"/>
      <c r="K62985" s="8"/>
      <c r="L62985" s="8"/>
      <c r="M62985" s="8"/>
      <c r="N62985" s="8"/>
      <c r="O62985" s="8"/>
      <c r="P62985" s="8"/>
      <c r="Q62985" s="8"/>
      <c r="R62985" s="103"/>
      <c r="S62985" s="8"/>
      <c r="T62985" s="8"/>
      <c r="U62985" s="8"/>
      <c r="V62985" s="8"/>
      <c r="W62985" s="8"/>
      <c r="X62985" s="8"/>
      <c r="Y62985" s="8"/>
      <c r="Z62985" s="8"/>
      <c r="AA62985" s="8"/>
    </row>
    <row r="62986" spans="1:27" x14ac:dyDescent="0.25">
      <c r="A62986" s="8"/>
      <c r="B62986" s="8"/>
      <c r="C62986" s="99"/>
      <c r="D62986" s="8"/>
      <c r="E62986" s="8"/>
      <c r="F62986" s="8"/>
      <c r="G62986" s="8"/>
      <c r="H62986" s="8"/>
      <c r="I62986" s="102"/>
      <c r="J62986" s="8"/>
      <c r="K62986" s="8"/>
      <c r="L62986" s="8"/>
      <c r="M62986" s="8"/>
      <c r="N62986" s="8"/>
      <c r="O62986" s="8"/>
      <c r="P62986" s="8"/>
      <c r="Q62986" s="8"/>
      <c r="R62986" s="103"/>
      <c r="S62986" s="8"/>
      <c r="T62986" s="8"/>
      <c r="U62986" s="8"/>
      <c r="V62986" s="8"/>
      <c r="W62986" s="8"/>
      <c r="X62986" s="8"/>
      <c r="Y62986" s="8"/>
      <c r="Z62986" s="8"/>
      <c r="AA62986" s="8"/>
    </row>
    <row r="62987" spans="1:27" x14ac:dyDescent="0.25">
      <c r="A62987" s="8"/>
      <c r="B62987" s="8"/>
      <c r="C62987" s="99"/>
      <c r="D62987" s="8"/>
      <c r="E62987" s="8"/>
      <c r="F62987" s="8"/>
      <c r="G62987" s="8"/>
      <c r="H62987" s="8"/>
      <c r="I62987" s="102"/>
      <c r="J62987" s="8"/>
      <c r="K62987" s="8"/>
      <c r="L62987" s="8"/>
      <c r="M62987" s="8"/>
      <c r="N62987" s="8"/>
      <c r="O62987" s="8"/>
      <c r="P62987" s="8"/>
      <c r="Q62987" s="8"/>
      <c r="R62987" s="103"/>
      <c r="S62987" s="8"/>
      <c r="T62987" s="8"/>
      <c r="U62987" s="8"/>
      <c r="V62987" s="8"/>
      <c r="W62987" s="8"/>
      <c r="X62987" s="8"/>
      <c r="Y62987" s="8"/>
      <c r="Z62987" s="8"/>
      <c r="AA62987" s="8"/>
    </row>
    <row r="62988" spans="1:27" x14ac:dyDescent="0.25">
      <c r="A62988" s="8"/>
      <c r="B62988" s="8"/>
      <c r="C62988" s="99"/>
      <c r="D62988" s="8"/>
      <c r="E62988" s="8"/>
      <c r="F62988" s="8"/>
      <c r="G62988" s="8"/>
      <c r="H62988" s="8"/>
      <c r="I62988" s="102"/>
      <c r="J62988" s="8"/>
      <c r="K62988" s="8"/>
      <c r="L62988" s="8"/>
      <c r="M62988" s="8"/>
      <c r="N62988" s="8"/>
      <c r="O62988" s="8"/>
      <c r="P62988" s="8"/>
      <c r="Q62988" s="8"/>
      <c r="R62988" s="103"/>
      <c r="S62988" s="8"/>
      <c r="T62988" s="8"/>
      <c r="U62988" s="8"/>
      <c r="V62988" s="8"/>
      <c r="W62988" s="8"/>
      <c r="X62988" s="8"/>
      <c r="Y62988" s="8"/>
      <c r="Z62988" s="8"/>
      <c r="AA62988" s="8"/>
    </row>
    <row r="62989" spans="1:27" x14ac:dyDescent="0.25">
      <c r="A62989" s="8"/>
      <c r="B62989" s="8"/>
      <c r="C62989" s="99"/>
      <c r="D62989" s="8"/>
      <c r="E62989" s="8"/>
      <c r="F62989" s="8"/>
      <c r="G62989" s="8"/>
      <c r="H62989" s="8"/>
      <c r="I62989" s="102"/>
      <c r="J62989" s="8"/>
      <c r="K62989" s="8"/>
      <c r="L62989" s="8"/>
      <c r="M62989" s="8"/>
      <c r="N62989" s="8"/>
      <c r="O62989" s="8"/>
      <c r="P62989" s="8"/>
      <c r="Q62989" s="8"/>
      <c r="R62989" s="103"/>
      <c r="S62989" s="8"/>
      <c r="T62989" s="8"/>
      <c r="U62989" s="8"/>
      <c r="V62989" s="8"/>
      <c r="W62989" s="8"/>
      <c r="X62989" s="8"/>
      <c r="Y62989" s="8"/>
      <c r="Z62989" s="8"/>
      <c r="AA62989" s="8"/>
    </row>
    <row r="62990" spans="1:27" x14ac:dyDescent="0.25">
      <c r="A62990" s="8"/>
      <c r="B62990" s="8"/>
      <c r="C62990" s="99"/>
      <c r="D62990" s="8"/>
      <c r="E62990" s="8"/>
      <c r="F62990" s="8"/>
      <c r="G62990" s="8"/>
      <c r="H62990" s="8"/>
      <c r="I62990" s="102"/>
      <c r="J62990" s="8"/>
      <c r="K62990" s="8"/>
      <c r="L62990" s="8"/>
      <c r="M62990" s="8"/>
      <c r="N62990" s="8"/>
      <c r="O62990" s="8"/>
      <c r="P62990" s="8"/>
      <c r="Q62990" s="8"/>
      <c r="R62990" s="103"/>
      <c r="S62990" s="8"/>
      <c r="T62990" s="8"/>
      <c r="U62990" s="8"/>
      <c r="V62990" s="8"/>
      <c r="W62990" s="8"/>
      <c r="X62990" s="8"/>
      <c r="Y62990" s="8"/>
      <c r="Z62990" s="8"/>
      <c r="AA62990" s="8"/>
    </row>
    <row r="62991" spans="1:27" x14ac:dyDescent="0.25">
      <c r="A62991" s="8"/>
      <c r="B62991" s="8"/>
      <c r="C62991" s="99"/>
      <c r="D62991" s="8"/>
      <c r="E62991" s="8"/>
      <c r="F62991" s="8"/>
      <c r="G62991" s="8"/>
      <c r="H62991" s="8"/>
      <c r="I62991" s="102"/>
      <c r="J62991" s="8"/>
      <c r="K62991" s="8"/>
      <c r="L62991" s="8"/>
      <c r="M62991" s="8"/>
      <c r="N62991" s="8"/>
      <c r="O62991" s="8"/>
      <c r="P62991" s="8"/>
      <c r="Q62991" s="8"/>
      <c r="R62991" s="103"/>
      <c r="S62991" s="8"/>
      <c r="T62991" s="8"/>
      <c r="U62991" s="8"/>
      <c r="V62991" s="8"/>
      <c r="W62991" s="8"/>
      <c r="X62991" s="8"/>
      <c r="Y62991" s="8"/>
      <c r="Z62991" s="8"/>
      <c r="AA62991" s="8"/>
    </row>
    <row r="62992" spans="1:27" x14ac:dyDescent="0.25">
      <c r="A62992" s="8"/>
      <c r="B62992" s="8"/>
      <c r="C62992" s="99"/>
      <c r="D62992" s="8"/>
      <c r="E62992" s="8"/>
      <c r="F62992" s="8"/>
      <c r="G62992" s="8"/>
      <c r="H62992" s="8"/>
      <c r="I62992" s="102"/>
      <c r="J62992" s="8"/>
      <c r="K62992" s="8"/>
      <c r="L62992" s="8"/>
      <c r="M62992" s="8"/>
      <c r="N62992" s="8"/>
      <c r="O62992" s="8"/>
      <c r="P62992" s="8"/>
      <c r="Q62992" s="8"/>
      <c r="R62992" s="103"/>
      <c r="S62992" s="8"/>
      <c r="T62992" s="8"/>
      <c r="U62992" s="8"/>
      <c r="V62992" s="8"/>
      <c r="W62992" s="8"/>
      <c r="X62992" s="8"/>
      <c r="Y62992" s="8"/>
      <c r="Z62992" s="8"/>
      <c r="AA62992" s="8"/>
    </row>
    <row r="62993" spans="1:27" x14ac:dyDescent="0.25">
      <c r="A62993" s="8"/>
      <c r="B62993" s="8"/>
      <c r="C62993" s="99"/>
      <c r="D62993" s="8"/>
      <c r="E62993" s="8"/>
      <c r="F62993" s="8"/>
      <c r="G62993" s="8"/>
      <c r="H62993" s="8"/>
      <c r="I62993" s="102"/>
      <c r="J62993" s="8"/>
      <c r="K62993" s="8"/>
      <c r="L62993" s="8"/>
      <c r="M62993" s="8"/>
      <c r="N62993" s="8"/>
      <c r="O62993" s="8"/>
      <c r="P62993" s="8"/>
      <c r="Q62993" s="8"/>
      <c r="R62993" s="103"/>
      <c r="S62993" s="8"/>
      <c r="T62993" s="8"/>
      <c r="U62993" s="8"/>
      <c r="V62993" s="8"/>
      <c r="W62993" s="8"/>
      <c r="X62993" s="8"/>
      <c r="Y62993" s="8"/>
      <c r="Z62993" s="8"/>
      <c r="AA62993" s="8"/>
    </row>
    <row r="62994" spans="1:27" x14ac:dyDescent="0.25">
      <c r="A62994" s="8"/>
      <c r="B62994" s="8"/>
      <c r="C62994" s="99"/>
      <c r="D62994" s="8"/>
      <c r="E62994" s="8"/>
      <c r="F62994" s="8"/>
      <c r="G62994" s="8"/>
      <c r="H62994" s="8"/>
      <c r="I62994" s="102"/>
      <c r="J62994" s="8"/>
      <c r="K62994" s="8"/>
      <c r="L62994" s="8"/>
      <c r="M62994" s="8"/>
      <c r="N62994" s="8"/>
      <c r="O62994" s="8"/>
      <c r="P62994" s="8"/>
      <c r="Q62994" s="8"/>
      <c r="R62994" s="103"/>
      <c r="S62994" s="8"/>
      <c r="T62994" s="8"/>
      <c r="U62994" s="8"/>
      <c r="V62994" s="8"/>
      <c r="W62994" s="8"/>
      <c r="X62994" s="8"/>
      <c r="Y62994" s="8"/>
      <c r="Z62994" s="8"/>
      <c r="AA62994" s="8"/>
    </row>
    <row r="62995" spans="1:27" x14ac:dyDescent="0.25">
      <c r="A62995" s="8"/>
      <c r="B62995" s="8"/>
      <c r="C62995" s="99"/>
      <c r="D62995" s="8"/>
      <c r="E62995" s="8"/>
      <c r="F62995" s="8"/>
      <c r="G62995" s="8"/>
      <c r="H62995" s="8"/>
      <c r="I62995" s="102"/>
      <c r="J62995" s="8"/>
      <c r="K62995" s="8"/>
      <c r="L62995" s="8"/>
      <c r="M62995" s="8"/>
      <c r="N62995" s="8"/>
      <c r="O62995" s="8"/>
      <c r="P62995" s="8"/>
      <c r="Q62995" s="8"/>
      <c r="R62995" s="103"/>
      <c r="S62995" s="8"/>
      <c r="T62995" s="8"/>
      <c r="U62995" s="8"/>
      <c r="V62995" s="8"/>
      <c r="W62995" s="8"/>
      <c r="X62995" s="8"/>
      <c r="Y62995" s="8"/>
      <c r="Z62995" s="8"/>
      <c r="AA62995" s="8"/>
    </row>
    <row r="62996" spans="1:27" x14ac:dyDescent="0.25">
      <c r="A62996" s="8"/>
      <c r="B62996" s="8"/>
      <c r="C62996" s="99"/>
      <c r="D62996" s="8"/>
      <c r="E62996" s="8"/>
      <c r="F62996" s="8"/>
      <c r="G62996" s="8"/>
      <c r="H62996" s="8"/>
      <c r="I62996" s="102"/>
      <c r="J62996" s="8"/>
      <c r="K62996" s="8"/>
      <c r="L62996" s="8"/>
      <c r="M62996" s="8"/>
      <c r="N62996" s="8"/>
      <c r="O62996" s="8"/>
      <c r="P62996" s="8"/>
      <c r="Q62996" s="8"/>
      <c r="R62996" s="103"/>
      <c r="S62996" s="8"/>
      <c r="T62996" s="8"/>
      <c r="U62996" s="8"/>
      <c r="V62996" s="8"/>
      <c r="W62996" s="8"/>
      <c r="X62996" s="8"/>
      <c r="Y62996" s="8"/>
      <c r="Z62996" s="8"/>
      <c r="AA62996" s="8"/>
    </row>
    <row r="62997" spans="1:27" x14ac:dyDescent="0.25">
      <c r="A62997" s="8"/>
      <c r="B62997" s="8"/>
      <c r="C62997" s="99"/>
      <c r="D62997" s="8"/>
      <c r="E62997" s="8"/>
      <c r="F62997" s="8"/>
      <c r="G62997" s="8"/>
      <c r="H62997" s="8"/>
      <c r="I62997" s="102"/>
      <c r="J62997" s="8"/>
      <c r="K62997" s="8"/>
      <c r="L62997" s="8"/>
      <c r="M62997" s="8"/>
      <c r="N62997" s="8"/>
      <c r="O62997" s="8"/>
      <c r="P62997" s="8"/>
      <c r="Q62997" s="8"/>
      <c r="R62997" s="103"/>
      <c r="S62997" s="8"/>
      <c r="T62997" s="8"/>
      <c r="U62997" s="8"/>
      <c r="V62997" s="8"/>
      <c r="W62997" s="8"/>
      <c r="X62997" s="8"/>
      <c r="Y62997" s="8"/>
      <c r="Z62997" s="8"/>
      <c r="AA62997" s="8"/>
    </row>
    <row r="62998" spans="1:27" x14ac:dyDescent="0.25">
      <c r="A62998" s="8"/>
      <c r="B62998" s="8"/>
      <c r="C62998" s="99"/>
      <c r="D62998" s="8"/>
      <c r="E62998" s="8"/>
      <c r="F62998" s="8"/>
      <c r="G62998" s="8"/>
      <c r="H62998" s="8"/>
      <c r="I62998" s="102"/>
      <c r="J62998" s="8"/>
      <c r="K62998" s="8"/>
      <c r="L62998" s="8"/>
      <c r="M62998" s="8"/>
      <c r="N62998" s="8"/>
      <c r="O62998" s="8"/>
      <c r="P62998" s="8"/>
      <c r="Q62998" s="8"/>
      <c r="R62998" s="103"/>
      <c r="S62998" s="8"/>
      <c r="T62998" s="8"/>
      <c r="U62998" s="8"/>
      <c r="V62998" s="8"/>
      <c r="W62998" s="8"/>
      <c r="X62998" s="8"/>
      <c r="Y62998" s="8"/>
      <c r="Z62998" s="8"/>
      <c r="AA62998" s="8"/>
    </row>
    <row r="62999" spans="1:27" x14ac:dyDescent="0.25">
      <c r="A62999" s="8"/>
      <c r="B62999" s="8"/>
      <c r="C62999" s="99"/>
      <c r="D62999" s="8"/>
      <c r="E62999" s="8"/>
      <c r="F62999" s="8"/>
      <c r="G62999" s="8"/>
      <c r="H62999" s="8"/>
      <c r="I62999" s="102"/>
      <c r="J62999" s="8"/>
      <c r="K62999" s="8"/>
      <c r="L62999" s="8"/>
      <c r="M62999" s="8"/>
      <c r="N62999" s="8"/>
      <c r="O62999" s="8"/>
      <c r="P62999" s="8"/>
      <c r="Q62999" s="8"/>
      <c r="R62999" s="103"/>
      <c r="S62999" s="8"/>
      <c r="T62999" s="8"/>
      <c r="U62999" s="8"/>
      <c r="V62999" s="8"/>
      <c r="W62999" s="8"/>
      <c r="X62999" s="8"/>
      <c r="Y62999" s="8"/>
      <c r="Z62999" s="8"/>
      <c r="AA62999" s="8"/>
    </row>
    <row r="63000" spans="1:27" x14ac:dyDescent="0.25">
      <c r="A63000" s="8"/>
      <c r="B63000" s="8"/>
      <c r="C63000" s="99"/>
      <c r="D63000" s="8"/>
      <c r="E63000" s="8"/>
      <c r="F63000" s="8"/>
      <c r="G63000" s="8"/>
      <c r="H63000" s="8"/>
      <c r="I63000" s="102"/>
      <c r="J63000" s="8"/>
      <c r="K63000" s="8"/>
      <c r="L63000" s="8"/>
      <c r="M63000" s="8"/>
      <c r="N63000" s="8"/>
      <c r="O63000" s="8"/>
      <c r="P63000" s="8"/>
      <c r="Q63000" s="8"/>
      <c r="R63000" s="103"/>
      <c r="S63000" s="8"/>
      <c r="T63000" s="8"/>
      <c r="U63000" s="8"/>
      <c r="V63000" s="8"/>
      <c r="W63000" s="8"/>
      <c r="X63000" s="8"/>
      <c r="Y63000" s="8"/>
      <c r="Z63000" s="8"/>
      <c r="AA63000" s="8"/>
    </row>
    <row r="63001" spans="1:27" x14ac:dyDescent="0.25">
      <c r="A63001" s="8"/>
      <c r="B63001" s="8"/>
      <c r="C63001" s="99"/>
      <c r="D63001" s="8"/>
      <c r="E63001" s="8"/>
      <c r="F63001" s="8"/>
      <c r="G63001" s="8"/>
      <c r="H63001" s="8"/>
      <c r="I63001" s="102"/>
      <c r="J63001" s="8"/>
      <c r="K63001" s="8"/>
      <c r="L63001" s="8"/>
      <c r="M63001" s="8"/>
      <c r="N63001" s="8"/>
      <c r="O63001" s="8"/>
      <c r="P63001" s="8"/>
      <c r="Q63001" s="8"/>
      <c r="R63001" s="103"/>
      <c r="S63001" s="8"/>
      <c r="T63001" s="8"/>
      <c r="U63001" s="8"/>
      <c r="V63001" s="8"/>
      <c r="W63001" s="8"/>
      <c r="X63001" s="8"/>
      <c r="Y63001" s="8"/>
      <c r="Z63001" s="8"/>
      <c r="AA63001" s="8"/>
    </row>
    <row r="63002" spans="1:27" x14ac:dyDescent="0.25">
      <c r="A63002" s="8"/>
      <c r="B63002" s="8"/>
      <c r="C63002" s="99"/>
      <c r="D63002" s="8"/>
      <c r="E63002" s="8"/>
      <c r="F63002" s="8"/>
      <c r="G63002" s="8"/>
      <c r="H63002" s="8"/>
      <c r="I63002" s="102"/>
      <c r="J63002" s="8"/>
      <c r="K63002" s="8"/>
      <c r="L63002" s="8"/>
      <c r="M63002" s="8"/>
      <c r="N63002" s="8"/>
      <c r="O63002" s="8"/>
      <c r="P63002" s="8"/>
      <c r="Q63002" s="8"/>
      <c r="R63002" s="103"/>
      <c r="S63002" s="8"/>
      <c r="T63002" s="8"/>
      <c r="U63002" s="8"/>
      <c r="V63002" s="8"/>
      <c r="W63002" s="8"/>
      <c r="X63002" s="8"/>
      <c r="Y63002" s="8"/>
      <c r="Z63002" s="8"/>
      <c r="AA63002" s="8"/>
    </row>
    <row r="63003" spans="1:27" x14ac:dyDescent="0.25">
      <c r="A63003" s="8"/>
      <c r="B63003" s="8"/>
      <c r="C63003" s="99"/>
      <c r="D63003" s="8"/>
      <c r="E63003" s="8"/>
      <c r="F63003" s="8"/>
      <c r="G63003" s="8"/>
      <c r="H63003" s="8"/>
      <c r="I63003" s="102"/>
      <c r="J63003" s="8"/>
      <c r="K63003" s="8"/>
      <c r="L63003" s="8"/>
      <c r="M63003" s="8"/>
      <c r="N63003" s="8"/>
      <c r="O63003" s="8"/>
      <c r="P63003" s="8"/>
      <c r="Q63003" s="8"/>
      <c r="R63003" s="103"/>
      <c r="S63003" s="8"/>
      <c r="T63003" s="8"/>
      <c r="U63003" s="8"/>
      <c r="V63003" s="8"/>
      <c r="W63003" s="8"/>
      <c r="X63003" s="8"/>
      <c r="Y63003" s="8"/>
      <c r="Z63003" s="8"/>
      <c r="AA63003" s="8"/>
    </row>
    <row r="63004" spans="1:27" x14ac:dyDescent="0.25">
      <c r="A63004" s="8"/>
      <c r="B63004" s="8"/>
      <c r="C63004" s="99"/>
      <c r="D63004" s="8"/>
      <c r="E63004" s="8"/>
      <c r="F63004" s="8"/>
      <c r="G63004" s="8"/>
      <c r="H63004" s="8"/>
      <c r="I63004" s="102"/>
      <c r="J63004" s="8"/>
      <c r="K63004" s="8"/>
      <c r="L63004" s="8"/>
      <c r="M63004" s="8"/>
      <c r="N63004" s="8"/>
      <c r="O63004" s="8"/>
      <c r="P63004" s="8"/>
      <c r="Q63004" s="8"/>
      <c r="R63004" s="103"/>
      <c r="S63004" s="8"/>
      <c r="T63004" s="8"/>
      <c r="U63004" s="8"/>
      <c r="V63004" s="8"/>
      <c r="W63004" s="8"/>
      <c r="X63004" s="8"/>
      <c r="Y63004" s="8"/>
      <c r="Z63004" s="8"/>
      <c r="AA63004" s="8"/>
    </row>
    <row r="63005" spans="1:27" x14ac:dyDescent="0.25">
      <c r="A63005" s="8"/>
      <c r="B63005" s="8"/>
      <c r="C63005" s="99"/>
      <c r="D63005" s="8"/>
      <c r="E63005" s="8"/>
      <c r="F63005" s="8"/>
      <c r="G63005" s="8"/>
      <c r="H63005" s="8"/>
      <c r="I63005" s="102"/>
      <c r="J63005" s="8"/>
      <c r="K63005" s="8"/>
      <c r="L63005" s="8"/>
      <c r="M63005" s="8"/>
      <c r="N63005" s="8"/>
      <c r="O63005" s="8"/>
      <c r="P63005" s="8"/>
      <c r="Q63005" s="8"/>
      <c r="R63005" s="103"/>
      <c r="S63005" s="8"/>
      <c r="T63005" s="8"/>
      <c r="U63005" s="8"/>
      <c r="V63005" s="8"/>
      <c r="W63005" s="8"/>
      <c r="X63005" s="8"/>
      <c r="Y63005" s="8"/>
      <c r="Z63005" s="8"/>
      <c r="AA63005" s="8"/>
    </row>
    <row r="63006" spans="1:27" x14ac:dyDescent="0.25">
      <c r="A63006" s="8"/>
      <c r="B63006" s="8"/>
      <c r="C63006" s="99"/>
      <c r="D63006" s="8"/>
      <c r="E63006" s="8"/>
      <c r="F63006" s="8"/>
      <c r="G63006" s="8"/>
      <c r="H63006" s="8"/>
      <c r="I63006" s="102"/>
      <c r="J63006" s="8"/>
      <c r="K63006" s="8"/>
      <c r="L63006" s="8"/>
      <c r="M63006" s="8"/>
      <c r="N63006" s="8"/>
      <c r="O63006" s="8"/>
      <c r="P63006" s="8"/>
      <c r="Q63006" s="8"/>
      <c r="R63006" s="103"/>
      <c r="S63006" s="8"/>
      <c r="T63006" s="8"/>
      <c r="U63006" s="8"/>
      <c r="V63006" s="8"/>
      <c r="W63006" s="8"/>
      <c r="X63006" s="8"/>
      <c r="Y63006" s="8"/>
      <c r="Z63006" s="8"/>
      <c r="AA63006" s="8"/>
    </row>
    <row r="63007" spans="1:27" x14ac:dyDescent="0.25">
      <c r="A63007" s="8"/>
      <c r="B63007" s="8"/>
      <c r="C63007" s="99"/>
      <c r="D63007" s="8"/>
      <c r="E63007" s="8"/>
      <c r="F63007" s="8"/>
      <c r="G63007" s="8"/>
      <c r="H63007" s="8"/>
      <c r="I63007" s="102"/>
      <c r="J63007" s="8"/>
      <c r="K63007" s="8"/>
      <c r="L63007" s="8"/>
      <c r="M63007" s="8"/>
      <c r="N63007" s="8"/>
      <c r="O63007" s="8"/>
      <c r="P63007" s="8"/>
      <c r="Q63007" s="8"/>
      <c r="R63007" s="103"/>
      <c r="S63007" s="8"/>
      <c r="T63007" s="8"/>
      <c r="U63007" s="8"/>
      <c r="V63007" s="8"/>
      <c r="W63007" s="8"/>
      <c r="X63007" s="8"/>
      <c r="Y63007" s="8"/>
      <c r="Z63007" s="8"/>
      <c r="AA63007" s="8"/>
    </row>
    <row r="63008" spans="1:27" x14ac:dyDescent="0.25">
      <c r="A63008" s="8"/>
      <c r="B63008" s="8"/>
      <c r="C63008" s="99"/>
      <c r="D63008" s="8"/>
      <c r="E63008" s="8"/>
      <c r="F63008" s="8"/>
      <c r="G63008" s="8"/>
      <c r="H63008" s="8"/>
      <c r="I63008" s="102"/>
      <c r="J63008" s="8"/>
      <c r="K63008" s="8"/>
      <c r="L63008" s="8"/>
      <c r="M63008" s="8"/>
      <c r="N63008" s="8"/>
      <c r="O63008" s="8"/>
      <c r="P63008" s="8"/>
      <c r="Q63008" s="8"/>
      <c r="R63008" s="103"/>
      <c r="S63008" s="8"/>
      <c r="T63008" s="8"/>
      <c r="U63008" s="8"/>
      <c r="V63008" s="8"/>
      <c r="W63008" s="8"/>
      <c r="X63008" s="8"/>
      <c r="Y63008" s="8"/>
      <c r="Z63008" s="8"/>
      <c r="AA63008" s="8"/>
    </row>
    <row r="63009" spans="1:27" x14ac:dyDescent="0.25">
      <c r="A63009" s="8"/>
      <c r="B63009" s="8"/>
      <c r="C63009" s="99"/>
      <c r="D63009" s="8"/>
      <c r="E63009" s="8"/>
      <c r="F63009" s="8"/>
      <c r="G63009" s="8"/>
      <c r="H63009" s="8"/>
      <c r="I63009" s="102"/>
      <c r="J63009" s="8"/>
      <c r="K63009" s="8"/>
      <c r="L63009" s="8"/>
      <c r="M63009" s="8"/>
      <c r="N63009" s="8"/>
      <c r="O63009" s="8"/>
      <c r="P63009" s="8"/>
      <c r="Q63009" s="8"/>
      <c r="R63009" s="103"/>
      <c r="S63009" s="8"/>
      <c r="T63009" s="8"/>
      <c r="U63009" s="8"/>
      <c r="V63009" s="8"/>
      <c r="W63009" s="8"/>
      <c r="X63009" s="8"/>
      <c r="Y63009" s="8"/>
      <c r="Z63009" s="8"/>
      <c r="AA63009" s="8"/>
    </row>
    <row r="63010" spans="1:27" x14ac:dyDescent="0.25">
      <c r="A63010" s="8"/>
      <c r="B63010" s="8"/>
      <c r="C63010" s="99"/>
      <c r="D63010" s="8"/>
      <c r="E63010" s="8"/>
      <c r="F63010" s="8"/>
      <c r="G63010" s="8"/>
      <c r="H63010" s="8"/>
      <c r="I63010" s="102"/>
      <c r="J63010" s="8"/>
      <c r="K63010" s="8"/>
      <c r="L63010" s="8"/>
      <c r="M63010" s="8"/>
      <c r="N63010" s="8"/>
      <c r="O63010" s="8"/>
      <c r="P63010" s="8"/>
      <c r="Q63010" s="8"/>
      <c r="R63010" s="103"/>
      <c r="S63010" s="8"/>
      <c r="T63010" s="8"/>
      <c r="U63010" s="8"/>
      <c r="V63010" s="8"/>
      <c r="W63010" s="8"/>
      <c r="X63010" s="8"/>
      <c r="Y63010" s="8"/>
      <c r="Z63010" s="8"/>
      <c r="AA63010" s="8"/>
    </row>
    <row r="63011" spans="1:27" x14ac:dyDescent="0.25">
      <c r="A63011" s="8"/>
      <c r="B63011" s="8"/>
      <c r="C63011" s="99"/>
      <c r="D63011" s="8"/>
      <c r="E63011" s="8"/>
      <c r="F63011" s="8"/>
      <c r="G63011" s="8"/>
      <c r="H63011" s="8"/>
      <c r="I63011" s="102"/>
      <c r="J63011" s="8"/>
      <c r="K63011" s="8"/>
      <c r="L63011" s="8"/>
      <c r="M63011" s="8"/>
      <c r="N63011" s="8"/>
      <c r="O63011" s="8"/>
      <c r="P63011" s="8"/>
      <c r="Q63011" s="8"/>
      <c r="R63011" s="103"/>
      <c r="S63011" s="8"/>
      <c r="T63011" s="8"/>
      <c r="U63011" s="8"/>
      <c r="V63011" s="8"/>
      <c r="W63011" s="8"/>
      <c r="X63011" s="8"/>
      <c r="Y63011" s="8"/>
      <c r="Z63011" s="8"/>
      <c r="AA63011" s="8"/>
    </row>
    <row r="63012" spans="1:27" x14ac:dyDescent="0.25">
      <c r="A63012" s="8"/>
      <c r="B63012" s="8"/>
      <c r="C63012" s="99"/>
      <c r="D63012" s="8"/>
      <c r="E63012" s="8"/>
      <c r="F63012" s="8"/>
      <c r="G63012" s="8"/>
      <c r="H63012" s="8"/>
      <c r="I63012" s="102"/>
      <c r="J63012" s="8"/>
      <c r="K63012" s="8"/>
      <c r="L63012" s="8"/>
      <c r="M63012" s="8"/>
      <c r="N63012" s="8"/>
      <c r="O63012" s="8"/>
      <c r="P63012" s="8"/>
      <c r="Q63012" s="8"/>
      <c r="R63012" s="103"/>
      <c r="S63012" s="8"/>
      <c r="T63012" s="8"/>
      <c r="U63012" s="8"/>
      <c r="V63012" s="8"/>
      <c r="W63012" s="8"/>
      <c r="X63012" s="8"/>
      <c r="Y63012" s="8"/>
      <c r="Z63012" s="8"/>
      <c r="AA63012" s="8"/>
    </row>
    <row r="63013" spans="1:27" x14ac:dyDescent="0.25">
      <c r="A63013" s="8"/>
      <c r="B63013" s="8"/>
      <c r="C63013" s="99"/>
      <c r="D63013" s="8"/>
      <c r="E63013" s="8"/>
      <c r="F63013" s="8"/>
      <c r="G63013" s="8"/>
      <c r="H63013" s="8"/>
      <c r="I63013" s="102"/>
      <c r="J63013" s="8"/>
      <c r="K63013" s="8"/>
      <c r="L63013" s="8"/>
      <c r="M63013" s="8"/>
      <c r="N63013" s="8"/>
      <c r="O63013" s="8"/>
      <c r="P63013" s="8"/>
      <c r="Q63013" s="8"/>
      <c r="R63013" s="103"/>
      <c r="S63013" s="8"/>
      <c r="T63013" s="8"/>
      <c r="U63013" s="8"/>
      <c r="V63013" s="8"/>
      <c r="W63013" s="8"/>
      <c r="X63013" s="8"/>
      <c r="Y63013" s="8"/>
      <c r="Z63013" s="8"/>
      <c r="AA63013" s="8"/>
    </row>
    <row r="63014" spans="1:27" x14ac:dyDescent="0.25">
      <c r="A63014" s="8"/>
      <c r="B63014" s="8"/>
      <c r="C63014" s="99"/>
      <c r="D63014" s="8"/>
      <c r="E63014" s="8"/>
      <c r="F63014" s="8"/>
      <c r="G63014" s="8"/>
      <c r="H63014" s="8"/>
      <c r="I63014" s="102"/>
      <c r="J63014" s="8"/>
      <c r="K63014" s="8"/>
      <c r="L63014" s="8"/>
      <c r="M63014" s="8"/>
      <c r="N63014" s="8"/>
      <c r="O63014" s="8"/>
      <c r="P63014" s="8"/>
      <c r="Q63014" s="8"/>
      <c r="R63014" s="103"/>
      <c r="S63014" s="8"/>
      <c r="T63014" s="8"/>
      <c r="U63014" s="8"/>
      <c r="V63014" s="8"/>
      <c r="W63014" s="8"/>
      <c r="X63014" s="8"/>
      <c r="Y63014" s="8"/>
      <c r="Z63014" s="8"/>
      <c r="AA63014" s="8"/>
    </row>
    <row r="63015" spans="1:27" x14ac:dyDescent="0.25">
      <c r="A63015" s="8"/>
      <c r="B63015" s="8"/>
      <c r="C63015" s="99"/>
      <c r="D63015" s="8"/>
      <c r="E63015" s="8"/>
      <c r="F63015" s="8"/>
      <c r="G63015" s="8"/>
      <c r="H63015" s="8"/>
      <c r="I63015" s="102"/>
      <c r="J63015" s="8"/>
      <c r="K63015" s="8"/>
      <c r="L63015" s="8"/>
      <c r="M63015" s="8"/>
      <c r="N63015" s="8"/>
      <c r="O63015" s="8"/>
      <c r="P63015" s="8"/>
      <c r="Q63015" s="8"/>
      <c r="R63015" s="103"/>
      <c r="S63015" s="8"/>
      <c r="T63015" s="8"/>
      <c r="U63015" s="8"/>
      <c r="V63015" s="8"/>
      <c r="W63015" s="8"/>
      <c r="X63015" s="8"/>
      <c r="Y63015" s="8"/>
      <c r="Z63015" s="8"/>
      <c r="AA63015" s="8"/>
    </row>
    <row r="63016" spans="1:27" x14ac:dyDescent="0.25">
      <c r="A63016" s="8"/>
      <c r="B63016" s="8"/>
      <c r="C63016" s="99"/>
      <c r="D63016" s="8"/>
      <c r="E63016" s="8"/>
      <c r="F63016" s="8"/>
      <c r="G63016" s="8"/>
      <c r="H63016" s="8"/>
      <c r="I63016" s="102"/>
      <c r="J63016" s="8"/>
      <c r="K63016" s="8"/>
      <c r="L63016" s="8"/>
      <c r="M63016" s="8"/>
      <c r="N63016" s="8"/>
      <c r="O63016" s="8"/>
      <c r="P63016" s="8"/>
      <c r="Q63016" s="8"/>
      <c r="R63016" s="103"/>
      <c r="S63016" s="8"/>
      <c r="T63016" s="8"/>
      <c r="U63016" s="8"/>
      <c r="V63016" s="8"/>
      <c r="W63016" s="8"/>
      <c r="X63016" s="8"/>
      <c r="Y63016" s="8"/>
      <c r="Z63016" s="8"/>
      <c r="AA63016" s="8"/>
    </row>
    <row r="63017" spans="1:27" x14ac:dyDescent="0.25">
      <c r="A63017" s="8"/>
      <c r="B63017" s="8"/>
      <c r="C63017" s="99"/>
      <c r="D63017" s="8"/>
      <c r="E63017" s="8"/>
      <c r="F63017" s="8"/>
      <c r="G63017" s="8"/>
      <c r="H63017" s="8"/>
      <c r="I63017" s="102"/>
      <c r="J63017" s="8"/>
      <c r="K63017" s="8"/>
      <c r="L63017" s="8"/>
      <c r="M63017" s="8"/>
      <c r="N63017" s="8"/>
      <c r="O63017" s="8"/>
      <c r="P63017" s="8"/>
      <c r="Q63017" s="8"/>
      <c r="R63017" s="103"/>
      <c r="S63017" s="8"/>
      <c r="T63017" s="8"/>
      <c r="U63017" s="8"/>
      <c r="V63017" s="8"/>
      <c r="W63017" s="8"/>
      <c r="X63017" s="8"/>
      <c r="Y63017" s="8"/>
      <c r="Z63017" s="8"/>
      <c r="AA63017" s="8"/>
    </row>
    <row r="63018" spans="1:27" x14ac:dyDescent="0.25">
      <c r="A63018" s="8"/>
      <c r="B63018" s="8"/>
      <c r="C63018" s="99"/>
      <c r="D63018" s="8"/>
      <c r="E63018" s="8"/>
      <c r="F63018" s="8"/>
      <c r="G63018" s="8"/>
      <c r="H63018" s="8"/>
      <c r="I63018" s="102"/>
      <c r="J63018" s="8"/>
      <c r="K63018" s="8"/>
      <c r="L63018" s="8"/>
      <c r="M63018" s="8"/>
      <c r="N63018" s="8"/>
      <c r="O63018" s="8"/>
      <c r="P63018" s="8"/>
      <c r="Q63018" s="8"/>
      <c r="R63018" s="103"/>
      <c r="S63018" s="8"/>
      <c r="T63018" s="8"/>
      <c r="U63018" s="8"/>
      <c r="V63018" s="8"/>
      <c r="W63018" s="8"/>
      <c r="X63018" s="8"/>
      <c r="Y63018" s="8"/>
      <c r="Z63018" s="8"/>
      <c r="AA63018" s="8"/>
    </row>
    <row r="63019" spans="1:27" x14ac:dyDescent="0.25">
      <c r="A63019" s="8"/>
      <c r="B63019" s="8"/>
      <c r="C63019" s="99"/>
      <c r="D63019" s="8"/>
      <c r="E63019" s="8"/>
      <c r="F63019" s="8"/>
      <c r="G63019" s="8"/>
      <c r="H63019" s="8"/>
      <c r="I63019" s="102"/>
      <c r="J63019" s="8"/>
      <c r="K63019" s="8"/>
      <c r="L63019" s="8"/>
      <c r="M63019" s="8"/>
      <c r="N63019" s="8"/>
      <c r="O63019" s="8"/>
      <c r="P63019" s="8"/>
      <c r="Q63019" s="8"/>
      <c r="R63019" s="103"/>
      <c r="S63019" s="8"/>
      <c r="T63019" s="8"/>
      <c r="U63019" s="8"/>
      <c r="V63019" s="8"/>
      <c r="W63019" s="8"/>
      <c r="X63019" s="8"/>
      <c r="Y63019" s="8"/>
      <c r="Z63019" s="8"/>
      <c r="AA63019" s="8"/>
    </row>
    <row r="63020" spans="1:27" x14ac:dyDescent="0.25">
      <c r="A63020" s="8"/>
      <c r="B63020" s="8"/>
      <c r="C63020" s="99"/>
      <c r="D63020" s="8"/>
      <c r="E63020" s="8"/>
      <c r="F63020" s="8"/>
      <c r="G63020" s="8"/>
      <c r="H63020" s="8"/>
      <c r="I63020" s="102"/>
      <c r="J63020" s="8"/>
      <c r="K63020" s="8"/>
      <c r="L63020" s="8"/>
      <c r="M63020" s="8"/>
      <c r="N63020" s="8"/>
      <c r="O63020" s="8"/>
      <c r="P63020" s="8"/>
      <c r="Q63020" s="8"/>
      <c r="R63020" s="103"/>
      <c r="S63020" s="8"/>
      <c r="T63020" s="8"/>
      <c r="U63020" s="8"/>
      <c r="V63020" s="8"/>
      <c r="W63020" s="8"/>
      <c r="X63020" s="8"/>
      <c r="Y63020" s="8"/>
      <c r="Z63020" s="8"/>
      <c r="AA63020" s="8"/>
    </row>
    <row r="63021" spans="1:27" x14ac:dyDescent="0.25">
      <c r="A63021" s="8"/>
      <c r="B63021" s="8"/>
      <c r="C63021" s="99"/>
      <c r="D63021" s="8"/>
      <c r="E63021" s="8"/>
      <c r="F63021" s="8"/>
      <c r="G63021" s="8"/>
      <c r="H63021" s="8"/>
      <c r="I63021" s="102"/>
      <c r="J63021" s="8"/>
      <c r="K63021" s="8"/>
      <c r="L63021" s="8"/>
      <c r="M63021" s="8"/>
      <c r="N63021" s="8"/>
      <c r="O63021" s="8"/>
      <c r="P63021" s="8"/>
      <c r="Q63021" s="8"/>
      <c r="R63021" s="103"/>
      <c r="S63021" s="8"/>
      <c r="T63021" s="8"/>
      <c r="U63021" s="8"/>
      <c r="V63021" s="8"/>
      <c r="W63021" s="8"/>
      <c r="X63021" s="8"/>
      <c r="Y63021" s="8"/>
      <c r="Z63021" s="8"/>
      <c r="AA63021" s="8"/>
    </row>
    <row r="63022" spans="1:27" x14ac:dyDescent="0.25">
      <c r="A63022" s="8"/>
      <c r="B63022" s="8"/>
      <c r="C63022" s="99"/>
      <c r="D63022" s="8"/>
      <c r="E63022" s="8"/>
      <c r="F63022" s="8"/>
      <c r="G63022" s="8"/>
      <c r="H63022" s="8"/>
      <c r="I63022" s="102"/>
      <c r="J63022" s="8"/>
      <c r="K63022" s="8"/>
      <c r="L63022" s="8"/>
      <c r="M63022" s="8"/>
      <c r="N63022" s="8"/>
      <c r="O63022" s="8"/>
      <c r="P63022" s="8"/>
      <c r="Q63022" s="8"/>
      <c r="R63022" s="103"/>
      <c r="S63022" s="8"/>
      <c r="T63022" s="8"/>
      <c r="U63022" s="8"/>
      <c r="V63022" s="8"/>
      <c r="W63022" s="8"/>
      <c r="X63022" s="8"/>
      <c r="Y63022" s="8"/>
      <c r="Z63022" s="8"/>
      <c r="AA63022" s="8"/>
    </row>
    <row r="63023" spans="1:27" x14ac:dyDescent="0.25">
      <c r="A63023" s="8"/>
      <c r="B63023" s="8"/>
      <c r="C63023" s="99"/>
      <c r="D63023" s="8"/>
      <c r="E63023" s="8"/>
      <c r="F63023" s="8"/>
      <c r="G63023" s="8"/>
      <c r="H63023" s="8"/>
      <c r="I63023" s="102"/>
      <c r="J63023" s="8"/>
      <c r="K63023" s="8"/>
      <c r="L63023" s="8"/>
      <c r="M63023" s="8"/>
      <c r="N63023" s="8"/>
      <c r="O63023" s="8"/>
      <c r="P63023" s="8"/>
      <c r="Q63023" s="8"/>
      <c r="R63023" s="103"/>
      <c r="S63023" s="8"/>
      <c r="T63023" s="8"/>
      <c r="U63023" s="8"/>
      <c r="V63023" s="8"/>
      <c r="W63023" s="8"/>
      <c r="X63023" s="8"/>
      <c r="Y63023" s="8"/>
      <c r="Z63023" s="8"/>
      <c r="AA63023" s="8"/>
    </row>
    <row r="63024" spans="1:27" x14ac:dyDescent="0.25">
      <c r="A63024" s="8"/>
      <c r="B63024" s="8"/>
      <c r="C63024" s="99"/>
      <c r="D63024" s="8"/>
      <c r="E63024" s="8"/>
      <c r="F63024" s="8"/>
      <c r="G63024" s="8"/>
      <c r="H63024" s="8"/>
      <c r="I63024" s="102"/>
      <c r="J63024" s="8"/>
      <c r="K63024" s="8"/>
      <c r="L63024" s="8"/>
      <c r="M63024" s="8"/>
      <c r="N63024" s="8"/>
      <c r="O63024" s="8"/>
      <c r="P63024" s="8"/>
      <c r="Q63024" s="8"/>
      <c r="R63024" s="103"/>
      <c r="S63024" s="8"/>
      <c r="T63024" s="8"/>
      <c r="U63024" s="8"/>
      <c r="V63024" s="8"/>
      <c r="W63024" s="8"/>
      <c r="X63024" s="8"/>
      <c r="Y63024" s="8"/>
      <c r="Z63024" s="8"/>
      <c r="AA63024" s="8"/>
    </row>
    <row r="63025" spans="1:27" x14ac:dyDescent="0.25">
      <c r="A63025" s="8"/>
      <c r="B63025" s="8"/>
      <c r="C63025" s="99"/>
      <c r="D63025" s="8"/>
      <c r="E63025" s="8"/>
      <c r="F63025" s="8"/>
      <c r="G63025" s="8"/>
      <c r="H63025" s="8"/>
      <c r="I63025" s="102"/>
      <c r="J63025" s="8"/>
      <c r="K63025" s="8"/>
      <c r="L63025" s="8"/>
      <c r="M63025" s="8"/>
      <c r="N63025" s="8"/>
      <c r="O63025" s="8"/>
      <c r="P63025" s="8"/>
      <c r="Q63025" s="8"/>
      <c r="R63025" s="103"/>
      <c r="S63025" s="8"/>
      <c r="T63025" s="8"/>
      <c r="U63025" s="8"/>
      <c r="V63025" s="8"/>
      <c r="W63025" s="8"/>
      <c r="X63025" s="8"/>
      <c r="Y63025" s="8"/>
      <c r="Z63025" s="8"/>
      <c r="AA63025" s="8"/>
    </row>
    <row r="63026" spans="1:27" x14ac:dyDescent="0.25">
      <c r="A63026" s="8"/>
      <c r="B63026" s="8"/>
      <c r="C63026" s="99"/>
      <c r="D63026" s="8"/>
      <c r="E63026" s="8"/>
      <c r="F63026" s="8"/>
      <c r="G63026" s="8"/>
      <c r="H63026" s="8"/>
      <c r="I63026" s="102"/>
      <c r="J63026" s="8"/>
      <c r="K63026" s="8"/>
      <c r="L63026" s="8"/>
      <c r="M63026" s="8"/>
      <c r="N63026" s="8"/>
      <c r="O63026" s="8"/>
      <c r="P63026" s="8"/>
      <c r="Q63026" s="8"/>
      <c r="R63026" s="103"/>
      <c r="S63026" s="8"/>
      <c r="T63026" s="8"/>
      <c r="U63026" s="8"/>
      <c r="V63026" s="8"/>
      <c r="W63026" s="8"/>
      <c r="X63026" s="8"/>
      <c r="Y63026" s="8"/>
      <c r="Z63026" s="8"/>
      <c r="AA63026" s="8"/>
    </row>
    <row r="63027" spans="1:27" x14ac:dyDescent="0.25">
      <c r="A63027" s="8"/>
      <c r="B63027" s="8"/>
      <c r="C63027" s="99"/>
      <c r="D63027" s="8"/>
      <c r="E63027" s="8"/>
      <c r="F63027" s="8"/>
      <c r="G63027" s="8"/>
      <c r="H63027" s="8"/>
      <c r="I63027" s="102"/>
      <c r="J63027" s="8"/>
      <c r="K63027" s="8"/>
      <c r="L63027" s="8"/>
      <c r="M63027" s="8"/>
      <c r="N63027" s="8"/>
      <c r="O63027" s="8"/>
      <c r="P63027" s="8"/>
      <c r="Q63027" s="8"/>
      <c r="R63027" s="103"/>
      <c r="S63027" s="8"/>
      <c r="T63027" s="8"/>
      <c r="U63027" s="8"/>
      <c r="V63027" s="8"/>
      <c r="W63027" s="8"/>
      <c r="X63027" s="8"/>
      <c r="Y63027" s="8"/>
      <c r="Z63027" s="8"/>
      <c r="AA63027" s="8"/>
    </row>
    <row r="63028" spans="1:27" x14ac:dyDescent="0.25">
      <c r="A63028" s="8"/>
      <c r="B63028" s="8"/>
      <c r="C63028" s="99"/>
      <c r="D63028" s="8"/>
      <c r="E63028" s="8"/>
      <c r="F63028" s="8"/>
      <c r="G63028" s="8"/>
      <c r="H63028" s="8"/>
      <c r="I63028" s="102"/>
      <c r="J63028" s="8"/>
      <c r="K63028" s="8"/>
      <c r="L63028" s="8"/>
      <c r="M63028" s="8"/>
      <c r="N63028" s="8"/>
      <c r="O63028" s="8"/>
      <c r="P63028" s="8"/>
      <c r="Q63028" s="8"/>
      <c r="R63028" s="103"/>
      <c r="S63028" s="8"/>
      <c r="T63028" s="8"/>
      <c r="U63028" s="8"/>
      <c r="V63028" s="8"/>
      <c r="W63028" s="8"/>
      <c r="X63028" s="8"/>
      <c r="Y63028" s="8"/>
      <c r="Z63028" s="8"/>
      <c r="AA63028" s="8"/>
    </row>
    <row r="63029" spans="1:27" x14ac:dyDescent="0.25">
      <c r="A63029" s="8"/>
      <c r="B63029" s="8"/>
      <c r="C63029" s="99"/>
      <c r="D63029" s="8"/>
      <c r="E63029" s="8"/>
      <c r="F63029" s="8"/>
      <c r="G63029" s="8"/>
      <c r="H63029" s="8"/>
      <c r="I63029" s="102"/>
      <c r="J63029" s="8"/>
      <c r="K63029" s="8"/>
      <c r="L63029" s="8"/>
      <c r="M63029" s="8"/>
      <c r="N63029" s="8"/>
      <c r="O63029" s="8"/>
      <c r="P63029" s="8"/>
      <c r="Q63029" s="8"/>
      <c r="R63029" s="103"/>
      <c r="S63029" s="8"/>
      <c r="T63029" s="8"/>
      <c r="U63029" s="8"/>
      <c r="V63029" s="8"/>
      <c r="W63029" s="8"/>
      <c r="X63029" s="8"/>
      <c r="Y63029" s="8"/>
      <c r="Z63029" s="8"/>
      <c r="AA63029" s="8"/>
    </row>
    <row r="63030" spans="1:27" x14ac:dyDescent="0.25">
      <c r="A63030" s="8"/>
      <c r="B63030" s="8"/>
      <c r="C63030" s="99"/>
      <c r="D63030" s="8"/>
      <c r="E63030" s="8"/>
      <c r="F63030" s="8"/>
      <c r="G63030" s="8"/>
      <c r="H63030" s="8"/>
      <c r="I63030" s="102"/>
      <c r="J63030" s="8"/>
      <c r="K63030" s="8"/>
      <c r="L63030" s="8"/>
      <c r="M63030" s="8"/>
      <c r="N63030" s="8"/>
      <c r="O63030" s="8"/>
      <c r="P63030" s="8"/>
      <c r="Q63030" s="8"/>
      <c r="R63030" s="103"/>
      <c r="S63030" s="8"/>
      <c r="T63030" s="8"/>
      <c r="U63030" s="8"/>
      <c r="V63030" s="8"/>
      <c r="W63030" s="8"/>
      <c r="X63030" s="8"/>
      <c r="Y63030" s="8"/>
      <c r="Z63030" s="8"/>
      <c r="AA63030" s="8"/>
    </row>
    <row r="63031" spans="1:27" x14ac:dyDescent="0.25">
      <c r="A63031" s="8"/>
      <c r="B63031" s="8"/>
      <c r="C63031" s="99"/>
      <c r="D63031" s="8"/>
      <c r="E63031" s="8"/>
      <c r="F63031" s="8"/>
      <c r="G63031" s="8"/>
      <c r="H63031" s="8"/>
      <c r="I63031" s="102"/>
      <c r="J63031" s="8"/>
      <c r="K63031" s="8"/>
      <c r="L63031" s="8"/>
      <c r="M63031" s="8"/>
      <c r="N63031" s="8"/>
      <c r="O63031" s="8"/>
      <c r="P63031" s="8"/>
      <c r="Q63031" s="8"/>
      <c r="R63031" s="103"/>
      <c r="S63031" s="8"/>
      <c r="T63031" s="8"/>
      <c r="U63031" s="8"/>
      <c r="V63031" s="8"/>
      <c r="W63031" s="8"/>
      <c r="X63031" s="8"/>
      <c r="Y63031" s="8"/>
      <c r="Z63031" s="8"/>
      <c r="AA63031" s="8"/>
    </row>
    <row r="63032" spans="1:27" x14ac:dyDescent="0.25">
      <c r="A63032" s="8"/>
      <c r="B63032" s="8"/>
      <c r="C63032" s="99"/>
      <c r="D63032" s="8"/>
      <c r="E63032" s="8"/>
      <c r="F63032" s="8"/>
      <c r="G63032" s="8"/>
      <c r="H63032" s="8"/>
      <c r="I63032" s="102"/>
      <c r="J63032" s="8"/>
      <c r="K63032" s="8"/>
      <c r="L63032" s="8"/>
      <c r="M63032" s="8"/>
      <c r="N63032" s="8"/>
      <c r="O63032" s="8"/>
      <c r="P63032" s="8"/>
      <c r="Q63032" s="8"/>
      <c r="R63032" s="103"/>
      <c r="S63032" s="8"/>
      <c r="T63032" s="8"/>
      <c r="U63032" s="8"/>
      <c r="V63032" s="8"/>
      <c r="W63032" s="8"/>
      <c r="X63032" s="8"/>
      <c r="Y63032" s="8"/>
      <c r="Z63032" s="8"/>
      <c r="AA63032" s="8"/>
    </row>
    <row r="63033" spans="1:27" x14ac:dyDescent="0.25">
      <c r="A63033" s="8"/>
      <c r="B63033" s="8"/>
      <c r="C63033" s="99"/>
      <c r="D63033" s="8"/>
      <c r="E63033" s="8"/>
      <c r="F63033" s="8"/>
      <c r="G63033" s="8"/>
      <c r="H63033" s="8"/>
      <c r="I63033" s="102"/>
      <c r="J63033" s="8"/>
      <c r="K63033" s="8"/>
      <c r="L63033" s="8"/>
      <c r="M63033" s="8"/>
      <c r="N63033" s="8"/>
      <c r="O63033" s="8"/>
      <c r="P63033" s="8"/>
      <c r="Q63033" s="8"/>
      <c r="R63033" s="103"/>
      <c r="S63033" s="8"/>
      <c r="T63033" s="8"/>
      <c r="U63033" s="8"/>
      <c r="V63033" s="8"/>
      <c r="W63033" s="8"/>
      <c r="X63033" s="8"/>
      <c r="Y63033" s="8"/>
      <c r="Z63033" s="8"/>
      <c r="AA63033" s="8"/>
    </row>
    <row r="63034" spans="1:27" x14ac:dyDescent="0.25">
      <c r="A63034" s="8"/>
      <c r="B63034" s="8"/>
      <c r="C63034" s="99"/>
      <c r="D63034" s="8"/>
      <c r="E63034" s="8"/>
      <c r="F63034" s="8"/>
      <c r="G63034" s="8"/>
      <c r="H63034" s="8"/>
      <c r="I63034" s="102"/>
      <c r="J63034" s="8"/>
      <c r="K63034" s="8"/>
      <c r="L63034" s="8"/>
      <c r="M63034" s="8"/>
      <c r="N63034" s="8"/>
      <c r="O63034" s="8"/>
      <c r="P63034" s="8"/>
      <c r="Q63034" s="8"/>
      <c r="R63034" s="103"/>
      <c r="S63034" s="8"/>
      <c r="T63034" s="8"/>
      <c r="U63034" s="8"/>
      <c r="V63034" s="8"/>
      <c r="W63034" s="8"/>
      <c r="X63034" s="8"/>
      <c r="Y63034" s="8"/>
      <c r="Z63034" s="8"/>
      <c r="AA63034" s="8"/>
    </row>
    <row r="63035" spans="1:27" x14ac:dyDescent="0.25">
      <c r="A63035" s="8"/>
      <c r="B63035" s="8"/>
      <c r="C63035" s="99"/>
      <c r="D63035" s="8"/>
      <c r="E63035" s="8"/>
      <c r="F63035" s="8"/>
      <c r="G63035" s="8"/>
      <c r="H63035" s="8"/>
      <c r="I63035" s="102"/>
      <c r="J63035" s="8"/>
      <c r="K63035" s="8"/>
      <c r="L63035" s="8"/>
      <c r="M63035" s="8"/>
      <c r="N63035" s="8"/>
      <c r="O63035" s="8"/>
      <c r="P63035" s="8"/>
      <c r="Q63035" s="8"/>
      <c r="R63035" s="103"/>
      <c r="S63035" s="8"/>
      <c r="T63035" s="8"/>
      <c r="U63035" s="8"/>
      <c r="V63035" s="8"/>
      <c r="W63035" s="8"/>
      <c r="X63035" s="8"/>
      <c r="Y63035" s="8"/>
      <c r="Z63035" s="8"/>
      <c r="AA63035" s="8"/>
    </row>
    <row r="63036" spans="1:27" x14ac:dyDescent="0.25">
      <c r="A63036" s="8"/>
      <c r="B63036" s="8"/>
      <c r="C63036" s="99"/>
      <c r="D63036" s="8"/>
      <c r="E63036" s="8"/>
      <c r="F63036" s="8"/>
      <c r="G63036" s="8"/>
      <c r="H63036" s="8"/>
      <c r="I63036" s="102"/>
      <c r="J63036" s="8"/>
      <c r="K63036" s="8"/>
      <c r="L63036" s="8"/>
      <c r="M63036" s="8"/>
      <c r="N63036" s="8"/>
      <c r="O63036" s="8"/>
      <c r="P63036" s="8"/>
      <c r="Q63036" s="8"/>
      <c r="R63036" s="103"/>
      <c r="S63036" s="8"/>
      <c r="T63036" s="8"/>
      <c r="U63036" s="8"/>
      <c r="V63036" s="8"/>
      <c r="W63036" s="8"/>
      <c r="X63036" s="8"/>
      <c r="Y63036" s="8"/>
      <c r="Z63036" s="8"/>
      <c r="AA63036" s="8"/>
    </row>
    <row r="63037" spans="1:27" x14ac:dyDescent="0.25">
      <c r="A63037" s="8"/>
      <c r="B63037" s="8"/>
      <c r="C63037" s="99"/>
      <c r="D63037" s="8"/>
      <c r="E63037" s="8"/>
      <c r="F63037" s="8"/>
      <c r="G63037" s="8"/>
      <c r="H63037" s="8"/>
      <c r="I63037" s="102"/>
      <c r="J63037" s="8"/>
      <c r="K63037" s="8"/>
      <c r="L63037" s="8"/>
      <c r="M63037" s="8"/>
      <c r="N63037" s="8"/>
      <c r="O63037" s="8"/>
      <c r="P63037" s="8"/>
      <c r="Q63037" s="8"/>
      <c r="R63037" s="103"/>
      <c r="S63037" s="8"/>
      <c r="T63037" s="8"/>
      <c r="U63037" s="8"/>
      <c r="V63037" s="8"/>
      <c r="W63037" s="8"/>
      <c r="X63037" s="8"/>
      <c r="Y63037" s="8"/>
      <c r="Z63037" s="8"/>
      <c r="AA63037" s="8"/>
    </row>
    <row r="63038" spans="1:27" x14ac:dyDescent="0.25">
      <c r="A63038" s="8"/>
      <c r="B63038" s="8"/>
      <c r="C63038" s="99"/>
      <c r="D63038" s="8"/>
      <c r="E63038" s="8"/>
      <c r="F63038" s="8"/>
      <c r="G63038" s="8"/>
      <c r="H63038" s="8"/>
      <c r="I63038" s="102"/>
      <c r="J63038" s="8"/>
      <c r="K63038" s="8"/>
      <c r="L63038" s="8"/>
      <c r="M63038" s="8"/>
      <c r="N63038" s="8"/>
      <c r="O63038" s="8"/>
      <c r="P63038" s="8"/>
      <c r="Q63038" s="8"/>
      <c r="R63038" s="103"/>
      <c r="S63038" s="8"/>
      <c r="T63038" s="8"/>
      <c r="U63038" s="8"/>
      <c r="V63038" s="8"/>
      <c r="W63038" s="8"/>
      <c r="X63038" s="8"/>
      <c r="Y63038" s="8"/>
      <c r="Z63038" s="8"/>
      <c r="AA63038" s="8"/>
    </row>
    <row r="63039" spans="1:27" x14ac:dyDescent="0.25">
      <c r="A63039" s="8"/>
      <c r="B63039" s="8"/>
      <c r="C63039" s="99"/>
      <c r="D63039" s="8"/>
      <c r="E63039" s="8"/>
      <c r="F63039" s="8"/>
      <c r="G63039" s="8"/>
      <c r="H63039" s="8"/>
      <c r="I63039" s="102"/>
      <c r="J63039" s="8"/>
      <c r="K63039" s="8"/>
      <c r="L63039" s="8"/>
      <c r="M63039" s="8"/>
      <c r="N63039" s="8"/>
      <c r="O63039" s="8"/>
      <c r="P63039" s="8"/>
      <c r="Q63039" s="8"/>
      <c r="R63039" s="103"/>
      <c r="S63039" s="8"/>
      <c r="T63039" s="8"/>
      <c r="U63039" s="8"/>
      <c r="V63039" s="8"/>
      <c r="W63039" s="8"/>
      <c r="X63039" s="8"/>
      <c r="Y63039" s="8"/>
      <c r="Z63039" s="8"/>
      <c r="AA63039" s="8"/>
    </row>
    <row r="63040" spans="1:27" x14ac:dyDescent="0.25">
      <c r="A63040" s="8"/>
      <c r="B63040" s="8"/>
      <c r="C63040" s="99"/>
      <c r="D63040" s="8"/>
      <c r="E63040" s="8"/>
      <c r="F63040" s="8"/>
      <c r="G63040" s="8"/>
      <c r="H63040" s="8"/>
      <c r="I63040" s="102"/>
      <c r="J63040" s="8"/>
      <c r="K63040" s="8"/>
      <c r="L63040" s="8"/>
      <c r="M63040" s="8"/>
      <c r="N63040" s="8"/>
      <c r="O63040" s="8"/>
      <c r="P63040" s="8"/>
      <c r="Q63040" s="8"/>
      <c r="R63040" s="103"/>
      <c r="S63040" s="8"/>
      <c r="T63040" s="8"/>
      <c r="U63040" s="8"/>
      <c r="V63040" s="8"/>
      <c r="W63040" s="8"/>
      <c r="X63040" s="8"/>
      <c r="Y63040" s="8"/>
      <c r="Z63040" s="8"/>
      <c r="AA63040" s="8"/>
    </row>
    <row r="63041" spans="1:27" x14ac:dyDescent="0.25">
      <c r="A63041" s="8"/>
      <c r="B63041" s="8"/>
      <c r="C63041" s="99"/>
      <c r="D63041" s="8"/>
      <c r="E63041" s="8"/>
      <c r="F63041" s="8"/>
      <c r="G63041" s="8"/>
      <c r="H63041" s="8"/>
      <c r="I63041" s="102"/>
      <c r="J63041" s="8"/>
      <c r="K63041" s="8"/>
      <c r="L63041" s="8"/>
      <c r="M63041" s="8"/>
      <c r="N63041" s="8"/>
      <c r="O63041" s="8"/>
      <c r="P63041" s="8"/>
      <c r="Q63041" s="8"/>
      <c r="R63041" s="103"/>
      <c r="S63041" s="8"/>
      <c r="T63041" s="8"/>
      <c r="U63041" s="8"/>
      <c r="V63041" s="8"/>
      <c r="W63041" s="8"/>
      <c r="X63041" s="8"/>
      <c r="Y63041" s="8"/>
      <c r="Z63041" s="8"/>
      <c r="AA63041" s="8"/>
    </row>
    <row r="63042" spans="1:27" x14ac:dyDescent="0.25">
      <c r="A63042" s="8"/>
      <c r="B63042" s="8"/>
      <c r="C63042" s="99"/>
      <c r="D63042" s="8"/>
      <c r="E63042" s="8"/>
      <c r="F63042" s="8"/>
      <c r="G63042" s="8"/>
      <c r="H63042" s="8"/>
      <c r="I63042" s="102"/>
      <c r="J63042" s="8"/>
      <c r="K63042" s="8"/>
      <c r="L63042" s="8"/>
      <c r="M63042" s="8"/>
      <c r="N63042" s="8"/>
      <c r="O63042" s="8"/>
      <c r="P63042" s="8"/>
      <c r="Q63042" s="8"/>
      <c r="R63042" s="103"/>
      <c r="S63042" s="8"/>
      <c r="T63042" s="8"/>
      <c r="U63042" s="8"/>
      <c r="V63042" s="8"/>
      <c r="W63042" s="8"/>
      <c r="X63042" s="8"/>
      <c r="Y63042" s="8"/>
      <c r="Z63042" s="8"/>
      <c r="AA63042" s="8"/>
    </row>
    <row r="63043" spans="1:27" x14ac:dyDescent="0.25">
      <c r="A63043" s="8"/>
      <c r="B63043" s="8"/>
      <c r="C63043" s="99"/>
      <c r="D63043" s="8"/>
      <c r="E63043" s="8"/>
      <c r="F63043" s="8"/>
      <c r="G63043" s="8"/>
      <c r="H63043" s="8"/>
      <c r="I63043" s="102"/>
      <c r="J63043" s="8"/>
      <c r="K63043" s="8"/>
      <c r="L63043" s="8"/>
      <c r="M63043" s="8"/>
      <c r="N63043" s="8"/>
      <c r="O63043" s="8"/>
      <c r="P63043" s="8"/>
      <c r="Q63043" s="8"/>
      <c r="R63043" s="103"/>
      <c r="S63043" s="8"/>
      <c r="T63043" s="8"/>
      <c r="U63043" s="8"/>
      <c r="V63043" s="8"/>
      <c r="W63043" s="8"/>
      <c r="X63043" s="8"/>
      <c r="Y63043" s="8"/>
      <c r="Z63043" s="8"/>
      <c r="AA63043" s="8"/>
    </row>
    <row r="63044" spans="1:27" x14ac:dyDescent="0.25">
      <c r="A63044" s="8"/>
      <c r="B63044" s="8"/>
      <c r="C63044" s="99"/>
      <c r="D63044" s="8"/>
      <c r="E63044" s="8"/>
      <c r="F63044" s="8"/>
      <c r="G63044" s="8"/>
      <c r="H63044" s="8"/>
      <c r="I63044" s="102"/>
      <c r="J63044" s="8"/>
      <c r="K63044" s="8"/>
      <c r="L63044" s="8"/>
      <c r="M63044" s="8"/>
      <c r="N63044" s="8"/>
      <c r="O63044" s="8"/>
      <c r="P63044" s="8"/>
      <c r="Q63044" s="8"/>
      <c r="R63044" s="103"/>
      <c r="S63044" s="8"/>
      <c r="T63044" s="8"/>
      <c r="U63044" s="8"/>
      <c r="V63044" s="8"/>
      <c r="W63044" s="8"/>
      <c r="X63044" s="8"/>
      <c r="Y63044" s="8"/>
      <c r="Z63044" s="8"/>
      <c r="AA63044" s="8"/>
    </row>
    <row r="63045" spans="1:27" x14ac:dyDescent="0.25">
      <c r="A63045" s="8"/>
      <c r="B63045" s="8"/>
      <c r="C63045" s="99"/>
      <c r="D63045" s="8"/>
      <c r="E63045" s="8"/>
      <c r="F63045" s="8"/>
      <c r="G63045" s="8"/>
      <c r="H63045" s="8"/>
      <c r="I63045" s="102"/>
      <c r="J63045" s="8"/>
      <c r="K63045" s="8"/>
      <c r="L63045" s="8"/>
      <c r="M63045" s="8"/>
      <c r="N63045" s="8"/>
      <c r="O63045" s="8"/>
      <c r="P63045" s="8"/>
      <c r="Q63045" s="8"/>
      <c r="R63045" s="103"/>
      <c r="S63045" s="8"/>
      <c r="T63045" s="8"/>
      <c r="U63045" s="8"/>
      <c r="V63045" s="8"/>
      <c r="W63045" s="8"/>
      <c r="X63045" s="8"/>
      <c r="Y63045" s="8"/>
      <c r="Z63045" s="8"/>
      <c r="AA63045" s="8"/>
    </row>
    <row r="63046" spans="1:27" x14ac:dyDescent="0.25">
      <c r="A63046" s="8"/>
      <c r="B63046" s="8"/>
      <c r="C63046" s="99"/>
      <c r="D63046" s="8"/>
      <c r="E63046" s="8"/>
      <c r="F63046" s="8"/>
      <c r="G63046" s="8"/>
      <c r="H63046" s="8"/>
      <c r="I63046" s="102"/>
      <c r="J63046" s="8"/>
      <c r="K63046" s="8"/>
      <c r="L63046" s="8"/>
      <c r="M63046" s="8"/>
      <c r="N63046" s="8"/>
      <c r="O63046" s="8"/>
      <c r="P63046" s="8"/>
      <c r="Q63046" s="8"/>
      <c r="R63046" s="103"/>
      <c r="S63046" s="8"/>
      <c r="T63046" s="8"/>
      <c r="U63046" s="8"/>
      <c r="V63046" s="8"/>
      <c r="W63046" s="8"/>
      <c r="X63046" s="8"/>
      <c r="Y63046" s="8"/>
      <c r="Z63046" s="8"/>
      <c r="AA63046" s="8"/>
    </row>
    <row r="63047" spans="1:27" x14ac:dyDescent="0.25">
      <c r="A63047" s="8"/>
      <c r="B63047" s="8"/>
      <c r="C63047" s="99"/>
      <c r="D63047" s="8"/>
      <c r="E63047" s="8"/>
      <c r="F63047" s="8"/>
      <c r="G63047" s="8"/>
      <c r="H63047" s="8"/>
      <c r="I63047" s="102"/>
      <c r="J63047" s="8"/>
      <c r="K63047" s="8"/>
      <c r="L63047" s="8"/>
      <c r="M63047" s="8"/>
      <c r="N63047" s="8"/>
      <c r="O63047" s="8"/>
      <c r="P63047" s="8"/>
      <c r="Q63047" s="8"/>
      <c r="R63047" s="103"/>
      <c r="S63047" s="8"/>
      <c r="T63047" s="8"/>
      <c r="U63047" s="8"/>
      <c r="V63047" s="8"/>
      <c r="W63047" s="8"/>
      <c r="X63047" s="8"/>
      <c r="Y63047" s="8"/>
      <c r="Z63047" s="8"/>
      <c r="AA63047" s="8"/>
    </row>
    <row r="63048" spans="1:27" x14ac:dyDescent="0.25">
      <c r="A63048" s="8"/>
      <c r="B63048" s="8"/>
      <c r="C63048" s="99"/>
      <c r="D63048" s="8"/>
      <c r="E63048" s="8"/>
      <c r="F63048" s="8"/>
      <c r="G63048" s="8"/>
      <c r="H63048" s="8"/>
      <c r="I63048" s="102"/>
      <c r="J63048" s="8"/>
      <c r="K63048" s="8"/>
      <c r="L63048" s="8"/>
      <c r="M63048" s="8"/>
      <c r="N63048" s="8"/>
      <c r="O63048" s="8"/>
      <c r="P63048" s="8"/>
      <c r="Q63048" s="8"/>
      <c r="R63048" s="103"/>
      <c r="S63048" s="8"/>
      <c r="T63048" s="8"/>
      <c r="U63048" s="8"/>
      <c r="V63048" s="8"/>
      <c r="W63048" s="8"/>
      <c r="X63048" s="8"/>
      <c r="Y63048" s="8"/>
      <c r="Z63048" s="8"/>
      <c r="AA63048" s="8"/>
    </row>
    <row r="63049" spans="1:27" x14ac:dyDescent="0.25">
      <c r="A63049" s="8"/>
      <c r="B63049" s="8"/>
      <c r="C63049" s="99"/>
      <c r="D63049" s="8"/>
      <c r="E63049" s="8"/>
      <c r="F63049" s="8"/>
      <c r="G63049" s="8"/>
      <c r="H63049" s="8"/>
      <c r="I63049" s="102"/>
      <c r="J63049" s="8"/>
      <c r="K63049" s="8"/>
      <c r="L63049" s="8"/>
      <c r="M63049" s="8"/>
      <c r="N63049" s="8"/>
      <c r="O63049" s="8"/>
      <c r="P63049" s="8"/>
      <c r="Q63049" s="8"/>
      <c r="R63049" s="103"/>
      <c r="S63049" s="8"/>
      <c r="T63049" s="8"/>
      <c r="U63049" s="8"/>
      <c r="V63049" s="8"/>
      <c r="W63049" s="8"/>
      <c r="X63049" s="8"/>
      <c r="Y63049" s="8"/>
      <c r="Z63049" s="8"/>
      <c r="AA63049" s="8"/>
    </row>
    <row r="63050" spans="1:27" x14ac:dyDescent="0.25">
      <c r="A63050" s="8"/>
      <c r="B63050" s="8"/>
      <c r="C63050" s="99"/>
      <c r="D63050" s="8"/>
      <c r="E63050" s="8"/>
      <c r="F63050" s="8"/>
      <c r="G63050" s="8"/>
      <c r="H63050" s="8"/>
      <c r="I63050" s="102"/>
      <c r="J63050" s="8"/>
      <c r="K63050" s="8"/>
      <c r="L63050" s="8"/>
      <c r="M63050" s="8"/>
      <c r="N63050" s="8"/>
      <c r="O63050" s="8"/>
      <c r="P63050" s="8"/>
      <c r="Q63050" s="8"/>
      <c r="R63050" s="103"/>
      <c r="S63050" s="8"/>
      <c r="T63050" s="8"/>
      <c r="U63050" s="8"/>
      <c r="V63050" s="8"/>
      <c r="W63050" s="8"/>
      <c r="X63050" s="8"/>
      <c r="Y63050" s="8"/>
      <c r="Z63050" s="8"/>
      <c r="AA63050" s="8"/>
    </row>
    <row r="63051" spans="1:27" x14ac:dyDescent="0.25">
      <c r="A63051" s="8"/>
      <c r="B63051" s="8"/>
      <c r="C63051" s="99"/>
      <c r="D63051" s="8"/>
      <c r="E63051" s="8"/>
      <c r="F63051" s="8"/>
      <c r="G63051" s="8"/>
      <c r="H63051" s="8"/>
      <c r="I63051" s="102"/>
      <c r="J63051" s="8"/>
      <c r="K63051" s="8"/>
      <c r="L63051" s="8"/>
      <c r="M63051" s="8"/>
      <c r="N63051" s="8"/>
      <c r="O63051" s="8"/>
      <c r="P63051" s="8"/>
      <c r="Q63051" s="8"/>
      <c r="R63051" s="103"/>
      <c r="S63051" s="8"/>
      <c r="T63051" s="8"/>
      <c r="U63051" s="8"/>
      <c r="V63051" s="8"/>
      <c r="W63051" s="8"/>
      <c r="X63051" s="8"/>
      <c r="Y63051" s="8"/>
      <c r="Z63051" s="8"/>
      <c r="AA63051" s="8"/>
    </row>
    <row r="63052" spans="1:27" x14ac:dyDescent="0.25">
      <c r="A63052" s="8"/>
      <c r="B63052" s="8"/>
      <c r="C63052" s="99"/>
      <c r="D63052" s="8"/>
      <c r="E63052" s="8"/>
      <c r="F63052" s="8"/>
      <c r="G63052" s="8"/>
      <c r="H63052" s="8"/>
      <c r="I63052" s="102"/>
      <c r="J63052" s="8"/>
      <c r="K63052" s="8"/>
      <c r="L63052" s="8"/>
      <c r="M63052" s="8"/>
      <c r="N63052" s="8"/>
      <c r="O63052" s="8"/>
      <c r="P63052" s="8"/>
      <c r="Q63052" s="8"/>
      <c r="R63052" s="103"/>
      <c r="S63052" s="8"/>
      <c r="T63052" s="8"/>
      <c r="U63052" s="8"/>
      <c r="V63052" s="8"/>
      <c r="W63052" s="8"/>
      <c r="X63052" s="8"/>
      <c r="Y63052" s="8"/>
      <c r="Z63052" s="8"/>
      <c r="AA63052" s="8"/>
    </row>
    <row r="63053" spans="1:27" x14ac:dyDescent="0.25">
      <c r="A63053" s="8"/>
      <c r="B63053" s="8"/>
      <c r="C63053" s="99"/>
      <c r="D63053" s="8"/>
      <c r="E63053" s="8"/>
      <c r="F63053" s="8"/>
      <c r="G63053" s="8"/>
      <c r="H63053" s="8"/>
      <c r="I63053" s="102"/>
      <c r="J63053" s="8"/>
      <c r="K63053" s="8"/>
      <c r="L63053" s="8"/>
      <c r="M63053" s="8"/>
      <c r="N63053" s="8"/>
      <c r="O63053" s="8"/>
      <c r="P63053" s="8"/>
      <c r="Q63053" s="8"/>
      <c r="R63053" s="103"/>
      <c r="S63053" s="8"/>
      <c r="T63053" s="8"/>
      <c r="U63053" s="8"/>
      <c r="V63053" s="8"/>
      <c r="W63053" s="8"/>
      <c r="X63053" s="8"/>
      <c r="Y63053" s="8"/>
      <c r="Z63053" s="8"/>
      <c r="AA63053" s="8"/>
    </row>
    <row r="63054" spans="1:27" x14ac:dyDescent="0.25">
      <c r="A63054" s="8"/>
      <c r="B63054" s="8"/>
      <c r="C63054" s="99"/>
      <c r="D63054" s="8"/>
      <c r="E63054" s="8"/>
      <c r="F63054" s="8"/>
      <c r="G63054" s="8"/>
      <c r="H63054" s="8"/>
      <c r="I63054" s="102"/>
      <c r="J63054" s="8"/>
      <c r="K63054" s="8"/>
      <c r="L63054" s="8"/>
      <c r="M63054" s="8"/>
      <c r="N63054" s="8"/>
      <c r="O63054" s="8"/>
      <c r="P63054" s="8"/>
      <c r="Q63054" s="8"/>
      <c r="R63054" s="103"/>
      <c r="S63054" s="8"/>
      <c r="T63054" s="8"/>
      <c r="U63054" s="8"/>
      <c r="V63054" s="8"/>
      <c r="W63054" s="8"/>
      <c r="X63054" s="8"/>
      <c r="Y63054" s="8"/>
      <c r="Z63054" s="8"/>
      <c r="AA63054" s="8"/>
    </row>
    <row r="63055" spans="1:27" x14ac:dyDescent="0.25">
      <c r="A63055" s="8"/>
      <c r="B63055" s="8"/>
      <c r="C63055" s="99"/>
      <c r="D63055" s="8"/>
      <c r="E63055" s="8"/>
      <c r="F63055" s="8"/>
      <c r="G63055" s="8"/>
      <c r="H63055" s="8"/>
      <c r="I63055" s="102"/>
      <c r="J63055" s="8"/>
      <c r="K63055" s="8"/>
      <c r="L63055" s="8"/>
      <c r="M63055" s="8"/>
      <c r="N63055" s="8"/>
      <c r="O63055" s="8"/>
      <c r="P63055" s="8"/>
      <c r="Q63055" s="8"/>
      <c r="R63055" s="103"/>
      <c r="S63055" s="8"/>
      <c r="T63055" s="8"/>
      <c r="U63055" s="8"/>
      <c r="V63055" s="8"/>
      <c r="W63055" s="8"/>
      <c r="X63055" s="8"/>
      <c r="Y63055" s="8"/>
      <c r="Z63055" s="8"/>
      <c r="AA63055" s="8"/>
    </row>
    <row r="63056" spans="1:27" x14ac:dyDescent="0.25">
      <c r="A63056" s="8"/>
      <c r="B63056" s="8"/>
      <c r="C63056" s="99"/>
      <c r="D63056" s="8"/>
      <c r="E63056" s="8"/>
      <c r="F63056" s="8"/>
      <c r="G63056" s="8"/>
      <c r="H63056" s="8"/>
      <c r="I63056" s="102"/>
      <c r="J63056" s="8"/>
      <c r="K63056" s="8"/>
      <c r="L63056" s="8"/>
      <c r="M63056" s="8"/>
      <c r="N63056" s="8"/>
      <c r="O63056" s="8"/>
      <c r="P63056" s="8"/>
      <c r="Q63056" s="8"/>
      <c r="R63056" s="103"/>
      <c r="S63056" s="8"/>
      <c r="T63056" s="8"/>
      <c r="U63056" s="8"/>
      <c r="V63056" s="8"/>
      <c r="W63056" s="8"/>
      <c r="X63056" s="8"/>
      <c r="Y63056" s="8"/>
      <c r="Z63056" s="8"/>
      <c r="AA63056" s="8"/>
    </row>
    <row r="63057" spans="1:27" x14ac:dyDescent="0.25">
      <c r="A63057" s="8"/>
      <c r="B63057" s="8"/>
      <c r="C63057" s="99"/>
      <c r="D63057" s="8"/>
      <c r="E63057" s="8"/>
      <c r="F63057" s="8"/>
      <c r="G63057" s="8"/>
      <c r="H63057" s="8"/>
      <c r="I63057" s="102"/>
      <c r="J63057" s="8"/>
      <c r="K63057" s="8"/>
      <c r="L63057" s="8"/>
      <c r="M63057" s="8"/>
      <c r="N63057" s="8"/>
      <c r="O63057" s="8"/>
      <c r="P63057" s="8"/>
      <c r="Q63057" s="8"/>
      <c r="R63057" s="103"/>
      <c r="S63057" s="8"/>
      <c r="T63057" s="8"/>
      <c r="U63057" s="8"/>
      <c r="V63057" s="8"/>
      <c r="W63057" s="8"/>
      <c r="X63057" s="8"/>
      <c r="Y63057" s="8"/>
      <c r="Z63057" s="8"/>
      <c r="AA63057" s="8"/>
    </row>
    <row r="63058" spans="1:27" x14ac:dyDescent="0.25">
      <c r="A63058" s="8"/>
      <c r="B63058" s="8"/>
      <c r="C63058" s="99"/>
      <c r="D63058" s="8"/>
      <c r="E63058" s="8"/>
      <c r="F63058" s="8"/>
      <c r="G63058" s="8"/>
      <c r="H63058" s="8"/>
      <c r="I63058" s="102"/>
      <c r="J63058" s="8"/>
      <c r="K63058" s="8"/>
      <c r="L63058" s="8"/>
      <c r="M63058" s="8"/>
      <c r="N63058" s="8"/>
      <c r="O63058" s="8"/>
      <c r="P63058" s="8"/>
      <c r="Q63058" s="8"/>
      <c r="R63058" s="103"/>
      <c r="S63058" s="8"/>
      <c r="T63058" s="8"/>
      <c r="U63058" s="8"/>
      <c r="V63058" s="8"/>
      <c r="W63058" s="8"/>
      <c r="X63058" s="8"/>
      <c r="Y63058" s="8"/>
      <c r="Z63058" s="8"/>
      <c r="AA63058" s="8"/>
    </row>
    <row r="63059" spans="1:27" x14ac:dyDescent="0.25">
      <c r="A63059" s="8"/>
      <c r="B63059" s="8"/>
      <c r="C63059" s="99"/>
      <c r="D63059" s="8"/>
      <c r="E63059" s="8"/>
      <c r="F63059" s="8"/>
      <c r="G63059" s="8"/>
      <c r="H63059" s="8"/>
      <c r="I63059" s="102"/>
      <c r="J63059" s="8"/>
      <c r="K63059" s="8"/>
      <c r="L63059" s="8"/>
      <c r="M63059" s="8"/>
      <c r="N63059" s="8"/>
      <c r="O63059" s="8"/>
      <c r="P63059" s="8"/>
      <c r="Q63059" s="8"/>
      <c r="R63059" s="103"/>
      <c r="S63059" s="8"/>
      <c r="T63059" s="8"/>
      <c r="U63059" s="8"/>
      <c r="V63059" s="8"/>
      <c r="W63059" s="8"/>
      <c r="X63059" s="8"/>
      <c r="Y63059" s="8"/>
      <c r="Z63059" s="8"/>
      <c r="AA63059" s="8"/>
    </row>
    <row r="63060" spans="1:27" x14ac:dyDescent="0.25">
      <c r="A63060" s="8"/>
      <c r="B63060" s="8"/>
      <c r="C63060" s="99"/>
      <c r="D63060" s="8"/>
      <c r="E63060" s="8"/>
      <c r="F63060" s="8"/>
      <c r="G63060" s="8"/>
      <c r="H63060" s="8"/>
      <c r="I63060" s="102"/>
      <c r="J63060" s="8"/>
      <c r="K63060" s="8"/>
      <c r="L63060" s="8"/>
      <c r="M63060" s="8"/>
      <c r="N63060" s="8"/>
      <c r="O63060" s="8"/>
      <c r="P63060" s="8"/>
      <c r="Q63060" s="8"/>
      <c r="R63060" s="103"/>
      <c r="S63060" s="8"/>
      <c r="T63060" s="8"/>
      <c r="U63060" s="8"/>
      <c r="V63060" s="8"/>
      <c r="W63060" s="8"/>
      <c r="X63060" s="8"/>
      <c r="Y63060" s="8"/>
      <c r="Z63060" s="8"/>
      <c r="AA63060" s="8"/>
    </row>
    <row r="63061" spans="1:27" x14ac:dyDescent="0.25">
      <c r="A63061" s="8"/>
      <c r="B63061" s="8"/>
      <c r="C63061" s="99"/>
      <c r="D63061" s="8"/>
      <c r="E63061" s="8"/>
      <c r="F63061" s="8"/>
      <c r="G63061" s="8"/>
      <c r="H63061" s="8"/>
      <c r="I63061" s="102"/>
      <c r="J63061" s="8"/>
      <c r="K63061" s="8"/>
      <c r="L63061" s="8"/>
      <c r="M63061" s="8"/>
      <c r="N63061" s="8"/>
      <c r="O63061" s="8"/>
      <c r="P63061" s="8"/>
      <c r="Q63061" s="8"/>
      <c r="R63061" s="103"/>
      <c r="S63061" s="8"/>
      <c r="T63061" s="8"/>
      <c r="U63061" s="8"/>
      <c r="V63061" s="8"/>
      <c r="W63061" s="8"/>
      <c r="X63061" s="8"/>
      <c r="Y63061" s="8"/>
      <c r="Z63061" s="8"/>
      <c r="AA63061" s="8"/>
    </row>
    <row r="63062" spans="1:27" x14ac:dyDescent="0.25">
      <c r="A63062" s="8"/>
      <c r="B63062" s="8"/>
      <c r="C63062" s="99"/>
      <c r="D63062" s="8"/>
      <c r="E63062" s="8"/>
      <c r="F63062" s="8"/>
      <c r="G63062" s="8"/>
      <c r="H63062" s="8"/>
      <c r="I63062" s="102"/>
      <c r="J63062" s="8"/>
      <c r="K63062" s="8"/>
      <c r="L63062" s="8"/>
      <c r="M63062" s="8"/>
      <c r="N63062" s="8"/>
      <c r="O63062" s="8"/>
      <c r="P63062" s="8"/>
      <c r="Q63062" s="8"/>
      <c r="R63062" s="103"/>
      <c r="S63062" s="8"/>
      <c r="T63062" s="8"/>
      <c r="U63062" s="8"/>
      <c r="V63062" s="8"/>
      <c r="W63062" s="8"/>
      <c r="X63062" s="8"/>
      <c r="Y63062" s="8"/>
      <c r="Z63062" s="8"/>
      <c r="AA63062" s="8"/>
    </row>
    <row r="63063" spans="1:27" x14ac:dyDescent="0.25">
      <c r="A63063" s="8"/>
      <c r="B63063" s="8"/>
      <c r="C63063" s="99"/>
      <c r="D63063" s="8"/>
      <c r="E63063" s="8"/>
      <c r="F63063" s="8"/>
      <c r="G63063" s="8"/>
      <c r="H63063" s="8"/>
      <c r="I63063" s="102"/>
      <c r="J63063" s="8"/>
      <c r="K63063" s="8"/>
      <c r="L63063" s="8"/>
      <c r="M63063" s="8"/>
      <c r="N63063" s="8"/>
      <c r="O63063" s="8"/>
      <c r="P63063" s="8"/>
      <c r="Q63063" s="8"/>
      <c r="R63063" s="103"/>
      <c r="S63063" s="8"/>
      <c r="T63063" s="8"/>
      <c r="U63063" s="8"/>
      <c r="V63063" s="8"/>
      <c r="W63063" s="8"/>
      <c r="X63063" s="8"/>
      <c r="Y63063" s="8"/>
      <c r="Z63063" s="8"/>
      <c r="AA63063" s="8"/>
    </row>
    <row r="63064" spans="1:27" x14ac:dyDescent="0.25">
      <c r="A63064" s="8"/>
      <c r="B63064" s="8"/>
      <c r="C63064" s="99"/>
      <c r="D63064" s="8"/>
      <c r="E63064" s="8"/>
      <c r="F63064" s="8"/>
      <c r="G63064" s="8"/>
      <c r="H63064" s="8"/>
      <c r="I63064" s="102"/>
      <c r="J63064" s="8"/>
      <c r="K63064" s="8"/>
      <c r="L63064" s="8"/>
      <c r="M63064" s="8"/>
      <c r="N63064" s="8"/>
      <c r="O63064" s="8"/>
      <c r="P63064" s="8"/>
      <c r="Q63064" s="8"/>
      <c r="R63064" s="103"/>
      <c r="S63064" s="8"/>
      <c r="T63064" s="8"/>
      <c r="U63064" s="8"/>
      <c r="V63064" s="8"/>
      <c r="W63064" s="8"/>
      <c r="X63064" s="8"/>
      <c r="Y63064" s="8"/>
      <c r="Z63064" s="8"/>
      <c r="AA63064" s="8"/>
    </row>
    <row r="63065" spans="1:27" x14ac:dyDescent="0.25">
      <c r="A63065" s="8"/>
      <c r="B63065" s="8"/>
      <c r="C63065" s="99"/>
      <c r="D63065" s="8"/>
      <c r="E63065" s="8"/>
      <c r="F63065" s="8"/>
      <c r="G63065" s="8"/>
      <c r="H63065" s="8"/>
      <c r="I63065" s="102"/>
      <c r="J63065" s="8"/>
      <c r="K63065" s="8"/>
      <c r="L63065" s="8"/>
      <c r="M63065" s="8"/>
      <c r="N63065" s="8"/>
      <c r="O63065" s="8"/>
      <c r="P63065" s="8"/>
      <c r="Q63065" s="8"/>
      <c r="R63065" s="103"/>
      <c r="S63065" s="8"/>
      <c r="T63065" s="8"/>
      <c r="U63065" s="8"/>
      <c r="V63065" s="8"/>
      <c r="W63065" s="8"/>
      <c r="X63065" s="8"/>
      <c r="Y63065" s="8"/>
      <c r="Z63065" s="8"/>
      <c r="AA63065" s="8"/>
    </row>
    <row r="63066" spans="1:27" x14ac:dyDescent="0.25">
      <c r="A63066" s="8"/>
      <c r="B63066" s="8"/>
      <c r="C63066" s="99"/>
      <c r="D63066" s="8"/>
      <c r="E63066" s="8"/>
      <c r="F63066" s="8"/>
      <c r="G63066" s="8"/>
      <c r="H63066" s="8"/>
      <c r="I63066" s="102"/>
      <c r="J63066" s="8"/>
      <c r="K63066" s="8"/>
      <c r="L63066" s="8"/>
      <c r="M63066" s="8"/>
      <c r="N63066" s="8"/>
      <c r="O63066" s="8"/>
      <c r="P63066" s="8"/>
      <c r="Q63066" s="8"/>
      <c r="R63066" s="103"/>
      <c r="S63066" s="8"/>
      <c r="T63066" s="8"/>
      <c r="U63066" s="8"/>
      <c r="V63066" s="8"/>
      <c r="W63066" s="8"/>
      <c r="X63066" s="8"/>
      <c r="Y63066" s="8"/>
      <c r="Z63066" s="8"/>
      <c r="AA63066" s="8"/>
    </row>
    <row r="63067" spans="1:27" x14ac:dyDescent="0.25">
      <c r="A63067" s="8"/>
      <c r="B63067" s="8"/>
      <c r="C63067" s="99"/>
      <c r="D63067" s="8"/>
      <c r="E63067" s="8"/>
      <c r="F63067" s="8"/>
      <c r="G63067" s="8"/>
      <c r="H63067" s="8"/>
      <c r="I63067" s="102"/>
      <c r="J63067" s="8"/>
      <c r="K63067" s="8"/>
      <c r="L63067" s="8"/>
      <c r="M63067" s="8"/>
      <c r="N63067" s="8"/>
      <c r="O63067" s="8"/>
      <c r="P63067" s="8"/>
      <c r="Q63067" s="8"/>
      <c r="R63067" s="103"/>
      <c r="S63067" s="8"/>
      <c r="T63067" s="8"/>
      <c r="U63067" s="8"/>
      <c r="V63067" s="8"/>
      <c r="W63067" s="8"/>
      <c r="X63067" s="8"/>
      <c r="Y63067" s="8"/>
      <c r="Z63067" s="8"/>
      <c r="AA63067" s="8"/>
    </row>
    <row r="63068" spans="1:27" x14ac:dyDescent="0.25">
      <c r="A63068" s="8"/>
      <c r="B63068" s="8"/>
      <c r="C63068" s="99"/>
      <c r="D63068" s="8"/>
      <c r="E63068" s="8"/>
      <c r="F63068" s="8"/>
      <c r="G63068" s="8"/>
      <c r="H63068" s="8"/>
      <c r="I63068" s="102"/>
      <c r="J63068" s="8"/>
      <c r="K63068" s="8"/>
      <c r="L63068" s="8"/>
      <c r="M63068" s="8"/>
      <c r="N63068" s="8"/>
      <c r="O63068" s="8"/>
      <c r="P63068" s="8"/>
      <c r="Q63068" s="8"/>
      <c r="R63068" s="103"/>
      <c r="S63068" s="8"/>
      <c r="T63068" s="8"/>
      <c r="U63068" s="8"/>
      <c r="V63068" s="8"/>
      <c r="W63068" s="8"/>
      <c r="X63068" s="8"/>
      <c r="Y63068" s="8"/>
      <c r="Z63068" s="8"/>
      <c r="AA63068" s="8"/>
    </row>
    <row r="63069" spans="1:27" x14ac:dyDescent="0.25">
      <c r="A63069" s="8"/>
      <c r="B63069" s="8"/>
      <c r="C63069" s="99"/>
      <c r="D63069" s="8"/>
      <c r="E63069" s="8"/>
      <c r="F63069" s="8"/>
      <c r="G63069" s="8"/>
      <c r="H63069" s="8"/>
      <c r="I63069" s="102"/>
      <c r="J63069" s="8"/>
      <c r="K63069" s="8"/>
      <c r="L63069" s="8"/>
      <c r="M63069" s="8"/>
      <c r="N63069" s="8"/>
      <c r="O63069" s="8"/>
      <c r="P63069" s="8"/>
      <c r="Q63069" s="8"/>
      <c r="R63069" s="103"/>
      <c r="S63069" s="8"/>
      <c r="T63069" s="8"/>
      <c r="U63069" s="8"/>
      <c r="V63069" s="8"/>
      <c r="W63069" s="8"/>
      <c r="X63069" s="8"/>
      <c r="Y63069" s="8"/>
      <c r="Z63069" s="8"/>
      <c r="AA63069" s="8"/>
    </row>
    <row r="63070" spans="1:27" x14ac:dyDescent="0.25">
      <c r="A63070" s="8"/>
      <c r="B63070" s="8"/>
      <c r="C63070" s="99"/>
      <c r="D63070" s="8"/>
      <c r="E63070" s="8"/>
      <c r="F63070" s="8"/>
      <c r="G63070" s="8"/>
      <c r="H63070" s="8"/>
      <c r="I63070" s="102"/>
      <c r="J63070" s="8"/>
      <c r="K63070" s="8"/>
      <c r="L63070" s="8"/>
      <c r="M63070" s="8"/>
      <c r="N63070" s="8"/>
      <c r="O63070" s="8"/>
      <c r="P63070" s="8"/>
      <c r="Q63070" s="8"/>
      <c r="R63070" s="103"/>
      <c r="S63070" s="8"/>
      <c r="T63070" s="8"/>
      <c r="U63070" s="8"/>
      <c r="V63070" s="8"/>
      <c r="W63070" s="8"/>
      <c r="X63070" s="8"/>
      <c r="Y63070" s="8"/>
      <c r="Z63070" s="8"/>
      <c r="AA63070" s="8"/>
    </row>
    <row r="63071" spans="1:27" x14ac:dyDescent="0.25">
      <c r="A63071" s="8"/>
      <c r="B63071" s="8"/>
      <c r="C63071" s="99"/>
      <c r="D63071" s="8"/>
      <c r="E63071" s="8"/>
      <c r="F63071" s="8"/>
      <c r="G63071" s="8"/>
      <c r="H63071" s="8"/>
      <c r="I63071" s="102"/>
      <c r="J63071" s="8"/>
      <c r="K63071" s="8"/>
      <c r="L63071" s="8"/>
      <c r="M63071" s="8"/>
      <c r="N63071" s="8"/>
      <c r="O63071" s="8"/>
      <c r="P63071" s="8"/>
      <c r="Q63071" s="8"/>
      <c r="R63071" s="103"/>
      <c r="S63071" s="8"/>
      <c r="T63071" s="8"/>
      <c r="U63071" s="8"/>
      <c r="V63071" s="8"/>
      <c r="W63071" s="8"/>
      <c r="X63071" s="8"/>
      <c r="Y63071" s="8"/>
      <c r="Z63071" s="8"/>
      <c r="AA63071" s="8"/>
    </row>
    <row r="63072" spans="1:27" x14ac:dyDescent="0.25">
      <c r="A63072" s="8"/>
      <c r="B63072" s="8"/>
      <c r="C63072" s="99"/>
      <c r="D63072" s="8"/>
      <c r="E63072" s="8"/>
      <c r="F63072" s="8"/>
      <c r="G63072" s="8"/>
      <c r="H63072" s="8"/>
      <c r="I63072" s="102"/>
      <c r="J63072" s="8"/>
      <c r="K63072" s="8"/>
      <c r="L63072" s="8"/>
      <c r="M63072" s="8"/>
      <c r="N63072" s="8"/>
      <c r="O63072" s="8"/>
      <c r="P63072" s="8"/>
      <c r="Q63072" s="8"/>
      <c r="R63072" s="103"/>
      <c r="S63072" s="8"/>
      <c r="T63072" s="8"/>
      <c r="U63072" s="8"/>
      <c r="V63072" s="8"/>
      <c r="W63072" s="8"/>
      <c r="X63072" s="8"/>
      <c r="Y63072" s="8"/>
      <c r="Z63072" s="8"/>
      <c r="AA63072" s="8"/>
    </row>
    <row r="63073" spans="1:27" x14ac:dyDescent="0.25">
      <c r="A63073" s="8"/>
      <c r="B63073" s="8"/>
      <c r="C63073" s="99"/>
      <c r="D63073" s="8"/>
      <c r="E63073" s="8"/>
      <c r="F63073" s="8"/>
      <c r="G63073" s="8"/>
      <c r="H63073" s="8"/>
      <c r="I63073" s="102"/>
      <c r="J63073" s="8"/>
      <c r="K63073" s="8"/>
      <c r="L63073" s="8"/>
      <c r="M63073" s="8"/>
      <c r="N63073" s="8"/>
      <c r="O63073" s="8"/>
      <c r="P63073" s="8"/>
      <c r="Q63073" s="8"/>
      <c r="R63073" s="103"/>
      <c r="S63073" s="8"/>
      <c r="T63073" s="8"/>
      <c r="U63073" s="8"/>
      <c r="V63073" s="8"/>
      <c r="W63073" s="8"/>
      <c r="X63073" s="8"/>
      <c r="Y63073" s="8"/>
      <c r="Z63073" s="8"/>
      <c r="AA63073" s="8"/>
    </row>
    <row r="63074" spans="1:27" x14ac:dyDescent="0.25">
      <c r="A63074" s="8"/>
      <c r="B63074" s="8"/>
      <c r="C63074" s="99"/>
      <c r="D63074" s="8"/>
      <c r="E63074" s="8"/>
      <c r="F63074" s="8"/>
      <c r="G63074" s="8"/>
      <c r="H63074" s="8"/>
      <c r="I63074" s="102"/>
      <c r="J63074" s="8"/>
      <c r="K63074" s="8"/>
      <c r="L63074" s="8"/>
      <c r="M63074" s="8"/>
      <c r="N63074" s="8"/>
      <c r="O63074" s="8"/>
      <c r="P63074" s="8"/>
      <c r="Q63074" s="8"/>
      <c r="R63074" s="103"/>
      <c r="S63074" s="8"/>
      <c r="T63074" s="8"/>
      <c r="U63074" s="8"/>
      <c r="V63074" s="8"/>
      <c r="W63074" s="8"/>
      <c r="X63074" s="8"/>
      <c r="Y63074" s="8"/>
      <c r="Z63074" s="8"/>
      <c r="AA63074" s="8"/>
    </row>
    <row r="63075" spans="1:27" x14ac:dyDescent="0.25">
      <c r="A63075" s="8"/>
      <c r="B63075" s="8"/>
      <c r="C63075" s="99"/>
      <c r="D63075" s="8"/>
      <c r="E63075" s="8"/>
      <c r="F63075" s="8"/>
      <c r="G63075" s="8"/>
      <c r="H63075" s="8"/>
      <c r="I63075" s="102"/>
      <c r="J63075" s="8"/>
      <c r="K63075" s="8"/>
      <c r="L63075" s="8"/>
      <c r="M63075" s="8"/>
      <c r="N63075" s="8"/>
      <c r="O63075" s="8"/>
      <c r="P63075" s="8"/>
      <c r="Q63075" s="8"/>
      <c r="R63075" s="103"/>
      <c r="S63075" s="8"/>
      <c r="T63075" s="8"/>
      <c r="U63075" s="8"/>
      <c r="V63075" s="8"/>
      <c r="W63075" s="8"/>
      <c r="X63075" s="8"/>
      <c r="Y63075" s="8"/>
      <c r="Z63075" s="8"/>
      <c r="AA63075" s="8"/>
    </row>
    <row r="63076" spans="1:27" x14ac:dyDescent="0.25">
      <c r="A63076" s="8"/>
      <c r="B63076" s="8"/>
      <c r="C63076" s="99"/>
      <c r="D63076" s="8"/>
      <c r="E63076" s="8"/>
      <c r="F63076" s="8"/>
      <c r="G63076" s="8"/>
      <c r="H63076" s="8"/>
      <c r="I63076" s="102"/>
      <c r="J63076" s="8"/>
      <c r="K63076" s="8"/>
      <c r="L63076" s="8"/>
      <c r="M63076" s="8"/>
      <c r="N63076" s="8"/>
      <c r="O63076" s="8"/>
      <c r="P63076" s="8"/>
      <c r="Q63076" s="8"/>
      <c r="R63076" s="103"/>
      <c r="S63076" s="8"/>
      <c r="T63076" s="8"/>
      <c r="U63076" s="8"/>
      <c r="V63076" s="8"/>
      <c r="W63076" s="8"/>
      <c r="X63076" s="8"/>
      <c r="Y63076" s="8"/>
      <c r="Z63076" s="8"/>
      <c r="AA63076" s="8"/>
    </row>
    <row r="63077" spans="1:27" x14ac:dyDescent="0.25">
      <c r="A63077" s="8"/>
      <c r="B63077" s="8"/>
      <c r="C63077" s="99"/>
      <c r="D63077" s="8"/>
      <c r="E63077" s="8"/>
      <c r="F63077" s="8"/>
      <c r="G63077" s="8"/>
      <c r="H63077" s="8"/>
      <c r="I63077" s="102"/>
      <c r="J63077" s="8"/>
      <c r="K63077" s="8"/>
      <c r="L63077" s="8"/>
      <c r="M63077" s="8"/>
      <c r="N63077" s="8"/>
      <c r="O63077" s="8"/>
      <c r="P63077" s="8"/>
      <c r="Q63077" s="8"/>
      <c r="R63077" s="103"/>
      <c r="S63077" s="8"/>
      <c r="T63077" s="8"/>
      <c r="U63077" s="8"/>
      <c r="V63077" s="8"/>
      <c r="W63077" s="8"/>
      <c r="X63077" s="8"/>
      <c r="Y63077" s="8"/>
      <c r="Z63077" s="8"/>
      <c r="AA63077" s="8"/>
    </row>
    <row r="63078" spans="1:27" x14ac:dyDescent="0.25">
      <c r="A63078" s="8"/>
      <c r="B63078" s="8"/>
      <c r="C63078" s="99"/>
      <c r="D63078" s="8"/>
      <c r="E63078" s="8"/>
      <c r="F63078" s="8"/>
      <c r="G63078" s="8"/>
      <c r="H63078" s="8"/>
      <c r="I63078" s="102"/>
      <c r="J63078" s="8"/>
      <c r="K63078" s="8"/>
      <c r="L63078" s="8"/>
      <c r="M63078" s="8"/>
      <c r="N63078" s="8"/>
      <c r="O63078" s="8"/>
      <c r="P63078" s="8"/>
      <c r="Q63078" s="8"/>
      <c r="R63078" s="103"/>
      <c r="S63078" s="8"/>
      <c r="T63078" s="8"/>
      <c r="U63078" s="8"/>
      <c r="V63078" s="8"/>
      <c r="W63078" s="8"/>
      <c r="X63078" s="8"/>
      <c r="Y63078" s="8"/>
      <c r="Z63078" s="8"/>
      <c r="AA63078" s="8"/>
    </row>
    <row r="63079" spans="1:27" x14ac:dyDescent="0.25">
      <c r="A63079" s="8"/>
      <c r="B63079" s="8"/>
      <c r="C63079" s="99"/>
      <c r="D63079" s="8"/>
      <c r="E63079" s="8"/>
      <c r="F63079" s="8"/>
      <c r="G63079" s="8"/>
      <c r="H63079" s="8"/>
      <c r="I63079" s="102"/>
      <c r="J63079" s="8"/>
      <c r="K63079" s="8"/>
      <c r="L63079" s="8"/>
      <c r="M63079" s="8"/>
      <c r="N63079" s="8"/>
      <c r="O63079" s="8"/>
      <c r="P63079" s="8"/>
      <c r="Q63079" s="8"/>
      <c r="R63079" s="103"/>
      <c r="S63079" s="8"/>
      <c r="T63079" s="8"/>
      <c r="U63079" s="8"/>
      <c r="V63079" s="8"/>
      <c r="W63079" s="8"/>
      <c r="X63079" s="8"/>
      <c r="Y63079" s="8"/>
      <c r="Z63079" s="8"/>
      <c r="AA63079" s="8"/>
    </row>
    <row r="63080" spans="1:27" x14ac:dyDescent="0.25">
      <c r="A63080" s="8"/>
      <c r="B63080" s="8"/>
      <c r="C63080" s="99"/>
      <c r="D63080" s="8"/>
      <c r="E63080" s="8"/>
      <c r="F63080" s="8"/>
      <c r="G63080" s="8"/>
      <c r="H63080" s="8"/>
      <c r="I63080" s="102"/>
      <c r="J63080" s="8"/>
      <c r="K63080" s="8"/>
      <c r="L63080" s="8"/>
      <c r="M63080" s="8"/>
      <c r="N63080" s="8"/>
      <c r="O63080" s="8"/>
      <c r="P63080" s="8"/>
      <c r="Q63080" s="8"/>
      <c r="R63080" s="103"/>
      <c r="S63080" s="8"/>
      <c r="T63080" s="8"/>
      <c r="U63080" s="8"/>
      <c r="V63080" s="8"/>
      <c r="W63080" s="8"/>
      <c r="X63080" s="8"/>
      <c r="Y63080" s="8"/>
      <c r="Z63080" s="8"/>
      <c r="AA63080" s="8"/>
    </row>
    <row r="63081" spans="1:27" x14ac:dyDescent="0.25">
      <c r="A63081" s="8"/>
      <c r="B63081" s="8"/>
      <c r="C63081" s="99"/>
      <c r="D63081" s="8"/>
      <c r="E63081" s="8"/>
      <c r="F63081" s="8"/>
      <c r="G63081" s="8"/>
      <c r="H63081" s="8"/>
      <c r="I63081" s="102"/>
      <c r="J63081" s="8"/>
      <c r="K63081" s="8"/>
      <c r="L63081" s="8"/>
      <c r="M63081" s="8"/>
      <c r="N63081" s="8"/>
      <c r="O63081" s="8"/>
      <c r="P63081" s="8"/>
      <c r="Q63081" s="8"/>
      <c r="R63081" s="103"/>
      <c r="S63081" s="8"/>
      <c r="T63081" s="8"/>
      <c r="U63081" s="8"/>
      <c r="V63081" s="8"/>
      <c r="W63081" s="8"/>
      <c r="X63081" s="8"/>
      <c r="Y63081" s="8"/>
      <c r="Z63081" s="8"/>
      <c r="AA63081" s="8"/>
    </row>
    <row r="63082" spans="1:27" x14ac:dyDescent="0.25">
      <c r="A63082" s="8"/>
      <c r="B63082" s="8"/>
      <c r="C63082" s="99"/>
      <c r="D63082" s="8"/>
      <c r="E63082" s="8"/>
      <c r="F63082" s="8"/>
      <c r="G63082" s="8"/>
      <c r="H63082" s="8"/>
      <c r="I63082" s="102"/>
      <c r="J63082" s="8"/>
      <c r="K63082" s="8"/>
      <c r="L63082" s="8"/>
      <c r="M63082" s="8"/>
      <c r="N63082" s="8"/>
      <c r="O63082" s="8"/>
      <c r="P63082" s="8"/>
      <c r="Q63082" s="8"/>
      <c r="R63082" s="103"/>
      <c r="S63082" s="8"/>
      <c r="T63082" s="8"/>
      <c r="U63082" s="8"/>
      <c r="V63082" s="8"/>
      <c r="W63082" s="8"/>
      <c r="X63082" s="8"/>
      <c r="Y63082" s="8"/>
      <c r="Z63082" s="8"/>
      <c r="AA63082" s="8"/>
    </row>
    <row r="63083" spans="1:27" x14ac:dyDescent="0.25">
      <c r="A63083" s="8"/>
      <c r="B63083" s="8"/>
      <c r="C63083" s="99"/>
      <c r="D63083" s="8"/>
      <c r="E63083" s="8"/>
      <c r="F63083" s="8"/>
      <c r="G63083" s="8"/>
      <c r="H63083" s="8"/>
      <c r="I63083" s="102"/>
      <c r="J63083" s="8"/>
      <c r="K63083" s="8"/>
      <c r="L63083" s="8"/>
      <c r="M63083" s="8"/>
      <c r="N63083" s="8"/>
      <c r="O63083" s="8"/>
      <c r="P63083" s="8"/>
      <c r="Q63083" s="8"/>
      <c r="R63083" s="103"/>
      <c r="S63083" s="8"/>
      <c r="T63083" s="8"/>
      <c r="U63083" s="8"/>
      <c r="V63083" s="8"/>
      <c r="W63083" s="8"/>
      <c r="X63083" s="8"/>
      <c r="Y63083" s="8"/>
      <c r="Z63083" s="8"/>
      <c r="AA63083" s="8"/>
    </row>
    <row r="63084" spans="1:27" x14ac:dyDescent="0.25">
      <c r="A63084" s="8"/>
      <c r="B63084" s="8"/>
      <c r="C63084" s="99"/>
      <c r="D63084" s="8"/>
      <c r="E63084" s="8"/>
      <c r="F63084" s="8"/>
      <c r="G63084" s="8"/>
      <c r="H63084" s="8"/>
      <c r="I63084" s="102"/>
      <c r="J63084" s="8"/>
      <c r="K63084" s="8"/>
      <c r="L63084" s="8"/>
      <c r="M63084" s="8"/>
      <c r="N63084" s="8"/>
      <c r="O63084" s="8"/>
      <c r="P63084" s="8"/>
      <c r="Q63084" s="8"/>
      <c r="R63084" s="103"/>
      <c r="S63084" s="8"/>
      <c r="T63084" s="8"/>
      <c r="U63084" s="8"/>
      <c r="V63084" s="8"/>
      <c r="W63084" s="8"/>
      <c r="X63084" s="8"/>
      <c r="Y63084" s="8"/>
      <c r="Z63084" s="8"/>
      <c r="AA63084" s="8"/>
    </row>
    <row r="63085" spans="1:27" x14ac:dyDescent="0.25">
      <c r="A63085" s="8"/>
      <c r="B63085" s="8"/>
      <c r="C63085" s="99"/>
      <c r="D63085" s="8"/>
      <c r="E63085" s="8"/>
      <c r="F63085" s="8"/>
      <c r="G63085" s="8"/>
      <c r="H63085" s="8"/>
      <c r="I63085" s="102"/>
      <c r="J63085" s="8"/>
      <c r="K63085" s="8"/>
      <c r="L63085" s="8"/>
      <c r="M63085" s="8"/>
      <c r="N63085" s="8"/>
      <c r="O63085" s="8"/>
      <c r="P63085" s="8"/>
      <c r="Q63085" s="8"/>
      <c r="R63085" s="103"/>
      <c r="S63085" s="8"/>
      <c r="T63085" s="8"/>
      <c r="U63085" s="8"/>
      <c r="V63085" s="8"/>
      <c r="W63085" s="8"/>
      <c r="X63085" s="8"/>
      <c r="Y63085" s="8"/>
      <c r="Z63085" s="8"/>
      <c r="AA63085" s="8"/>
    </row>
    <row r="63086" spans="1:27" x14ac:dyDescent="0.25">
      <c r="A63086" s="8"/>
      <c r="B63086" s="8"/>
      <c r="C63086" s="99"/>
      <c r="D63086" s="8"/>
      <c r="E63086" s="8"/>
      <c r="F63086" s="8"/>
      <c r="G63086" s="8"/>
      <c r="H63086" s="8"/>
      <c r="I63086" s="102"/>
      <c r="J63086" s="8"/>
      <c r="K63086" s="8"/>
      <c r="L63086" s="8"/>
      <c r="M63086" s="8"/>
      <c r="N63086" s="8"/>
      <c r="O63086" s="8"/>
      <c r="P63086" s="8"/>
      <c r="Q63086" s="8"/>
      <c r="R63086" s="103"/>
      <c r="S63086" s="8"/>
      <c r="T63086" s="8"/>
      <c r="U63086" s="8"/>
      <c r="V63086" s="8"/>
      <c r="W63086" s="8"/>
      <c r="X63086" s="8"/>
      <c r="Y63086" s="8"/>
      <c r="Z63086" s="8"/>
      <c r="AA63086" s="8"/>
    </row>
    <row r="63087" spans="1:27" x14ac:dyDescent="0.25">
      <c r="A63087" s="8"/>
      <c r="B63087" s="8"/>
      <c r="C63087" s="99"/>
      <c r="D63087" s="8"/>
      <c r="E63087" s="8"/>
      <c r="F63087" s="8"/>
      <c r="G63087" s="8"/>
      <c r="H63087" s="8"/>
      <c r="I63087" s="102"/>
      <c r="J63087" s="8"/>
      <c r="K63087" s="8"/>
      <c r="L63087" s="8"/>
      <c r="M63087" s="8"/>
      <c r="N63087" s="8"/>
      <c r="O63087" s="8"/>
      <c r="P63087" s="8"/>
      <c r="Q63087" s="8"/>
      <c r="R63087" s="103"/>
      <c r="S63087" s="8"/>
      <c r="T63087" s="8"/>
      <c r="U63087" s="8"/>
      <c r="V63087" s="8"/>
      <c r="W63087" s="8"/>
      <c r="X63087" s="8"/>
      <c r="Y63087" s="8"/>
      <c r="Z63087" s="8"/>
      <c r="AA63087" s="8"/>
    </row>
    <row r="63088" spans="1:27" x14ac:dyDescent="0.25">
      <c r="A63088" s="8"/>
      <c r="B63088" s="8"/>
      <c r="C63088" s="99"/>
      <c r="D63088" s="8"/>
      <c r="E63088" s="8"/>
      <c r="F63088" s="8"/>
      <c r="G63088" s="8"/>
      <c r="H63088" s="8"/>
      <c r="I63088" s="102"/>
      <c r="J63088" s="8"/>
      <c r="K63088" s="8"/>
      <c r="L63088" s="8"/>
      <c r="M63088" s="8"/>
      <c r="N63088" s="8"/>
      <c r="O63088" s="8"/>
      <c r="P63088" s="8"/>
      <c r="Q63088" s="8"/>
      <c r="R63088" s="103"/>
      <c r="S63088" s="8"/>
      <c r="T63088" s="8"/>
      <c r="U63088" s="8"/>
      <c r="V63088" s="8"/>
      <c r="W63088" s="8"/>
      <c r="X63088" s="8"/>
      <c r="Y63088" s="8"/>
      <c r="Z63088" s="8"/>
      <c r="AA63088" s="8"/>
    </row>
    <row r="63089" spans="1:27" x14ac:dyDescent="0.25">
      <c r="A63089" s="8"/>
      <c r="B63089" s="8"/>
      <c r="C63089" s="99"/>
      <c r="D63089" s="8"/>
      <c r="E63089" s="8"/>
      <c r="F63089" s="8"/>
      <c r="G63089" s="8"/>
      <c r="H63089" s="8"/>
      <c r="I63089" s="102"/>
      <c r="J63089" s="8"/>
      <c r="K63089" s="8"/>
      <c r="L63089" s="8"/>
      <c r="M63089" s="8"/>
      <c r="N63089" s="8"/>
      <c r="O63089" s="8"/>
      <c r="P63089" s="8"/>
      <c r="Q63089" s="8"/>
      <c r="R63089" s="103"/>
      <c r="S63089" s="8"/>
      <c r="T63089" s="8"/>
      <c r="U63089" s="8"/>
      <c r="V63089" s="8"/>
      <c r="W63089" s="8"/>
      <c r="X63089" s="8"/>
      <c r="Y63089" s="8"/>
      <c r="Z63089" s="8"/>
      <c r="AA63089" s="8"/>
    </row>
    <row r="63090" spans="1:27" x14ac:dyDescent="0.25">
      <c r="A63090" s="8"/>
      <c r="B63090" s="8"/>
      <c r="C63090" s="99"/>
      <c r="D63090" s="8"/>
      <c r="E63090" s="8"/>
      <c r="F63090" s="8"/>
      <c r="G63090" s="8"/>
      <c r="H63090" s="8"/>
      <c r="I63090" s="102"/>
      <c r="J63090" s="8"/>
      <c r="K63090" s="8"/>
      <c r="L63090" s="8"/>
      <c r="M63090" s="8"/>
      <c r="N63090" s="8"/>
      <c r="O63090" s="8"/>
      <c r="P63090" s="8"/>
      <c r="Q63090" s="8"/>
      <c r="R63090" s="103"/>
      <c r="S63090" s="8"/>
      <c r="T63090" s="8"/>
      <c r="U63090" s="8"/>
      <c r="V63090" s="8"/>
      <c r="W63090" s="8"/>
      <c r="X63090" s="8"/>
      <c r="Y63090" s="8"/>
      <c r="Z63090" s="8"/>
      <c r="AA63090" s="8"/>
    </row>
    <row r="63091" spans="1:27" x14ac:dyDescent="0.25">
      <c r="A63091" s="8"/>
      <c r="B63091" s="8"/>
      <c r="C63091" s="99"/>
      <c r="D63091" s="8"/>
      <c r="E63091" s="8"/>
      <c r="F63091" s="8"/>
      <c r="G63091" s="8"/>
      <c r="H63091" s="8"/>
      <c r="I63091" s="102"/>
      <c r="J63091" s="8"/>
      <c r="K63091" s="8"/>
      <c r="L63091" s="8"/>
      <c r="M63091" s="8"/>
      <c r="N63091" s="8"/>
      <c r="O63091" s="8"/>
      <c r="P63091" s="8"/>
      <c r="Q63091" s="8"/>
      <c r="R63091" s="103"/>
      <c r="S63091" s="8"/>
      <c r="T63091" s="8"/>
      <c r="U63091" s="8"/>
      <c r="V63091" s="8"/>
      <c r="W63091" s="8"/>
      <c r="X63091" s="8"/>
      <c r="Y63091" s="8"/>
      <c r="Z63091" s="8"/>
      <c r="AA63091" s="8"/>
    </row>
    <row r="63092" spans="1:27" x14ac:dyDescent="0.25">
      <c r="A63092" s="8"/>
      <c r="B63092" s="8"/>
      <c r="C63092" s="99"/>
      <c r="D63092" s="8"/>
      <c r="E63092" s="8"/>
      <c r="F63092" s="8"/>
      <c r="G63092" s="8"/>
      <c r="H63092" s="8"/>
      <c r="I63092" s="102"/>
      <c r="J63092" s="8"/>
      <c r="K63092" s="8"/>
      <c r="L63092" s="8"/>
      <c r="M63092" s="8"/>
      <c r="N63092" s="8"/>
      <c r="O63092" s="8"/>
      <c r="P63092" s="8"/>
      <c r="Q63092" s="8"/>
      <c r="R63092" s="103"/>
      <c r="S63092" s="8"/>
      <c r="T63092" s="8"/>
      <c r="U63092" s="8"/>
      <c r="V63092" s="8"/>
      <c r="W63092" s="8"/>
      <c r="X63092" s="8"/>
      <c r="Y63092" s="8"/>
      <c r="Z63092" s="8"/>
      <c r="AA63092" s="8"/>
    </row>
    <row r="63093" spans="1:27" x14ac:dyDescent="0.25">
      <c r="A63093" s="8"/>
      <c r="B63093" s="8"/>
      <c r="C63093" s="99"/>
      <c r="D63093" s="8"/>
      <c r="E63093" s="8"/>
      <c r="F63093" s="8"/>
      <c r="G63093" s="8"/>
      <c r="H63093" s="8"/>
      <c r="I63093" s="102"/>
      <c r="J63093" s="8"/>
      <c r="K63093" s="8"/>
      <c r="L63093" s="8"/>
      <c r="M63093" s="8"/>
      <c r="N63093" s="8"/>
      <c r="O63093" s="8"/>
      <c r="P63093" s="8"/>
      <c r="Q63093" s="8"/>
      <c r="R63093" s="103"/>
      <c r="S63093" s="8"/>
      <c r="T63093" s="8"/>
      <c r="U63093" s="8"/>
      <c r="V63093" s="8"/>
      <c r="W63093" s="8"/>
      <c r="X63093" s="8"/>
      <c r="Y63093" s="8"/>
      <c r="Z63093" s="8"/>
      <c r="AA63093" s="8"/>
    </row>
    <row r="63094" spans="1:27" x14ac:dyDescent="0.25">
      <c r="A63094" s="8"/>
      <c r="B63094" s="8"/>
      <c r="C63094" s="99"/>
      <c r="D63094" s="8"/>
      <c r="E63094" s="8"/>
      <c r="F63094" s="8"/>
      <c r="G63094" s="8"/>
      <c r="H63094" s="8"/>
      <c r="I63094" s="102"/>
      <c r="J63094" s="8"/>
      <c r="K63094" s="8"/>
      <c r="L63094" s="8"/>
      <c r="M63094" s="8"/>
      <c r="N63094" s="8"/>
      <c r="O63094" s="8"/>
      <c r="P63094" s="8"/>
      <c r="Q63094" s="8"/>
      <c r="R63094" s="103"/>
      <c r="S63094" s="8"/>
      <c r="T63094" s="8"/>
      <c r="U63094" s="8"/>
      <c r="V63094" s="8"/>
      <c r="W63094" s="8"/>
      <c r="X63094" s="8"/>
      <c r="Y63094" s="8"/>
      <c r="Z63094" s="8"/>
      <c r="AA63094" s="8"/>
    </row>
    <row r="63095" spans="1:27" x14ac:dyDescent="0.25">
      <c r="A63095" s="8"/>
      <c r="B63095" s="8"/>
      <c r="C63095" s="99"/>
      <c r="D63095" s="8"/>
      <c r="E63095" s="8"/>
      <c r="F63095" s="8"/>
      <c r="G63095" s="8"/>
      <c r="H63095" s="8"/>
      <c r="I63095" s="102"/>
      <c r="J63095" s="8"/>
      <c r="K63095" s="8"/>
      <c r="L63095" s="8"/>
      <c r="M63095" s="8"/>
      <c r="N63095" s="8"/>
      <c r="O63095" s="8"/>
      <c r="P63095" s="8"/>
      <c r="Q63095" s="8"/>
      <c r="R63095" s="103"/>
      <c r="S63095" s="8"/>
      <c r="T63095" s="8"/>
      <c r="U63095" s="8"/>
      <c r="V63095" s="8"/>
      <c r="W63095" s="8"/>
      <c r="X63095" s="8"/>
      <c r="Y63095" s="8"/>
      <c r="Z63095" s="8"/>
      <c r="AA63095" s="8"/>
    </row>
    <row r="63096" spans="1:27" x14ac:dyDescent="0.25">
      <c r="A63096" s="8"/>
      <c r="B63096" s="8"/>
      <c r="C63096" s="99"/>
      <c r="D63096" s="8"/>
      <c r="E63096" s="8"/>
      <c r="F63096" s="8"/>
      <c r="G63096" s="8"/>
      <c r="H63096" s="8"/>
      <c r="I63096" s="102"/>
      <c r="J63096" s="8"/>
      <c r="K63096" s="8"/>
      <c r="L63096" s="8"/>
      <c r="M63096" s="8"/>
      <c r="N63096" s="8"/>
      <c r="O63096" s="8"/>
      <c r="P63096" s="8"/>
      <c r="Q63096" s="8"/>
      <c r="R63096" s="103"/>
      <c r="S63096" s="8"/>
      <c r="T63096" s="8"/>
      <c r="U63096" s="8"/>
      <c r="V63096" s="8"/>
      <c r="W63096" s="8"/>
      <c r="X63096" s="8"/>
      <c r="Y63096" s="8"/>
      <c r="Z63096" s="8"/>
      <c r="AA63096" s="8"/>
    </row>
    <row r="63097" spans="1:27" x14ac:dyDescent="0.25">
      <c r="A63097" s="8"/>
      <c r="B63097" s="8"/>
      <c r="C63097" s="99"/>
      <c r="D63097" s="8"/>
      <c r="E63097" s="8"/>
      <c r="F63097" s="8"/>
      <c r="G63097" s="8"/>
      <c r="H63097" s="8"/>
      <c r="I63097" s="102"/>
      <c r="J63097" s="8"/>
      <c r="K63097" s="8"/>
      <c r="L63097" s="8"/>
      <c r="M63097" s="8"/>
      <c r="N63097" s="8"/>
      <c r="O63097" s="8"/>
      <c r="P63097" s="8"/>
      <c r="Q63097" s="8"/>
      <c r="R63097" s="103"/>
      <c r="S63097" s="8"/>
      <c r="T63097" s="8"/>
      <c r="U63097" s="8"/>
      <c r="V63097" s="8"/>
      <c r="W63097" s="8"/>
      <c r="X63097" s="8"/>
      <c r="Y63097" s="8"/>
      <c r="Z63097" s="8"/>
      <c r="AA63097" s="8"/>
    </row>
    <row r="63098" spans="1:27" x14ac:dyDescent="0.25">
      <c r="A63098" s="8"/>
      <c r="B63098" s="8"/>
      <c r="C63098" s="99"/>
      <c r="D63098" s="8"/>
      <c r="E63098" s="8"/>
      <c r="F63098" s="8"/>
      <c r="G63098" s="8"/>
      <c r="H63098" s="8"/>
      <c r="I63098" s="102"/>
      <c r="J63098" s="8"/>
      <c r="K63098" s="8"/>
      <c r="L63098" s="8"/>
      <c r="M63098" s="8"/>
      <c r="N63098" s="8"/>
      <c r="O63098" s="8"/>
      <c r="P63098" s="8"/>
      <c r="Q63098" s="8"/>
      <c r="R63098" s="103"/>
      <c r="S63098" s="8"/>
      <c r="T63098" s="8"/>
      <c r="U63098" s="8"/>
      <c r="V63098" s="8"/>
      <c r="W63098" s="8"/>
      <c r="X63098" s="8"/>
      <c r="Y63098" s="8"/>
      <c r="Z63098" s="8"/>
      <c r="AA63098" s="8"/>
    </row>
    <row r="63099" spans="1:27" x14ac:dyDescent="0.25">
      <c r="A63099" s="8"/>
      <c r="B63099" s="8"/>
      <c r="C63099" s="99"/>
      <c r="D63099" s="8"/>
      <c r="E63099" s="8"/>
      <c r="F63099" s="8"/>
      <c r="G63099" s="8"/>
      <c r="H63099" s="8"/>
      <c r="I63099" s="102"/>
      <c r="J63099" s="8"/>
      <c r="K63099" s="8"/>
      <c r="L63099" s="8"/>
      <c r="M63099" s="8"/>
      <c r="N63099" s="8"/>
      <c r="O63099" s="8"/>
      <c r="P63099" s="8"/>
      <c r="Q63099" s="8"/>
      <c r="R63099" s="103"/>
      <c r="S63099" s="8"/>
      <c r="T63099" s="8"/>
      <c r="U63099" s="8"/>
      <c r="V63099" s="8"/>
      <c r="W63099" s="8"/>
      <c r="X63099" s="8"/>
      <c r="Y63099" s="8"/>
      <c r="Z63099" s="8"/>
      <c r="AA63099" s="8"/>
    </row>
    <row r="63100" spans="1:27" x14ac:dyDescent="0.25">
      <c r="A63100" s="8"/>
      <c r="B63100" s="8"/>
      <c r="C63100" s="99"/>
      <c r="D63100" s="8"/>
      <c r="E63100" s="8"/>
      <c r="F63100" s="8"/>
      <c r="G63100" s="8"/>
      <c r="H63100" s="8"/>
      <c r="I63100" s="102"/>
      <c r="J63100" s="8"/>
      <c r="K63100" s="8"/>
      <c r="L63100" s="8"/>
      <c r="M63100" s="8"/>
      <c r="N63100" s="8"/>
      <c r="O63100" s="8"/>
      <c r="P63100" s="8"/>
      <c r="Q63100" s="8"/>
      <c r="R63100" s="103"/>
      <c r="S63100" s="8"/>
      <c r="T63100" s="8"/>
      <c r="U63100" s="8"/>
      <c r="V63100" s="8"/>
      <c r="W63100" s="8"/>
      <c r="X63100" s="8"/>
      <c r="Y63100" s="8"/>
      <c r="Z63100" s="8"/>
      <c r="AA63100" s="8"/>
    </row>
    <row r="63101" spans="1:27" x14ac:dyDescent="0.25">
      <c r="A63101" s="8"/>
      <c r="B63101" s="8"/>
      <c r="C63101" s="99"/>
      <c r="D63101" s="8"/>
      <c r="E63101" s="8"/>
      <c r="F63101" s="8"/>
      <c r="G63101" s="8"/>
      <c r="H63101" s="8"/>
      <c r="I63101" s="102"/>
      <c r="J63101" s="8"/>
      <c r="K63101" s="8"/>
      <c r="L63101" s="8"/>
      <c r="M63101" s="8"/>
      <c r="N63101" s="8"/>
      <c r="O63101" s="8"/>
      <c r="P63101" s="8"/>
      <c r="Q63101" s="8"/>
      <c r="R63101" s="103"/>
      <c r="S63101" s="8"/>
      <c r="T63101" s="8"/>
      <c r="U63101" s="8"/>
      <c r="V63101" s="8"/>
      <c r="W63101" s="8"/>
      <c r="X63101" s="8"/>
      <c r="Y63101" s="8"/>
      <c r="Z63101" s="8"/>
      <c r="AA63101" s="8"/>
    </row>
    <row r="63102" spans="1:27" x14ac:dyDescent="0.25">
      <c r="A63102" s="8"/>
      <c r="B63102" s="8"/>
      <c r="C63102" s="99"/>
      <c r="D63102" s="8"/>
      <c r="E63102" s="8"/>
      <c r="F63102" s="8"/>
      <c r="G63102" s="8"/>
      <c r="H63102" s="8"/>
      <c r="I63102" s="102"/>
      <c r="J63102" s="8"/>
      <c r="K63102" s="8"/>
      <c r="L63102" s="8"/>
      <c r="M63102" s="8"/>
      <c r="N63102" s="8"/>
      <c r="O63102" s="8"/>
      <c r="P63102" s="8"/>
      <c r="Q63102" s="8"/>
      <c r="R63102" s="103"/>
      <c r="S63102" s="8"/>
      <c r="T63102" s="8"/>
      <c r="U63102" s="8"/>
      <c r="V63102" s="8"/>
      <c r="W63102" s="8"/>
      <c r="X63102" s="8"/>
      <c r="Y63102" s="8"/>
      <c r="Z63102" s="8"/>
      <c r="AA63102" s="8"/>
    </row>
    <row r="63103" spans="1:27" x14ac:dyDescent="0.25">
      <c r="A63103" s="8"/>
      <c r="B63103" s="8"/>
      <c r="C63103" s="99"/>
      <c r="D63103" s="8"/>
      <c r="E63103" s="8"/>
      <c r="F63103" s="8"/>
      <c r="G63103" s="8"/>
      <c r="H63103" s="8"/>
      <c r="I63103" s="102"/>
      <c r="J63103" s="8"/>
      <c r="K63103" s="8"/>
      <c r="L63103" s="8"/>
      <c r="M63103" s="8"/>
      <c r="N63103" s="8"/>
      <c r="O63103" s="8"/>
      <c r="P63103" s="8"/>
      <c r="Q63103" s="8"/>
      <c r="R63103" s="103"/>
      <c r="S63103" s="8"/>
      <c r="T63103" s="8"/>
      <c r="U63103" s="8"/>
      <c r="V63103" s="8"/>
      <c r="W63103" s="8"/>
      <c r="X63103" s="8"/>
      <c r="Y63103" s="8"/>
      <c r="Z63103" s="8"/>
      <c r="AA63103" s="8"/>
    </row>
    <row r="63104" spans="1:27" x14ac:dyDescent="0.25">
      <c r="A63104" s="8"/>
      <c r="B63104" s="8"/>
      <c r="C63104" s="99"/>
      <c r="D63104" s="8"/>
      <c r="E63104" s="8"/>
      <c r="F63104" s="8"/>
      <c r="G63104" s="8"/>
      <c r="H63104" s="8"/>
      <c r="I63104" s="102"/>
      <c r="J63104" s="8"/>
      <c r="K63104" s="8"/>
      <c r="L63104" s="8"/>
      <c r="M63104" s="8"/>
      <c r="N63104" s="8"/>
      <c r="O63104" s="8"/>
      <c r="P63104" s="8"/>
      <c r="Q63104" s="8"/>
      <c r="R63104" s="103"/>
      <c r="S63104" s="8"/>
      <c r="T63104" s="8"/>
      <c r="U63104" s="8"/>
      <c r="V63104" s="8"/>
      <c r="W63104" s="8"/>
      <c r="X63104" s="8"/>
      <c r="Y63104" s="8"/>
      <c r="Z63104" s="8"/>
      <c r="AA63104" s="8"/>
    </row>
    <row r="63105" spans="1:27" x14ac:dyDescent="0.25">
      <c r="A63105" s="8"/>
      <c r="B63105" s="8"/>
      <c r="C63105" s="99"/>
      <c r="D63105" s="8"/>
      <c r="E63105" s="8"/>
      <c r="F63105" s="8"/>
      <c r="G63105" s="8"/>
      <c r="H63105" s="8"/>
      <c r="I63105" s="102"/>
      <c r="J63105" s="8"/>
      <c r="K63105" s="8"/>
      <c r="L63105" s="8"/>
      <c r="M63105" s="8"/>
      <c r="N63105" s="8"/>
      <c r="O63105" s="8"/>
      <c r="P63105" s="8"/>
      <c r="Q63105" s="8"/>
      <c r="R63105" s="103"/>
      <c r="S63105" s="8"/>
      <c r="T63105" s="8"/>
      <c r="U63105" s="8"/>
      <c r="V63105" s="8"/>
      <c r="W63105" s="8"/>
      <c r="X63105" s="8"/>
      <c r="Y63105" s="8"/>
      <c r="Z63105" s="8"/>
      <c r="AA63105" s="8"/>
    </row>
    <row r="63106" spans="1:27" x14ac:dyDescent="0.25">
      <c r="A63106" s="8"/>
      <c r="B63106" s="8"/>
      <c r="C63106" s="99"/>
      <c r="D63106" s="8"/>
      <c r="E63106" s="8"/>
      <c r="F63106" s="8"/>
      <c r="G63106" s="8"/>
      <c r="H63106" s="8"/>
      <c r="I63106" s="102"/>
      <c r="J63106" s="8"/>
      <c r="K63106" s="8"/>
      <c r="L63106" s="8"/>
      <c r="M63106" s="8"/>
      <c r="N63106" s="8"/>
      <c r="O63106" s="8"/>
      <c r="P63106" s="8"/>
      <c r="Q63106" s="8"/>
      <c r="R63106" s="103"/>
      <c r="S63106" s="8"/>
      <c r="T63106" s="8"/>
      <c r="U63106" s="8"/>
      <c r="V63106" s="8"/>
      <c r="W63106" s="8"/>
      <c r="X63106" s="8"/>
      <c r="Y63106" s="8"/>
      <c r="Z63106" s="8"/>
      <c r="AA63106" s="8"/>
    </row>
    <row r="63107" spans="1:27" x14ac:dyDescent="0.25">
      <c r="A63107" s="8"/>
      <c r="B63107" s="8"/>
      <c r="C63107" s="99"/>
      <c r="D63107" s="8"/>
      <c r="E63107" s="8"/>
      <c r="F63107" s="8"/>
      <c r="G63107" s="8"/>
      <c r="H63107" s="8"/>
      <c r="I63107" s="102"/>
      <c r="J63107" s="8"/>
      <c r="K63107" s="8"/>
      <c r="L63107" s="8"/>
      <c r="M63107" s="8"/>
      <c r="N63107" s="8"/>
      <c r="O63107" s="8"/>
      <c r="P63107" s="8"/>
      <c r="Q63107" s="8"/>
      <c r="R63107" s="103"/>
      <c r="S63107" s="8"/>
      <c r="T63107" s="8"/>
      <c r="U63107" s="8"/>
      <c r="V63107" s="8"/>
      <c r="W63107" s="8"/>
      <c r="X63107" s="8"/>
      <c r="Y63107" s="8"/>
      <c r="Z63107" s="8"/>
      <c r="AA63107" s="8"/>
    </row>
    <row r="63108" spans="1:27" x14ac:dyDescent="0.25">
      <c r="A63108" s="8"/>
      <c r="B63108" s="8"/>
      <c r="C63108" s="99"/>
      <c r="D63108" s="8"/>
      <c r="E63108" s="8"/>
      <c r="F63108" s="8"/>
      <c r="G63108" s="8"/>
      <c r="H63108" s="8"/>
      <c r="I63108" s="102"/>
      <c r="J63108" s="8"/>
      <c r="K63108" s="8"/>
      <c r="L63108" s="8"/>
      <c r="M63108" s="8"/>
      <c r="N63108" s="8"/>
      <c r="O63108" s="8"/>
      <c r="P63108" s="8"/>
      <c r="Q63108" s="8"/>
      <c r="R63108" s="103"/>
      <c r="S63108" s="8"/>
      <c r="T63108" s="8"/>
      <c r="U63108" s="8"/>
      <c r="V63108" s="8"/>
      <c r="W63108" s="8"/>
      <c r="X63108" s="8"/>
      <c r="Y63108" s="8"/>
      <c r="Z63108" s="8"/>
      <c r="AA63108" s="8"/>
    </row>
    <row r="63109" spans="1:27" x14ac:dyDescent="0.25">
      <c r="A63109" s="8"/>
      <c r="B63109" s="8"/>
      <c r="C63109" s="99"/>
      <c r="D63109" s="8"/>
      <c r="E63109" s="8"/>
      <c r="F63109" s="8"/>
      <c r="G63109" s="8"/>
      <c r="H63109" s="8"/>
      <c r="I63109" s="102"/>
      <c r="J63109" s="8"/>
      <c r="K63109" s="8"/>
      <c r="L63109" s="8"/>
      <c r="M63109" s="8"/>
      <c r="N63109" s="8"/>
      <c r="O63109" s="8"/>
      <c r="P63109" s="8"/>
      <c r="Q63109" s="8"/>
      <c r="R63109" s="103"/>
      <c r="S63109" s="8"/>
      <c r="T63109" s="8"/>
      <c r="U63109" s="8"/>
      <c r="V63109" s="8"/>
      <c r="W63109" s="8"/>
      <c r="X63109" s="8"/>
      <c r="Y63109" s="8"/>
      <c r="Z63109" s="8"/>
      <c r="AA63109" s="8"/>
    </row>
    <row r="63110" spans="1:27" x14ac:dyDescent="0.25">
      <c r="A63110" s="8"/>
      <c r="B63110" s="8"/>
      <c r="C63110" s="99"/>
      <c r="D63110" s="8"/>
      <c r="E63110" s="8"/>
      <c r="F63110" s="8"/>
      <c r="G63110" s="8"/>
      <c r="H63110" s="8"/>
      <c r="I63110" s="102"/>
      <c r="J63110" s="8"/>
      <c r="K63110" s="8"/>
      <c r="L63110" s="8"/>
      <c r="M63110" s="8"/>
      <c r="N63110" s="8"/>
      <c r="O63110" s="8"/>
      <c r="P63110" s="8"/>
      <c r="Q63110" s="8"/>
      <c r="R63110" s="103"/>
      <c r="S63110" s="8"/>
      <c r="T63110" s="8"/>
      <c r="U63110" s="8"/>
      <c r="V63110" s="8"/>
      <c r="W63110" s="8"/>
      <c r="X63110" s="8"/>
      <c r="Y63110" s="8"/>
      <c r="Z63110" s="8"/>
      <c r="AA63110" s="8"/>
    </row>
    <row r="63111" spans="1:27" x14ac:dyDescent="0.25">
      <c r="A63111" s="8"/>
      <c r="B63111" s="8"/>
      <c r="C63111" s="99"/>
      <c r="D63111" s="8"/>
      <c r="E63111" s="8"/>
      <c r="F63111" s="8"/>
      <c r="G63111" s="8"/>
      <c r="H63111" s="8"/>
      <c r="I63111" s="102"/>
      <c r="J63111" s="8"/>
      <c r="K63111" s="8"/>
      <c r="L63111" s="8"/>
      <c r="M63111" s="8"/>
      <c r="N63111" s="8"/>
      <c r="O63111" s="8"/>
      <c r="P63111" s="8"/>
      <c r="Q63111" s="8"/>
      <c r="R63111" s="103"/>
      <c r="S63111" s="8"/>
      <c r="T63111" s="8"/>
      <c r="U63111" s="8"/>
      <c r="V63111" s="8"/>
      <c r="W63111" s="8"/>
      <c r="X63111" s="8"/>
      <c r="Y63111" s="8"/>
      <c r="Z63111" s="8"/>
      <c r="AA63111" s="8"/>
    </row>
    <row r="63112" spans="1:27" x14ac:dyDescent="0.25">
      <c r="A63112" s="8"/>
      <c r="B63112" s="8"/>
      <c r="C63112" s="99"/>
      <c r="D63112" s="8"/>
      <c r="E63112" s="8"/>
      <c r="F63112" s="8"/>
      <c r="G63112" s="8"/>
      <c r="H63112" s="8"/>
      <c r="I63112" s="102"/>
      <c r="J63112" s="8"/>
      <c r="K63112" s="8"/>
      <c r="L63112" s="8"/>
      <c r="M63112" s="8"/>
      <c r="N63112" s="8"/>
      <c r="O63112" s="8"/>
      <c r="P63112" s="8"/>
      <c r="Q63112" s="8"/>
      <c r="R63112" s="103"/>
      <c r="S63112" s="8"/>
      <c r="T63112" s="8"/>
      <c r="U63112" s="8"/>
      <c r="V63112" s="8"/>
      <c r="W63112" s="8"/>
      <c r="X63112" s="8"/>
      <c r="Y63112" s="8"/>
      <c r="Z63112" s="8"/>
      <c r="AA63112" s="8"/>
    </row>
    <row r="63113" spans="1:27" x14ac:dyDescent="0.25">
      <c r="A63113" s="8"/>
      <c r="B63113" s="8"/>
      <c r="C63113" s="99"/>
      <c r="D63113" s="8"/>
      <c r="E63113" s="8"/>
      <c r="F63113" s="8"/>
      <c r="G63113" s="8"/>
      <c r="H63113" s="8"/>
      <c r="I63113" s="102"/>
      <c r="J63113" s="8"/>
      <c r="K63113" s="8"/>
      <c r="L63113" s="8"/>
      <c r="M63113" s="8"/>
      <c r="N63113" s="8"/>
      <c r="O63113" s="8"/>
      <c r="P63113" s="8"/>
      <c r="Q63113" s="8"/>
      <c r="R63113" s="103"/>
      <c r="S63113" s="8"/>
      <c r="T63113" s="8"/>
      <c r="U63113" s="8"/>
      <c r="V63113" s="8"/>
      <c r="W63113" s="8"/>
      <c r="X63113" s="8"/>
      <c r="Y63113" s="8"/>
      <c r="Z63113" s="8"/>
      <c r="AA63113" s="8"/>
    </row>
    <row r="63114" spans="1:27" x14ac:dyDescent="0.25">
      <c r="A63114" s="8"/>
      <c r="B63114" s="8"/>
      <c r="C63114" s="99"/>
      <c r="D63114" s="8"/>
      <c r="E63114" s="8"/>
      <c r="F63114" s="8"/>
      <c r="G63114" s="8"/>
      <c r="H63114" s="8"/>
      <c r="I63114" s="102"/>
      <c r="J63114" s="8"/>
      <c r="K63114" s="8"/>
      <c r="L63114" s="8"/>
      <c r="M63114" s="8"/>
      <c r="N63114" s="8"/>
      <c r="O63114" s="8"/>
      <c r="P63114" s="8"/>
      <c r="Q63114" s="8"/>
      <c r="R63114" s="103"/>
      <c r="S63114" s="8"/>
      <c r="T63114" s="8"/>
      <c r="U63114" s="8"/>
      <c r="V63114" s="8"/>
      <c r="W63114" s="8"/>
      <c r="X63114" s="8"/>
      <c r="Y63114" s="8"/>
      <c r="Z63114" s="8"/>
      <c r="AA63114" s="8"/>
    </row>
    <row r="63115" spans="1:27" x14ac:dyDescent="0.25">
      <c r="A63115" s="8"/>
      <c r="B63115" s="8"/>
      <c r="C63115" s="99"/>
      <c r="D63115" s="8"/>
      <c r="E63115" s="8"/>
      <c r="F63115" s="8"/>
      <c r="G63115" s="8"/>
      <c r="H63115" s="8"/>
      <c r="I63115" s="102"/>
      <c r="J63115" s="8"/>
      <c r="K63115" s="8"/>
      <c r="L63115" s="8"/>
      <c r="M63115" s="8"/>
      <c r="N63115" s="8"/>
      <c r="O63115" s="8"/>
      <c r="P63115" s="8"/>
      <c r="Q63115" s="8"/>
      <c r="R63115" s="103"/>
      <c r="S63115" s="8"/>
      <c r="T63115" s="8"/>
      <c r="U63115" s="8"/>
      <c r="V63115" s="8"/>
      <c r="W63115" s="8"/>
      <c r="X63115" s="8"/>
      <c r="Y63115" s="8"/>
      <c r="Z63115" s="8"/>
      <c r="AA63115" s="8"/>
    </row>
    <row r="63116" spans="1:27" x14ac:dyDescent="0.25">
      <c r="A63116" s="8"/>
      <c r="B63116" s="8"/>
      <c r="C63116" s="99"/>
      <c r="D63116" s="8"/>
      <c r="E63116" s="8"/>
      <c r="F63116" s="8"/>
      <c r="G63116" s="8"/>
      <c r="H63116" s="8"/>
      <c r="I63116" s="102"/>
      <c r="J63116" s="8"/>
      <c r="K63116" s="8"/>
      <c r="L63116" s="8"/>
      <c r="M63116" s="8"/>
      <c r="N63116" s="8"/>
      <c r="O63116" s="8"/>
      <c r="P63116" s="8"/>
      <c r="Q63116" s="8"/>
      <c r="R63116" s="103"/>
      <c r="S63116" s="8"/>
      <c r="T63116" s="8"/>
      <c r="U63116" s="8"/>
      <c r="V63116" s="8"/>
      <c r="W63116" s="8"/>
      <c r="X63116" s="8"/>
      <c r="Y63116" s="8"/>
      <c r="Z63116" s="8"/>
      <c r="AA63116" s="8"/>
    </row>
    <row r="63117" spans="1:27" x14ac:dyDescent="0.25">
      <c r="A63117" s="8"/>
      <c r="B63117" s="8"/>
      <c r="C63117" s="99"/>
      <c r="D63117" s="8"/>
      <c r="E63117" s="8"/>
      <c r="F63117" s="8"/>
      <c r="G63117" s="8"/>
      <c r="H63117" s="8"/>
      <c r="I63117" s="102"/>
      <c r="J63117" s="8"/>
      <c r="K63117" s="8"/>
      <c r="L63117" s="8"/>
      <c r="M63117" s="8"/>
      <c r="N63117" s="8"/>
      <c r="O63117" s="8"/>
      <c r="P63117" s="8"/>
      <c r="Q63117" s="8"/>
      <c r="R63117" s="103"/>
      <c r="S63117" s="8"/>
      <c r="T63117" s="8"/>
      <c r="U63117" s="8"/>
      <c r="V63117" s="8"/>
      <c r="W63117" s="8"/>
      <c r="X63117" s="8"/>
      <c r="Y63117" s="8"/>
      <c r="Z63117" s="8"/>
      <c r="AA63117" s="8"/>
    </row>
    <row r="63118" spans="1:27" x14ac:dyDescent="0.25">
      <c r="A63118" s="8"/>
      <c r="B63118" s="8"/>
      <c r="C63118" s="99"/>
      <c r="D63118" s="8"/>
      <c r="E63118" s="8"/>
      <c r="F63118" s="8"/>
      <c r="G63118" s="8"/>
      <c r="H63118" s="8"/>
      <c r="I63118" s="102"/>
      <c r="J63118" s="8"/>
      <c r="K63118" s="8"/>
      <c r="L63118" s="8"/>
      <c r="M63118" s="8"/>
      <c r="N63118" s="8"/>
      <c r="O63118" s="8"/>
      <c r="P63118" s="8"/>
      <c r="Q63118" s="8"/>
      <c r="R63118" s="103"/>
      <c r="S63118" s="8"/>
      <c r="T63118" s="8"/>
      <c r="U63118" s="8"/>
      <c r="V63118" s="8"/>
      <c r="W63118" s="8"/>
      <c r="X63118" s="8"/>
      <c r="Y63118" s="8"/>
      <c r="Z63118" s="8"/>
      <c r="AA63118" s="8"/>
    </row>
    <row r="63119" spans="1:27" x14ac:dyDescent="0.25">
      <c r="A63119" s="8"/>
      <c r="B63119" s="8"/>
      <c r="C63119" s="99"/>
      <c r="D63119" s="8"/>
      <c r="E63119" s="8"/>
      <c r="F63119" s="8"/>
      <c r="G63119" s="8"/>
      <c r="H63119" s="8"/>
      <c r="I63119" s="102"/>
      <c r="J63119" s="8"/>
      <c r="K63119" s="8"/>
      <c r="L63119" s="8"/>
      <c r="M63119" s="8"/>
      <c r="N63119" s="8"/>
      <c r="O63119" s="8"/>
      <c r="P63119" s="8"/>
      <c r="Q63119" s="8"/>
      <c r="R63119" s="103"/>
      <c r="S63119" s="8"/>
      <c r="T63119" s="8"/>
      <c r="U63119" s="8"/>
      <c r="V63119" s="8"/>
      <c r="W63119" s="8"/>
      <c r="X63119" s="8"/>
      <c r="Y63119" s="8"/>
      <c r="Z63119" s="8"/>
      <c r="AA63119" s="8"/>
    </row>
    <row r="63120" spans="1:27" x14ac:dyDescent="0.25">
      <c r="A63120" s="8"/>
      <c r="B63120" s="8"/>
      <c r="C63120" s="99"/>
      <c r="D63120" s="8"/>
      <c r="E63120" s="8"/>
      <c r="F63120" s="8"/>
      <c r="G63120" s="8"/>
      <c r="H63120" s="8"/>
      <c r="I63120" s="102"/>
      <c r="J63120" s="8"/>
      <c r="K63120" s="8"/>
      <c r="L63120" s="8"/>
      <c r="M63120" s="8"/>
      <c r="N63120" s="8"/>
      <c r="O63120" s="8"/>
      <c r="P63120" s="8"/>
      <c r="Q63120" s="8"/>
      <c r="R63120" s="103"/>
      <c r="S63120" s="8"/>
      <c r="T63120" s="8"/>
      <c r="U63120" s="8"/>
      <c r="V63120" s="8"/>
      <c r="W63120" s="8"/>
      <c r="X63120" s="8"/>
      <c r="Y63120" s="8"/>
      <c r="Z63120" s="8"/>
      <c r="AA63120" s="8"/>
    </row>
    <row r="63121" spans="1:27" x14ac:dyDescent="0.25">
      <c r="A63121" s="8"/>
      <c r="B63121" s="8"/>
      <c r="C63121" s="99"/>
      <c r="D63121" s="8"/>
      <c r="E63121" s="8"/>
      <c r="F63121" s="8"/>
      <c r="G63121" s="8"/>
      <c r="H63121" s="8"/>
      <c r="I63121" s="102"/>
      <c r="J63121" s="8"/>
      <c r="K63121" s="8"/>
      <c r="L63121" s="8"/>
      <c r="M63121" s="8"/>
      <c r="N63121" s="8"/>
      <c r="O63121" s="8"/>
      <c r="P63121" s="8"/>
      <c r="Q63121" s="8"/>
      <c r="R63121" s="103"/>
      <c r="S63121" s="8"/>
      <c r="T63121" s="8"/>
      <c r="U63121" s="8"/>
      <c r="V63121" s="8"/>
      <c r="W63121" s="8"/>
      <c r="X63121" s="8"/>
      <c r="Y63121" s="8"/>
      <c r="Z63121" s="8"/>
      <c r="AA63121" s="8"/>
    </row>
    <row r="63122" spans="1:27" x14ac:dyDescent="0.25">
      <c r="A63122" s="8"/>
      <c r="B63122" s="8"/>
      <c r="C63122" s="99"/>
      <c r="D63122" s="8"/>
      <c r="E63122" s="8"/>
      <c r="F63122" s="8"/>
      <c r="G63122" s="8"/>
      <c r="H63122" s="8"/>
      <c r="I63122" s="102"/>
      <c r="J63122" s="8"/>
      <c r="K63122" s="8"/>
      <c r="L63122" s="8"/>
      <c r="M63122" s="8"/>
      <c r="N63122" s="8"/>
      <c r="O63122" s="8"/>
      <c r="P63122" s="8"/>
      <c r="Q63122" s="8"/>
      <c r="R63122" s="103"/>
      <c r="S63122" s="8"/>
      <c r="T63122" s="8"/>
      <c r="U63122" s="8"/>
      <c r="V63122" s="8"/>
      <c r="W63122" s="8"/>
      <c r="X63122" s="8"/>
      <c r="Y63122" s="8"/>
      <c r="Z63122" s="8"/>
      <c r="AA63122" s="8"/>
    </row>
    <row r="63123" spans="1:27" x14ac:dyDescent="0.25">
      <c r="A63123" s="8"/>
      <c r="B63123" s="8"/>
      <c r="C63123" s="99"/>
      <c r="D63123" s="8"/>
      <c r="E63123" s="8"/>
      <c r="F63123" s="8"/>
      <c r="G63123" s="8"/>
      <c r="H63123" s="8"/>
      <c r="I63123" s="102"/>
      <c r="J63123" s="8"/>
      <c r="K63123" s="8"/>
      <c r="L63123" s="8"/>
      <c r="M63123" s="8"/>
      <c r="N63123" s="8"/>
      <c r="O63123" s="8"/>
      <c r="P63123" s="8"/>
      <c r="Q63123" s="8"/>
      <c r="R63123" s="103"/>
      <c r="S63123" s="8"/>
      <c r="T63123" s="8"/>
      <c r="U63123" s="8"/>
      <c r="V63123" s="8"/>
      <c r="W63123" s="8"/>
      <c r="X63123" s="8"/>
      <c r="Y63123" s="8"/>
      <c r="Z63123" s="8"/>
      <c r="AA63123" s="8"/>
    </row>
    <row r="63124" spans="1:27" x14ac:dyDescent="0.25">
      <c r="A63124" s="8"/>
      <c r="B63124" s="8"/>
      <c r="C63124" s="99"/>
      <c r="D63124" s="8"/>
      <c r="E63124" s="8"/>
      <c r="F63124" s="8"/>
      <c r="G63124" s="8"/>
      <c r="H63124" s="8"/>
      <c r="I63124" s="102"/>
      <c r="J63124" s="8"/>
      <c r="K63124" s="8"/>
      <c r="L63124" s="8"/>
      <c r="M63124" s="8"/>
      <c r="N63124" s="8"/>
      <c r="O63124" s="8"/>
      <c r="P63124" s="8"/>
      <c r="Q63124" s="8"/>
      <c r="R63124" s="103"/>
      <c r="S63124" s="8"/>
      <c r="T63124" s="8"/>
      <c r="U63124" s="8"/>
      <c r="V63124" s="8"/>
      <c r="W63124" s="8"/>
      <c r="X63124" s="8"/>
      <c r="Y63124" s="8"/>
      <c r="Z63124" s="8"/>
      <c r="AA63124" s="8"/>
    </row>
    <row r="63125" spans="1:27" x14ac:dyDescent="0.25">
      <c r="A63125" s="8"/>
      <c r="B63125" s="8"/>
      <c r="C63125" s="99"/>
      <c r="D63125" s="8"/>
      <c r="E63125" s="8"/>
      <c r="F63125" s="8"/>
      <c r="G63125" s="8"/>
      <c r="H63125" s="8"/>
      <c r="I63125" s="102"/>
      <c r="J63125" s="8"/>
      <c r="K63125" s="8"/>
      <c r="L63125" s="8"/>
      <c r="M63125" s="8"/>
      <c r="N63125" s="8"/>
      <c r="O63125" s="8"/>
      <c r="P63125" s="8"/>
      <c r="Q63125" s="8"/>
      <c r="R63125" s="103"/>
      <c r="S63125" s="8"/>
      <c r="T63125" s="8"/>
      <c r="U63125" s="8"/>
      <c r="V63125" s="8"/>
      <c r="W63125" s="8"/>
      <c r="X63125" s="8"/>
      <c r="Y63125" s="8"/>
      <c r="Z63125" s="8"/>
      <c r="AA63125" s="8"/>
    </row>
    <row r="63126" spans="1:27" x14ac:dyDescent="0.25">
      <c r="A63126" s="8"/>
      <c r="B63126" s="8"/>
      <c r="C63126" s="99"/>
      <c r="D63126" s="8"/>
      <c r="E63126" s="8"/>
      <c r="F63126" s="8"/>
      <c r="G63126" s="8"/>
      <c r="H63126" s="8"/>
      <c r="I63126" s="102"/>
      <c r="J63126" s="8"/>
      <c r="K63126" s="8"/>
      <c r="L63126" s="8"/>
      <c r="M63126" s="8"/>
      <c r="N63126" s="8"/>
      <c r="O63126" s="8"/>
      <c r="P63126" s="8"/>
      <c r="Q63126" s="8"/>
      <c r="R63126" s="103"/>
      <c r="S63126" s="8"/>
      <c r="T63126" s="8"/>
      <c r="U63126" s="8"/>
      <c r="V63126" s="8"/>
      <c r="W63126" s="8"/>
      <c r="X63126" s="8"/>
      <c r="Y63126" s="8"/>
      <c r="Z63126" s="8"/>
      <c r="AA63126" s="8"/>
    </row>
    <row r="63127" spans="1:27" x14ac:dyDescent="0.25">
      <c r="A63127" s="8"/>
      <c r="B63127" s="8"/>
      <c r="C63127" s="99"/>
      <c r="D63127" s="8"/>
      <c r="E63127" s="8"/>
      <c r="F63127" s="8"/>
      <c r="G63127" s="8"/>
      <c r="H63127" s="8"/>
      <c r="I63127" s="102"/>
      <c r="J63127" s="8"/>
      <c r="K63127" s="8"/>
      <c r="L63127" s="8"/>
      <c r="M63127" s="8"/>
      <c r="N63127" s="8"/>
      <c r="O63127" s="8"/>
      <c r="P63127" s="8"/>
      <c r="Q63127" s="8"/>
      <c r="R63127" s="103"/>
      <c r="S63127" s="8"/>
      <c r="T63127" s="8"/>
      <c r="U63127" s="8"/>
      <c r="V63127" s="8"/>
      <c r="W63127" s="8"/>
      <c r="X63127" s="8"/>
      <c r="Y63127" s="8"/>
      <c r="Z63127" s="8"/>
      <c r="AA63127" s="8"/>
    </row>
    <row r="63128" spans="1:27" x14ac:dyDescent="0.25">
      <c r="A63128" s="8"/>
      <c r="B63128" s="8"/>
      <c r="C63128" s="99"/>
      <c r="D63128" s="8"/>
      <c r="E63128" s="8"/>
      <c r="F63128" s="8"/>
      <c r="G63128" s="8"/>
      <c r="H63128" s="8"/>
      <c r="I63128" s="102"/>
      <c r="J63128" s="8"/>
      <c r="K63128" s="8"/>
      <c r="L63128" s="8"/>
      <c r="M63128" s="8"/>
      <c r="N63128" s="8"/>
      <c r="O63128" s="8"/>
      <c r="P63128" s="8"/>
      <c r="Q63128" s="8"/>
      <c r="R63128" s="103"/>
      <c r="S63128" s="8"/>
      <c r="T63128" s="8"/>
      <c r="U63128" s="8"/>
      <c r="V63128" s="8"/>
      <c r="W63128" s="8"/>
      <c r="X63128" s="8"/>
      <c r="Y63128" s="8"/>
      <c r="Z63128" s="8"/>
      <c r="AA63128" s="8"/>
    </row>
    <row r="63129" spans="1:27" x14ac:dyDescent="0.25">
      <c r="A63129" s="8"/>
      <c r="B63129" s="8"/>
      <c r="C63129" s="99"/>
      <c r="D63129" s="8"/>
      <c r="E63129" s="8"/>
      <c r="F63129" s="8"/>
      <c r="G63129" s="8"/>
      <c r="H63129" s="8"/>
      <c r="I63129" s="102"/>
      <c r="J63129" s="8"/>
      <c r="K63129" s="8"/>
      <c r="L63129" s="8"/>
      <c r="M63129" s="8"/>
      <c r="N63129" s="8"/>
      <c r="O63129" s="8"/>
      <c r="P63129" s="8"/>
      <c r="Q63129" s="8"/>
      <c r="R63129" s="103"/>
      <c r="S63129" s="8"/>
      <c r="T63129" s="8"/>
      <c r="U63129" s="8"/>
      <c r="V63129" s="8"/>
      <c r="W63129" s="8"/>
      <c r="X63129" s="8"/>
      <c r="Y63129" s="8"/>
      <c r="Z63129" s="8"/>
      <c r="AA63129" s="8"/>
    </row>
    <row r="63130" spans="1:27" x14ac:dyDescent="0.25">
      <c r="A63130" s="8"/>
      <c r="B63130" s="8"/>
      <c r="C63130" s="99"/>
      <c r="D63130" s="8"/>
      <c r="E63130" s="8"/>
      <c r="F63130" s="8"/>
      <c r="G63130" s="8"/>
      <c r="H63130" s="8"/>
      <c r="I63130" s="102"/>
      <c r="J63130" s="8"/>
      <c r="K63130" s="8"/>
      <c r="L63130" s="8"/>
      <c r="M63130" s="8"/>
      <c r="N63130" s="8"/>
      <c r="O63130" s="8"/>
      <c r="P63130" s="8"/>
      <c r="Q63130" s="8"/>
      <c r="R63130" s="103"/>
      <c r="S63130" s="8"/>
      <c r="T63130" s="8"/>
      <c r="U63130" s="8"/>
      <c r="V63130" s="8"/>
      <c r="W63130" s="8"/>
      <c r="X63130" s="8"/>
      <c r="Y63130" s="8"/>
      <c r="Z63130" s="8"/>
      <c r="AA63130" s="8"/>
    </row>
    <row r="63131" spans="1:27" x14ac:dyDescent="0.25">
      <c r="A63131" s="8"/>
      <c r="B63131" s="8"/>
      <c r="C63131" s="99"/>
      <c r="D63131" s="8"/>
      <c r="E63131" s="8"/>
      <c r="F63131" s="8"/>
      <c r="G63131" s="8"/>
      <c r="H63131" s="8"/>
      <c r="I63131" s="102"/>
      <c r="J63131" s="8"/>
      <c r="K63131" s="8"/>
      <c r="L63131" s="8"/>
      <c r="M63131" s="8"/>
      <c r="N63131" s="8"/>
      <c r="O63131" s="8"/>
      <c r="P63131" s="8"/>
      <c r="Q63131" s="8"/>
      <c r="R63131" s="103"/>
      <c r="S63131" s="8"/>
      <c r="T63131" s="8"/>
      <c r="U63131" s="8"/>
      <c r="V63131" s="8"/>
      <c r="W63131" s="8"/>
      <c r="X63131" s="8"/>
      <c r="Y63131" s="8"/>
      <c r="Z63131" s="8"/>
      <c r="AA63131" s="8"/>
    </row>
    <row r="63132" spans="1:27" x14ac:dyDescent="0.25">
      <c r="A63132" s="8"/>
      <c r="B63132" s="8"/>
      <c r="C63132" s="99"/>
      <c r="D63132" s="8"/>
      <c r="E63132" s="8"/>
      <c r="F63132" s="8"/>
      <c r="G63132" s="8"/>
      <c r="H63132" s="8"/>
      <c r="I63132" s="102"/>
      <c r="J63132" s="8"/>
      <c r="K63132" s="8"/>
      <c r="L63132" s="8"/>
      <c r="M63132" s="8"/>
      <c r="N63132" s="8"/>
      <c r="O63132" s="8"/>
      <c r="P63132" s="8"/>
      <c r="Q63132" s="8"/>
      <c r="R63132" s="103"/>
      <c r="S63132" s="8"/>
      <c r="T63132" s="8"/>
      <c r="U63132" s="8"/>
      <c r="V63132" s="8"/>
      <c r="W63132" s="8"/>
      <c r="X63132" s="8"/>
      <c r="Y63132" s="8"/>
      <c r="Z63132" s="8"/>
      <c r="AA63132" s="8"/>
    </row>
    <row r="63133" spans="1:27" x14ac:dyDescent="0.25">
      <c r="A63133" s="8"/>
      <c r="B63133" s="8"/>
      <c r="C63133" s="99"/>
      <c r="D63133" s="8"/>
      <c r="E63133" s="8"/>
      <c r="F63133" s="8"/>
      <c r="G63133" s="8"/>
      <c r="H63133" s="8"/>
      <c r="I63133" s="102"/>
      <c r="J63133" s="8"/>
      <c r="K63133" s="8"/>
      <c r="L63133" s="8"/>
      <c r="M63133" s="8"/>
      <c r="N63133" s="8"/>
      <c r="O63133" s="8"/>
      <c r="P63133" s="8"/>
      <c r="Q63133" s="8"/>
      <c r="R63133" s="103"/>
      <c r="S63133" s="8"/>
      <c r="T63133" s="8"/>
      <c r="U63133" s="8"/>
      <c r="V63133" s="8"/>
      <c r="W63133" s="8"/>
      <c r="X63133" s="8"/>
      <c r="Y63133" s="8"/>
      <c r="Z63133" s="8"/>
      <c r="AA63133" s="8"/>
    </row>
    <row r="63134" spans="1:27" x14ac:dyDescent="0.25">
      <c r="A63134" s="8"/>
      <c r="B63134" s="8"/>
      <c r="C63134" s="99"/>
      <c r="D63134" s="8"/>
      <c r="E63134" s="8"/>
      <c r="F63134" s="8"/>
      <c r="G63134" s="8"/>
      <c r="H63134" s="8"/>
      <c r="I63134" s="102"/>
      <c r="J63134" s="8"/>
      <c r="K63134" s="8"/>
      <c r="L63134" s="8"/>
      <c r="M63134" s="8"/>
      <c r="N63134" s="8"/>
      <c r="O63134" s="8"/>
      <c r="P63134" s="8"/>
      <c r="Q63134" s="8"/>
      <c r="R63134" s="103"/>
      <c r="S63134" s="8"/>
      <c r="T63134" s="8"/>
      <c r="U63134" s="8"/>
      <c r="V63134" s="8"/>
      <c r="W63134" s="8"/>
      <c r="X63134" s="8"/>
      <c r="Y63134" s="8"/>
      <c r="Z63134" s="8"/>
      <c r="AA63134" s="8"/>
    </row>
    <row r="63135" spans="1:27" x14ac:dyDescent="0.25">
      <c r="A63135" s="8"/>
      <c r="B63135" s="8"/>
      <c r="C63135" s="99"/>
      <c r="D63135" s="8"/>
      <c r="E63135" s="8"/>
      <c r="F63135" s="8"/>
      <c r="G63135" s="8"/>
      <c r="H63135" s="8"/>
      <c r="I63135" s="102"/>
      <c r="J63135" s="8"/>
      <c r="K63135" s="8"/>
      <c r="L63135" s="8"/>
      <c r="M63135" s="8"/>
      <c r="N63135" s="8"/>
      <c r="O63135" s="8"/>
      <c r="P63135" s="8"/>
      <c r="Q63135" s="8"/>
      <c r="R63135" s="103"/>
      <c r="S63135" s="8"/>
      <c r="T63135" s="8"/>
      <c r="U63135" s="8"/>
      <c r="V63135" s="8"/>
      <c r="W63135" s="8"/>
      <c r="X63135" s="8"/>
      <c r="Y63135" s="8"/>
      <c r="Z63135" s="8"/>
      <c r="AA63135" s="8"/>
    </row>
    <row r="63136" spans="1:27" x14ac:dyDescent="0.25">
      <c r="A63136" s="8"/>
      <c r="B63136" s="8"/>
      <c r="C63136" s="99"/>
      <c r="D63136" s="8"/>
      <c r="E63136" s="8"/>
      <c r="F63136" s="8"/>
      <c r="G63136" s="8"/>
      <c r="H63136" s="8"/>
      <c r="I63136" s="102"/>
      <c r="J63136" s="8"/>
      <c r="K63136" s="8"/>
      <c r="L63136" s="8"/>
      <c r="M63136" s="8"/>
      <c r="N63136" s="8"/>
      <c r="O63136" s="8"/>
      <c r="P63136" s="8"/>
      <c r="Q63136" s="8"/>
      <c r="R63136" s="103"/>
      <c r="S63136" s="8"/>
      <c r="T63136" s="8"/>
      <c r="U63136" s="8"/>
      <c r="V63136" s="8"/>
      <c r="W63136" s="8"/>
      <c r="X63136" s="8"/>
      <c r="Y63136" s="8"/>
      <c r="Z63136" s="8"/>
      <c r="AA63136" s="8"/>
    </row>
    <row r="63137" spans="1:27" x14ac:dyDescent="0.25">
      <c r="A63137" s="8"/>
      <c r="B63137" s="8"/>
      <c r="C63137" s="99"/>
      <c r="D63137" s="8"/>
      <c r="E63137" s="8"/>
      <c r="F63137" s="8"/>
      <c r="G63137" s="8"/>
      <c r="H63137" s="8"/>
      <c r="I63137" s="102"/>
      <c r="J63137" s="8"/>
      <c r="K63137" s="8"/>
      <c r="L63137" s="8"/>
      <c r="M63137" s="8"/>
      <c r="N63137" s="8"/>
      <c r="O63137" s="8"/>
      <c r="P63137" s="8"/>
      <c r="Q63137" s="8"/>
      <c r="R63137" s="103"/>
      <c r="S63137" s="8"/>
      <c r="T63137" s="8"/>
      <c r="U63137" s="8"/>
      <c r="V63137" s="8"/>
      <c r="W63137" s="8"/>
      <c r="X63137" s="8"/>
      <c r="Y63137" s="8"/>
      <c r="Z63137" s="8"/>
      <c r="AA63137" s="8"/>
    </row>
    <row r="63138" spans="1:27" x14ac:dyDescent="0.25">
      <c r="A63138" s="8"/>
      <c r="B63138" s="8"/>
      <c r="C63138" s="99"/>
      <c r="D63138" s="8"/>
      <c r="E63138" s="8"/>
      <c r="F63138" s="8"/>
      <c r="G63138" s="8"/>
      <c r="H63138" s="8"/>
      <c r="I63138" s="102"/>
      <c r="J63138" s="8"/>
      <c r="K63138" s="8"/>
      <c r="L63138" s="8"/>
      <c r="M63138" s="8"/>
      <c r="N63138" s="8"/>
      <c r="O63138" s="8"/>
      <c r="P63138" s="8"/>
      <c r="Q63138" s="8"/>
      <c r="R63138" s="103"/>
      <c r="S63138" s="8"/>
      <c r="T63138" s="8"/>
      <c r="U63138" s="8"/>
      <c r="V63138" s="8"/>
      <c r="W63138" s="8"/>
      <c r="X63138" s="8"/>
      <c r="Y63138" s="8"/>
      <c r="Z63138" s="8"/>
      <c r="AA63138" s="8"/>
    </row>
    <row r="63139" spans="1:27" x14ac:dyDescent="0.25">
      <c r="A63139" s="8"/>
      <c r="B63139" s="8"/>
      <c r="C63139" s="99"/>
      <c r="D63139" s="8"/>
      <c r="E63139" s="8"/>
      <c r="F63139" s="8"/>
      <c r="G63139" s="8"/>
      <c r="H63139" s="8"/>
      <c r="I63139" s="102"/>
      <c r="J63139" s="8"/>
      <c r="K63139" s="8"/>
      <c r="L63139" s="8"/>
      <c r="M63139" s="8"/>
      <c r="N63139" s="8"/>
      <c r="O63139" s="8"/>
      <c r="P63139" s="8"/>
      <c r="Q63139" s="8"/>
      <c r="R63139" s="103"/>
      <c r="S63139" s="8"/>
      <c r="T63139" s="8"/>
      <c r="U63139" s="8"/>
      <c r="V63139" s="8"/>
      <c r="W63139" s="8"/>
      <c r="X63139" s="8"/>
      <c r="Y63139" s="8"/>
      <c r="Z63139" s="8"/>
      <c r="AA63139" s="8"/>
    </row>
    <row r="63140" spans="1:27" x14ac:dyDescent="0.25">
      <c r="A63140" s="8"/>
      <c r="B63140" s="8"/>
      <c r="C63140" s="99"/>
      <c r="D63140" s="8"/>
      <c r="E63140" s="8"/>
      <c r="F63140" s="8"/>
      <c r="G63140" s="8"/>
      <c r="H63140" s="8"/>
      <c r="I63140" s="102"/>
      <c r="J63140" s="8"/>
      <c r="K63140" s="8"/>
      <c r="L63140" s="8"/>
      <c r="M63140" s="8"/>
      <c r="N63140" s="8"/>
      <c r="O63140" s="8"/>
      <c r="P63140" s="8"/>
      <c r="Q63140" s="8"/>
      <c r="R63140" s="103"/>
      <c r="S63140" s="8"/>
      <c r="T63140" s="8"/>
      <c r="U63140" s="8"/>
      <c r="V63140" s="8"/>
      <c r="W63140" s="8"/>
      <c r="X63140" s="8"/>
      <c r="Y63140" s="8"/>
      <c r="Z63140" s="8"/>
      <c r="AA63140" s="8"/>
    </row>
    <row r="63141" spans="1:27" x14ac:dyDescent="0.25">
      <c r="A63141" s="8"/>
      <c r="B63141" s="8"/>
      <c r="C63141" s="99"/>
      <c r="D63141" s="8"/>
      <c r="E63141" s="8"/>
      <c r="F63141" s="8"/>
      <c r="G63141" s="8"/>
      <c r="H63141" s="8"/>
      <c r="I63141" s="102"/>
      <c r="J63141" s="8"/>
      <c r="K63141" s="8"/>
      <c r="L63141" s="8"/>
      <c r="M63141" s="8"/>
      <c r="N63141" s="8"/>
      <c r="O63141" s="8"/>
      <c r="P63141" s="8"/>
      <c r="Q63141" s="8"/>
      <c r="R63141" s="103"/>
      <c r="S63141" s="8"/>
      <c r="T63141" s="8"/>
      <c r="U63141" s="8"/>
      <c r="V63141" s="8"/>
      <c r="W63141" s="8"/>
      <c r="X63141" s="8"/>
      <c r="Y63141" s="8"/>
      <c r="Z63141" s="8"/>
      <c r="AA63141" s="8"/>
    </row>
    <row r="63142" spans="1:27" x14ac:dyDescent="0.25">
      <c r="A63142" s="8"/>
      <c r="B63142" s="8"/>
      <c r="C63142" s="99"/>
      <c r="D63142" s="8"/>
      <c r="E63142" s="8"/>
      <c r="F63142" s="8"/>
      <c r="G63142" s="8"/>
      <c r="H63142" s="8"/>
      <c r="I63142" s="102"/>
      <c r="J63142" s="8"/>
      <c r="K63142" s="8"/>
      <c r="L63142" s="8"/>
      <c r="M63142" s="8"/>
      <c r="N63142" s="8"/>
      <c r="O63142" s="8"/>
      <c r="P63142" s="8"/>
      <c r="Q63142" s="8"/>
      <c r="R63142" s="103"/>
      <c r="S63142" s="8"/>
      <c r="T63142" s="8"/>
      <c r="U63142" s="8"/>
      <c r="V63142" s="8"/>
      <c r="W63142" s="8"/>
      <c r="X63142" s="8"/>
      <c r="Y63142" s="8"/>
      <c r="Z63142" s="8"/>
      <c r="AA63142" s="8"/>
    </row>
    <row r="63143" spans="1:27" x14ac:dyDescent="0.25">
      <c r="A63143" s="8"/>
      <c r="B63143" s="8"/>
      <c r="C63143" s="99"/>
      <c r="D63143" s="8"/>
      <c r="E63143" s="8"/>
      <c r="F63143" s="8"/>
      <c r="G63143" s="8"/>
      <c r="H63143" s="8"/>
      <c r="I63143" s="102"/>
      <c r="J63143" s="8"/>
      <c r="K63143" s="8"/>
      <c r="L63143" s="8"/>
      <c r="M63143" s="8"/>
      <c r="N63143" s="8"/>
      <c r="O63143" s="8"/>
      <c r="P63143" s="8"/>
      <c r="Q63143" s="8"/>
      <c r="R63143" s="103"/>
      <c r="S63143" s="8"/>
      <c r="T63143" s="8"/>
      <c r="U63143" s="8"/>
      <c r="V63143" s="8"/>
      <c r="W63143" s="8"/>
      <c r="X63143" s="8"/>
      <c r="Y63143" s="8"/>
      <c r="Z63143" s="8"/>
      <c r="AA63143" s="8"/>
    </row>
    <row r="63144" spans="1:27" x14ac:dyDescent="0.25">
      <c r="A63144" s="8"/>
      <c r="B63144" s="8"/>
      <c r="C63144" s="99"/>
      <c r="D63144" s="8"/>
      <c r="E63144" s="8"/>
      <c r="F63144" s="8"/>
      <c r="G63144" s="8"/>
      <c r="H63144" s="8"/>
      <c r="I63144" s="102"/>
      <c r="J63144" s="8"/>
      <c r="K63144" s="8"/>
      <c r="L63144" s="8"/>
      <c r="M63144" s="8"/>
      <c r="N63144" s="8"/>
      <c r="O63144" s="8"/>
      <c r="P63144" s="8"/>
      <c r="Q63144" s="8"/>
      <c r="R63144" s="103"/>
      <c r="S63144" s="8"/>
      <c r="T63144" s="8"/>
      <c r="U63144" s="8"/>
      <c r="V63144" s="8"/>
      <c r="W63144" s="8"/>
      <c r="X63144" s="8"/>
      <c r="Y63144" s="8"/>
      <c r="Z63144" s="8"/>
      <c r="AA63144" s="8"/>
    </row>
    <row r="63145" spans="1:27" x14ac:dyDescent="0.25">
      <c r="A63145" s="8"/>
      <c r="B63145" s="8"/>
      <c r="C63145" s="99"/>
      <c r="D63145" s="8"/>
      <c r="E63145" s="8"/>
      <c r="F63145" s="8"/>
      <c r="G63145" s="8"/>
      <c r="H63145" s="8"/>
      <c r="I63145" s="102"/>
      <c r="J63145" s="8"/>
      <c r="K63145" s="8"/>
      <c r="L63145" s="8"/>
      <c r="M63145" s="8"/>
      <c r="N63145" s="8"/>
      <c r="O63145" s="8"/>
      <c r="P63145" s="8"/>
      <c r="Q63145" s="8"/>
      <c r="R63145" s="103"/>
      <c r="S63145" s="8"/>
      <c r="T63145" s="8"/>
      <c r="U63145" s="8"/>
      <c r="V63145" s="8"/>
      <c r="W63145" s="8"/>
      <c r="X63145" s="8"/>
      <c r="Y63145" s="8"/>
      <c r="Z63145" s="8"/>
      <c r="AA63145" s="8"/>
    </row>
    <row r="63146" spans="1:27" x14ac:dyDescent="0.25">
      <c r="A63146" s="8"/>
      <c r="B63146" s="8"/>
      <c r="C63146" s="99"/>
      <c r="D63146" s="8"/>
      <c r="E63146" s="8"/>
      <c r="F63146" s="8"/>
      <c r="G63146" s="8"/>
      <c r="H63146" s="8"/>
      <c r="I63146" s="102"/>
      <c r="J63146" s="8"/>
      <c r="K63146" s="8"/>
      <c r="L63146" s="8"/>
      <c r="M63146" s="8"/>
      <c r="N63146" s="8"/>
      <c r="O63146" s="8"/>
      <c r="P63146" s="8"/>
      <c r="Q63146" s="8"/>
      <c r="R63146" s="103"/>
      <c r="S63146" s="8"/>
      <c r="T63146" s="8"/>
      <c r="U63146" s="8"/>
      <c r="V63146" s="8"/>
      <c r="W63146" s="8"/>
      <c r="X63146" s="8"/>
      <c r="Y63146" s="8"/>
      <c r="Z63146" s="8"/>
      <c r="AA63146" s="8"/>
    </row>
    <row r="63147" spans="1:27" x14ac:dyDescent="0.25">
      <c r="A63147" s="8"/>
      <c r="B63147" s="8"/>
      <c r="C63147" s="99"/>
      <c r="D63147" s="8"/>
      <c r="E63147" s="8"/>
      <c r="F63147" s="8"/>
      <c r="G63147" s="8"/>
      <c r="H63147" s="8"/>
      <c r="I63147" s="102"/>
      <c r="J63147" s="8"/>
      <c r="K63147" s="8"/>
      <c r="L63147" s="8"/>
      <c r="M63147" s="8"/>
      <c r="N63147" s="8"/>
      <c r="O63147" s="8"/>
      <c r="P63147" s="8"/>
      <c r="Q63147" s="8"/>
      <c r="R63147" s="103"/>
      <c r="S63147" s="8"/>
      <c r="T63147" s="8"/>
      <c r="U63147" s="8"/>
      <c r="V63147" s="8"/>
      <c r="W63147" s="8"/>
      <c r="X63147" s="8"/>
      <c r="Y63147" s="8"/>
      <c r="Z63147" s="8"/>
      <c r="AA63147" s="8"/>
    </row>
    <row r="63148" spans="1:27" x14ac:dyDescent="0.25">
      <c r="A63148" s="8"/>
      <c r="B63148" s="8"/>
      <c r="C63148" s="99"/>
      <c r="D63148" s="8"/>
      <c r="E63148" s="8"/>
      <c r="F63148" s="8"/>
      <c r="G63148" s="8"/>
      <c r="H63148" s="8"/>
      <c r="I63148" s="102"/>
      <c r="J63148" s="8"/>
      <c r="K63148" s="8"/>
      <c r="L63148" s="8"/>
      <c r="M63148" s="8"/>
      <c r="N63148" s="8"/>
      <c r="O63148" s="8"/>
      <c r="P63148" s="8"/>
      <c r="Q63148" s="8"/>
      <c r="R63148" s="103"/>
      <c r="S63148" s="8"/>
      <c r="T63148" s="8"/>
      <c r="U63148" s="8"/>
      <c r="V63148" s="8"/>
      <c r="W63148" s="8"/>
      <c r="X63148" s="8"/>
      <c r="Y63148" s="8"/>
      <c r="Z63148" s="8"/>
      <c r="AA63148" s="8"/>
    </row>
    <row r="63149" spans="1:27" x14ac:dyDescent="0.25">
      <c r="A63149" s="8"/>
      <c r="B63149" s="8"/>
      <c r="C63149" s="99"/>
      <c r="D63149" s="8"/>
      <c r="E63149" s="8"/>
      <c r="F63149" s="8"/>
      <c r="G63149" s="8"/>
      <c r="H63149" s="8"/>
      <c r="I63149" s="102"/>
      <c r="J63149" s="8"/>
      <c r="K63149" s="8"/>
      <c r="L63149" s="8"/>
      <c r="M63149" s="8"/>
      <c r="N63149" s="8"/>
      <c r="O63149" s="8"/>
      <c r="P63149" s="8"/>
      <c r="Q63149" s="8"/>
      <c r="R63149" s="103"/>
      <c r="S63149" s="8"/>
      <c r="T63149" s="8"/>
      <c r="U63149" s="8"/>
      <c r="V63149" s="8"/>
      <c r="W63149" s="8"/>
      <c r="X63149" s="8"/>
      <c r="Y63149" s="8"/>
      <c r="Z63149" s="8"/>
      <c r="AA63149" s="8"/>
    </row>
    <row r="63150" spans="1:27" x14ac:dyDescent="0.25">
      <c r="A63150" s="8"/>
      <c r="B63150" s="8"/>
      <c r="C63150" s="99"/>
      <c r="D63150" s="8"/>
      <c r="E63150" s="8"/>
      <c r="F63150" s="8"/>
      <c r="G63150" s="8"/>
      <c r="H63150" s="8"/>
      <c r="I63150" s="102"/>
      <c r="J63150" s="8"/>
      <c r="K63150" s="8"/>
      <c r="L63150" s="8"/>
      <c r="M63150" s="8"/>
      <c r="N63150" s="8"/>
      <c r="O63150" s="8"/>
      <c r="P63150" s="8"/>
      <c r="Q63150" s="8"/>
      <c r="R63150" s="103"/>
      <c r="S63150" s="8"/>
      <c r="T63150" s="8"/>
      <c r="U63150" s="8"/>
      <c r="V63150" s="8"/>
      <c r="W63150" s="8"/>
      <c r="X63150" s="8"/>
      <c r="Y63150" s="8"/>
      <c r="Z63150" s="8"/>
      <c r="AA63150" s="8"/>
    </row>
    <row r="63151" spans="1:27" x14ac:dyDescent="0.25">
      <c r="A63151" s="8"/>
      <c r="B63151" s="8"/>
      <c r="C63151" s="99"/>
      <c r="D63151" s="8"/>
      <c r="E63151" s="8"/>
      <c r="F63151" s="8"/>
      <c r="G63151" s="8"/>
      <c r="H63151" s="8"/>
      <c r="I63151" s="102"/>
      <c r="J63151" s="8"/>
      <c r="K63151" s="8"/>
      <c r="L63151" s="8"/>
      <c r="M63151" s="8"/>
      <c r="N63151" s="8"/>
      <c r="O63151" s="8"/>
      <c r="P63151" s="8"/>
      <c r="Q63151" s="8"/>
      <c r="R63151" s="103"/>
      <c r="S63151" s="8"/>
      <c r="T63151" s="8"/>
      <c r="U63151" s="8"/>
      <c r="V63151" s="8"/>
      <c r="W63151" s="8"/>
      <c r="X63151" s="8"/>
      <c r="Y63151" s="8"/>
      <c r="Z63151" s="8"/>
      <c r="AA63151" s="8"/>
    </row>
    <row r="63152" spans="1:27" x14ac:dyDescent="0.25">
      <c r="A63152" s="8"/>
      <c r="B63152" s="8"/>
      <c r="C63152" s="99"/>
      <c r="D63152" s="8"/>
      <c r="E63152" s="8"/>
      <c r="F63152" s="8"/>
      <c r="G63152" s="8"/>
      <c r="H63152" s="8"/>
      <c r="I63152" s="102"/>
      <c r="J63152" s="8"/>
      <c r="K63152" s="8"/>
      <c r="L63152" s="8"/>
      <c r="M63152" s="8"/>
      <c r="N63152" s="8"/>
      <c r="O63152" s="8"/>
      <c r="P63152" s="8"/>
      <c r="Q63152" s="8"/>
      <c r="R63152" s="103"/>
      <c r="S63152" s="8"/>
      <c r="T63152" s="8"/>
      <c r="U63152" s="8"/>
      <c r="V63152" s="8"/>
      <c r="W63152" s="8"/>
      <c r="X63152" s="8"/>
      <c r="Y63152" s="8"/>
      <c r="Z63152" s="8"/>
      <c r="AA63152" s="8"/>
    </row>
    <row r="63153" spans="1:27" x14ac:dyDescent="0.25">
      <c r="A63153" s="8"/>
      <c r="B63153" s="8"/>
      <c r="C63153" s="99"/>
      <c r="D63153" s="8"/>
      <c r="E63153" s="8"/>
      <c r="F63153" s="8"/>
      <c r="G63153" s="8"/>
      <c r="H63153" s="8"/>
      <c r="I63153" s="102"/>
      <c r="J63153" s="8"/>
      <c r="K63153" s="8"/>
      <c r="L63153" s="8"/>
      <c r="M63153" s="8"/>
      <c r="N63153" s="8"/>
      <c r="O63153" s="8"/>
      <c r="P63153" s="8"/>
      <c r="Q63153" s="8"/>
      <c r="R63153" s="103"/>
      <c r="S63153" s="8"/>
      <c r="T63153" s="8"/>
      <c r="U63153" s="8"/>
      <c r="V63153" s="8"/>
      <c r="W63153" s="8"/>
      <c r="X63153" s="8"/>
      <c r="Y63153" s="8"/>
      <c r="Z63153" s="8"/>
      <c r="AA63153" s="8"/>
    </row>
    <row r="63154" spans="1:27" x14ac:dyDescent="0.25">
      <c r="A63154" s="8"/>
      <c r="B63154" s="8"/>
      <c r="C63154" s="99"/>
      <c r="D63154" s="8"/>
      <c r="E63154" s="8"/>
      <c r="F63154" s="8"/>
      <c r="G63154" s="8"/>
      <c r="H63154" s="8"/>
      <c r="I63154" s="102"/>
      <c r="J63154" s="8"/>
      <c r="K63154" s="8"/>
      <c r="L63154" s="8"/>
      <c r="M63154" s="8"/>
      <c r="N63154" s="8"/>
      <c r="O63154" s="8"/>
      <c r="P63154" s="8"/>
      <c r="Q63154" s="8"/>
      <c r="R63154" s="103"/>
      <c r="S63154" s="8"/>
      <c r="T63154" s="8"/>
      <c r="U63154" s="8"/>
      <c r="V63154" s="8"/>
      <c r="W63154" s="8"/>
      <c r="X63154" s="8"/>
      <c r="Y63154" s="8"/>
      <c r="Z63154" s="8"/>
      <c r="AA63154" s="8"/>
    </row>
    <row r="63155" spans="1:27" x14ac:dyDescent="0.25">
      <c r="A63155" s="8"/>
      <c r="B63155" s="8"/>
      <c r="C63155" s="99"/>
      <c r="D63155" s="8"/>
      <c r="E63155" s="8"/>
      <c r="F63155" s="8"/>
      <c r="G63155" s="8"/>
      <c r="H63155" s="8"/>
      <c r="I63155" s="102"/>
      <c r="J63155" s="8"/>
      <c r="K63155" s="8"/>
      <c r="L63155" s="8"/>
      <c r="M63155" s="8"/>
      <c r="N63155" s="8"/>
      <c r="O63155" s="8"/>
      <c r="P63155" s="8"/>
      <c r="Q63155" s="8"/>
      <c r="R63155" s="103"/>
      <c r="S63155" s="8"/>
      <c r="T63155" s="8"/>
      <c r="U63155" s="8"/>
      <c r="V63155" s="8"/>
      <c r="W63155" s="8"/>
      <c r="X63155" s="8"/>
      <c r="Y63155" s="8"/>
      <c r="Z63155" s="8"/>
      <c r="AA63155" s="8"/>
    </row>
    <row r="63156" spans="1:27" x14ac:dyDescent="0.25">
      <c r="A63156" s="8"/>
      <c r="B63156" s="8"/>
      <c r="C63156" s="99"/>
      <c r="D63156" s="8"/>
      <c r="E63156" s="8"/>
      <c r="F63156" s="8"/>
      <c r="G63156" s="8"/>
      <c r="H63156" s="8"/>
      <c r="I63156" s="102"/>
      <c r="J63156" s="8"/>
      <c r="K63156" s="8"/>
      <c r="L63156" s="8"/>
      <c r="M63156" s="8"/>
      <c r="N63156" s="8"/>
      <c r="O63156" s="8"/>
      <c r="P63156" s="8"/>
      <c r="Q63156" s="8"/>
      <c r="R63156" s="103"/>
      <c r="S63156" s="8"/>
      <c r="T63156" s="8"/>
      <c r="U63156" s="8"/>
      <c r="V63156" s="8"/>
      <c r="W63156" s="8"/>
      <c r="X63156" s="8"/>
      <c r="Y63156" s="8"/>
      <c r="Z63156" s="8"/>
      <c r="AA63156" s="8"/>
    </row>
    <row r="63157" spans="1:27" x14ac:dyDescent="0.25">
      <c r="A63157" s="8"/>
      <c r="B63157" s="8"/>
      <c r="C63157" s="99"/>
      <c r="D63157" s="8"/>
      <c r="E63157" s="8"/>
      <c r="F63157" s="8"/>
      <c r="G63157" s="8"/>
      <c r="H63157" s="8"/>
      <c r="I63157" s="102"/>
      <c r="J63157" s="8"/>
      <c r="K63157" s="8"/>
      <c r="L63157" s="8"/>
      <c r="M63157" s="8"/>
      <c r="N63157" s="8"/>
      <c r="O63157" s="8"/>
      <c r="P63157" s="8"/>
      <c r="Q63157" s="8"/>
      <c r="R63157" s="103"/>
      <c r="S63157" s="8"/>
      <c r="T63157" s="8"/>
      <c r="U63157" s="8"/>
      <c r="V63157" s="8"/>
      <c r="W63157" s="8"/>
      <c r="X63157" s="8"/>
      <c r="Y63157" s="8"/>
      <c r="Z63157" s="8"/>
      <c r="AA63157" s="8"/>
    </row>
    <row r="63158" spans="1:27" x14ac:dyDescent="0.25">
      <c r="A63158" s="8"/>
      <c r="B63158" s="8"/>
      <c r="C63158" s="99"/>
      <c r="D63158" s="8"/>
      <c r="E63158" s="8"/>
      <c r="F63158" s="8"/>
      <c r="G63158" s="8"/>
      <c r="H63158" s="8"/>
      <c r="I63158" s="102"/>
      <c r="J63158" s="8"/>
      <c r="K63158" s="8"/>
      <c r="L63158" s="8"/>
      <c r="M63158" s="8"/>
      <c r="N63158" s="8"/>
      <c r="O63158" s="8"/>
      <c r="P63158" s="8"/>
      <c r="Q63158" s="8"/>
      <c r="R63158" s="103"/>
      <c r="S63158" s="8"/>
      <c r="T63158" s="8"/>
      <c r="U63158" s="8"/>
      <c r="V63158" s="8"/>
      <c r="W63158" s="8"/>
      <c r="X63158" s="8"/>
      <c r="Y63158" s="8"/>
      <c r="Z63158" s="8"/>
      <c r="AA63158" s="8"/>
    </row>
    <row r="63159" spans="1:27" x14ac:dyDescent="0.25">
      <c r="A63159" s="8"/>
      <c r="B63159" s="8"/>
      <c r="C63159" s="99"/>
      <c r="D63159" s="8"/>
      <c r="E63159" s="8"/>
      <c r="F63159" s="8"/>
      <c r="G63159" s="8"/>
      <c r="H63159" s="8"/>
      <c r="I63159" s="102"/>
      <c r="J63159" s="8"/>
      <c r="K63159" s="8"/>
      <c r="L63159" s="8"/>
      <c r="M63159" s="8"/>
      <c r="N63159" s="8"/>
      <c r="O63159" s="8"/>
      <c r="P63159" s="8"/>
      <c r="Q63159" s="8"/>
      <c r="R63159" s="103"/>
      <c r="S63159" s="8"/>
      <c r="T63159" s="8"/>
      <c r="U63159" s="8"/>
      <c r="V63159" s="8"/>
      <c r="W63159" s="8"/>
      <c r="X63159" s="8"/>
      <c r="Y63159" s="8"/>
      <c r="Z63159" s="8"/>
      <c r="AA63159" s="8"/>
    </row>
    <row r="63160" spans="1:27" x14ac:dyDescent="0.25">
      <c r="A63160" s="8"/>
      <c r="B63160" s="8"/>
      <c r="C63160" s="99"/>
      <c r="D63160" s="8"/>
      <c r="E63160" s="8"/>
      <c r="F63160" s="8"/>
      <c r="G63160" s="8"/>
      <c r="H63160" s="8"/>
      <c r="I63160" s="102"/>
      <c r="J63160" s="8"/>
      <c r="K63160" s="8"/>
      <c r="L63160" s="8"/>
      <c r="M63160" s="8"/>
      <c r="N63160" s="8"/>
      <c r="O63160" s="8"/>
      <c r="P63160" s="8"/>
      <c r="Q63160" s="8"/>
      <c r="R63160" s="103"/>
      <c r="S63160" s="8"/>
      <c r="T63160" s="8"/>
      <c r="U63160" s="8"/>
      <c r="V63160" s="8"/>
      <c r="W63160" s="8"/>
      <c r="X63160" s="8"/>
      <c r="Y63160" s="8"/>
      <c r="Z63160" s="8"/>
      <c r="AA63160" s="8"/>
    </row>
    <row r="63161" spans="1:27" x14ac:dyDescent="0.25">
      <c r="A63161" s="8"/>
      <c r="B63161" s="8"/>
      <c r="C63161" s="99"/>
      <c r="D63161" s="8"/>
      <c r="E63161" s="8"/>
      <c r="F63161" s="8"/>
      <c r="G63161" s="8"/>
      <c r="H63161" s="8"/>
      <c r="I63161" s="102"/>
      <c r="J63161" s="8"/>
      <c r="K63161" s="8"/>
      <c r="L63161" s="8"/>
      <c r="M63161" s="8"/>
      <c r="N63161" s="8"/>
      <c r="O63161" s="8"/>
      <c r="P63161" s="8"/>
      <c r="Q63161" s="8"/>
      <c r="R63161" s="103"/>
      <c r="S63161" s="8"/>
      <c r="T63161" s="8"/>
      <c r="U63161" s="8"/>
      <c r="V63161" s="8"/>
      <c r="W63161" s="8"/>
      <c r="X63161" s="8"/>
      <c r="Y63161" s="8"/>
      <c r="Z63161" s="8"/>
      <c r="AA63161" s="8"/>
    </row>
    <row r="63162" spans="1:27" x14ac:dyDescent="0.25">
      <c r="A63162" s="8"/>
      <c r="B63162" s="8"/>
      <c r="C63162" s="99"/>
      <c r="D63162" s="8"/>
      <c r="E63162" s="8"/>
      <c r="F63162" s="8"/>
      <c r="G63162" s="8"/>
      <c r="H63162" s="8"/>
      <c r="I63162" s="102"/>
      <c r="J63162" s="8"/>
      <c r="K63162" s="8"/>
      <c r="L63162" s="8"/>
      <c r="M63162" s="8"/>
      <c r="N63162" s="8"/>
      <c r="O63162" s="8"/>
      <c r="P63162" s="8"/>
      <c r="Q63162" s="8"/>
      <c r="R63162" s="103"/>
      <c r="S63162" s="8"/>
      <c r="T63162" s="8"/>
      <c r="U63162" s="8"/>
      <c r="V63162" s="8"/>
      <c r="W63162" s="8"/>
      <c r="X63162" s="8"/>
      <c r="Y63162" s="8"/>
      <c r="Z63162" s="8"/>
      <c r="AA63162" s="8"/>
    </row>
    <row r="63163" spans="1:27" x14ac:dyDescent="0.25">
      <c r="A63163" s="8"/>
      <c r="B63163" s="8"/>
      <c r="C63163" s="99"/>
      <c r="D63163" s="8"/>
      <c r="E63163" s="8"/>
      <c r="F63163" s="8"/>
      <c r="G63163" s="8"/>
      <c r="H63163" s="8"/>
      <c r="I63163" s="102"/>
      <c r="J63163" s="8"/>
      <c r="K63163" s="8"/>
      <c r="L63163" s="8"/>
      <c r="M63163" s="8"/>
      <c r="N63163" s="8"/>
      <c r="O63163" s="8"/>
      <c r="P63163" s="8"/>
      <c r="Q63163" s="8"/>
      <c r="R63163" s="103"/>
      <c r="S63163" s="8"/>
      <c r="T63163" s="8"/>
      <c r="U63163" s="8"/>
      <c r="V63163" s="8"/>
      <c r="W63163" s="8"/>
      <c r="X63163" s="8"/>
      <c r="Y63163" s="8"/>
      <c r="Z63163" s="8"/>
      <c r="AA63163" s="8"/>
    </row>
    <row r="63164" spans="1:27" x14ac:dyDescent="0.25">
      <c r="A63164" s="8"/>
      <c r="B63164" s="8"/>
      <c r="C63164" s="99"/>
      <c r="D63164" s="8"/>
      <c r="E63164" s="8"/>
      <c r="F63164" s="8"/>
      <c r="G63164" s="8"/>
      <c r="H63164" s="8"/>
      <c r="I63164" s="102"/>
      <c r="J63164" s="8"/>
      <c r="K63164" s="8"/>
      <c r="L63164" s="8"/>
      <c r="M63164" s="8"/>
      <c r="N63164" s="8"/>
      <c r="O63164" s="8"/>
      <c r="P63164" s="8"/>
      <c r="Q63164" s="8"/>
      <c r="R63164" s="103"/>
      <c r="S63164" s="8"/>
      <c r="T63164" s="8"/>
      <c r="U63164" s="8"/>
      <c r="V63164" s="8"/>
      <c r="W63164" s="8"/>
      <c r="X63164" s="8"/>
      <c r="Y63164" s="8"/>
      <c r="Z63164" s="8"/>
      <c r="AA63164" s="8"/>
    </row>
    <row r="63165" spans="1:27" x14ac:dyDescent="0.25">
      <c r="A63165" s="8"/>
      <c r="B63165" s="8"/>
      <c r="C63165" s="99"/>
      <c r="D63165" s="8"/>
      <c r="E63165" s="8"/>
      <c r="F63165" s="8"/>
      <c r="G63165" s="8"/>
      <c r="H63165" s="8"/>
      <c r="I63165" s="102"/>
      <c r="J63165" s="8"/>
      <c r="K63165" s="8"/>
      <c r="L63165" s="8"/>
      <c r="M63165" s="8"/>
      <c r="N63165" s="8"/>
      <c r="O63165" s="8"/>
      <c r="P63165" s="8"/>
      <c r="Q63165" s="8"/>
      <c r="R63165" s="103"/>
      <c r="S63165" s="8"/>
      <c r="T63165" s="8"/>
      <c r="U63165" s="8"/>
      <c r="V63165" s="8"/>
      <c r="W63165" s="8"/>
      <c r="X63165" s="8"/>
      <c r="Y63165" s="8"/>
      <c r="Z63165" s="8"/>
      <c r="AA63165" s="8"/>
    </row>
    <row r="63166" spans="1:27" x14ac:dyDescent="0.25">
      <c r="A63166" s="8"/>
      <c r="B63166" s="8"/>
      <c r="C63166" s="99"/>
      <c r="D63166" s="8"/>
      <c r="E63166" s="8"/>
      <c r="F63166" s="8"/>
      <c r="G63166" s="8"/>
      <c r="H63166" s="8"/>
      <c r="I63166" s="102"/>
      <c r="J63166" s="8"/>
      <c r="K63166" s="8"/>
      <c r="L63166" s="8"/>
      <c r="M63166" s="8"/>
      <c r="N63166" s="8"/>
      <c r="O63166" s="8"/>
      <c r="P63166" s="8"/>
      <c r="Q63166" s="8"/>
      <c r="R63166" s="103"/>
      <c r="S63166" s="8"/>
      <c r="T63166" s="8"/>
      <c r="U63166" s="8"/>
      <c r="V63166" s="8"/>
      <c r="W63166" s="8"/>
      <c r="X63166" s="8"/>
      <c r="Y63166" s="8"/>
      <c r="Z63166" s="8"/>
      <c r="AA63166" s="8"/>
    </row>
    <row r="63167" spans="1:27" x14ac:dyDescent="0.25">
      <c r="A63167" s="8"/>
      <c r="B63167" s="8"/>
      <c r="C63167" s="99"/>
      <c r="D63167" s="8"/>
      <c r="E63167" s="8"/>
      <c r="F63167" s="8"/>
      <c r="G63167" s="8"/>
      <c r="H63167" s="8"/>
      <c r="I63167" s="102"/>
      <c r="J63167" s="8"/>
      <c r="K63167" s="8"/>
      <c r="L63167" s="8"/>
      <c r="M63167" s="8"/>
      <c r="N63167" s="8"/>
      <c r="O63167" s="8"/>
      <c r="P63167" s="8"/>
      <c r="Q63167" s="8"/>
      <c r="R63167" s="103"/>
      <c r="S63167" s="8"/>
      <c r="T63167" s="8"/>
      <c r="U63167" s="8"/>
      <c r="V63167" s="8"/>
      <c r="W63167" s="8"/>
      <c r="X63167" s="8"/>
      <c r="Y63167" s="8"/>
      <c r="Z63167" s="8"/>
      <c r="AA63167" s="8"/>
    </row>
    <row r="63168" spans="1:27" x14ac:dyDescent="0.25">
      <c r="A63168" s="8"/>
      <c r="B63168" s="8"/>
      <c r="C63168" s="99"/>
      <c r="D63168" s="8"/>
      <c r="E63168" s="8"/>
      <c r="F63168" s="8"/>
      <c r="G63168" s="8"/>
      <c r="H63168" s="8"/>
      <c r="I63168" s="102"/>
      <c r="J63168" s="8"/>
      <c r="K63168" s="8"/>
      <c r="L63168" s="8"/>
      <c r="M63168" s="8"/>
      <c r="N63168" s="8"/>
      <c r="O63168" s="8"/>
      <c r="P63168" s="8"/>
      <c r="Q63168" s="8"/>
      <c r="R63168" s="103"/>
      <c r="S63168" s="8"/>
      <c r="T63168" s="8"/>
      <c r="U63168" s="8"/>
      <c r="V63168" s="8"/>
      <c r="W63168" s="8"/>
      <c r="X63168" s="8"/>
      <c r="Y63168" s="8"/>
      <c r="Z63168" s="8"/>
      <c r="AA63168" s="8"/>
    </row>
    <row r="63169" spans="1:27" x14ac:dyDescent="0.25">
      <c r="A63169" s="8"/>
      <c r="B63169" s="8"/>
      <c r="C63169" s="99"/>
      <c r="D63169" s="8"/>
      <c r="E63169" s="8"/>
      <c r="F63169" s="8"/>
      <c r="G63169" s="8"/>
      <c r="H63169" s="8"/>
      <c r="I63169" s="102"/>
      <c r="J63169" s="8"/>
      <c r="K63169" s="8"/>
      <c r="L63169" s="8"/>
      <c r="M63169" s="8"/>
      <c r="N63169" s="8"/>
      <c r="O63169" s="8"/>
      <c r="P63169" s="8"/>
      <c r="Q63169" s="8"/>
      <c r="R63169" s="103"/>
      <c r="S63169" s="8"/>
      <c r="T63169" s="8"/>
      <c r="U63169" s="8"/>
      <c r="V63169" s="8"/>
      <c r="W63169" s="8"/>
      <c r="X63169" s="8"/>
      <c r="Y63169" s="8"/>
      <c r="Z63169" s="8"/>
      <c r="AA63169" s="8"/>
    </row>
    <row r="63170" spans="1:27" x14ac:dyDescent="0.25">
      <c r="A63170" s="8"/>
      <c r="B63170" s="8"/>
      <c r="C63170" s="99"/>
      <c r="D63170" s="8"/>
      <c r="E63170" s="8"/>
      <c r="F63170" s="8"/>
      <c r="G63170" s="8"/>
      <c r="H63170" s="8"/>
      <c r="I63170" s="102"/>
      <c r="J63170" s="8"/>
      <c r="K63170" s="8"/>
      <c r="L63170" s="8"/>
      <c r="M63170" s="8"/>
      <c r="N63170" s="8"/>
      <c r="O63170" s="8"/>
      <c r="P63170" s="8"/>
      <c r="Q63170" s="8"/>
      <c r="R63170" s="103"/>
      <c r="S63170" s="8"/>
      <c r="T63170" s="8"/>
      <c r="U63170" s="8"/>
      <c r="V63170" s="8"/>
      <c r="W63170" s="8"/>
      <c r="X63170" s="8"/>
      <c r="Y63170" s="8"/>
      <c r="Z63170" s="8"/>
      <c r="AA63170" s="8"/>
    </row>
    <row r="63171" spans="1:27" x14ac:dyDescent="0.25">
      <c r="A63171" s="8"/>
      <c r="B63171" s="8"/>
      <c r="C63171" s="99"/>
      <c r="D63171" s="8"/>
      <c r="E63171" s="8"/>
      <c r="F63171" s="8"/>
      <c r="G63171" s="8"/>
      <c r="H63171" s="8"/>
      <c r="I63171" s="102"/>
      <c r="J63171" s="8"/>
      <c r="K63171" s="8"/>
      <c r="L63171" s="8"/>
      <c r="M63171" s="8"/>
      <c r="N63171" s="8"/>
      <c r="O63171" s="8"/>
      <c r="P63171" s="8"/>
      <c r="Q63171" s="8"/>
      <c r="R63171" s="103"/>
      <c r="S63171" s="8"/>
      <c r="T63171" s="8"/>
      <c r="U63171" s="8"/>
      <c r="V63171" s="8"/>
      <c r="W63171" s="8"/>
      <c r="X63171" s="8"/>
      <c r="Y63171" s="8"/>
      <c r="Z63171" s="8"/>
      <c r="AA63171" s="8"/>
    </row>
    <row r="63172" spans="1:27" x14ac:dyDescent="0.25">
      <c r="A63172" s="8"/>
      <c r="B63172" s="8"/>
      <c r="C63172" s="99"/>
      <c r="D63172" s="8"/>
      <c r="E63172" s="8"/>
      <c r="F63172" s="8"/>
      <c r="G63172" s="8"/>
      <c r="H63172" s="8"/>
      <c r="I63172" s="102"/>
      <c r="J63172" s="8"/>
      <c r="K63172" s="8"/>
      <c r="L63172" s="8"/>
      <c r="M63172" s="8"/>
      <c r="N63172" s="8"/>
      <c r="O63172" s="8"/>
      <c r="P63172" s="8"/>
      <c r="Q63172" s="8"/>
      <c r="R63172" s="103"/>
      <c r="S63172" s="8"/>
      <c r="T63172" s="8"/>
      <c r="U63172" s="8"/>
      <c r="V63172" s="8"/>
      <c r="W63172" s="8"/>
      <c r="X63172" s="8"/>
      <c r="Y63172" s="8"/>
      <c r="Z63172" s="8"/>
      <c r="AA63172" s="8"/>
    </row>
    <row r="63173" spans="1:27" x14ac:dyDescent="0.25">
      <c r="A63173" s="8"/>
      <c r="B63173" s="8"/>
      <c r="C63173" s="99"/>
      <c r="D63173" s="8"/>
      <c r="E63173" s="8"/>
      <c r="F63173" s="8"/>
      <c r="G63173" s="8"/>
      <c r="H63173" s="8"/>
      <c r="I63173" s="102"/>
      <c r="J63173" s="8"/>
      <c r="K63173" s="8"/>
      <c r="L63173" s="8"/>
      <c r="M63173" s="8"/>
      <c r="N63173" s="8"/>
      <c r="O63173" s="8"/>
      <c r="P63173" s="8"/>
      <c r="Q63173" s="8"/>
      <c r="R63173" s="103"/>
      <c r="S63173" s="8"/>
      <c r="T63173" s="8"/>
      <c r="U63173" s="8"/>
      <c r="V63173" s="8"/>
      <c r="W63173" s="8"/>
      <c r="X63173" s="8"/>
      <c r="Y63173" s="8"/>
      <c r="Z63173" s="8"/>
      <c r="AA63173" s="8"/>
    </row>
    <row r="63174" spans="1:27" x14ac:dyDescent="0.25">
      <c r="A63174" s="8"/>
      <c r="B63174" s="8"/>
      <c r="C63174" s="99"/>
      <c r="D63174" s="8"/>
      <c r="E63174" s="8"/>
      <c r="F63174" s="8"/>
      <c r="G63174" s="8"/>
      <c r="H63174" s="8"/>
      <c r="I63174" s="102"/>
      <c r="J63174" s="8"/>
      <c r="K63174" s="8"/>
      <c r="L63174" s="8"/>
      <c r="M63174" s="8"/>
      <c r="N63174" s="8"/>
      <c r="O63174" s="8"/>
      <c r="P63174" s="8"/>
      <c r="Q63174" s="8"/>
      <c r="R63174" s="103"/>
      <c r="S63174" s="8"/>
      <c r="T63174" s="8"/>
      <c r="U63174" s="8"/>
      <c r="V63174" s="8"/>
      <c r="W63174" s="8"/>
      <c r="X63174" s="8"/>
      <c r="Y63174" s="8"/>
      <c r="Z63174" s="8"/>
      <c r="AA63174" s="8"/>
    </row>
    <row r="63175" spans="1:27" x14ac:dyDescent="0.25">
      <c r="A63175" s="8"/>
      <c r="B63175" s="8"/>
      <c r="C63175" s="99"/>
      <c r="D63175" s="8"/>
      <c r="E63175" s="8"/>
      <c r="F63175" s="8"/>
      <c r="G63175" s="8"/>
      <c r="H63175" s="8"/>
      <c r="I63175" s="102"/>
      <c r="J63175" s="8"/>
      <c r="K63175" s="8"/>
      <c r="L63175" s="8"/>
      <c r="M63175" s="8"/>
      <c r="N63175" s="8"/>
      <c r="O63175" s="8"/>
      <c r="P63175" s="8"/>
      <c r="Q63175" s="8"/>
      <c r="R63175" s="103"/>
      <c r="S63175" s="8"/>
      <c r="T63175" s="8"/>
      <c r="U63175" s="8"/>
      <c r="V63175" s="8"/>
      <c r="W63175" s="8"/>
      <c r="X63175" s="8"/>
      <c r="Y63175" s="8"/>
      <c r="Z63175" s="8"/>
      <c r="AA63175" s="8"/>
    </row>
    <row r="63176" spans="1:27" x14ac:dyDescent="0.25">
      <c r="A63176" s="8"/>
      <c r="B63176" s="8"/>
      <c r="C63176" s="99"/>
      <c r="D63176" s="8"/>
      <c r="E63176" s="8"/>
      <c r="F63176" s="8"/>
      <c r="G63176" s="8"/>
      <c r="H63176" s="8"/>
      <c r="I63176" s="102"/>
      <c r="J63176" s="8"/>
      <c r="K63176" s="8"/>
      <c r="L63176" s="8"/>
      <c r="M63176" s="8"/>
      <c r="N63176" s="8"/>
      <c r="O63176" s="8"/>
      <c r="P63176" s="8"/>
      <c r="Q63176" s="8"/>
      <c r="R63176" s="103"/>
      <c r="S63176" s="8"/>
      <c r="T63176" s="8"/>
      <c r="U63176" s="8"/>
      <c r="V63176" s="8"/>
      <c r="W63176" s="8"/>
      <c r="X63176" s="8"/>
      <c r="Y63176" s="8"/>
      <c r="Z63176" s="8"/>
      <c r="AA63176" s="8"/>
    </row>
    <row r="63177" spans="1:27" x14ac:dyDescent="0.25">
      <c r="A63177" s="8"/>
      <c r="B63177" s="8"/>
      <c r="C63177" s="99"/>
      <c r="D63177" s="8"/>
      <c r="E63177" s="8"/>
      <c r="F63177" s="8"/>
      <c r="G63177" s="8"/>
      <c r="H63177" s="8"/>
      <c r="I63177" s="102"/>
      <c r="J63177" s="8"/>
      <c r="K63177" s="8"/>
      <c r="L63177" s="8"/>
      <c r="M63177" s="8"/>
      <c r="N63177" s="8"/>
      <c r="O63177" s="8"/>
      <c r="P63177" s="8"/>
      <c r="Q63177" s="8"/>
      <c r="R63177" s="103"/>
      <c r="S63177" s="8"/>
      <c r="T63177" s="8"/>
      <c r="U63177" s="8"/>
      <c r="V63177" s="8"/>
      <c r="W63177" s="8"/>
      <c r="X63177" s="8"/>
      <c r="Y63177" s="8"/>
      <c r="Z63177" s="8"/>
      <c r="AA63177" s="8"/>
    </row>
    <row r="63178" spans="1:27" x14ac:dyDescent="0.25">
      <c r="A63178" s="8"/>
      <c r="B63178" s="8"/>
      <c r="C63178" s="99"/>
      <c r="D63178" s="8"/>
      <c r="E63178" s="8"/>
      <c r="F63178" s="8"/>
      <c r="G63178" s="8"/>
      <c r="H63178" s="8"/>
      <c r="I63178" s="102"/>
      <c r="J63178" s="8"/>
      <c r="K63178" s="8"/>
      <c r="L63178" s="8"/>
      <c r="M63178" s="8"/>
      <c r="N63178" s="8"/>
      <c r="O63178" s="8"/>
      <c r="P63178" s="8"/>
      <c r="Q63178" s="8"/>
      <c r="R63178" s="103"/>
      <c r="S63178" s="8"/>
      <c r="T63178" s="8"/>
      <c r="U63178" s="8"/>
      <c r="V63178" s="8"/>
      <c r="W63178" s="8"/>
      <c r="X63178" s="8"/>
      <c r="Y63178" s="8"/>
      <c r="Z63178" s="8"/>
      <c r="AA63178" s="8"/>
    </row>
    <row r="63179" spans="1:27" x14ac:dyDescent="0.25">
      <c r="A63179" s="8"/>
      <c r="B63179" s="8"/>
      <c r="C63179" s="99"/>
      <c r="D63179" s="8"/>
      <c r="E63179" s="8"/>
      <c r="F63179" s="8"/>
      <c r="G63179" s="8"/>
      <c r="H63179" s="8"/>
      <c r="I63179" s="102"/>
      <c r="J63179" s="8"/>
      <c r="K63179" s="8"/>
      <c r="L63179" s="8"/>
      <c r="M63179" s="8"/>
      <c r="N63179" s="8"/>
      <c r="O63179" s="8"/>
      <c r="P63179" s="8"/>
      <c r="Q63179" s="8"/>
      <c r="R63179" s="103"/>
      <c r="S63179" s="8"/>
      <c r="T63179" s="8"/>
      <c r="U63179" s="8"/>
      <c r="V63179" s="8"/>
      <c r="W63179" s="8"/>
      <c r="X63179" s="8"/>
      <c r="Y63179" s="8"/>
      <c r="Z63179" s="8"/>
      <c r="AA63179" s="8"/>
    </row>
    <row r="63180" spans="1:27" x14ac:dyDescent="0.25">
      <c r="A63180" s="8"/>
      <c r="B63180" s="8"/>
      <c r="C63180" s="99"/>
      <c r="D63180" s="8"/>
      <c r="E63180" s="8"/>
      <c r="F63180" s="8"/>
      <c r="G63180" s="8"/>
      <c r="H63180" s="8"/>
      <c r="I63180" s="102"/>
      <c r="J63180" s="8"/>
      <c r="K63180" s="8"/>
      <c r="L63180" s="8"/>
      <c r="M63180" s="8"/>
      <c r="N63180" s="8"/>
      <c r="O63180" s="8"/>
      <c r="P63180" s="8"/>
      <c r="Q63180" s="8"/>
      <c r="R63180" s="103"/>
      <c r="S63180" s="8"/>
      <c r="T63180" s="8"/>
      <c r="U63180" s="8"/>
      <c r="V63180" s="8"/>
      <c r="W63180" s="8"/>
      <c r="X63180" s="8"/>
      <c r="Y63180" s="8"/>
      <c r="Z63180" s="8"/>
      <c r="AA63180" s="8"/>
    </row>
    <row r="63181" spans="1:27" x14ac:dyDescent="0.25">
      <c r="A63181" s="8"/>
      <c r="B63181" s="8"/>
      <c r="C63181" s="99"/>
      <c r="D63181" s="8"/>
      <c r="E63181" s="8"/>
      <c r="F63181" s="8"/>
      <c r="G63181" s="8"/>
      <c r="H63181" s="8"/>
      <c r="I63181" s="102"/>
      <c r="J63181" s="8"/>
      <c r="K63181" s="8"/>
      <c r="L63181" s="8"/>
      <c r="M63181" s="8"/>
      <c r="N63181" s="8"/>
      <c r="O63181" s="8"/>
      <c r="P63181" s="8"/>
      <c r="Q63181" s="8"/>
      <c r="R63181" s="103"/>
      <c r="S63181" s="8"/>
      <c r="T63181" s="8"/>
      <c r="U63181" s="8"/>
      <c r="V63181" s="8"/>
      <c r="W63181" s="8"/>
      <c r="X63181" s="8"/>
      <c r="Y63181" s="8"/>
      <c r="Z63181" s="8"/>
      <c r="AA63181" s="8"/>
    </row>
    <row r="63182" spans="1:27" x14ac:dyDescent="0.25">
      <c r="A63182" s="8"/>
      <c r="B63182" s="8"/>
      <c r="C63182" s="99"/>
      <c r="D63182" s="8"/>
      <c r="E63182" s="8"/>
      <c r="F63182" s="8"/>
      <c r="G63182" s="8"/>
      <c r="H63182" s="8"/>
      <c r="I63182" s="102"/>
      <c r="J63182" s="8"/>
      <c r="K63182" s="8"/>
      <c r="L63182" s="8"/>
      <c r="M63182" s="8"/>
      <c r="N63182" s="8"/>
      <c r="O63182" s="8"/>
      <c r="P63182" s="8"/>
      <c r="Q63182" s="8"/>
      <c r="R63182" s="103"/>
      <c r="S63182" s="8"/>
      <c r="T63182" s="8"/>
      <c r="U63182" s="8"/>
      <c r="V63182" s="8"/>
      <c r="W63182" s="8"/>
      <c r="X63182" s="8"/>
      <c r="Y63182" s="8"/>
      <c r="Z63182" s="8"/>
      <c r="AA63182" s="8"/>
    </row>
    <row r="63183" spans="1:27" x14ac:dyDescent="0.25">
      <c r="A63183" s="8"/>
      <c r="B63183" s="8"/>
      <c r="C63183" s="99"/>
      <c r="D63183" s="8"/>
      <c r="E63183" s="8"/>
      <c r="F63183" s="8"/>
      <c r="G63183" s="8"/>
      <c r="H63183" s="8"/>
      <c r="I63183" s="102"/>
      <c r="J63183" s="8"/>
      <c r="K63183" s="8"/>
      <c r="L63183" s="8"/>
      <c r="M63183" s="8"/>
      <c r="N63183" s="8"/>
      <c r="O63183" s="8"/>
      <c r="P63183" s="8"/>
      <c r="Q63183" s="8"/>
      <c r="R63183" s="103"/>
      <c r="S63183" s="8"/>
      <c r="T63183" s="8"/>
      <c r="U63183" s="8"/>
      <c r="V63183" s="8"/>
      <c r="W63183" s="8"/>
      <c r="X63183" s="8"/>
      <c r="Y63183" s="8"/>
      <c r="Z63183" s="8"/>
      <c r="AA63183" s="8"/>
    </row>
    <row r="63184" spans="1:27" x14ac:dyDescent="0.25">
      <c r="A63184" s="8"/>
      <c r="B63184" s="8"/>
      <c r="C63184" s="99"/>
      <c r="D63184" s="8"/>
      <c r="E63184" s="8"/>
      <c r="F63184" s="8"/>
      <c r="G63184" s="8"/>
      <c r="H63184" s="8"/>
      <c r="I63184" s="102"/>
      <c r="J63184" s="8"/>
      <c r="K63184" s="8"/>
      <c r="L63184" s="8"/>
      <c r="M63184" s="8"/>
      <c r="N63184" s="8"/>
      <c r="O63184" s="8"/>
      <c r="P63184" s="8"/>
      <c r="Q63184" s="8"/>
      <c r="R63184" s="103"/>
      <c r="S63184" s="8"/>
      <c r="T63184" s="8"/>
      <c r="U63184" s="8"/>
      <c r="V63184" s="8"/>
      <c r="W63184" s="8"/>
      <c r="X63184" s="8"/>
      <c r="Y63184" s="8"/>
      <c r="Z63184" s="8"/>
      <c r="AA63184" s="8"/>
    </row>
    <row r="63185" spans="1:27" x14ac:dyDescent="0.25">
      <c r="A63185" s="8"/>
      <c r="B63185" s="8"/>
      <c r="C63185" s="99"/>
      <c r="D63185" s="8"/>
      <c r="E63185" s="8"/>
      <c r="F63185" s="8"/>
      <c r="G63185" s="8"/>
      <c r="H63185" s="8"/>
      <c r="I63185" s="102"/>
      <c r="J63185" s="8"/>
      <c r="K63185" s="8"/>
      <c r="L63185" s="8"/>
      <c r="M63185" s="8"/>
      <c r="N63185" s="8"/>
      <c r="O63185" s="8"/>
      <c r="P63185" s="8"/>
      <c r="Q63185" s="8"/>
      <c r="R63185" s="103"/>
      <c r="S63185" s="8"/>
      <c r="T63185" s="8"/>
      <c r="U63185" s="8"/>
      <c r="V63185" s="8"/>
      <c r="W63185" s="8"/>
      <c r="X63185" s="8"/>
      <c r="Y63185" s="8"/>
      <c r="Z63185" s="8"/>
      <c r="AA63185" s="8"/>
    </row>
    <row r="63186" spans="1:27" x14ac:dyDescent="0.25">
      <c r="A63186" s="8"/>
      <c r="B63186" s="8"/>
      <c r="C63186" s="99"/>
      <c r="D63186" s="8"/>
      <c r="E63186" s="8"/>
      <c r="F63186" s="8"/>
      <c r="G63186" s="8"/>
      <c r="H63186" s="8"/>
      <c r="I63186" s="102"/>
      <c r="J63186" s="8"/>
      <c r="K63186" s="8"/>
      <c r="L63186" s="8"/>
      <c r="M63186" s="8"/>
      <c r="N63186" s="8"/>
      <c r="O63186" s="8"/>
      <c r="P63186" s="8"/>
      <c r="Q63186" s="8"/>
      <c r="R63186" s="103"/>
      <c r="S63186" s="8"/>
      <c r="T63186" s="8"/>
      <c r="U63186" s="8"/>
      <c r="V63186" s="8"/>
      <c r="W63186" s="8"/>
      <c r="X63186" s="8"/>
      <c r="Y63186" s="8"/>
      <c r="Z63186" s="8"/>
      <c r="AA63186" s="8"/>
    </row>
    <row r="63187" spans="1:27" x14ac:dyDescent="0.25">
      <c r="A63187" s="8"/>
      <c r="B63187" s="8"/>
      <c r="C63187" s="99"/>
      <c r="D63187" s="8"/>
      <c r="E63187" s="8"/>
      <c r="F63187" s="8"/>
      <c r="G63187" s="8"/>
      <c r="H63187" s="8"/>
      <c r="I63187" s="102"/>
      <c r="J63187" s="8"/>
      <c r="K63187" s="8"/>
      <c r="L63187" s="8"/>
      <c r="M63187" s="8"/>
      <c r="N63187" s="8"/>
      <c r="O63187" s="8"/>
      <c r="P63187" s="8"/>
      <c r="Q63187" s="8"/>
      <c r="R63187" s="103"/>
      <c r="S63187" s="8"/>
      <c r="T63187" s="8"/>
      <c r="U63187" s="8"/>
      <c r="V63187" s="8"/>
      <c r="W63187" s="8"/>
      <c r="X63187" s="8"/>
      <c r="Y63187" s="8"/>
      <c r="Z63187" s="8"/>
      <c r="AA63187" s="8"/>
    </row>
    <row r="63188" spans="1:27" x14ac:dyDescent="0.25">
      <c r="A63188" s="8"/>
      <c r="B63188" s="8"/>
      <c r="C63188" s="99"/>
      <c r="D63188" s="8"/>
      <c r="E63188" s="8"/>
      <c r="F63188" s="8"/>
      <c r="G63188" s="8"/>
      <c r="H63188" s="8"/>
      <c r="I63188" s="102"/>
      <c r="J63188" s="8"/>
      <c r="K63188" s="8"/>
      <c r="L63188" s="8"/>
      <c r="M63188" s="8"/>
      <c r="N63188" s="8"/>
      <c r="O63188" s="8"/>
      <c r="P63188" s="8"/>
      <c r="Q63188" s="8"/>
      <c r="R63188" s="103"/>
      <c r="S63188" s="8"/>
      <c r="T63188" s="8"/>
      <c r="U63188" s="8"/>
      <c r="V63188" s="8"/>
      <c r="W63188" s="8"/>
      <c r="X63188" s="8"/>
      <c r="Y63188" s="8"/>
      <c r="Z63188" s="8"/>
      <c r="AA63188" s="8"/>
    </row>
    <row r="63189" spans="1:27" x14ac:dyDescent="0.25">
      <c r="A63189" s="8"/>
      <c r="B63189" s="8"/>
      <c r="C63189" s="99"/>
      <c r="D63189" s="8"/>
      <c r="E63189" s="8"/>
      <c r="F63189" s="8"/>
      <c r="G63189" s="8"/>
      <c r="H63189" s="8"/>
      <c r="I63189" s="102"/>
      <c r="J63189" s="8"/>
      <c r="K63189" s="8"/>
      <c r="L63189" s="8"/>
      <c r="M63189" s="8"/>
      <c r="N63189" s="8"/>
      <c r="O63189" s="8"/>
      <c r="P63189" s="8"/>
      <c r="Q63189" s="8"/>
      <c r="R63189" s="103"/>
      <c r="S63189" s="8"/>
      <c r="T63189" s="8"/>
      <c r="U63189" s="8"/>
      <c r="V63189" s="8"/>
      <c r="W63189" s="8"/>
      <c r="X63189" s="8"/>
      <c r="Y63189" s="8"/>
      <c r="Z63189" s="8"/>
      <c r="AA63189" s="8"/>
    </row>
    <row r="63190" spans="1:27" x14ac:dyDescent="0.25">
      <c r="A63190" s="8"/>
      <c r="B63190" s="8"/>
      <c r="C63190" s="99"/>
      <c r="D63190" s="8"/>
      <c r="E63190" s="8"/>
      <c r="F63190" s="8"/>
      <c r="G63190" s="8"/>
      <c r="H63190" s="8"/>
      <c r="I63190" s="102"/>
      <c r="J63190" s="8"/>
      <c r="K63190" s="8"/>
      <c r="L63190" s="8"/>
      <c r="M63190" s="8"/>
      <c r="N63190" s="8"/>
      <c r="O63190" s="8"/>
      <c r="P63190" s="8"/>
      <c r="Q63190" s="8"/>
      <c r="R63190" s="103"/>
      <c r="S63190" s="8"/>
      <c r="T63190" s="8"/>
      <c r="U63190" s="8"/>
      <c r="V63190" s="8"/>
      <c r="W63190" s="8"/>
      <c r="X63190" s="8"/>
      <c r="Y63190" s="8"/>
      <c r="Z63190" s="8"/>
      <c r="AA63190" s="8"/>
    </row>
    <row r="63191" spans="1:27" x14ac:dyDescent="0.25">
      <c r="A63191" s="8"/>
      <c r="B63191" s="8"/>
      <c r="C63191" s="99"/>
      <c r="D63191" s="8"/>
      <c r="E63191" s="8"/>
      <c r="F63191" s="8"/>
      <c r="G63191" s="8"/>
      <c r="H63191" s="8"/>
      <c r="I63191" s="102"/>
      <c r="J63191" s="8"/>
      <c r="K63191" s="8"/>
      <c r="L63191" s="8"/>
      <c r="M63191" s="8"/>
      <c r="N63191" s="8"/>
      <c r="O63191" s="8"/>
      <c r="P63191" s="8"/>
      <c r="Q63191" s="8"/>
      <c r="R63191" s="103"/>
      <c r="S63191" s="8"/>
      <c r="T63191" s="8"/>
      <c r="U63191" s="8"/>
      <c r="V63191" s="8"/>
      <c r="W63191" s="8"/>
      <c r="X63191" s="8"/>
      <c r="Y63191" s="8"/>
      <c r="Z63191" s="8"/>
      <c r="AA63191" s="8"/>
    </row>
    <row r="63192" spans="1:27" x14ac:dyDescent="0.25">
      <c r="A63192" s="8"/>
      <c r="B63192" s="8"/>
      <c r="C63192" s="99"/>
      <c r="D63192" s="8"/>
      <c r="E63192" s="8"/>
      <c r="F63192" s="8"/>
      <c r="G63192" s="8"/>
      <c r="H63192" s="8"/>
      <c r="I63192" s="102"/>
      <c r="J63192" s="8"/>
      <c r="K63192" s="8"/>
      <c r="L63192" s="8"/>
      <c r="M63192" s="8"/>
      <c r="N63192" s="8"/>
      <c r="O63192" s="8"/>
      <c r="P63192" s="8"/>
      <c r="Q63192" s="8"/>
      <c r="R63192" s="103"/>
      <c r="S63192" s="8"/>
      <c r="T63192" s="8"/>
      <c r="U63192" s="8"/>
      <c r="V63192" s="8"/>
      <c r="W63192" s="8"/>
      <c r="X63192" s="8"/>
      <c r="Y63192" s="8"/>
      <c r="Z63192" s="8"/>
      <c r="AA63192" s="8"/>
    </row>
    <row r="63193" spans="1:27" x14ac:dyDescent="0.25">
      <c r="A63193" s="8"/>
      <c r="B63193" s="8"/>
      <c r="C63193" s="99"/>
      <c r="D63193" s="8"/>
      <c r="E63193" s="8"/>
      <c r="F63193" s="8"/>
      <c r="G63193" s="8"/>
      <c r="H63193" s="8"/>
      <c r="I63193" s="102"/>
      <c r="J63193" s="8"/>
      <c r="K63193" s="8"/>
      <c r="L63193" s="8"/>
      <c r="M63193" s="8"/>
      <c r="N63193" s="8"/>
      <c r="O63193" s="8"/>
      <c r="P63193" s="8"/>
      <c r="Q63193" s="8"/>
      <c r="R63193" s="103"/>
      <c r="S63193" s="8"/>
      <c r="T63193" s="8"/>
      <c r="U63193" s="8"/>
      <c r="V63193" s="8"/>
      <c r="W63193" s="8"/>
      <c r="X63193" s="8"/>
      <c r="Y63193" s="8"/>
      <c r="Z63193" s="8"/>
      <c r="AA63193" s="8"/>
    </row>
    <row r="63194" spans="1:27" x14ac:dyDescent="0.25">
      <c r="A63194" s="8"/>
      <c r="B63194" s="8"/>
      <c r="C63194" s="99"/>
      <c r="D63194" s="8"/>
      <c r="E63194" s="8"/>
      <c r="F63194" s="8"/>
      <c r="G63194" s="8"/>
      <c r="H63194" s="8"/>
      <c r="I63194" s="102"/>
      <c r="J63194" s="8"/>
      <c r="K63194" s="8"/>
      <c r="L63194" s="8"/>
      <c r="M63194" s="8"/>
      <c r="N63194" s="8"/>
      <c r="O63194" s="8"/>
      <c r="P63194" s="8"/>
      <c r="Q63194" s="8"/>
      <c r="R63194" s="103"/>
      <c r="S63194" s="8"/>
      <c r="T63194" s="8"/>
      <c r="U63194" s="8"/>
      <c r="V63194" s="8"/>
      <c r="W63194" s="8"/>
      <c r="X63194" s="8"/>
      <c r="Y63194" s="8"/>
      <c r="Z63194" s="8"/>
      <c r="AA63194" s="8"/>
    </row>
    <row r="63195" spans="1:27" x14ac:dyDescent="0.25">
      <c r="A63195" s="8"/>
      <c r="B63195" s="8"/>
      <c r="C63195" s="99"/>
      <c r="D63195" s="8"/>
      <c r="E63195" s="8"/>
      <c r="F63195" s="8"/>
      <c r="G63195" s="8"/>
      <c r="H63195" s="8"/>
      <c r="I63195" s="102"/>
      <c r="J63195" s="8"/>
      <c r="K63195" s="8"/>
      <c r="L63195" s="8"/>
      <c r="M63195" s="8"/>
      <c r="N63195" s="8"/>
      <c r="O63195" s="8"/>
      <c r="P63195" s="8"/>
      <c r="Q63195" s="8"/>
      <c r="R63195" s="103"/>
      <c r="S63195" s="8"/>
      <c r="T63195" s="8"/>
      <c r="U63195" s="8"/>
      <c r="V63195" s="8"/>
      <c r="W63195" s="8"/>
      <c r="X63195" s="8"/>
      <c r="Y63195" s="8"/>
      <c r="Z63195" s="8"/>
      <c r="AA63195" s="8"/>
    </row>
    <row r="63196" spans="1:27" x14ac:dyDescent="0.25">
      <c r="A63196" s="8"/>
      <c r="B63196" s="8"/>
      <c r="C63196" s="99"/>
      <c r="D63196" s="8"/>
      <c r="E63196" s="8"/>
      <c r="F63196" s="8"/>
      <c r="G63196" s="8"/>
      <c r="H63196" s="8"/>
      <c r="I63196" s="102"/>
      <c r="J63196" s="8"/>
      <c r="K63196" s="8"/>
      <c r="L63196" s="8"/>
      <c r="M63196" s="8"/>
      <c r="N63196" s="8"/>
      <c r="O63196" s="8"/>
      <c r="P63196" s="8"/>
      <c r="Q63196" s="8"/>
      <c r="R63196" s="103"/>
      <c r="S63196" s="8"/>
      <c r="T63196" s="8"/>
      <c r="U63196" s="8"/>
      <c r="V63196" s="8"/>
      <c r="W63196" s="8"/>
      <c r="X63196" s="8"/>
      <c r="Y63196" s="8"/>
      <c r="Z63196" s="8"/>
      <c r="AA63196" s="8"/>
    </row>
    <row r="63197" spans="1:27" x14ac:dyDescent="0.25">
      <c r="A63197" s="8"/>
      <c r="B63197" s="8"/>
      <c r="C63197" s="99"/>
      <c r="D63197" s="8"/>
      <c r="E63197" s="8"/>
      <c r="F63197" s="8"/>
      <c r="G63197" s="8"/>
      <c r="H63197" s="8"/>
      <c r="I63197" s="102"/>
      <c r="J63197" s="8"/>
      <c r="K63197" s="8"/>
      <c r="L63197" s="8"/>
      <c r="M63197" s="8"/>
      <c r="N63197" s="8"/>
      <c r="O63197" s="8"/>
      <c r="P63197" s="8"/>
      <c r="Q63197" s="8"/>
      <c r="R63197" s="103"/>
      <c r="S63197" s="8"/>
      <c r="T63197" s="8"/>
      <c r="U63197" s="8"/>
      <c r="V63197" s="8"/>
      <c r="W63197" s="8"/>
      <c r="X63197" s="8"/>
      <c r="Y63197" s="8"/>
      <c r="Z63197" s="8"/>
      <c r="AA63197" s="8"/>
    </row>
    <row r="63198" spans="1:27" x14ac:dyDescent="0.25">
      <c r="A63198" s="8"/>
      <c r="B63198" s="8"/>
      <c r="C63198" s="99"/>
      <c r="D63198" s="8"/>
      <c r="E63198" s="8"/>
      <c r="F63198" s="8"/>
      <c r="G63198" s="8"/>
      <c r="H63198" s="8"/>
      <c r="I63198" s="102"/>
      <c r="J63198" s="8"/>
      <c r="K63198" s="8"/>
      <c r="L63198" s="8"/>
      <c r="M63198" s="8"/>
      <c r="N63198" s="8"/>
      <c r="O63198" s="8"/>
      <c r="P63198" s="8"/>
      <c r="Q63198" s="8"/>
      <c r="R63198" s="103"/>
      <c r="S63198" s="8"/>
      <c r="T63198" s="8"/>
      <c r="U63198" s="8"/>
      <c r="V63198" s="8"/>
      <c r="W63198" s="8"/>
      <c r="X63198" s="8"/>
      <c r="Y63198" s="8"/>
      <c r="Z63198" s="8"/>
      <c r="AA63198" s="8"/>
    </row>
    <row r="63199" spans="1:27" x14ac:dyDescent="0.25">
      <c r="A63199" s="8"/>
      <c r="B63199" s="8"/>
      <c r="C63199" s="99"/>
      <c r="D63199" s="8"/>
      <c r="E63199" s="8"/>
      <c r="F63199" s="8"/>
      <c r="G63199" s="8"/>
      <c r="H63199" s="8"/>
      <c r="I63199" s="102"/>
      <c r="J63199" s="8"/>
      <c r="K63199" s="8"/>
      <c r="L63199" s="8"/>
      <c r="M63199" s="8"/>
      <c r="N63199" s="8"/>
      <c r="O63199" s="8"/>
      <c r="P63199" s="8"/>
      <c r="Q63199" s="8"/>
      <c r="R63199" s="103"/>
      <c r="S63199" s="8"/>
      <c r="T63199" s="8"/>
      <c r="U63199" s="8"/>
      <c r="V63199" s="8"/>
      <c r="W63199" s="8"/>
      <c r="X63199" s="8"/>
      <c r="Y63199" s="8"/>
      <c r="Z63199" s="8"/>
      <c r="AA63199" s="8"/>
    </row>
    <row r="63200" spans="1:27" x14ac:dyDescent="0.25">
      <c r="A63200" s="8"/>
      <c r="B63200" s="8"/>
      <c r="C63200" s="99"/>
      <c r="D63200" s="8"/>
      <c r="E63200" s="8"/>
      <c r="F63200" s="8"/>
      <c r="G63200" s="8"/>
      <c r="H63200" s="8"/>
      <c r="I63200" s="102"/>
      <c r="J63200" s="8"/>
      <c r="K63200" s="8"/>
      <c r="L63200" s="8"/>
      <c r="M63200" s="8"/>
      <c r="N63200" s="8"/>
      <c r="O63200" s="8"/>
      <c r="P63200" s="8"/>
      <c r="Q63200" s="8"/>
      <c r="R63200" s="103"/>
      <c r="S63200" s="8"/>
      <c r="T63200" s="8"/>
      <c r="U63200" s="8"/>
      <c r="V63200" s="8"/>
      <c r="W63200" s="8"/>
      <c r="X63200" s="8"/>
      <c r="Y63200" s="8"/>
      <c r="Z63200" s="8"/>
      <c r="AA63200" s="8"/>
    </row>
    <row r="63201" spans="1:27" x14ac:dyDescent="0.25">
      <c r="A63201" s="8"/>
      <c r="B63201" s="8"/>
      <c r="C63201" s="99"/>
      <c r="D63201" s="8"/>
      <c r="E63201" s="8"/>
      <c r="F63201" s="8"/>
      <c r="G63201" s="8"/>
      <c r="H63201" s="8"/>
      <c r="I63201" s="102"/>
      <c r="J63201" s="8"/>
      <c r="K63201" s="8"/>
      <c r="L63201" s="8"/>
      <c r="M63201" s="8"/>
      <c r="N63201" s="8"/>
      <c r="O63201" s="8"/>
      <c r="P63201" s="8"/>
      <c r="Q63201" s="8"/>
      <c r="R63201" s="103"/>
      <c r="S63201" s="8"/>
      <c r="T63201" s="8"/>
      <c r="U63201" s="8"/>
      <c r="V63201" s="8"/>
      <c r="W63201" s="8"/>
      <c r="X63201" s="8"/>
      <c r="Y63201" s="8"/>
      <c r="Z63201" s="8"/>
      <c r="AA63201" s="8"/>
    </row>
    <row r="63202" spans="1:27" x14ac:dyDescent="0.25">
      <c r="A63202" s="8"/>
      <c r="B63202" s="8"/>
      <c r="C63202" s="99"/>
      <c r="D63202" s="8"/>
      <c r="E63202" s="8"/>
      <c r="F63202" s="8"/>
      <c r="G63202" s="8"/>
      <c r="H63202" s="8"/>
      <c r="I63202" s="102"/>
      <c r="J63202" s="8"/>
      <c r="K63202" s="8"/>
      <c r="L63202" s="8"/>
      <c r="M63202" s="8"/>
      <c r="N63202" s="8"/>
      <c r="O63202" s="8"/>
      <c r="P63202" s="8"/>
      <c r="Q63202" s="8"/>
      <c r="R63202" s="103"/>
      <c r="S63202" s="8"/>
      <c r="T63202" s="8"/>
      <c r="U63202" s="8"/>
      <c r="V63202" s="8"/>
      <c r="W63202" s="8"/>
      <c r="X63202" s="8"/>
      <c r="Y63202" s="8"/>
      <c r="Z63202" s="8"/>
      <c r="AA63202" s="8"/>
    </row>
    <row r="63203" spans="1:27" x14ac:dyDescent="0.25">
      <c r="A63203" s="8"/>
      <c r="B63203" s="8"/>
      <c r="C63203" s="99"/>
      <c r="D63203" s="8"/>
      <c r="E63203" s="8"/>
      <c r="F63203" s="8"/>
      <c r="G63203" s="8"/>
      <c r="H63203" s="8"/>
      <c r="I63203" s="102"/>
      <c r="J63203" s="8"/>
      <c r="K63203" s="8"/>
      <c r="L63203" s="8"/>
      <c r="M63203" s="8"/>
      <c r="N63203" s="8"/>
      <c r="O63203" s="8"/>
      <c r="P63203" s="8"/>
      <c r="Q63203" s="8"/>
      <c r="R63203" s="103"/>
      <c r="S63203" s="8"/>
      <c r="T63203" s="8"/>
      <c r="U63203" s="8"/>
      <c r="V63203" s="8"/>
      <c r="W63203" s="8"/>
      <c r="X63203" s="8"/>
      <c r="Y63203" s="8"/>
      <c r="Z63203" s="8"/>
      <c r="AA63203" s="8"/>
    </row>
    <row r="63204" spans="1:27" x14ac:dyDescent="0.25">
      <c r="A63204" s="8"/>
      <c r="B63204" s="8"/>
      <c r="C63204" s="99"/>
      <c r="D63204" s="8"/>
      <c r="E63204" s="8"/>
      <c r="F63204" s="8"/>
      <c r="G63204" s="8"/>
      <c r="H63204" s="8"/>
      <c r="I63204" s="102"/>
      <c r="J63204" s="8"/>
      <c r="K63204" s="8"/>
      <c r="L63204" s="8"/>
      <c r="M63204" s="8"/>
      <c r="N63204" s="8"/>
      <c r="O63204" s="8"/>
      <c r="P63204" s="8"/>
      <c r="Q63204" s="8"/>
      <c r="R63204" s="103"/>
      <c r="S63204" s="8"/>
      <c r="T63204" s="8"/>
      <c r="U63204" s="8"/>
      <c r="V63204" s="8"/>
      <c r="W63204" s="8"/>
      <c r="X63204" s="8"/>
      <c r="Y63204" s="8"/>
      <c r="Z63204" s="8"/>
      <c r="AA63204" s="8"/>
    </row>
    <row r="63205" spans="1:27" x14ac:dyDescent="0.25">
      <c r="A63205" s="8"/>
      <c r="B63205" s="8"/>
      <c r="C63205" s="99"/>
      <c r="D63205" s="8"/>
      <c r="E63205" s="8"/>
      <c r="F63205" s="8"/>
      <c r="G63205" s="8"/>
      <c r="H63205" s="8"/>
      <c r="I63205" s="102"/>
      <c r="J63205" s="8"/>
      <c r="K63205" s="8"/>
      <c r="L63205" s="8"/>
      <c r="M63205" s="8"/>
      <c r="N63205" s="8"/>
      <c r="O63205" s="8"/>
      <c r="P63205" s="8"/>
      <c r="Q63205" s="8"/>
      <c r="R63205" s="103"/>
      <c r="S63205" s="8"/>
      <c r="T63205" s="8"/>
      <c r="U63205" s="8"/>
      <c r="V63205" s="8"/>
      <c r="W63205" s="8"/>
      <c r="X63205" s="8"/>
      <c r="Y63205" s="8"/>
      <c r="Z63205" s="8"/>
      <c r="AA63205" s="8"/>
    </row>
    <row r="63206" spans="1:27" x14ac:dyDescent="0.25">
      <c r="A63206" s="8"/>
      <c r="B63206" s="8"/>
      <c r="C63206" s="99"/>
      <c r="D63206" s="8"/>
      <c r="E63206" s="8"/>
      <c r="F63206" s="8"/>
      <c r="G63206" s="8"/>
      <c r="H63206" s="8"/>
      <c r="I63206" s="102"/>
      <c r="J63206" s="8"/>
      <c r="K63206" s="8"/>
      <c r="L63206" s="8"/>
      <c r="M63206" s="8"/>
      <c r="N63206" s="8"/>
      <c r="O63206" s="8"/>
      <c r="P63206" s="8"/>
      <c r="Q63206" s="8"/>
      <c r="R63206" s="103"/>
      <c r="S63206" s="8"/>
      <c r="T63206" s="8"/>
      <c r="U63206" s="8"/>
      <c r="V63206" s="8"/>
      <c r="W63206" s="8"/>
      <c r="X63206" s="8"/>
      <c r="Y63206" s="8"/>
      <c r="Z63206" s="8"/>
      <c r="AA63206" s="8"/>
    </row>
    <row r="63207" spans="1:27" x14ac:dyDescent="0.25">
      <c r="A63207" s="8"/>
      <c r="B63207" s="8"/>
      <c r="C63207" s="99"/>
      <c r="D63207" s="8"/>
      <c r="E63207" s="8"/>
      <c r="F63207" s="8"/>
      <c r="G63207" s="8"/>
      <c r="H63207" s="8"/>
      <c r="I63207" s="102"/>
      <c r="J63207" s="8"/>
      <c r="K63207" s="8"/>
      <c r="L63207" s="8"/>
      <c r="M63207" s="8"/>
      <c r="N63207" s="8"/>
      <c r="O63207" s="8"/>
      <c r="P63207" s="8"/>
      <c r="Q63207" s="8"/>
      <c r="R63207" s="103"/>
      <c r="S63207" s="8"/>
      <c r="T63207" s="8"/>
      <c r="U63207" s="8"/>
      <c r="V63207" s="8"/>
      <c r="W63207" s="8"/>
      <c r="X63207" s="8"/>
      <c r="Y63207" s="8"/>
      <c r="Z63207" s="8"/>
      <c r="AA63207" s="8"/>
    </row>
    <row r="63208" spans="1:27" x14ac:dyDescent="0.25">
      <c r="A63208" s="8"/>
      <c r="B63208" s="8"/>
      <c r="C63208" s="99"/>
      <c r="D63208" s="8"/>
      <c r="E63208" s="8"/>
      <c r="F63208" s="8"/>
      <c r="G63208" s="8"/>
      <c r="H63208" s="8"/>
      <c r="I63208" s="102"/>
      <c r="J63208" s="8"/>
      <c r="K63208" s="8"/>
      <c r="L63208" s="8"/>
      <c r="M63208" s="8"/>
      <c r="N63208" s="8"/>
      <c r="O63208" s="8"/>
      <c r="P63208" s="8"/>
      <c r="Q63208" s="8"/>
      <c r="R63208" s="103"/>
      <c r="S63208" s="8"/>
      <c r="T63208" s="8"/>
      <c r="U63208" s="8"/>
      <c r="V63208" s="8"/>
      <c r="W63208" s="8"/>
      <c r="X63208" s="8"/>
      <c r="Y63208" s="8"/>
      <c r="Z63208" s="8"/>
      <c r="AA63208" s="8"/>
    </row>
    <row r="63209" spans="1:27" x14ac:dyDescent="0.25">
      <c r="A63209" s="8"/>
      <c r="B63209" s="8"/>
      <c r="C63209" s="99"/>
      <c r="D63209" s="8"/>
      <c r="E63209" s="8"/>
      <c r="F63209" s="8"/>
      <c r="G63209" s="8"/>
      <c r="H63209" s="8"/>
      <c r="I63209" s="102"/>
      <c r="J63209" s="8"/>
      <c r="K63209" s="8"/>
      <c r="L63209" s="8"/>
      <c r="M63209" s="8"/>
      <c r="N63209" s="8"/>
      <c r="O63209" s="8"/>
      <c r="P63209" s="8"/>
      <c r="Q63209" s="8"/>
      <c r="R63209" s="103"/>
      <c r="S63209" s="8"/>
      <c r="T63209" s="8"/>
      <c r="U63209" s="8"/>
      <c r="V63209" s="8"/>
      <c r="W63209" s="8"/>
      <c r="X63209" s="8"/>
      <c r="Y63209" s="8"/>
      <c r="Z63209" s="8"/>
      <c r="AA63209" s="8"/>
    </row>
    <row r="63210" spans="1:27" x14ac:dyDescent="0.25">
      <c r="A63210" s="8"/>
      <c r="B63210" s="8"/>
      <c r="C63210" s="99"/>
      <c r="D63210" s="8"/>
      <c r="E63210" s="8"/>
      <c r="F63210" s="8"/>
      <c r="G63210" s="8"/>
      <c r="H63210" s="8"/>
      <c r="I63210" s="102"/>
      <c r="J63210" s="8"/>
      <c r="K63210" s="8"/>
      <c r="L63210" s="8"/>
      <c r="M63210" s="8"/>
      <c r="N63210" s="8"/>
      <c r="O63210" s="8"/>
      <c r="P63210" s="8"/>
      <c r="Q63210" s="8"/>
      <c r="R63210" s="103"/>
      <c r="S63210" s="8"/>
      <c r="T63210" s="8"/>
      <c r="U63210" s="8"/>
      <c r="V63210" s="8"/>
      <c r="W63210" s="8"/>
      <c r="X63210" s="8"/>
      <c r="Y63210" s="8"/>
      <c r="Z63210" s="8"/>
      <c r="AA63210" s="8"/>
    </row>
    <row r="63211" spans="1:27" x14ac:dyDescent="0.25">
      <c r="A63211" s="8"/>
      <c r="B63211" s="8"/>
      <c r="C63211" s="99"/>
      <c r="D63211" s="8"/>
      <c r="E63211" s="8"/>
      <c r="F63211" s="8"/>
      <c r="G63211" s="8"/>
      <c r="H63211" s="8"/>
      <c r="I63211" s="102"/>
      <c r="J63211" s="8"/>
      <c r="K63211" s="8"/>
      <c r="L63211" s="8"/>
      <c r="M63211" s="8"/>
      <c r="N63211" s="8"/>
      <c r="O63211" s="8"/>
      <c r="P63211" s="8"/>
      <c r="Q63211" s="8"/>
      <c r="R63211" s="103"/>
      <c r="S63211" s="8"/>
      <c r="T63211" s="8"/>
      <c r="U63211" s="8"/>
      <c r="V63211" s="8"/>
      <c r="W63211" s="8"/>
      <c r="X63211" s="8"/>
      <c r="Y63211" s="8"/>
      <c r="Z63211" s="8"/>
      <c r="AA63211" s="8"/>
    </row>
    <row r="63212" spans="1:27" x14ac:dyDescent="0.25">
      <c r="A63212" s="8"/>
      <c r="B63212" s="8"/>
      <c r="C63212" s="99"/>
      <c r="D63212" s="8"/>
      <c r="E63212" s="8"/>
      <c r="F63212" s="8"/>
      <c r="G63212" s="8"/>
      <c r="H63212" s="8"/>
      <c r="I63212" s="102"/>
      <c r="J63212" s="8"/>
      <c r="K63212" s="8"/>
      <c r="L63212" s="8"/>
      <c r="M63212" s="8"/>
      <c r="N63212" s="8"/>
      <c r="O63212" s="8"/>
      <c r="P63212" s="8"/>
      <c r="Q63212" s="8"/>
      <c r="R63212" s="103"/>
      <c r="S63212" s="8"/>
      <c r="T63212" s="8"/>
      <c r="U63212" s="8"/>
      <c r="V63212" s="8"/>
      <c r="W63212" s="8"/>
      <c r="X63212" s="8"/>
      <c r="Y63212" s="8"/>
      <c r="Z63212" s="8"/>
      <c r="AA63212" s="8"/>
    </row>
    <row r="63213" spans="1:27" x14ac:dyDescent="0.25">
      <c r="A63213" s="8"/>
      <c r="B63213" s="8"/>
      <c r="C63213" s="99"/>
      <c r="D63213" s="8"/>
      <c r="E63213" s="8"/>
      <c r="F63213" s="8"/>
      <c r="G63213" s="8"/>
      <c r="H63213" s="8"/>
      <c r="I63213" s="102"/>
      <c r="J63213" s="8"/>
      <c r="K63213" s="8"/>
      <c r="L63213" s="8"/>
      <c r="M63213" s="8"/>
      <c r="N63213" s="8"/>
      <c r="O63213" s="8"/>
      <c r="P63213" s="8"/>
      <c r="Q63213" s="8"/>
      <c r="R63213" s="103"/>
      <c r="S63213" s="8"/>
      <c r="T63213" s="8"/>
      <c r="U63213" s="8"/>
      <c r="V63213" s="8"/>
      <c r="W63213" s="8"/>
      <c r="X63213" s="8"/>
      <c r="Y63213" s="8"/>
      <c r="Z63213" s="8"/>
      <c r="AA63213" s="8"/>
    </row>
    <row r="63214" spans="1:27" x14ac:dyDescent="0.25">
      <c r="A63214" s="8"/>
      <c r="B63214" s="8"/>
      <c r="C63214" s="99"/>
      <c r="D63214" s="8"/>
      <c r="E63214" s="8"/>
      <c r="F63214" s="8"/>
      <c r="G63214" s="8"/>
      <c r="H63214" s="8"/>
      <c r="I63214" s="102"/>
      <c r="J63214" s="8"/>
      <c r="K63214" s="8"/>
      <c r="L63214" s="8"/>
      <c r="M63214" s="8"/>
      <c r="N63214" s="8"/>
      <c r="O63214" s="8"/>
      <c r="P63214" s="8"/>
      <c r="Q63214" s="8"/>
      <c r="R63214" s="103"/>
      <c r="S63214" s="8"/>
      <c r="T63214" s="8"/>
      <c r="U63214" s="8"/>
      <c r="V63214" s="8"/>
      <c r="W63214" s="8"/>
      <c r="X63214" s="8"/>
      <c r="Y63214" s="8"/>
      <c r="Z63214" s="8"/>
      <c r="AA63214" s="8"/>
    </row>
    <row r="63215" spans="1:27" x14ac:dyDescent="0.25">
      <c r="A63215" s="8"/>
      <c r="B63215" s="8"/>
      <c r="C63215" s="99"/>
      <c r="D63215" s="8"/>
      <c r="E63215" s="8"/>
      <c r="F63215" s="8"/>
      <c r="G63215" s="8"/>
      <c r="H63215" s="8"/>
      <c r="I63215" s="102"/>
      <c r="J63215" s="8"/>
      <c r="K63215" s="8"/>
      <c r="L63215" s="8"/>
      <c r="M63215" s="8"/>
      <c r="N63215" s="8"/>
      <c r="O63215" s="8"/>
      <c r="P63215" s="8"/>
      <c r="Q63215" s="8"/>
      <c r="R63215" s="103"/>
      <c r="S63215" s="8"/>
      <c r="T63215" s="8"/>
      <c r="U63215" s="8"/>
      <c r="V63215" s="8"/>
      <c r="W63215" s="8"/>
      <c r="X63215" s="8"/>
      <c r="Y63215" s="8"/>
      <c r="Z63215" s="8"/>
      <c r="AA63215" s="8"/>
    </row>
    <row r="63216" spans="1:27" x14ac:dyDescent="0.25">
      <c r="A63216" s="8"/>
      <c r="B63216" s="8"/>
      <c r="C63216" s="99"/>
      <c r="D63216" s="8"/>
      <c r="E63216" s="8"/>
      <c r="F63216" s="8"/>
      <c r="G63216" s="8"/>
      <c r="H63216" s="8"/>
      <c r="I63216" s="102"/>
      <c r="J63216" s="8"/>
      <c r="K63216" s="8"/>
      <c r="L63216" s="8"/>
      <c r="M63216" s="8"/>
      <c r="N63216" s="8"/>
      <c r="O63216" s="8"/>
      <c r="P63216" s="8"/>
      <c r="Q63216" s="8"/>
      <c r="R63216" s="103"/>
      <c r="S63216" s="8"/>
      <c r="T63216" s="8"/>
      <c r="U63216" s="8"/>
      <c r="V63216" s="8"/>
      <c r="W63216" s="8"/>
      <c r="X63216" s="8"/>
      <c r="Y63216" s="8"/>
      <c r="Z63216" s="8"/>
      <c r="AA63216" s="8"/>
    </row>
    <row r="63217" spans="1:27" x14ac:dyDescent="0.25">
      <c r="A63217" s="8"/>
      <c r="B63217" s="8"/>
      <c r="C63217" s="99"/>
      <c r="D63217" s="8"/>
      <c r="E63217" s="8"/>
      <c r="F63217" s="8"/>
      <c r="G63217" s="8"/>
      <c r="H63217" s="8"/>
      <c r="I63217" s="102"/>
      <c r="J63217" s="8"/>
      <c r="K63217" s="8"/>
      <c r="L63217" s="8"/>
      <c r="M63217" s="8"/>
      <c r="N63217" s="8"/>
      <c r="O63217" s="8"/>
      <c r="P63217" s="8"/>
      <c r="Q63217" s="8"/>
      <c r="R63217" s="103"/>
      <c r="S63217" s="8"/>
      <c r="T63217" s="8"/>
      <c r="U63217" s="8"/>
      <c r="V63217" s="8"/>
      <c r="W63217" s="8"/>
      <c r="X63217" s="8"/>
      <c r="Y63217" s="8"/>
      <c r="Z63217" s="8"/>
      <c r="AA63217" s="8"/>
    </row>
    <row r="63218" spans="1:27" x14ac:dyDescent="0.25">
      <c r="A63218" s="8"/>
      <c r="B63218" s="8"/>
      <c r="C63218" s="99"/>
      <c r="D63218" s="8"/>
      <c r="E63218" s="8"/>
      <c r="F63218" s="8"/>
      <c r="G63218" s="8"/>
      <c r="H63218" s="8"/>
      <c r="I63218" s="102"/>
      <c r="J63218" s="8"/>
      <c r="K63218" s="8"/>
      <c r="L63218" s="8"/>
      <c r="M63218" s="8"/>
      <c r="N63218" s="8"/>
      <c r="O63218" s="8"/>
      <c r="P63218" s="8"/>
      <c r="Q63218" s="8"/>
      <c r="R63218" s="103"/>
      <c r="S63218" s="8"/>
      <c r="T63218" s="8"/>
      <c r="U63218" s="8"/>
      <c r="V63218" s="8"/>
      <c r="W63218" s="8"/>
      <c r="X63218" s="8"/>
      <c r="Y63218" s="8"/>
      <c r="Z63218" s="8"/>
      <c r="AA63218" s="8"/>
    </row>
    <row r="63219" spans="1:27" x14ac:dyDescent="0.25">
      <c r="A63219" s="8"/>
      <c r="B63219" s="8"/>
      <c r="C63219" s="99"/>
      <c r="D63219" s="8"/>
      <c r="E63219" s="8"/>
      <c r="F63219" s="8"/>
      <c r="G63219" s="8"/>
      <c r="H63219" s="8"/>
      <c r="I63219" s="102"/>
      <c r="J63219" s="8"/>
      <c r="K63219" s="8"/>
      <c r="L63219" s="8"/>
      <c r="M63219" s="8"/>
      <c r="N63219" s="8"/>
      <c r="O63219" s="8"/>
      <c r="P63219" s="8"/>
      <c r="Q63219" s="8"/>
      <c r="R63219" s="103"/>
      <c r="S63219" s="8"/>
      <c r="T63219" s="8"/>
      <c r="U63219" s="8"/>
      <c r="V63219" s="8"/>
      <c r="W63219" s="8"/>
      <c r="X63219" s="8"/>
      <c r="Y63219" s="8"/>
      <c r="Z63219" s="8"/>
      <c r="AA63219" s="8"/>
    </row>
    <row r="63220" spans="1:27" x14ac:dyDescent="0.25">
      <c r="A63220" s="8"/>
      <c r="B63220" s="8"/>
      <c r="C63220" s="99"/>
      <c r="D63220" s="8"/>
      <c r="E63220" s="8"/>
      <c r="F63220" s="8"/>
      <c r="G63220" s="8"/>
      <c r="H63220" s="8"/>
      <c r="I63220" s="102"/>
      <c r="J63220" s="8"/>
      <c r="K63220" s="8"/>
      <c r="L63220" s="8"/>
      <c r="M63220" s="8"/>
      <c r="N63220" s="8"/>
      <c r="O63220" s="8"/>
      <c r="P63220" s="8"/>
      <c r="Q63220" s="8"/>
      <c r="R63220" s="103"/>
      <c r="S63220" s="8"/>
      <c r="T63220" s="8"/>
      <c r="U63220" s="8"/>
      <c r="V63220" s="8"/>
      <c r="W63220" s="8"/>
      <c r="X63220" s="8"/>
      <c r="Y63220" s="8"/>
      <c r="Z63220" s="8"/>
      <c r="AA63220" s="8"/>
    </row>
    <row r="63221" spans="1:27" x14ac:dyDescent="0.25">
      <c r="A63221" s="8"/>
      <c r="B63221" s="8"/>
      <c r="C63221" s="99"/>
      <c r="D63221" s="8"/>
      <c r="E63221" s="8"/>
      <c r="F63221" s="8"/>
      <c r="G63221" s="8"/>
      <c r="H63221" s="8"/>
      <c r="I63221" s="102"/>
      <c r="J63221" s="8"/>
      <c r="K63221" s="8"/>
      <c r="L63221" s="8"/>
      <c r="M63221" s="8"/>
      <c r="N63221" s="8"/>
      <c r="O63221" s="8"/>
      <c r="P63221" s="8"/>
      <c r="Q63221" s="8"/>
      <c r="R63221" s="103"/>
      <c r="S63221" s="8"/>
      <c r="T63221" s="8"/>
      <c r="U63221" s="8"/>
      <c r="V63221" s="8"/>
      <c r="W63221" s="8"/>
      <c r="X63221" s="8"/>
      <c r="Y63221" s="8"/>
      <c r="Z63221" s="8"/>
      <c r="AA63221" s="8"/>
    </row>
    <row r="63222" spans="1:27" x14ac:dyDescent="0.25">
      <c r="A63222" s="8"/>
      <c r="B63222" s="8"/>
      <c r="C63222" s="99"/>
      <c r="D63222" s="8"/>
      <c r="E63222" s="8"/>
      <c r="F63222" s="8"/>
      <c r="G63222" s="8"/>
      <c r="H63222" s="8"/>
      <c r="I63222" s="102"/>
      <c r="J63222" s="8"/>
      <c r="K63222" s="8"/>
      <c r="L63222" s="8"/>
      <c r="M63222" s="8"/>
      <c r="N63222" s="8"/>
      <c r="O63222" s="8"/>
      <c r="P63222" s="8"/>
      <c r="Q63222" s="8"/>
      <c r="R63222" s="103"/>
      <c r="S63222" s="8"/>
      <c r="T63222" s="8"/>
      <c r="U63222" s="8"/>
      <c r="V63222" s="8"/>
      <c r="W63222" s="8"/>
      <c r="X63222" s="8"/>
      <c r="Y63222" s="8"/>
      <c r="Z63222" s="8"/>
      <c r="AA63222" s="8"/>
    </row>
    <row r="63223" spans="1:27" x14ac:dyDescent="0.25">
      <c r="A63223" s="8"/>
      <c r="B63223" s="8"/>
      <c r="C63223" s="99"/>
      <c r="D63223" s="8"/>
      <c r="E63223" s="8"/>
      <c r="F63223" s="8"/>
      <c r="G63223" s="8"/>
      <c r="H63223" s="8"/>
      <c r="I63223" s="102"/>
      <c r="J63223" s="8"/>
      <c r="K63223" s="8"/>
      <c r="L63223" s="8"/>
      <c r="M63223" s="8"/>
      <c r="N63223" s="8"/>
      <c r="O63223" s="8"/>
      <c r="P63223" s="8"/>
      <c r="Q63223" s="8"/>
      <c r="R63223" s="103"/>
      <c r="S63223" s="8"/>
      <c r="T63223" s="8"/>
      <c r="U63223" s="8"/>
      <c r="V63223" s="8"/>
      <c r="W63223" s="8"/>
      <c r="X63223" s="8"/>
      <c r="Y63223" s="8"/>
      <c r="Z63223" s="8"/>
      <c r="AA63223" s="8"/>
    </row>
    <row r="63224" spans="1:27" x14ac:dyDescent="0.25">
      <c r="A63224" s="8"/>
      <c r="B63224" s="8"/>
      <c r="C63224" s="99"/>
      <c r="D63224" s="8"/>
      <c r="E63224" s="8"/>
      <c r="F63224" s="8"/>
      <c r="G63224" s="8"/>
      <c r="H63224" s="8"/>
      <c r="I63224" s="102"/>
      <c r="J63224" s="8"/>
      <c r="K63224" s="8"/>
      <c r="L63224" s="8"/>
      <c r="M63224" s="8"/>
      <c r="N63224" s="8"/>
      <c r="O63224" s="8"/>
      <c r="P63224" s="8"/>
      <c r="Q63224" s="8"/>
      <c r="R63224" s="103"/>
      <c r="S63224" s="8"/>
      <c r="T63224" s="8"/>
      <c r="U63224" s="8"/>
      <c r="V63224" s="8"/>
      <c r="W63224" s="8"/>
      <c r="X63224" s="8"/>
      <c r="Y63224" s="8"/>
      <c r="Z63224" s="8"/>
      <c r="AA63224" s="8"/>
    </row>
    <row r="63225" spans="1:27" x14ac:dyDescent="0.25">
      <c r="A63225" s="8"/>
      <c r="B63225" s="8"/>
      <c r="C63225" s="99"/>
      <c r="D63225" s="8"/>
      <c r="E63225" s="8"/>
      <c r="F63225" s="8"/>
      <c r="G63225" s="8"/>
      <c r="H63225" s="8"/>
      <c r="I63225" s="102"/>
      <c r="J63225" s="8"/>
      <c r="K63225" s="8"/>
      <c r="L63225" s="8"/>
      <c r="M63225" s="8"/>
      <c r="N63225" s="8"/>
      <c r="O63225" s="8"/>
      <c r="P63225" s="8"/>
      <c r="Q63225" s="8"/>
      <c r="R63225" s="103"/>
      <c r="S63225" s="8"/>
      <c r="T63225" s="8"/>
      <c r="U63225" s="8"/>
      <c r="V63225" s="8"/>
      <c r="W63225" s="8"/>
      <c r="X63225" s="8"/>
      <c r="Y63225" s="8"/>
      <c r="Z63225" s="8"/>
      <c r="AA63225" s="8"/>
    </row>
    <row r="63226" spans="1:27" x14ac:dyDescent="0.25">
      <c r="A63226" s="8"/>
      <c r="B63226" s="8"/>
      <c r="C63226" s="99"/>
      <c r="D63226" s="8"/>
      <c r="E63226" s="8"/>
      <c r="F63226" s="8"/>
      <c r="G63226" s="8"/>
      <c r="H63226" s="8"/>
      <c r="I63226" s="102"/>
      <c r="J63226" s="8"/>
      <c r="K63226" s="8"/>
      <c r="L63226" s="8"/>
      <c r="M63226" s="8"/>
      <c r="N63226" s="8"/>
      <c r="O63226" s="8"/>
      <c r="P63226" s="8"/>
      <c r="Q63226" s="8"/>
      <c r="R63226" s="103"/>
      <c r="S63226" s="8"/>
      <c r="T63226" s="8"/>
      <c r="U63226" s="8"/>
      <c r="V63226" s="8"/>
      <c r="W63226" s="8"/>
      <c r="X63226" s="8"/>
      <c r="Y63226" s="8"/>
      <c r="Z63226" s="8"/>
      <c r="AA63226" s="8"/>
    </row>
    <row r="63227" spans="1:27" x14ac:dyDescent="0.25">
      <c r="A63227" s="8"/>
      <c r="B63227" s="8"/>
      <c r="C63227" s="99"/>
      <c r="D63227" s="8"/>
      <c r="E63227" s="8"/>
      <c r="F63227" s="8"/>
      <c r="G63227" s="8"/>
      <c r="H63227" s="8"/>
      <c r="I63227" s="102"/>
      <c r="J63227" s="8"/>
      <c r="K63227" s="8"/>
      <c r="L63227" s="8"/>
      <c r="M63227" s="8"/>
      <c r="N63227" s="8"/>
      <c r="O63227" s="8"/>
      <c r="P63227" s="8"/>
      <c r="Q63227" s="8"/>
      <c r="R63227" s="103"/>
      <c r="S63227" s="8"/>
      <c r="T63227" s="8"/>
      <c r="U63227" s="8"/>
      <c r="V63227" s="8"/>
      <c r="W63227" s="8"/>
      <c r="X63227" s="8"/>
      <c r="Y63227" s="8"/>
      <c r="Z63227" s="8"/>
      <c r="AA63227" s="8"/>
    </row>
    <row r="63228" spans="1:27" x14ac:dyDescent="0.25">
      <c r="A63228" s="8"/>
      <c r="B63228" s="8"/>
      <c r="C63228" s="99"/>
      <c r="D63228" s="8"/>
      <c r="E63228" s="8"/>
      <c r="F63228" s="8"/>
      <c r="G63228" s="8"/>
      <c r="H63228" s="8"/>
      <c r="I63228" s="102"/>
      <c r="J63228" s="8"/>
      <c r="K63228" s="8"/>
      <c r="L63228" s="8"/>
      <c r="M63228" s="8"/>
      <c r="N63228" s="8"/>
      <c r="O63228" s="8"/>
      <c r="P63228" s="8"/>
      <c r="Q63228" s="8"/>
      <c r="R63228" s="103"/>
      <c r="S63228" s="8"/>
      <c r="T63228" s="8"/>
      <c r="U63228" s="8"/>
      <c r="V63228" s="8"/>
      <c r="W63228" s="8"/>
      <c r="X63228" s="8"/>
      <c r="Y63228" s="8"/>
      <c r="Z63228" s="8"/>
      <c r="AA63228" s="8"/>
    </row>
    <row r="63229" spans="1:27" x14ac:dyDescent="0.25">
      <c r="A63229" s="8"/>
      <c r="B63229" s="8"/>
      <c r="C63229" s="99"/>
      <c r="D63229" s="8"/>
      <c r="E63229" s="8"/>
      <c r="F63229" s="8"/>
      <c r="G63229" s="8"/>
      <c r="H63229" s="8"/>
      <c r="I63229" s="102"/>
      <c r="J63229" s="8"/>
      <c r="K63229" s="8"/>
      <c r="L63229" s="8"/>
      <c r="M63229" s="8"/>
      <c r="N63229" s="8"/>
      <c r="O63229" s="8"/>
      <c r="P63229" s="8"/>
      <c r="Q63229" s="8"/>
      <c r="R63229" s="103"/>
      <c r="S63229" s="8"/>
      <c r="T63229" s="8"/>
      <c r="U63229" s="8"/>
      <c r="V63229" s="8"/>
      <c r="W63229" s="8"/>
      <c r="X63229" s="8"/>
      <c r="Y63229" s="8"/>
      <c r="Z63229" s="8"/>
      <c r="AA63229" s="8"/>
    </row>
    <row r="63230" spans="1:27" x14ac:dyDescent="0.25">
      <c r="A63230" s="8"/>
      <c r="B63230" s="8"/>
      <c r="C63230" s="99"/>
      <c r="D63230" s="8"/>
      <c r="E63230" s="8"/>
      <c r="F63230" s="8"/>
      <c r="G63230" s="8"/>
      <c r="H63230" s="8"/>
      <c r="I63230" s="102"/>
      <c r="J63230" s="8"/>
      <c r="K63230" s="8"/>
      <c r="L63230" s="8"/>
      <c r="M63230" s="8"/>
      <c r="N63230" s="8"/>
      <c r="O63230" s="8"/>
      <c r="P63230" s="8"/>
      <c r="Q63230" s="8"/>
      <c r="R63230" s="103"/>
      <c r="S63230" s="8"/>
      <c r="T63230" s="8"/>
      <c r="U63230" s="8"/>
      <c r="V63230" s="8"/>
      <c r="W63230" s="8"/>
      <c r="X63230" s="8"/>
      <c r="Y63230" s="8"/>
      <c r="Z63230" s="8"/>
      <c r="AA63230" s="8"/>
    </row>
    <row r="63231" spans="1:27" x14ac:dyDescent="0.25">
      <c r="A63231" s="8"/>
      <c r="B63231" s="8"/>
      <c r="C63231" s="99"/>
      <c r="D63231" s="8"/>
      <c r="E63231" s="8"/>
      <c r="F63231" s="8"/>
      <c r="G63231" s="8"/>
      <c r="H63231" s="8"/>
      <c r="I63231" s="102"/>
      <c r="J63231" s="8"/>
      <c r="K63231" s="8"/>
      <c r="L63231" s="8"/>
      <c r="M63231" s="8"/>
      <c r="N63231" s="8"/>
      <c r="O63231" s="8"/>
      <c r="P63231" s="8"/>
      <c r="Q63231" s="8"/>
      <c r="R63231" s="103"/>
      <c r="S63231" s="8"/>
      <c r="T63231" s="8"/>
      <c r="U63231" s="8"/>
      <c r="V63231" s="8"/>
      <c r="W63231" s="8"/>
      <c r="X63231" s="8"/>
      <c r="Y63231" s="8"/>
      <c r="Z63231" s="8"/>
      <c r="AA63231" s="8"/>
    </row>
    <row r="63232" spans="1:27" x14ac:dyDescent="0.25">
      <c r="A63232" s="8"/>
      <c r="B63232" s="8"/>
      <c r="C63232" s="99"/>
      <c r="D63232" s="8"/>
      <c r="E63232" s="8"/>
      <c r="F63232" s="8"/>
      <c r="G63232" s="8"/>
      <c r="H63232" s="8"/>
      <c r="I63232" s="102"/>
      <c r="J63232" s="8"/>
      <c r="K63232" s="8"/>
      <c r="L63232" s="8"/>
      <c r="M63232" s="8"/>
      <c r="N63232" s="8"/>
      <c r="O63232" s="8"/>
      <c r="P63232" s="8"/>
      <c r="Q63232" s="8"/>
      <c r="R63232" s="103"/>
      <c r="S63232" s="8"/>
      <c r="T63232" s="8"/>
      <c r="U63232" s="8"/>
      <c r="V63232" s="8"/>
      <c r="W63232" s="8"/>
      <c r="X63232" s="8"/>
      <c r="Y63232" s="8"/>
      <c r="Z63232" s="8"/>
      <c r="AA63232" s="8"/>
    </row>
    <row r="63233" spans="1:27" x14ac:dyDescent="0.25">
      <c r="A63233" s="8"/>
      <c r="B63233" s="8"/>
      <c r="C63233" s="99"/>
      <c r="D63233" s="8"/>
      <c r="E63233" s="8"/>
      <c r="F63233" s="8"/>
      <c r="G63233" s="8"/>
      <c r="H63233" s="8"/>
      <c r="I63233" s="102"/>
      <c r="J63233" s="8"/>
      <c r="K63233" s="8"/>
      <c r="L63233" s="8"/>
      <c r="M63233" s="8"/>
      <c r="N63233" s="8"/>
      <c r="O63233" s="8"/>
      <c r="P63233" s="8"/>
      <c r="Q63233" s="8"/>
      <c r="R63233" s="103"/>
      <c r="S63233" s="8"/>
      <c r="T63233" s="8"/>
      <c r="U63233" s="8"/>
      <c r="V63233" s="8"/>
      <c r="W63233" s="8"/>
      <c r="X63233" s="8"/>
      <c r="Y63233" s="8"/>
      <c r="Z63233" s="8"/>
      <c r="AA63233" s="8"/>
    </row>
    <row r="63234" spans="1:27" x14ac:dyDescent="0.25">
      <c r="A63234" s="8"/>
      <c r="B63234" s="8"/>
      <c r="C63234" s="99"/>
      <c r="D63234" s="8"/>
      <c r="E63234" s="8"/>
      <c r="F63234" s="8"/>
      <c r="G63234" s="8"/>
      <c r="H63234" s="8"/>
      <c r="I63234" s="102"/>
      <c r="J63234" s="8"/>
      <c r="K63234" s="8"/>
      <c r="L63234" s="8"/>
      <c r="M63234" s="8"/>
      <c r="N63234" s="8"/>
      <c r="O63234" s="8"/>
      <c r="P63234" s="8"/>
      <c r="Q63234" s="8"/>
      <c r="R63234" s="103"/>
      <c r="S63234" s="8"/>
      <c r="T63234" s="8"/>
      <c r="U63234" s="8"/>
      <c r="V63234" s="8"/>
      <c r="W63234" s="8"/>
      <c r="X63234" s="8"/>
      <c r="Y63234" s="8"/>
      <c r="Z63234" s="8"/>
      <c r="AA63234" s="8"/>
    </row>
    <row r="63235" spans="1:27" x14ac:dyDescent="0.25">
      <c r="A63235" s="8"/>
      <c r="B63235" s="8"/>
      <c r="C63235" s="99"/>
      <c r="D63235" s="8"/>
      <c r="E63235" s="8"/>
      <c r="F63235" s="8"/>
      <c r="G63235" s="8"/>
      <c r="H63235" s="8"/>
      <c r="I63235" s="102"/>
      <c r="J63235" s="8"/>
      <c r="K63235" s="8"/>
      <c r="L63235" s="8"/>
      <c r="M63235" s="8"/>
      <c r="N63235" s="8"/>
      <c r="O63235" s="8"/>
      <c r="P63235" s="8"/>
      <c r="Q63235" s="8"/>
      <c r="R63235" s="103"/>
      <c r="S63235" s="8"/>
      <c r="T63235" s="8"/>
      <c r="U63235" s="8"/>
      <c r="V63235" s="8"/>
      <c r="W63235" s="8"/>
      <c r="X63235" s="8"/>
      <c r="Y63235" s="8"/>
      <c r="Z63235" s="8"/>
      <c r="AA63235" s="8"/>
    </row>
    <row r="63236" spans="1:27" x14ac:dyDescent="0.25">
      <c r="A63236" s="8"/>
      <c r="B63236" s="8"/>
      <c r="C63236" s="99"/>
      <c r="D63236" s="8"/>
      <c r="E63236" s="8"/>
      <c r="F63236" s="8"/>
      <c r="G63236" s="8"/>
      <c r="H63236" s="8"/>
      <c r="I63236" s="102"/>
      <c r="J63236" s="8"/>
      <c r="K63236" s="8"/>
      <c r="L63236" s="8"/>
      <c r="M63236" s="8"/>
      <c r="N63236" s="8"/>
      <c r="O63236" s="8"/>
      <c r="P63236" s="8"/>
      <c r="Q63236" s="8"/>
      <c r="R63236" s="103"/>
      <c r="S63236" s="8"/>
      <c r="T63236" s="8"/>
      <c r="U63236" s="8"/>
      <c r="V63236" s="8"/>
      <c r="W63236" s="8"/>
      <c r="X63236" s="8"/>
      <c r="Y63236" s="8"/>
      <c r="Z63236" s="8"/>
      <c r="AA63236" s="8"/>
    </row>
    <row r="63237" spans="1:27" x14ac:dyDescent="0.25">
      <c r="A63237" s="8"/>
      <c r="B63237" s="8"/>
      <c r="C63237" s="99"/>
      <c r="D63237" s="8"/>
      <c r="E63237" s="8"/>
      <c r="F63237" s="8"/>
      <c r="G63237" s="8"/>
      <c r="H63237" s="8"/>
      <c r="I63237" s="102"/>
      <c r="J63237" s="8"/>
      <c r="K63237" s="8"/>
      <c r="L63237" s="8"/>
      <c r="M63237" s="8"/>
      <c r="N63237" s="8"/>
      <c r="O63237" s="8"/>
      <c r="P63237" s="8"/>
      <c r="Q63237" s="8"/>
      <c r="R63237" s="103"/>
      <c r="S63237" s="8"/>
      <c r="T63237" s="8"/>
      <c r="U63237" s="8"/>
      <c r="V63237" s="8"/>
      <c r="W63237" s="8"/>
      <c r="X63237" s="8"/>
      <c r="Y63237" s="8"/>
      <c r="Z63237" s="8"/>
      <c r="AA63237" s="8"/>
    </row>
    <row r="63238" spans="1:27" x14ac:dyDescent="0.25">
      <c r="A63238" s="8"/>
      <c r="B63238" s="8"/>
      <c r="C63238" s="99"/>
      <c r="D63238" s="8"/>
      <c r="E63238" s="8"/>
      <c r="F63238" s="8"/>
      <c r="G63238" s="8"/>
      <c r="H63238" s="8"/>
      <c r="I63238" s="102"/>
      <c r="J63238" s="8"/>
      <c r="K63238" s="8"/>
      <c r="L63238" s="8"/>
      <c r="M63238" s="8"/>
      <c r="N63238" s="8"/>
      <c r="O63238" s="8"/>
      <c r="P63238" s="8"/>
      <c r="Q63238" s="8"/>
      <c r="R63238" s="103"/>
      <c r="S63238" s="8"/>
      <c r="T63238" s="8"/>
      <c r="U63238" s="8"/>
      <c r="V63238" s="8"/>
      <c r="W63238" s="8"/>
      <c r="X63238" s="8"/>
      <c r="Y63238" s="8"/>
      <c r="Z63238" s="8"/>
      <c r="AA63238" s="8"/>
    </row>
    <row r="63239" spans="1:27" x14ac:dyDescent="0.25">
      <c r="A63239" s="8"/>
      <c r="B63239" s="8"/>
      <c r="C63239" s="99"/>
      <c r="D63239" s="8"/>
      <c r="E63239" s="8"/>
      <c r="F63239" s="8"/>
      <c r="G63239" s="8"/>
      <c r="H63239" s="8"/>
      <c r="I63239" s="102"/>
      <c r="J63239" s="8"/>
      <c r="K63239" s="8"/>
      <c r="L63239" s="8"/>
      <c r="M63239" s="8"/>
      <c r="N63239" s="8"/>
      <c r="O63239" s="8"/>
      <c r="P63239" s="8"/>
      <c r="Q63239" s="8"/>
      <c r="R63239" s="103"/>
      <c r="S63239" s="8"/>
      <c r="T63239" s="8"/>
      <c r="U63239" s="8"/>
      <c r="V63239" s="8"/>
      <c r="W63239" s="8"/>
      <c r="X63239" s="8"/>
      <c r="Y63239" s="8"/>
      <c r="Z63239" s="8"/>
      <c r="AA63239" s="8"/>
    </row>
    <row r="63240" spans="1:27" x14ac:dyDescent="0.25">
      <c r="A63240" s="8"/>
      <c r="B63240" s="8"/>
      <c r="C63240" s="99"/>
      <c r="D63240" s="8"/>
      <c r="E63240" s="8"/>
      <c r="F63240" s="8"/>
      <c r="G63240" s="8"/>
      <c r="H63240" s="8"/>
      <c r="I63240" s="102"/>
      <c r="J63240" s="8"/>
      <c r="K63240" s="8"/>
      <c r="L63240" s="8"/>
      <c r="M63240" s="8"/>
      <c r="N63240" s="8"/>
      <c r="O63240" s="8"/>
      <c r="P63240" s="8"/>
      <c r="Q63240" s="8"/>
      <c r="R63240" s="103"/>
      <c r="S63240" s="8"/>
      <c r="T63240" s="8"/>
      <c r="U63240" s="8"/>
      <c r="V63240" s="8"/>
      <c r="W63240" s="8"/>
      <c r="X63240" s="8"/>
      <c r="Y63240" s="8"/>
      <c r="Z63240" s="8"/>
      <c r="AA63240" s="8"/>
    </row>
    <row r="63241" spans="1:27" x14ac:dyDescent="0.25">
      <c r="A63241" s="8"/>
      <c r="B63241" s="8"/>
      <c r="C63241" s="99"/>
      <c r="D63241" s="8"/>
      <c r="E63241" s="8"/>
      <c r="F63241" s="8"/>
      <c r="G63241" s="8"/>
      <c r="H63241" s="8"/>
      <c r="I63241" s="102"/>
      <c r="J63241" s="8"/>
      <c r="K63241" s="8"/>
      <c r="L63241" s="8"/>
      <c r="M63241" s="8"/>
      <c r="N63241" s="8"/>
      <c r="O63241" s="8"/>
      <c r="P63241" s="8"/>
      <c r="Q63241" s="8"/>
      <c r="R63241" s="103"/>
      <c r="S63241" s="8"/>
      <c r="T63241" s="8"/>
      <c r="U63241" s="8"/>
      <c r="V63241" s="8"/>
      <c r="W63241" s="8"/>
      <c r="X63241" s="8"/>
      <c r="Y63241" s="8"/>
      <c r="Z63241" s="8"/>
      <c r="AA63241" s="8"/>
    </row>
    <row r="63242" spans="1:27" x14ac:dyDescent="0.25">
      <c r="A63242" s="8"/>
      <c r="B63242" s="8"/>
      <c r="C63242" s="99"/>
      <c r="D63242" s="8"/>
      <c r="E63242" s="8"/>
      <c r="F63242" s="8"/>
      <c r="G63242" s="8"/>
      <c r="H63242" s="8"/>
      <c r="I63242" s="102"/>
      <c r="J63242" s="8"/>
      <c r="K63242" s="8"/>
      <c r="L63242" s="8"/>
      <c r="M63242" s="8"/>
      <c r="N63242" s="8"/>
      <c r="O63242" s="8"/>
      <c r="P63242" s="8"/>
      <c r="Q63242" s="8"/>
      <c r="R63242" s="103"/>
      <c r="S63242" s="8"/>
      <c r="T63242" s="8"/>
      <c r="U63242" s="8"/>
      <c r="V63242" s="8"/>
      <c r="W63242" s="8"/>
      <c r="X63242" s="8"/>
      <c r="Y63242" s="8"/>
      <c r="Z63242" s="8"/>
      <c r="AA63242" s="8"/>
    </row>
    <row r="63243" spans="1:27" x14ac:dyDescent="0.25">
      <c r="A63243" s="8"/>
      <c r="B63243" s="8"/>
      <c r="C63243" s="99"/>
      <c r="D63243" s="8"/>
      <c r="E63243" s="8"/>
      <c r="F63243" s="8"/>
      <c r="G63243" s="8"/>
      <c r="H63243" s="8"/>
      <c r="I63243" s="102"/>
      <c r="J63243" s="8"/>
      <c r="K63243" s="8"/>
      <c r="L63243" s="8"/>
      <c r="M63243" s="8"/>
      <c r="N63243" s="8"/>
      <c r="O63243" s="8"/>
      <c r="P63243" s="8"/>
      <c r="Q63243" s="8"/>
      <c r="R63243" s="103"/>
      <c r="S63243" s="8"/>
      <c r="T63243" s="8"/>
      <c r="U63243" s="8"/>
      <c r="V63243" s="8"/>
      <c r="W63243" s="8"/>
      <c r="X63243" s="8"/>
      <c r="Y63243" s="8"/>
      <c r="Z63243" s="8"/>
      <c r="AA63243" s="8"/>
    </row>
    <row r="63244" spans="1:27" x14ac:dyDescent="0.25">
      <c r="A63244" s="8"/>
      <c r="B63244" s="8"/>
      <c r="C63244" s="99"/>
      <c r="D63244" s="8"/>
      <c r="E63244" s="8"/>
      <c r="F63244" s="8"/>
      <c r="G63244" s="8"/>
      <c r="H63244" s="8"/>
      <c r="I63244" s="102"/>
      <c r="J63244" s="8"/>
      <c r="K63244" s="8"/>
      <c r="L63244" s="8"/>
      <c r="M63244" s="8"/>
      <c r="N63244" s="8"/>
      <c r="O63244" s="8"/>
      <c r="P63244" s="8"/>
      <c r="Q63244" s="8"/>
      <c r="R63244" s="103"/>
      <c r="S63244" s="8"/>
      <c r="T63244" s="8"/>
      <c r="U63244" s="8"/>
      <c r="V63244" s="8"/>
      <c r="W63244" s="8"/>
      <c r="X63244" s="8"/>
      <c r="Y63244" s="8"/>
      <c r="Z63244" s="8"/>
      <c r="AA63244" s="8"/>
    </row>
    <row r="63245" spans="1:27" x14ac:dyDescent="0.25">
      <c r="A63245" s="8"/>
      <c r="B63245" s="8"/>
      <c r="C63245" s="99"/>
      <c r="D63245" s="8"/>
      <c r="E63245" s="8"/>
      <c r="F63245" s="8"/>
      <c r="G63245" s="8"/>
      <c r="H63245" s="8"/>
      <c r="I63245" s="102"/>
      <c r="J63245" s="8"/>
      <c r="K63245" s="8"/>
      <c r="L63245" s="8"/>
      <c r="M63245" s="8"/>
      <c r="N63245" s="8"/>
      <c r="O63245" s="8"/>
      <c r="P63245" s="8"/>
      <c r="Q63245" s="8"/>
      <c r="R63245" s="103"/>
      <c r="S63245" s="8"/>
      <c r="T63245" s="8"/>
      <c r="U63245" s="8"/>
      <c r="V63245" s="8"/>
      <c r="W63245" s="8"/>
      <c r="X63245" s="8"/>
      <c r="Y63245" s="8"/>
      <c r="Z63245" s="8"/>
      <c r="AA63245" s="8"/>
    </row>
    <row r="63246" spans="1:27" x14ac:dyDescent="0.25">
      <c r="A63246" s="8"/>
      <c r="B63246" s="8"/>
      <c r="C63246" s="99"/>
      <c r="D63246" s="8"/>
      <c r="E63246" s="8"/>
      <c r="F63246" s="8"/>
      <c r="G63246" s="8"/>
      <c r="H63246" s="8"/>
      <c r="I63246" s="102"/>
      <c r="J63246" s="8"/>
      <c r="K63246" s="8"/>
      <c r="L63246" s="8"/>
      <c r="M63246" s="8"/>
      <c r="N63246" s="8"/>
      <c r="O63246" s="8"/>
      <c r="P63246" s="8"/>
      <c r="Q63246" s="8"/>
      <c r="R63246" s="103"/>
      <c r="S63246" s="8"/>
      <c r="T63246" s="8"/>
      <c r="U63246" s="8"/>
      <c r="V63246" s="8"/>
      <c r="W63246" s="8"/>
      <c r="X63246" s="8"/>
      <c r="Y63246" s="8"/>
      <c r="Z63246" s="8"/>
      <c r="AA63246" s="8"/>
    </row>
    <row r="63247" spans="1:27" x14ac:dyDescent="0.25">
      <c r="A63247" s="8"/>
      <c r="B63247" s="8"/>
      <c r="C63247" s="99"/>
      <c r="D63247" s="8"/>
      <c r="E63247" s="8"/>
      <c r="F63247" s="8"/>
      <c r="G63247" s="8"/>
      <c r="H63247" s="8"/>
      <c r="I63247" s="102"/>
      <c r="J63247" s="8"/>
      <c r="K63247" s="8"/>
      <c r="L63247" s="8"/>
      <c r="M63247" s="8"/>
      <c r="N63247" s="8"/>
      <c r="O63247" s="8"/>
      <c r="P63247" s="8"/>
      <c r="Q63247" s="8"/>
      <c r="R63247" s="103"/>
      <c r="S63247" s="8"/>
      <c r="T63247" s="8"/>
      <c r="U63247" s="8"/>
      <c r="V63247" s="8"/>
      <c r="W63247" s="8"/>
      <c r="X63247" s="8"/>
      <c r="Y63247" s="8"/>
      <c r="Z63247" s="8"/>
      <c r="AA63247" s="8"/>
    </row>
    <row r="63248" spans="1:27" x14ac:dyDescent="0.25">
      <c r="A63248" s="8"/>
      <c r="B63248" s="8"/>
      <c r="C63248" s="99"/>
      <c r="D63248" s="8"/>
      <c r="E63248" s="8"/>
      <c r="F63248" s="8"/>
      <c r="G63248" s="8"/>
      <c r="H63248" s="8"/>
      <c r="I63248" s="102"/>
      <c r="J63248" s="8"/>
      <c r="K63248" s="8"/>
      <c r="L63248" s="8"/>
      <c r="M63248" s="8"/>
      <c r="N63248" s="8"/>
      <c r="O63248" s="8"/>
      <c r="P63248" s="8"/>
      <c r="Q63248" s="8"/>
      <c r="R63248" s="103"/>
      <c r="S63248" s="8"/>
      <c r="T63248" s="8"/>
      <c r="U63248" s="8"/>
      <c r="V63248" s="8"/>
      <c r="W63248" s="8"/>
      <c r="X63248" s="8"/>
      <c r="Y63248" s="8"/>
      <c r="Z63248" s="8"/>
      <c r="AA63248" s="8"/>
    </row>
    <row r="63249" spans="1:27" x14ac:dyDescent="0.25">
      <c r="A63249" s="8"/>
      <c r="B63249" s="8"/>
      <c r="C63249" s="99"/>
      <c r="D63249" s="8"/>
      <c r="E63249" s="8"/>
      <c r="F63249" s="8"/>
      <c r="G63249" s="8"/>
      <c r="H63249" s="8"/>
      <c r="I63249" s="102"/>
      <c r="J63249" s="8"/>
      <c r="K63249" s="8"/>
      <c r="L63249" s="8"/>
      <c r="M63249" s="8"/>
      <c r="N63249" s="8"/>
      <c r="O63249" s="8"/>
      <c r="P63249" s="8"/>
      <c r="Q63249" s="8"/>
      <c r="R63249" s="103"/>
      <c r="S63249" s="8"/>
      <c r="T63249" s="8"/>
      <c r="U63249" s="8"/>
      <c r="V63249" s="8"/>
      <c r="W63249" s="8"/>
      <c r="X63249" s="8"/>
      <c r="Y63249" s="8"/>
      <c r="Z63249" s="8"/>
      <c r="AA63249" s="8"/>
    </row>
    <row r="63250" spans="1:27" x14ac:dyDescent="0.25">
      <c r="A63250" s="8"/>
      <c r="B63250" s="8"/>
      <c r="C63250" s="99"/>
      <c r="D63250" s="8"/>
      <c r="E63250" s="8"/>
      <c r="F63250" s="8"/>
      <c r="G63250" s="8"/>
      <c r="H63250" s="8"/>
      <c r="I63250" s="102"/>
      <c r="J63250" s="8"/>
      <c r="K63250" s="8"/>
      <c r="L63250" s="8"/>
      <c r="M63250" s="8"/>
      <c r="N63250" s="8"/>
      <c r="O63250" s="8"/>
      <c r="P63250" s="8"/>
      <c r="Q63250" s="8"/>
      <c r="R63250" s="103"/>
      <c r="S63250" s="8"/>
      <c r="T63250" s="8"/>
      <c r="U63250" s="8"/>
      <c r="V63250" s="8"/>
      <c r="W63250" s="8"/>
      <c r="X63250" s="8"/>
      <c r="Y63250" s="8"/>
      <c r="Z63250" s="8"/>
      <c r="AA63250" s="8"/>
    </row>
    <row r="63251" spans="1:27" x14ac:dyDescent="0.25">
      <c r="A63251" s="8"/>
      <c r="B63251" s="8"/>
      <c r="C63251" s="99"/>
      <c r="D63251" s="8"/>
      <c r="E63251" s="8"/>
      <c r="F63251" s="8"/>
      <c r="G63251" s="8"/>
      <c r="H63251" s="8"/>
      <c r="I63251" s="102"/>
      <c r="J63251" s="8"/>
      <c r="K63251" s="8"/>
      <c r="L63251" s="8"/>
      <c r="M63251" s="8"/>
      <c r="N63251" s="8"/>
      <c r="O63251" s="8"/>
      <c r="P63251" s="8"/>
      <c r="Q63251" s="8"/>
      <c r="R63251" s="103"/>
      <c r="S63251" s="8"/>
      <c r="T63251" s="8"/>
      <c r="U63251" s="8"/>
      <c r="V63251" s="8"/>
      <c r="W63251" s="8"/>
      <c r="X63251" s="8"/>
      <c r="Y63251" s="8"/>
      <c r="Z63251" s="8"/>
      <c r="AA63251" s="8"/>
    </row>
    <row r="63252" spans="1:27" x14ac:dyDescent="0.25">
      <c r="A63252" s="8"/>
      <c r="B63252" s="8"/>
      <c r="C63252" s="99"/>
      <c r="D63252" s="8"/>
      <c r="E63252" s="8"/>
      <c r="F63252" s="8"/>
      <c r="G63252" s="8"/>
      <c r="H63252" s="8"/>
      <c r="I63252" s="102"/>
      <c r="J63252" s="8"/>
      <c r="K63252" s="8"/>
      <c r="L63252" s="8"/>
      <c r="M63252" s="8"/>
      <c r="N63252" s="8"/>
      <c r="O63252" s="8"/>
      <c r="P63252" s="8"/>
      <c r="Q63252" s="8"/>
      <c r="R63252" s="103"/>
      <c r="S63252" s="8"/>
      <c r="T63252" s="8"/>
      <c r="U63252" s="8"/>
      <c r="V63252" s="8"/>
      <c r="W63252" s="8"/>
      <c r="X63252" s="8"/>
      <c r="Y63252" s="8"/>
      <c r="Z63252" s="8"/>
      <c r="AA63252" s="8"/>
    </row>
    <row r="63253" spans="1:27" x14ac:dyDescent="0.25">
      <c r="A63253" s="8"/>
      <c r="B63253" s="8"/>
      <c r="C63253" s="99"/>
      <c r="D63253" s="8"/>
      <c r="E63253" s="8"/>
      <c r="F63253" s="8"/>
      <c r="G63253" s="8"/>
      <c r="H63253" s="8"/>
      <c r="I63253" s="102"/>
      <c r="J63253" s="8"/>
      <c r="K63253" s="8"/>
      <c r="L63253" s="8"/>
      <c r="M63253" s="8"/>
      <c r="N63253" s="8"/>
      <c r="O63253" s="8"/>
      <c r="P63253" s="8"/>
      <c r="Q63253" s="8"/>
      <c r="R63253" s="103"/>
      <c r="S63253" s="8"/>
      <c r="T63253" s="8"/>
      <c r="U63253" s="8"/>
      <c r="V63253" s="8"/>
      <c r="W63253" s="8"/>
      <c r="X63253" s="8"/>
      <c r="Y63253" s="8"/>
      <c r="Z63253" s="8"/>
      <c r="AA63253" s="8"/>
    </row>
    <row r="63254" spans="1:27" x14ac:dyDescent="0.25">
      <c r="A63254" s="8"/>
      <c r="B63254" s="8"/>
      <c r="C63254" s="99"/>
      <c r="D63254" s="8"/>
      <c r="E63254" s="8"/>
      <c r="F63254" s="8"/>
      <c r="G63254" s="8"/>
      <c r="H63254" s="8"/>
      <c r="I63254" s="102"/>
      <c r="J63254" s="8"/>
      <c r="K63254" s="8"/>
      <c r="L63254" s="8"/>
      <c r="M63254" s="8"/>
      <c r="N63254" s="8"/>
      <c r="O63254" s="8"/>
      <c r="P63254" s="8"/>
      <c r="Q63254" s="8"/>
      <c r="R63254" s="103"/>
      <c r="S63254" s="8"/>
      <c r="T63254" s="8"/>
      <c r="U63254" s="8"/>
      <c r="V63254" s="8"/>
      <c r="W63254" s="8"/>
      <c r="X63254" s="8"/>
      <c r="Y63254" s="8"/>
      <c r="Z63254" s="8"/>
      <c r="AA63254" s="8"/>
    </row>
    <row r="63255" spans="1:27" x14ac:dyDescent="0.25">
      <c r="A63255" s="8"/>
      <c r="B63255" s="8"/>
      <c r="C63255" s="99"/>
      <c r="D63255" s="8"/>
      <c r="E63255" s="8"/>
      <c r="F63255" s="8"/>
      <c r="G63255" s="8"/>
      <c r="H63255" s="8"/>
      <c r="I63255" s="102"/>
      <c r="J63255" s="8"/>
      <c r="K63255" s="8"/>
      <c r="L63255" s="8"/>
      <c r="M63255" s="8"/>
      <c r="N63255" s="8"/>
      <c r="O63255" s="8"/>
      <c r="P63255" s="8"/>
      <c r="Q63255" s="8"/>
      <c r="R63255" s="103"/>
      <c r="S63255" s="8"/>
      <c r="T63255" s="8"/>
      <c r="U63255" s="8"/>
      <c r="V63255" s="8"/>
      <c r="W63255" s="8"/>
      <c r="X63255" s="8"/>
      <c r="Y63255" s="8"/>
      <c r="Z63255" s="8"/>
      <c r="AA63255" s="8"/>
    </row>
    <row r="63256" spans="1:27" x14ac:dyDescent="0.25">
      <c r="A63256" s="8"/>
      <c r="B63256" s="8"/>
      <c r="C63256" s="99"/>
      <c r="D63256" s="8"/>
      <c r="E63256" s="8"/>
      <c r="F63256" s="8"/>
      <c r="G63256" s="8"/>
      <c r="H63256" s="8"/>
      <c r="I63256" s="102"/>
      <c r="J63256" s="8"/>
      <c r="K63256" s="8"/>
      <c r="L63256" s="8"/>
      <c r="M63256" s="8"/>
      <c r="N63256" s="8"/>
      <c r="O63256" s="8"/>
      <c r="P63256" s="8"/>
      <c r="Q63256" s="8"/>
      <c r="R63256" s="103"/>
      <c r="S63256" s="8"/>
      <c r="T63256" s="8"/>
      <c r="U63256" s="8"/>
      <c r="V63256" s="8"/>
      <c r="W63256" s="8"/>
      <c r="X63256" s="8"/>
      <c r="Y63256" s="8"/>
      <c r="Z63256" s="8"/>
      <c r="AA63256" s="8"/>
    </row>
    <row r="63257" spans="1:27" x14ac:dyDescent="0.25">
      <c r="A63257" s="8"/>
      <c r="B63257" s="8"/>
      <c r="C63257" s="99"/>
      <c r="D63257" s="8"/>
      <c r="E63257" s="8"/>
      <c r="F63257" s="8"/>
      <c r="G63257" s="8"/>
      <c r="H63257" s="8"/>
      <c r="I63257" s="102"/>
      <c r="J63257" s="8"/>
      <c r="K63257" s="8"/>
      <c r="L63257" s="8"/>
      <c r="M63257" s="8"/>
      <c r="N63257" s="8"/>
      <c r="O63257" s="8"/>
      <c r="P63257" s="8"/>
      <c r="Q63257" s="8"/>
      <c r="R63257" s="103"/>
      <c r="S63257" s="8"/>
      <c r="T63257" s="8"/>
      <c r="U63257" s="8"/>
      <c r="V63257" s="8"/>
      <c r="W63257" s="8"/>
      <c r="X63257" s="8"/>
      <c r="Y63257" s="8"/>
      <c r="Z63257" s="8"/>
      <c r="AA63257" s="8"/>
    </row>
    <row r="63258" spans="1:27" x14ac:dyDescent="0.25">
      <c r="A63258" s="8"/>
      <c r="B63258" s="8"/>
      <c r="C63258" s="99"/>
      <c r="D63258" s="8"/>
      <c r="E63258" s="8"/>
      <c r="F63258" s="8"/>
      <c r="G63258" s="8"/>
      <c r="H63258" s="8"/>
      <c r="I63258" s="102"/>
      <c r="J63258" s="8"/>
      <c r="K63258" s="8"/>
      <c r="L63258" s="8"/>
      <c r="M63258" s="8"/>
      <c r="N63258" s="8"/>
      <c r="O63258" s="8"/>
      <c r="P63258" s="8"/>
      <c r="Q63258" s="8"/>
      <c r="R63258" s="103"/>
      <c r="S63258" s="8"/>
      <c r="T63258" s="8"/>
      <c r="U63258" s="8"/>
      <c r="V63258" s="8"/>
      <c r="W63258" s="8"/>
      <c r="X63258" s="8"/>
      <c r="Y63258" s="8"/>
      <c r="Z63258" s="8"/>
      <c r="AA63258" s="8"/>
    </row>
    <row r="63259" spans="1:27" x14ac:dyDescent="0.25">
      <c r="A63259" s="8"/>
      <c r="B63259" s="8"/>
      <c r="C63259" s="99"/>
      <c r="D63259" s="8"/>
      <c r="E63259" s="8"/>
      <c r="F63259" s="8"/>
      <c r="G63259" s="8"/>
      <c r="H63259" s="8"/>
      <c r="I63259" s="102"/>
      <c r="J63259" s="8"/>
      <c r="K63259" s="8"/>
      <c r="L63259" s="8"/>
      <c r="M63259" s="8"/>
      <c r="N63259" s="8"/>
      <c r="O63259" s="8"/>
      <c r="P63259" s="8"/>
      <c r="Q63259" s="8"/>
      <c r="R63259" s="103"/>
      <c r="S63259" s="8"/>
      <c r="T63259" s="8"/>
      <c r="U63259" s="8"/>
      <c r="V63259" s="8"/>
      <c r="W63259" s="8"/>
      <c r="X63259" s="8"/>
      <c r="Y63259" s="8"/>
      <c r="Z63259" s="8"/>
      <c r="AA63259" s="8"/>
    </row>
    <row r="63260" spans="1:27" x14ac:dyDescent="0.25">
      <c r="A63260" s="8"/>
      <c r="B63260" s="8"/>
      <c r="C63260" s="99"/>
      <c r="D63260" s="8"/>
      <c r="E63260" s="8"/>
      <c r="F63260" s="8"/>
      <c r="G63260" s="8"/>
      <c r="H63260" s="8"/>
      <c r="I63260" s="102"/>
      <c r="J63260" s="8"/>
      <c r="K63260" s="8"/>
      <c r="L63260" s="8"/>
      <c r="M63260" s="8"/>
      <c r="N63260" s="8"/>
      <c r="O63260" s="8"/>
      <c r="P63260" s="8"/>
      <c r="Q63260" s="8"/>
      <c r="R63260" s="103"/>
      <c r="S63260" s="8"/>
      <c r="T63260" s="8"/>
      <c r="U63260" s="8"/>
      <c r="V63260" s="8"/>
      <c r="W63260" s="8"/>
      <c r="X63260" s="8"/>
      <c r="Y63260" s="8"/>
      <c r="Z63260" s="8"/>
      <c r="AA63260" s="8"/>
    </row>
    <row r="63261" spans="1:27" x14ac:dyDescent="0.25">
      <c r="A63261" s="8"/>
      <c r="B63261" s="8"/>
      <c r="C63261" s="99"/>
      <c r="D63261" s="8"/>
      <c r="E63261" s="8"/>
      <c r="F63261" s="8"/>
      <c r="G63261" s="8"/>
      <c r="H63261" s="8"/>
      <c r="I63261" s="102"/>
      <c r="J63261" s="8"/>
      <c r="K63261" s="8"/>
      <c r="L63261" s="8"/>
      <c r="M63261" s="8"/>
      <c r="N63261" s="8"/>
      <c r="O63261" s="8"/>
      <c r="P63261" s="8"/>
      <c r="Q63261" s="8"/>
      <c r="R63261" s="103"/>
      <c r="S63261" s="8"/>
      <c r="T63261" s="8"/>
      <c r="U63261" s="8"/>
      <c r="V63261" s="8"/>
      <c r="W63261" s="8"/>
      <c r="X63261" s="8"/>
      <c r="Y63261" s="8"/>
      <c r="Z63261" s="8"/>
      <c r="AA63261" s="8"/>
    </row>
    <row r="63262" spans="1:27" x14ac:dyDescent="0.25">
      <c r="A63262" s="8"/>
      <c r="B63262" s="8"/>
      <c r="C63262" s="99"/>
      <c r="D63262" s="8"/>
      <c r="E63262" s="8"/>
      <c r="F63262" s="8"/>
      <c r="G63262" s="8"/>
      <c r="H63262" s="8"/>
      <c r="I63262" s="102"/>
      <c r="J63262" s="8"/>
      <c r="K63262" s="8"/>
      <c r="L63262" s="8"/>
      <c r="M63262" s="8"/>
      <c r="N63262" s="8"/>
      <c r="O63262" s="8"/>
      <c r="P63262" s="8"/>
      <c r="Q63262" s="8"/>
      <c r="R63262" s="103"/>
      <c r="S63262" s="8"/>
      <c r="T63262" s="8"/>
      <c r="U63262" s="8"/>
      <c r="V63262" s="8"/>
      <c r="W63262" s="8"/>
      <c r="X63262" s="8"/>
      <c r="Y63262" s="8"/>
      <c r="Z63262" s="8"/>
      <c r="AA63262" s="8"/>
    </row>
    <row r="63263" spans="1:27" x14ac:dyDescent="0.25">
      <c r="A63263" s="8"/>
      <c r="B63263" s="8"/>
      <c r="C63263" s="99"/>
      <c r="D63263" s="8"/>
      <c r="E63263" s="8"/>
      <c r="F63263" s="8"/>
      <c r="G63263" s="8"/>
      <c r="H63263" s="8"/>
      <c r="I63263" s="102"/>
      <c r="J63263" s="8"/>
      <c r="K63263" s="8"/>
      <c r="L63263" s="8"/>
      <c r="M63263" s="8"/>
      <c r="N63263" s="8"/>
      <c r="O63263" s="8"/>
      <c r="P63263" s="8"/>
      <c r="Q63263" s="8"/>
      <c r="R63263" s="103"/>
      <c r="S63263" s="8"/>
      <c r="T63263" s="8"/>
      <c r="U63263" s="8"/>
      <c r="V63263" s="8"/>
      <c r="W63263" s="8"/>
      <c r="X63263" s="8"/>
      <c r="Y63263" s="8"/>
      <c r="Z63263" s="8"/>
      <c r="AA63263" s="8"/>
    </row>
    <row r="63264" spans="1:27" x14ac:dyDescent="0.25">
      <c r="A63264" s="8"/>
      <c r="B63264" s="8"/>
      <c r="C63264" s="99"/>
      <c r="D63264" s="8"/>
      <c r="E63264" s="8"/>
      <c r="F63264" s="8"/>
      <c r="G63264" s="8"/>
      <c r="H63264" s="8"/>
      <c r="I63264" s="102"/>
      <c r="J63264" s="8"/>
      <c r="K63264" s="8"/>
      <c r="L63264" s="8"/>
      <c r="M63264" s="8"/>
      <c r="N63264" s="8"/>
      <c r="O63264" s="8"/>
      <c r="P63264" s="8"/>
      <c r="Q63264" s="8"/>
      <c r="R63264" s="103"/>
      <c r="S63264" s="8"/>
      <c r="T63264" s="8"/>
      <c r="U63264" s="8"/>
      <c r="V63264" s="8"/>
      <c r="W63264" s="8"/>
      <c r="X63264" s="8"/>
      <c r="Y63264" s="8"/>
      <c r="Z63264" s="8"/>
      <c r="AA63264" s="8"/>
    </row>
    <row r="63265" spans="1:27" x14ac:dyDescent="0.25">
      <c r="A63265" s="8"/>
      <c r="B63265" s="8"/>
      <c r="C63265" s="99"/>
      <c r="D63265" s="8"/>
      <c r="E63265" s="8"/>
      <c r="F63265" s="8"/>
      <c r="G63265" s="8"/>
      <c r="H63265" s="8"/>
      <c r="I63265" s="102"/>
      <c r="J63265" s="8"/>
      <c r="K63265" s="8"/>
      <c r="L63265" s="8"/>
      <c r="M63265" s="8"/>
      <c r="N63265" s="8"/>
      <c r="O63265" s="8"/>
      <c r="P63265" s="8"/>
      <c r="Q63265" s="8"/>
      <c r="R63265" s="103"/>
      <c r="S63265" s="8"/>
      <c r="T63265" s="8"/>
      <c r="U63265" s="8"/>
      <c r="V63265" s="8"/>
      <c r="W63265" s="8"/>
      <c r="X63265" s="8"/>
      <c r="Y63265" s="8"/>
      <c r="Z63265" s="8"/>
      <c r="AA63265" s="8"/>
    </row>
    <row r="63266" spans="1:27" x14ac:dyDescent="0.25">
      <c r="A63266" s="8"/>
      <c r="B63266" s="8"/>
      <c r="C63266" s="99"/>
      <c r="D63266" s="8"/>
      <c r="E63266" s="8"/>
      <c r="F63266" s="8"/>
      <c r="G63266" s="8"/>
      <c r="H63266" s="8"/>
      <c r="I63266" s="102"/>
      <c r="J63266" s="8"/>
      <c r="K63266" s="8"/>
      <c r="L63266" s="8"/>
      <c r="M63266" s="8"/>
      <c r="N63266" s="8"/>
      <c r="O63266" s="8"/>
      <c r="P63266" s="8"/>
      <c r="Q63266" s="8"/>
      <c r="R63266" s="103"/>
      <c r="S63266" s="8"/>
      <c r="T63266" s="8"/>
      <c r="U63266" s="8"/>
      <c r="V63266" s="8"/>
      <c r="W63266" s="8"/>
      <c r="X63266" s="8"/>
      <c r="Y63266" s="8"/>
      <c r="Z63266" s="8"/>
      <c r="AA63266" s="8"/>
    </row>
    <row r="63267" spans="1:27" x14ac:dyDescent="0.25">
      <c r="A63267" s="8"/>
      <c r="B63267" s="8"/>
      <c r="C63267" s="99"/>
      <c r="D63267" s="8"/>
      <c r="E63267" s="8"/>
      <c r="F63267" s="8"/>
      <c r="G63267" s="8"/>
      <c r="H63267" s="8"/>
      <c r="I63267" s="102"/>
      <c r="J63267" s="8"/>
      <c r="K63267" s="8"/>
      <c r="L63267" s="8"/>
      <c r="M63267" s="8"/>
      <c r="N63267" s="8"/>
      <c r="O63267" s="8"/>
      <c r="P63267" s="8"/>
      <c r="Q63267" s="8"/>
      <c r="R63267" s="103"/>
      <c r="S63267" s="8"/>
      <c r="T63267" s="8"/>
      <c r="U63267" s="8"/>
      <c r="V63267" s="8"/>
      <c r="W63267" s="8"/>
      <c r="X63267" s="8"/>
      <c r="Y63267" s="8"/>
      <c r="Z63267" s="8"/>
      <c r="AA63267" s="8"/>
    </row>
    <row r="63268" spans="1:27" x14ac:dyDescent="0.25">
      <c r="A63268" s="8"/>
      <c r="B63268" s="8"/>
      <c r="C63268" s="99"/>
      <c r="D63268" s="8"/>
      <c r="E63268" s="8"/>
      <c r="F63268" s="8"/>
      <c r="G63268" s="8"/>
      <c r="H63268" s="8"/>
      <c r="I63268" s="102"/>
      <c r="J63268" s="8"/>
      <c r="K63268" s="8"/>
      <c r="L63268" s="8"/>
      <c r="M63268" s="8"/>
      <c r="N63268" s="8"/>
      <c r="O63268" s="8"/>
      <c r="P63268" s="8"/>
      <c r="Q63268" s="8"/>
      <c r="R63268" s="103"/>
      <c r="S63268" s="8"/>
      <c r="T63268" s="8"/>
      <c r="U63268" s="8"/>
      <c r="V63268" s="8"/>
      <c r="W63268" s="8"/>
      <c r="X63268" s="8"/>
      <c r="Y63268" s="8"/>
      <c r="Z63268" s="8"/>
      <c r="AA63268" s="8"/>
    </row>
    <row r="63269" spans="1:27" x14ac:dyDescent="0.25">
      <c r="A63269" s="8"/>
      <c r="B63269" s="8"/>
      <c r="C63269" s="99"/>
      <c r="D63269" s="8"/>
      <c r="E63269" s="8"/>
      <c r="F63269" s="8"/>
      <c r="G63269" s="8"/>
      <c r="H63269" s="8"/>
      <c r="I63269" s="102"/>
      <c r="J63269" s="8"/>
      <c r="K63269" s="8"/>
      <c r="L63269" s="8"/>
      <c r="M63269" s="8"/>
      <c r="N63269" s="8"/>
      <c r="O63269" s="8"/>
      <c r="P63269" s="8"/>
      <c r="Q63269" s="8"/>
      <c r="R63269" s="103"/>
      <c r="S63269" s="8"/>
      <c r="T63269" s="8"/>
      <c r="U63269" s="8"/>
      <c r="V63269" s="8"/>
      <c r="W63269" s="8"/>
      <c r="X63269" s="8"/>
      <c r="Y63269" s="8"/>
      <c r="Z63269" s="8"/>
      <c r="AA63269" s="8"/>
    </row>
    <row r="63270" spans="1:27" x14ac:dyDescent="0.25">
      <c r="A63270" s="8"/>
      <c r="B63270" s="8"/>
      <c r="C63270" s="99"/>
      <c r="D63270" s="8"/>
      <c r="E63270" s="8"/>
      <c r="F63270" s="8"/>
      <c r="G63270" s="8"/>
      <c r="H63270" s="8"/>
      <c r="I63270" s="102"/>
      <c r="J63270" s="8"/>
      <c r="K63270" s="8"/>
      <c r="L63270" s="8"/>
      <c r="M63270" s="8"/>
      <c r="N63270" s="8"/>
      <c r="O63270" s="8"/>
      <c r="P63270" s="8"/>
      <c r="Q63270" s="8"/>
      <c r="R63270" s="103"/>
      <c r="S63270" s="8"/>
      <c r="T63270" s="8"/>
      <c r="U63270" s="8"/>
      <c r="V63270" s="8"/>
      <c r="W63270" s="8"/>
      <c r="X63270" s="8"/>
      <c r="Y63270" s="8"/>
      <c r="Z63270" s="8"/>
      <c r="AA63270" s="8"/>
    </row>
    <row r="63271" spans="1:27" x14ac:dyDescent="0.25">
      <c r="A63271" s="8"/>
      <c r="B63271" s="8"/>
      <c r="C63271" s="99"/>
      <c r="D63271" s="8"/>
      <c r="E63271" s="8"/>
      <c r="F63271" s="8"/>
      <c r="G63271" s="8"/>
      <c r="H63271" s="8"/>
      <c r="I63271" s="102"/>
      <c r="J63271" s="8"/>
      <c r="K63271" s="8"/>
      <c r="L63271" s="8"/>
      <c r="M63271" s="8"/>
      <c r="N63271" s="8"/>
      <c r="O63271" s="8"/>
      <c r="P63271" s="8"/>
      <c r="Q63271" s="8"/>
      <c r="R63271" s="103"/>
      <c r="S63271" s="8"/>
      <c r="T63271" s="8"/>
      <c r="U63271" s="8"/>
      <c r="V63271" s="8"/>
      <c r="W63271" s="8"/>
      <c r="X63271" s="8"/>
      <c r="Y63271" s="8"/>
      <c r="Z63271" s="8"/>
      <c r="AA63271" s="8"/>
    </row>
    <row r="63272" spans="1:27" x14ac:dyDescent="0.25">
      <c r="A63272" s="8"/>
      <c r="B63272" s="8"/>
      <c r="C63272" s="99"/>
      <c r="D63272" s="8"/>
      <c r="E63272" s="8"/>
      <c r="F63272" s="8"/>
      <c r="G63272" s="8"/>
      <c r="H63272" s="8"/>
      <c r="I63272" s="102"/>
      <c r="J63272" s="8"/>
      <c r="K63272" s="8"/>
      <c r="L63272" s="8"/>
      <c r="M63272" s="8"/>
      <c r="N63272" s="8"/>
      <c r="O63272" s="8"/>
      <c r="P63272" s="8"/>
      <c r="Q63272" s="8"/>
      <c r="R63272" s="103"/>
      <c r="S63272" s="8"/>
      <c r="T63272" s="8"/>
      <c r="U63272" s="8"/>
      <c r="V63272" s="8"/>
      <c r="W63272" s="8"/>
      <c r="X63272" s="8"/>
      <c r="Y63272" s="8"/>
      <c r="Z63272" s="8"/>
      <c r="AA63272" s="8"/>
    </row>
    <row r="63273" spans="1:27" x14ac:dyDescent="0.25">
      <c r="A63273" s="8"/>
      <c r="B63273" s="8"/>
      <c r="C63273" s="99"/>
      <c r="D63273" s="8"/>
      <c r="E63273" s="8"/>
      <c r="F63273" s="8"/>
      <c r="G63273" s="8"/>
      <c r="H63273" s="8"/>
      <c r="I63273" s="102"/>
      <c r="J63273" s="8"/>
      <c r="K63273" s="8"/>
      <c r="L63273" s="8"/>
      <c r="M63273" s="8"/>
      <c r="N63273" s="8"/>
      <c r="O63273" s="8"/>
      <c r="P63273" s="8"/>
      <c r="Q63273" s="8"/>
      <c r="R63273" s="103"/>
      <c r="S63273" s="8"/>
      <c r="T63273" s="8"/>
      <c r="U63273" s="8"/>
      <c r="V63273" s="8"/>
      <c r="W63273" s="8"/>
      <c r="X63273" s="8"/>
      <c r="Y63273" s="8"/>
      <c r="Z63273" s="8"/>
      <c r="AA63273" s="8"/>
    </row>
    <row r="63274" spans="1:27" x14ac:dyDescent="0.25">
      <c r="A63274" s="8"/>
      <c r="B63274" s="8"/>
      <c r="C63274" s="99"/>
      <c r="D63274" s="8"/>
      <c r="E63274" s="8"/>
      <c r="F63274" s="8"/>
      <c r="G63274" s="8"/>
      <c r="H63274" s="8"/>
      <c r="I63274" s="102"/>
      <c r="J63274" s="8"/>
      <c r="K63274" s="8"/>
      <c r="L63274" s="8"/>
      <c r="M63274" s="8"/>
      <c r="N63274" s="8"/>
      <c r="O63274" s="8"/>
      <c r="P63274" s="8"/>
      <c r="Q63274" s="8"/>
      <c r="R63274" s="103"/>
      <c r="S63274" s="8"/>
      <c r="T63274" s="8"/>
      <c r="U63274" s="8"/>
      <c r="V63274" s="8"/>
      <c r="W63274" s="8"/>
      <c r="X63274" s="8"/>
      <c r="Y63274" s="8"/>
      <c r="Z63274" s="8"/>
      <c r="AA63274" s="8"/>
    </row>
    <row r="63275" spans="1:27" x14ac:dyDescent="0.25">
      <c r="A63275" s="8"/>
      <c r="B63275" s="8"/>
      <c r="C63275" s="99"/>
      <c r="D63275" s="8"/>
      <c r="E63275" s="8"/>
      <c r="F63275" s="8"/>
      <c r="G63275" s="8"/>
      <c r="H63275" s="8"/>
      <c r="I63275" s="102"/>
      <c r="J63275" s="8"/>
      <c r="K63275" s="8"/>
      <c r="L63275" s="8"/>
      <c r="M63275" s="8"/>
      <c r="N63275" s="8"/>
      <c r="O63275" s="8"/>
      <c r="P63275" s="8"/>
      <c r="Q63275" s="8"/>
      <c r="R63275" s="103"/>
      <c r="S63275" s="8"/>
      <c r="T63275" s="8"/>
      <c r="U63275" s="8"/>
      <c r="V63275" s="8"/>
      <c r="W63275" s="8"/>
      <c r="X63275" s="8"/>
      <c r="Y63275" s="8"/>
      <c r="Z63275" s="8"/>
      <c r="AA63275" s="8"/>
    </row>
    <row r="63276" spans="1:27" x14ac:dyDescent="0.25">
      <c r="A63276" s="8"/>
      <c r="B63276" s="8"/>
      <c r="C63276" s="99"/>
      <c r="D63276" s="8"/>
      <c r="E63276" s="8"/>
      <c r="F63276" s="8"/>
      <c r="G63276" s="8"/>
      <c r="H63276" s="8"/>
      <c r="I63276" s="102"/>
      <c r="J63276" s="8"/>
      <c r="K63276" s="8"/>
      <c r="L63276" s="8"/>
      <c r="M63276" s="8"/>
      <c r="N63276" s="8"/>
      <c r="O63276" s="8"/>
      <c r="P63276" s="8"/>
      <c r="Q63276" s="8"/>
      <c r="R63276" s="103"/>
      <c r="S63276" s="8"/>
      <c r="T63276" s="8"/>
      <c r="U63276" s="8"/>
      <c r="V63276" s="8"/>
      <c r="W63276" s="8"/>
      <c r="X63276" s="8"/>
      <c r="Y63276" s="8"/>
      <c r="Z63276" s="8"/>
      <c r="AA63276" s="8"/>
    </row>
    <row r="63277" spans="1:27" x14ac:dyDescent="0.25">
      <c r="A63277" s="8"/>
      <c r="B63277" s="8"/>
      <c r="C63277" s="99"/>
      <c r="D63277" s="8"/>
      <c r="E63277" s="8"/>
      <c r="F63277" s="8"/>
      <c r="G63277" s="8"/>
      <c r="H63277" s="8"/>
      <c r="I63277" s="102"/>
      <c r="J63277" s="8"/>
      <c r="K63277" s="8"/>
      <c r="L63277" s="8"/>
      <c r="M63277" s="8"/>
      <c r="N63277" s="8"/>
      <c r="O63277" s="8"/>
      <c r="P63277" s="8"/>
      <c r="Q63277" s="8"/>
      <c r="R63277" s="103"/>
      <c r="S63277" s="8"/>
      <c r="T63277" s="8"/>
      <c r="U63277" s="8"/>
      <c r="V63277" s="8"/>
      <c r="W63277" s="8"/>
      <c r="X63277" s="8"/>
      <c r="Y63277" s="8"/>
      <c r="Z63277" s="8"/>
      <c r="AA63277" s="8"/>
    </row>
    <row r="63278" spans="1:27" x14ac:dyDescent="0.25">
      <c r="A63278" s="8"/>
      <c r="B63278" s="8"/>
      <c r="C63278" s="99"/>
      <c r="D63278" s="8"/>
      <c r="E63278" s="8"/>
      <c r="F63278" s="8"/>
      <c r="G63278" s="8"/>
      <c r="H63278" s="8"/>
      <c r="I63278" s="102"/>
      <c r="J63278" s="8"/>
      <c r="K63278" s="8"/>
      <c r="L63278" s="8"/>
      <c r="M63278" s="8"/>
      <c r="N63278" s="8"/>
      <c r="O63278" s="8"/>
      <c r="P63278" s="8"/>
      <c r="Q63278" s="8"/>
      <c r="R63278" s="103"/>
      <c r="S63278" s="8"/>
      <c r="T63278" s="8"/>
      <c r="U63278" s="8"/>
      <c r="V63278" s="8"/>
      <c r="W63278" s="8"/>
      <c r="X63278" s="8"/>
      <c r="Y63278" s="8"/>
      <c r="Z63278" s="8"/>
      <c r="AA63278" s="8"/>
    </row>
    <row r="63279" spans="1:27" x14ac:dyDescent="0.25">
      <c r="A63279" s="8"/>
      <c r="B63279" s="8"/>
      <c r="C63279" s="99"/>
      <c r="D63279" s="8"/>
      <c r="E63279" s="8"/>
      <c r="F63279" s="8"/>
      <c r="G63279" s="8"/>
      <c r="H63279" s="8"/>
      <c r="I63279" s="102"/>
      <c r="J63279" s="8"/>
      <c r="K63279" s="8"/>
      <c r="L63279" s="8"/>
      <c r="M63279" s="8"/>
      <c r="N63279" s="8"/>
      <c r="O63279" s="8"/>
      <c r="P63279" s="8"/>
      <c r="Q63279" s="8"/>
      <c r="R63279" s="103"/>
      <c r="S63279" s="8"/>
      <c r="T63279" s="8"/>
      <c r="U63279" s="8"/>
      <c r="V63279" s="8"/>
      <c r="W63279" s="8"/>
      <c r="X63279" s="8"/>
      <c r="Y63279" s="8"/>
      <c r="Z63279" s="8"/>
      <c r="AA63279" s="8"/>
    </row>
    <row r="63280" spans="1:27" x14ac:dyDescent="0.25">
      <c r="A63280" s="8"/>
      <c r="B63280" s="8"/>
      <c r="C63280" s="99"/>
      <c r="D63280" s="8"/>
      <c r="E63280" s="8"/>
      <c r="F63280" s="8"/>
      <c r="G63280" s="8"/>
      <c r="H63280" s="8"/>
      <c r="I63280" s="102"/>
      <c r="J63280" s="8"/>
      <c r="K63280" s="8"/>
      <c r="L63280" s="8"/>
      <c r="M63280" s="8"/>
      <c r="N63280" s="8"/>
      <c r="O63280" s="8"/>
      <c r="P63280" s="8"/>
      <c r="Q63280" s="8"/>
      <c r="R63280" s="103"/>
      <c r="S63280" s="8"/>
      <c r="T63280" s="8"/>
      <c r="U63280" s="8"/>
      <c r="V63280" s="8"/>
      <c r="W63280" s="8"/>
      <c r="X63280" s="8"/>
      <c r="Y63280" s="8"/>
      <c r="Z63280" s="8"/>
      <c r="AA63280" s="8"/>
    </row>
    <row r="63281" spans="1:27" x14ac:dyDescent="0.25">
      <c r="A63281" s="8"/>
      <c r="B63281" s="8"/>
      <c r="C63281" s="99"/>
      <c r="D63281" s="8"/>
      <c r="E63281" s="8"/>
      <c r="F63281" s="8"/>
      <c r="G63281" s="8"/>
      <c r="H63281" s="8"/>
      <c r="I63281" s="102"/>
      <c r="J63281" s="8"/>
      <c r="K63281" s="8"/>
      <c r="L63281" s="8"/>
      <c r="M63281" s="8"/>
      <c r="N63281" s="8"/>
      <c r="O63281" s="8"/>
      <c r="P63281" s="8"/>
      <c r="Q63281" s="8"/>
      <c r="R63281" s="103"/>
      <c r="S63281" s="8"/>
      <c r="T63281" s="8"/>
      <c r="U63281" s="8"/>
      <c r="V63281" s="8"/>
      <c r="W63281" s="8"/>
      <c r="X63281" s="8"/>
      <c r="Y63281" s="8"/>
      <c r="Z63281" s="8"/>
      <c r="AA63281" s="8"/>
    </row>
    <row r="63282" spans="1:27" x14ac:dyDescent="0.25">
      <c r="A63282" s="8"/>
      <c r="B63282" s="8"/>
      <c r="C63282" s="99"/>
      <c r="D63282" s="8"/>
      <c r="E63282" s="8"/>
      <c r="F63282" s="8"/>
      <c r="G63282" s="8"/>
      <c r="H63282" s="8"/>
      <c r="I63282" s="102"/>
      <c r="J63282" s="8"/>
      <c r="K63282" s="8"/>
      <c r="L63282" s="8"/>
      <c r="M63282" s="8"/>
      <c r="N63282" s="8"/>
      <c r="O63282" s="8"/>
      <c r="P63282" s="8"/>
      <c r="Q63282" s="8"/>
      <c r="R63282" s="103"/>
      <c r="S63282" s="8"/>
      <c r="T63282" s="8"/>
      <c r="U63282" s="8"/>
      <c r="V63282" s="8"/>
      <c r="W63282" s="8"/>
      <c r="X63282" s="8"/>
      <c r="Y63282" s="8"/>
      <c r="Z63282" s="8"/>
      <c r="AA63282" s="8"/>
    </row>
    <row r="63283" spans="1:27" x14ac:dyDescent="0.25">
      <c r="A63283" s="8"/>
      <c r="B63283" s="8"/>
      <c r="C63283" s="99"/>
      <c r="D63283" s="8"/>
      <c r="E63283" s="8"/>
      <c r="F63283" s="8"/>
      <c r="G63283" s="8"/>
      <c r="H63283" s="8"/>
      <c r="I63283" s="102"/>
      <c r="J63283" s="8"/>
      <c r="K63283" s="8"/>
      <c r="L63283" s="8"/>
      <c r="M63283" s="8"/>
      <c r="N63283" s="8"/>
      <c r="O63283" s="8"/>
      <c r="P63283" s="8"/>
      <c r="Q63283" s="8"/>
      <c r="R63283" s="103"/>
      <c r="S63283" s="8"/>
      <c r="T63283" s="8"/>
      <c r="U63283" s="8"/>
      <c r="V63283" s="8"/>
      <c r="W63283" s="8"/>
      <c r="X63283" s="8"/>
      <c r="Y63283" s="8"/>
      <c r="Z63283" s="8"/>
      <c r="AA63283" s="8"/>
    </row>
    <row r="63284" spans="1:27" x14ac:dyDescent="0.25">
      <c r="A63284" s="8"/>
      <c r="B63284" s="8"/>
      <c r="C63284" s="99"/>
      <c r="D63284" s="8"/>
      <c r="E63284" s="8"/>
      <c r="F63284" s="8"/>
      <c r="G63284" s="8"/>
      <c r="H63284" s="8"/>
      <c r="I63284" s="102"/>
      <c r="J63284" s="8"/>
      <c r="K63284" s="8"/>
      <c r="L63284" s="8"/>
      <c r="M63284" s="8"/>
      <c r="N63284" s="8"/>
      <c r="O63284" s="8"/>
      <c r="P63284" s="8"/>
      <c r="Q63284" s="8"/>
      <c r="R63284" s="103"/>
      <c r="S63284" s="8"/>
      <c r="T63284" s="8"/>
      <c r="U63284" s="8"/>
      <c r="V63284" s="8"/>
      <c r="W63284" s="8"/>
      <c r="X63284" s="8"/>
      <c r="Y63284" s="8"/>
      <c r="Z63284" s="8"/>
      <c r="AA63284" s="8"/>
    </row>
    <row r="63285" spans="1:27" x14ac:dyDescent="0.25">
      <c r="A63285" s="8"/>
      <c r="B63285" s="8"/>
      <c r="C63285" s="99"/>
      <c r="D63285" s="8"/>
      <c r="E63285" s="8"/>
      <c r="F63285" s="8"/>
      <c r="G63285" s="8"/>
      <c r="H63285" s="8"/>
      <c r="I63285" s="102"/>
      <c r="J63285" s="8"/>
      <c r="K63285" s="8"/>
      <c r="L63285" s="8"/>
      <c r="M63285" s="8"/>
      <c r="N63285" s="8"/>
      <c r="O63285" s="8"/>
      <c r="P63285" s="8"/>
      <c r="Q63285" s="8"/>
      <c r="R63285" s="103"/>
      <c r="S63285" s="8"/>
      <c r="T63285" s="8"/>
      <c r="U63285" s="8"/>
      <c r="V63285" s="8"/>
      <c r="W63285" s="8"/>
      <c r="X63285" s="8"/>
      <c r="Y63285" s="8"/>
      <c r="Z63285" s="8"/>
      <c r="AA63285" s="8"/>
    </row>
    <row r="63286" spans="1:27" x14ac:dyDescent="0.25">
      <c r="A63286" s="8"/>
      <c r="B63286" s="8"/>
      <c r="C63286" s="99"/>
      <c r="D63286" s="8"/>
      <c r="E63286" s="8"/>
      <c r="F63286" s="8"/>
      <c r="G63286" s="8"/>
      <c r="H63286" s="8"/>
      <c r="I63286" s="102"/>
      <c r="J63286" s="8"/>
      <c r="K63286" s="8"/>
      <c r="L63286" s="8"/>
      <c r="M63286" s="8"/>
      <c r="N63286" s="8"/>
      <c r="O63286" s="8"/>
      <c r="P63286" s="8"/>
      <c r="Q63286" s="8"/>
      <c r="R63286" s="103"/>
      <c r="S63286" s="8"/>
      <c r="T63286" s="8"/>
      <c r="U63286" s="8"/>
      <c r="V63286" s="8"/>
      <c r="W63286" s="8"/>
      <c r="X63286" s="8"/>
      <c r="Y63286" s="8"/>
      <c r="Z63286" s="8"/>
      <c r="AA63286" s="8"/>
    </row>
    <row r="63287" spans="1:27" x14ac:dyDescent="0.25">
      <c r="A63287" s="8"/>
      <c r="B63287" s="8"/>
      <c r="C63287" s="99"/>
      <c r="D63287" s="8"/>
      <c r="E63287" s="8"/>
      <c r="F63287" s="8"/>
      <c r="G63287" s="8"/>
      <c r="H63287" s="8"/>
      <c r="I63287" s="102"/>
      <c r="J63287" s="8"/>
      <c r="K63287" s="8"/>
      <c r="L63287" s="8"/>
      <c r="M63287" s="8"/>
      <c r="N63287" s="8"/>
      <c r="O63287" s="8"/>
      <c r="P63287" s="8"/>
      <c r="Q63287" s="8"/>
      <c r="R63287" s="103"/>
      <c r="S63287" s="8"/>
      <c r="T63287" s="8"/>
      <c r="U63287" s="8"/>
      <c r="V63287" s="8"/>
      <c r="W63287" s="8"/>
      <c r="X63287" s="8"/>
      <c r="Y63287" s="8"/>
      <c r="Z63287" s="8"/>
      <c r="AA63287" s="8"/>
    </row>
    <row r="63288" spans="1:27" x14ac:dyDescent="0.25">
      <c r="A63288" s="8"/>
      <c r="B63288" s="8"/>
      <c r="C63288" s="99"/>
      <c r="D63288" s="8"/>
      <c r="E63288" s="8"/>
      <c r="F63288" s="8"/>
      <c r="G63288" s="8"/>
      <c r="H63288" s="8"/>
      <c r="I63288" s="102"/>
      <c r="J63288" s="8"/>
      <c r="K63288" s="8"/>
      <c r="L63288" s="8"/>
      <c r="M63288" s="8"/>
      <c r="N63288" s="8"/>
      <c r="O63288" s="8"/>
      <c r="P63288" s="8"/>
      <c r="Q63288" s="8"/>
      <c r="R63288" s="103"/>
      <c r="S63288" s="8"/>
      <c r="T63288" s="8"/>
      <c r="U63288" s="8"/>
      <c r="V63288" s="8"/>
      <c r="W63288" s="8"/>
      <c r="X63288" s="8"/>
      <c r="Y63288" s="8"/>
      <c r="Z63288" s="8"/>
      <c r="AA63288" s="8"/>
    </row>
    <row r="63289" spans="1:27" x14ac:dyDescent="0.25">
      <c r="A63289" s="8"/>
      <c r="B63289" s="8"/>
      <c r="C63289" s="99"/>
      <c r="D63289" s="8"/>
      <c r="E63289" s="8"/>
      <c r="F63289" s="8"/>
      <c r="G63289" s="8"/>
      <c r="H63289" s="8"/>
      <c r="I63289" s="102"/>
      <c r="J63289" s="8"/>
      <c r="K63289" s="8"/>
      <c r="L63289" s="8"/>
      <c r="M63289" s="8"/>
      <c r="N63289" s="8"/>
      <c r="O63289" s="8"/>
      <c r="P63289" s="8"/>
      <c r="Q63289" s="8"/>
      <c r="R63289" s="103"/>
      <c r="S63289" s="8"/>
      <c r="T63289" s="8"/>
      <c r="U63289" s="8"/>
      <c r="V63289" s="8"/>
      <c r="W63289" s="8"/>
      <c r="X63289" s="8"/>
      <c r="Y63289" s="8"/>
      <c r="Z63289" s="8"/>
      <c r="AA63289" s="8"/>
    </row>
    <row r="63290" spans="1:27" x14ac:dyDescent="0.25">
      <c r="A63290" s="8"/>
      <c r="B63290" s="8"/>
      <c r="C63290" s="99"/>
      <c r="D63290" s="8"/>
      <c r="E63290" s="8"/>
      <c r="F63290" s="8"/>
      <c r="G63290" s="8"/>
      <c r="H63290" s="8"/>
      <c r="I63290" s="102"/>
      <c r="J63290" s="8"/>
      <c r="K63290" s="8"/>
      <c r="L63290" s="8"/>
      <c r="M63290" s="8"/>
      <c r="N63290" s="8"/>
      <c r="O63290" s="8"/>
      <c r="P63290" s="8"/>
      <c r="Q63290" s="8"/>
      <c r="R63290" s="103"/>
      <c r="S63290" s="8"/>
      <c r="T63290" s="8"/>
      <c r="U63290" s="8"/>
      <c r="V63290" s="8"/>
      <c r="W63290" s="8"/>
      <c r="X63290" s="8"/>
      <c r="Y63290" s="8"/>
      <c r="Z63290" s="8"/>
      <c r="AA63290" s="8"/>
    </row>
    <row r="63291" spans="1:27" x14ac:dyDescent="0.25">
      <c r="A63291" s="8"/>
      <c r="B63291" s="8"/>
      <c r="C63291" s="99"/>
      <c r="D63291" s="8"/>
      <c r="E63291" s="8"/>
      <c r="F63291" s="8"/>
      <c r="G63291" s="8"/>
      <c r="H63291" s="8"/>
      <c r="I63291" s="102"/>
      <c r="J63291" s="8"/>
      <c r="K63291" s="8"/>
      <c r="L63291" s="8"/>
      <c r="M63291" s="8"/>
      <c r="N63291" s="8"/>
      <c r="O63291" s="8"/>
      <c r="P63291" s="8"/>
      <c r="Q63291" s="8"/>
      <c r="R63291" s="103"/>
      <c r="S63291" s="8"/>
      <c r="T63291" s="8"/>
      <c r="U63291" s="8"/>
      <c r="V63291" s="8"/>
      <c r="W63291" s="8"/>
      <c r="X63291" s="8"/>
      <c r="Y63291" s="8"/>
      <c r="Z63291" s="8"/>
      <c r="AA63291" s="8"/>
    </row>
    <row r="63292" spans="1:27" x14ac:dyDescent="0.25">
      <c r="A63292" s="8"/>
      <c r="B63292" s="8"/>
      <c r="C63292" s="99"/>
      <c r="D63292" s="8"/>
      <c r="E63292" s="8"/>
      <c r="F63292" s="8"/>
      <c r="G63292" s="8"/>
      <c r="H63292" s="8"/>
      <c r="I63292" s="102"/>
      <c r="J63292" s="8"/>
      <c r="K63292" s="8"/>
      <c r="L63292" s="8"/>
      <c r="M63292" s="8"/>
      <c r="N63292" s="8"/>
      <c r="O63292" s="8"/>
      <c r="P63292" s="8"/>
      <c r="Q63292" s="8"/>
      <c r="R63292" s="103"/>
      <c r="S63292" s="8"/>
      <c r="T63292" s="8"/>
      <c r="U63292" s="8"/>
      <c r="V63292" s="8"/>
      <c r="W63292" s="8"/>
      <c r="X63292" s="8"/>
      <c r="Y63292" s="8"/>
      <c r="Z63292" s="8"/>
      <c r="AA63292" s="8"/>
    </row>
    <row r="63293" spans="1:27" x14ac:dyDescent="0.25">
      <c r="A63293" s="8"/>
      <c r="B63293" s="8"/>
      <c r="C63293" s="99"/>
      <c r="D63293" s="8"/>
      <c r="E63293" s="8"/>
      <c r="F63293" s="8"/>
      <c r="G63293" s="8"/>
      <c r="H63293" s="8"/>
      <c r="I63293" s="102"/>
      <c r="J63293" s="8"/>
      <c r="K63293" s="8"/>
      <c r="L63293" s="8"/>
      <c r="M63293" s="8"/>
      <c r="N63293" s="8"/>
      <c r="O63293" s="8"/>
      <c r="P63293" s="8"/>
      <c r="Q63293" s="8"/>
      <c r="R63293" s="103"/>
      <c r="S63293" s="8"/>
      <c r="T63293" s="8"/>
      <c r="U63293" s="8"/>
      <c r="V63293" s="8"/>
      <c r="W63293" s="8"/>
      <c r="X63293" s="8"/>
      <c r="Y63293" s="8"/>
      <c r="Z63293" s="8"/>
      <c r="AA63293" s="8"/>
    </row>
    <row r="63294" spans="1:27" x14ac:dyDescent="0.25">
      <c r="A63294" s="8"/>
      <c r="B63294" s="8"/>
      <c r="C63294" s="99"/>
      <c r="D63294" s="8"/>
      <c r="E63294" s="8"/>
      <c r="F63294" s="8"/>
      <c r="G63294" s="8"/>
      <c r="H63294" s="8"/>
      <c r="I63294" s="102"/>
      <c r="J63294" s="8"/>
      <c r="K63294" s="8"/>
      <c r="L63294" s="8"/>
      <c r="M63294" s="8"/>
      <c r="N63294" s="8"/>
      <c r="O63294" s="8"/>
      <c r="P63294" s="8"/>
      <c r="Q63294" s="8"/>
      <c r="R63294" s="103"/>
      <c r="S63294" s="8"/>
      <c r="T63294" s="8"/>
      <c r="U63294" s="8"/>
      <c r="V63294" s="8"/>
      <c r="W63294" s="8"/>
      <c r="X63294" s="8"/>
      <c r="Y63294" s="8"/>
      <c r="Z63294" s="8"/>
      <c r="AA63294" s="8"/>
    </row>
    <row r="63295" spans="1:27" x14ac:dyDescent="0.25">
      <c r="A63295" s="8"/>
      <c r="B63295" s="8"/>
      <c r="C63295" s="99"/>
      <c r="D63295" s="8"/>
      <c r="E63295" s="8"/>
      <c r="F63295" s="8"/>
      <c r="G63295" s="8"/>
      <c r="H63295" s="8"/>
      <c r="I63295" s="102"/>
      <c r="J63295" s="8"/>
      <c r="K63295" s="8"/>
      <c r="L63295" s="8"/>
      <c r="M63295" s="8"/>
      <c r="N63295" s="8"/>
      <c r="O63295" s="8"/>
      <c r="P63295" s="8"/>
      <c r="Q63295" s="8"/>
      <c r="R63295" s="103"/>
      <c r="S63295" s="8"/>
      <c r="T63295" s="8"/>
      <c r="U63295" s="8"/>
      <c r="V63295" s="8"/>
      <c r="W63295" s="8"/>
      <c r="X63295" s="8"/>
      <c r="Y63295" s="8"/>
      <c r="Z63295" s="8"/>
      <c r="AA63295" s="8"/>
    </row>
    <row r="63296" spans="1:27" x14ac:dyDescent="0.25">
      <c r="A63296" s="8"/>
      <c r="B63296" s="8"/>
      <c r="C63296" s="99"/>
      <c r="D63296" s="8"/>
      <c r="E63296" s="8"/>
      <c r="F63296" s="8"/>
      <c r="G63296" s="8"/>
      <c r="H63296" s="8"/>
      <c r="I63296" s="102"/>
      <c r="J63296" s="8"/>
      <c r="K63296" s="8"/>
      <c r="L63296" s="8"/>
      <c r="M63296" s="8"/>
      <c r="N63296" s="8"/>
      <c r="O63296" s="8"/>
      <c r="P63296" s="8"/>
      <c r="Q63296" s="8"/>
      <c r="R63296" s="103"/>
      <c r="S63296" s="8"/>
      <c r="T63296" s="8"/>
      <c r="U63296" s="8"/>
      <c r="V63296" s="8"/>
      <c r="W63296" s="8"/>
      <c r="X63296" s="8"/>
      <c r="Y63296" s="8"/>
      <c r="Z63296" s="8"/>
      <c r="AA63296" s="8"/>
    </row>
    <row r="63297" spans="1:27" x14ac:dyDescent="0.25">
      <c r="A63297" s="8"/>
      <c r="B63297" s="8"/>
      <c r="C63297" s="99"/>
      <c r="D63297" s="8"/>
      <c r="E63297" s="8"/>
      <c r="F63297" s="8"/>
      <c r="G63297" s="8"/>
      <c r="H63297" s="8"/>
      <c r="I63297" s="102"/>
      <c r="J63297" s="8"/>
      <c r="K63297" s="8"/>
      <c r="L63297" s="8"/>
      <c r="M63297" s="8"/>
      <c r="N63297" s="8"/>
      <c r="O63297" s="8"/>
      <c r="P63297" s="8"/>
      <c r="Q63297" s="8"/>
      <c r="R63297" s="103"/>
      <c r="S63297" s="8"/>
      <c r="T63297" s="8"/>
      <c r="U63297" s="8"/>
      <c r="V63297" s="8"/>
      <c r="W63297" s="8"/>
      <c r="X63297" s="8"/>
      <c r="Y63297" s="8"/>
      <c r="Z63297" s="8"/>
      <c r="AA63297" s="8"/>
    </row>
    <row r="63298" spans="1:27" x14ac:dyDescent="0.25">
      <c r="A63298" s="8"/>
      <c r="B63298" s="8"/>
      <c r="C63298" s="99"/>
      <c r="D63298" s="8"/>
      <c r="E63298" s="8"/>
      <c r="F63298" s="8"/>
      <c r="G63298" s="8"/>
      <c r="H63298" s="8"/>
      <c r="I63298" s="102"/>
      <c r="J63298" s="8"/>
      <c r="K63298" s="8"/>
      <c r="L63298" s="8"/>
      <c r="M63298" s="8"/>
      <c r="N63298" s="8"/>
      <c r="O63298" s="8"/>
      <c r="P63298" s="8"/>
      <c r="Q63298" s="8"/>
      <c r="R63298" s="103"/>
      <c r="S63298" s="8"/>
      <c r="T63298" s="8"/>
      <c r="U63298" s="8"/>
      <c r="V63298" s="8"/>
      <c r="W63298" s="8"/>
      <c r="X63298" s="8"/>
      <c r="Y63298" s="8"/>
      <c r="Z63298" s="8"/>
      <c r="AA63298" s="8"/>
    </row>
    <row r="63299" spans="1:27" x14ac:dyDescent="0.25">
      <c r="A63299" s="8"/>
      <c r="B63299" s="8"/>
      <c r="C63299" s="99"/>
      <c r="D63299" s="8"/>
      <c r="E63299" s="8"/>
      <c r="F63299" s="8"/>
      <c r="G63299" s="8"/>
      <c r="H63299" s="8"/>
      <c r="I63299" s="102"/>
      <c r="J63299" s="8"/>
      <c r="K63299" s="8"/>
      <c r="L63299" s="8"/>
      <c r="M63299" s="8"/>
      <c r="N63299" s="8"/>
      <c r="O63299" s="8"/>
      <c r="P63299" s="8"/>
      <c r="Q63299" s="8"/>
      <c r="R63299" s="103"/>
      <c r="S63299" s="8"/>
      <c r="T63299" s="8"/>
      <c r="U63299" s="8"/>
      <c r="V63299" s="8"/>
      <c r="W63299" s="8"/>
      <c r="X63299" s="8"/>
      <c r="Y63299" s="8"/>
      <c r="Z63299" s="8"/>
      <c r="AA63299" s="8"/>
    </row>
    <row r="63300" spans="1:27" x14ac:dyDescent="0.25">
      <c r="A63300" s="8"/>
      <c r="B63300" s="8"/>
      <c r="C63300" s="99"/>
      <c r="D63300" s="8"/>
      <c r="E63300" s="8"/>
      <c r="F63300" s="8"/>
      <c r="G63300" s="8"/>
      <c r="H63300" s="8"/>
      <c r="I63300" s="102"/>
      <c r="J63300" s="8"/>
      <c r="K63300" s="8"/>
      <c r="L63300" s="8"/>
      <c r="M63300" s="8"/>
      <c r="N63300" s="8"/>
      <c r="O63300" s="8"/>
      <c r="P63300" s="8"/>
      <c r="Q63300" s="8"/>
      <c r="R63300" s="103"/>
      <c r="S63300" s="8"/>
      <c r="T63300" s="8"/>
      <c r="U63300" s="8"/>
      <c r="V63300" s="8"/>
      <c r="W63300" s="8"/>
      <c r="X63300" s="8"/>
      <c r="Y63300" s="8"/>
      <c r="Z63300" s="8"/>
      <c r="AA63300" s="8"/>
    </row>
    <row r="63301" spans="1:27" x14ac:dyDescent="0.25">
      <c r="A63301" s="8"/>
      <c r="B63301" s="8"/>
      <c r="C63301" s="99"/>
      <c r="D63301" s="8"/>
      <c r="E63301" s="8"/>
      <c r="F63301" s="8"/>
      <c r="G63301" s="8"/>
      <c r="H63301" s="8"/>
      <c r="I63301" s="102"/>
      <c r="J63301" s="8"/>
      <c r="K63301" s="8"/>
      <c r="L63301" s="8"/>
      <c r="M63301" s="8"/>
      <c r="N63301" s="8"/>
      <c r="O63301" s="8"/>
      <c r="P63301" s="8"/>
      <c r="Q63301" s="8"/>
      <c r="R63301" s="103"/>
      <c r="S63301" s="8"/>
      <c r="T63301" s="8"/>
      <c r="U63301" s="8"/>
      <c r="V63301" s="8"/>
      <c r="W63301" s="8"/>
      <c r="X63301" s="8"/>
      <c r="Y63301" s="8"/>
      <c r="Z63301" s="8"/>
      <c r="AA63301" s="8"/>
    </row>
    <row r="63302" spans="1:27" x14ac:dyDescent="0.25">
      <c r="A63302" s="8"/>
      <c r="B63302" s="8"/>
      <c r="C63302" s="99"/>
      <c r="D63302" s="8"/>
      <c r="E63302" s="8"/>
      <c r="F63302" s="8"/>
      <c r="G63302" s="8"/>
      <c r="H63302" s="8"/>
      <c r="I63302" s="102"/>
      <c r="J63302" s="8"/>
      <c r="K63302" s="8"/>
      <c r="L63302" s="8"/>
      <c r="M63302" s="8"/>
      <c r="N63302" s="8"/>
      <c r="O63302" s="8"/>
      <c r="P63302" s="8"/>
      <c r="Q63302" s="8"/>
      <c r="R63302" s="103"/>
      <c r="S63302" s="8"/>
      <c r="T63302" s="8"/>
      <c r="U63302" s="8"/>
      <c r="V63302" s="8"/>
      <c r="W63302" s="8"/>
      <c r="X63302" s="8"/>
      <c r="Y63302" s="8"/>
      <c r="Z63302" s="8"/>
      <c r="AA63302" s="8"/>
    </row>
    <row r="63303" spans="1:27" x14ac:dyDescent="0.25">
      <c r="A63303" s="8"/>
      <c r="B63303" s="8"/>
      <c r="C63303" s="99"/>
      <c r="D63303" s="8"/>
      <c r="E63303" s="8"/>
      <c r="F63303" s="8"/>
      <c r="G63303" s="8"/>
      <c r="H63303" s="8"/>
      <c r="I63303" s="102"/>
      <c r="J63303" s="8"/>
      <c r="K63303" s="8"/>
      <c r="L63303" s="8"/>
      <c r="M63303" s="8"/>
      <c r="N63303" s="8"/>
      <c r="O63303" s="8"/>
      <c r="P63303" s="8"/>
      <c r="Q63303" s="8"/>
      <c r="R63303" s="103"/>
      <c r="S63303" s="8"/>
      <c r="T63303" s="8"/>
      <c r="U63303" s="8"/>
      <c r="V63303" s="8"/>
      <c r="W63303" s="8"/>
      <c r="X63303" s="8"/>
      <c r="Y63303" s="8"/>
      <c r="Z63303" s="8"/>
      <c r="AA63303" s="8"/>
    </row>
    <row r="63304" spans="1:27" x14ac:dyDescent="0.25">
      <c r="A63304" s="8"/>
      <c r="B63304" s="8"/>
      <c r="C63304" s="99"/>
      <c r="D63304" s="8"/>
      <c r="E63304" s="8"/>
      <c r="F63304" s="8"/>
      <c r="G63304" s="8"/>
      <c r="H63304" s="8"/>
      <c r="I63304" s="102"/>
      <c r="J63304" s="8"/>
      <c r="K63304" s="8"/>
      <c r="L63304" s="8"/>
      <c r="M63304" s="8"/>
      <c r="N63304" s="8"/>
      <c r="O63304" s="8"/>
      <c r="P63304" s="8"/>
      <c r="Q63304" s="8"/>
      <c r="R63304" s="103"/>
      <c r="S63304" s="8"/>
      <c r="T63304" s="8"/>
      <c r="U63304" s="8"/>
      <c r="V63304" s="8"/>
      <c r="W63304" s="8"/>
      <c r="X63304" s="8"/>
      <c r="Y63304" s="8"/>
      <c r="Z63304" s="8"/>
      <c r="AA63304" s="8"/>
    </row>
    <row r="63305" spans="1:27" x14ac:dyDescent="0.25">
      <c r="A63305" s="8"/>
      <c r="B63305" s="8"/>
      <c r="C63305" s="99"/>
      <c r="D63305" s="8"/>
      <c r="E63305" s="8"/>
      <c r="F63305" s="8"/>
      <c r="G63305" s="8"/>
      <c r="H63305" s="8"/>
      <c r="I63305" s="102"/>
      <c r="J63305" s="8"/>
      <c r="K63305" s="8"/>
      <c r="L63305" s="8"/>
      <c r="M63305" s="8"/>
      <c r="N63305" s="8"/>
      <c r="O63305" s="8"/>
      <c r="P63305" s="8"/>
      <c r="Q63305" s="8"/>
      <c r="R63305" s="103"/>
      <c r="S63305" s="8"/>
      <c r="T63305" s="8"/>
      <c r="U63305" s="8"/>
      <c r="V63305" s="8"/>
      <c r="W63305" s="8"/>
      <c r="X63305" s="8"/>
      <c r="Y63305" s="8"/>
      <c r="Z63305" s="8"/>
      <c r="AA63305" s="8"/>
    </row>
    <row r="63306" spans="1:27" x14ac:dyDescent="0.25">
      <c r="A63306" s="8"/>
      <c r="B63306" s="8"/>
      <c r="C63306" s="99"/>
      <c r="D63306" s="8"/>
      <c r="E63306" s="8"/>
      <c r="F63306" s="8"/>
      <c r="G63306" s="8"/>
      <c r="H63306" s="8"/>
      <c r="I63306" s="102"/>
      <c r="J63306" s="8"/>
      <c r="K63306" s="8"/>
      <c r="L63306" s="8"/>
      <c r="M63306" s="8"/>
      <c r="N63306" s="8"/>
      <c r="O63306" s="8"/>
      <c r="P63306" s="8"/>
      <c r="Q63306" s="8"/>
      <c r="R63306" s="103"/>
      <c r="S63306" s="8"/>
      <c r="T63306" s="8"/>
      <c r="U63306" s="8"/>
      <c r="V63306" s="8"/>
      <c r="W63306" s="8"/>
      <c r="X63306" s="8"/>
      <c r="Y63306" s="8"/>
      <c r="Z63306" s="8"/>
      <c r="AA63306" s="8"/>
    </row>
    <row r="63307" spans="1:27" x14ac:dyDescent="0.25">
      <c r="A63307" s="8"/>
      <c r="B63307" s="8"/>
      <c r="C63307" s="99"/>
      <c r="D63307" s="8"/>
      <c r="E63307" s="8"/>
      <c r="F63307" s="8"/>
      <c r="G63307" s="8"/>
      <c r="H63307" s="8"/>
      <c r="I63307" s="102"/>
      <c r="J63307" s="8"/>
      <c r="K63307" s="8"/>
      <c r="L63307" s="8"/>
      <c r="M63307" s="8"/>
      <c r="N63307" s="8"/>
      <c r="O63307" s="8"/>
      <c r="P63307" s="8"/>
      <c r="Q63307" s="8"/>
      <c r="R63307" s="103"/>
      <c r="S63307" s="8"/>
      <c r="T63307" s="8"/>
      <c r="U63307" s="8"/>
      <c r="V63307" s="8"/>
      <c r="W63307" s="8"/>
      <c r="X63307" s="8"/>
      <c r="Y63307" s="8"/>
      <c r="Z63307" s="8"/>
      <c r="AA63307" s="8"/>
    </row>
    <row r="63308" spans="1:27" x14ac:dyDescent="0.25">
      <c r="A63308" s="8"/>
      <c r="B63308" s="8"/>
      <c r="C63308" s="99"/>
      <c r="D63308" s="8"/>
      <c r="E63308" s="8"/>
      <c r="F63308" s="8"/>
      <c r="G63308" s="8"/>
      <c r="H63308" s="8"/>
      <c r="I63308" s="102"/>
      <c r="J63308" s="8"/>
      <c r="K63308" s="8"/>
      <c r="L63308" s="8"/>
      <c r="M63308" s="8"/>
      <c r="N63308" s="8"/>
      <c r="O63308" s="8"/>
      <c r="P63308" s="8"/>
      <c r="Q63308" s="8"/>
      <c r="R63308" s="103"/>
      <c r="S63308" s="8"/>
      <c r="T63308" s="8"/>
      <c r="U63308" s="8"/>
      <c r="V63308" s="8"/>
      <c r="W63308" s="8"/>
      <c r="X63308" s="8"/>
      <c r="Y63308" s="8"/>
      <c r="Z63308" s="8"/>
      <c r="AA63308" s="8"/>
    </row>
    <row r="63309" spans="1:27" x14ac:dyDescent="0.25">
      <c r="A63309" s="8"/>
      <c r="B63309" s="8"/>
      <c r="C63309" s="99"/>
      <c r="D63309" s="8"/>
      <c r="E63309" s="8"/>
      <c r="F63309" s="8"/>
      <c r="G63309" s="8"/>
      <c r="H63309" s="8"/>
      <c r="I63309" s="102"/>
      <c r="J63309" s="8"/>
      <c r="K63309" s="8"/>
      <c r="L63309" s="8"/>
      <c r="M63309" s="8"/>
      <c r="N63309" s="8"/>
      <c r="O63309" s="8"/>
      <c r="P63309" s="8"/>
      <c r="Q63309" s="8"/>
      <c r="R63309" s="103"/>
      <c r="S63309" s="8"/>
      <c r="T63309" s="8"/>
      <c r="U63309" s="8"/>
      <c r="V63309" s="8"/>
      <c r="W63309" s="8"/>
      <c r="X63309" s="8"/>
      <c r="Y63309" s="8"/>
      <c r="Z63309" s="8"/>
      <c r="AA63309" s="8"/>
    </row>
    <row r="63310" spans="1:27" x14ac:dyDescent="0.25">
      <c r="A63310" s="8"/>
      <c r="B63310" s="8"/>
      <c r="C63310" s="99"/>
      <c r="D63310" s="8"/>
      <c r="E63310" s="8"/>
      <c r="F63310" s="8"/>
      <c r="G63310" s="8"/>
      <c r="H63310" s="8"/>
      <c r="I63310" s="102"/>
      <c r="J63310" s="8"/>
      <c r="K63310" s="8"/>
      <c r="L63310" s="8"/>
      <c r="M63310" s="8"/>
      <c r="N63310" s="8"/>
      <c r="O63310" s="8"/>
      <c r="P63310" s="8"/>
      <c r="Q63310" s="8"/>
      <c r="R63310" s="103"/>
      <c r="S63310" s="8"/>
      <c r="T63310" s="8"/>
      <c r="U63310" s="8"/>
      <c r="V63310" s="8"/>
      <c r="W63310" s="8"/>
      <c r="X63310" s="8"/>
      <c r="Y63310" s="8"/>
      <c r="Z63310" s="8"/>
      <c r="AA63310" s="8"/>
    </row>
    <row r="63311" spans="1:27" x14ac:dyDescent="0.25">
      <c r="A63311" s="8"/>
      <c r="B63311" s="8"/>
      <c r="C63311" s="99"/>
      <c r="D63311" s="8"/>
      <c r="E63311" s="8"/>
      <c r="F63311" s="8"/>
      <c r="G63311" s="8"/>
      <c r="H63311" s="8"/>
      <c r="I63311" s="102"/>
      <c r="J63311" s="8"/>
      <c r="K63311" s="8"/>
      <c r="L63311" s="8"/>
      <c r="M63311" s="8"/>
      <c r="N63311" s="8"/>
      <c r="O63311" s="8"/>
      <c r="P63311" s="8"/>
      <c r="Q63311" s="8"/>
      <c r="R63311" s="103"/>
      <c r="S63311" s="8"/>
      <c r="T63311" s="8"/>
      <c r="U63311" s="8"/>
      <c r="V63311" s="8"/>
      <c r="W63311" s="8"/>
      <c r="X63311" s="8"/>
      <c r="Y63311" s="8"/>
      <c r="Z63311" s="8"/>
      <c r="AA63311" s="8"/>
    </row>
    <row r="63312" spans="1:27" x14ac:dyDescent="0.25">
      <c r="A63312" s="8"/>
      <c r="B63312" s="8"/>
      <c r="C63312" s="99"/>
      <c r="D63312" s="8"/>
      <c r="E63312" s="8"/>
      <c r="F63312" s="8"/>
      <c r="G63312" s="8"/>
      <c r="H63312" s="8"/>
      <c r="I63312" s="102"/>
      <c r="J63312" s="8"/>
      <c r="K63312" s="8"/>
      <c r="L63312" s="8"/>
      <c r="M63312" s="8"/>
      <c r="N63312" s="8"/>
      <c r="O63312" s="8"/>
      <c r="P63312" s="8"/>
      <c r="Q63312" s="8"/>
      <c r="R63312" s="103"/>
      <c r="S63312" s="8"/>
      <c r="T63312" s="8"/>
      <c r="U63312" s="8"/>
      <c r="V63312" s="8"/>
      <c r="W63312" s="8"/>
      <c r="X63312" s="8"/>
      <c r="Y63312" s="8"/>
      <c r="Z63312" s="8"/>
      <c r="AA63312" s="8"/>
    </row>
    <row r="63313" spans="1:27" x14ac:dyDescent="0.25">
      <c r="A63313" s="8"/>
      <c r="B63313" s="8"/>
      <c r="C63313" s="99"/>
      <c r="D63313" s="8"/>
      <c r="E63313" s="8"/>
      <c r="F63313" s="8"/>
      <c r="G63313" s="8"/>
      <c r="H63313" s="8"/>
      <c r="I63313" s="102"/>
      <c r="J63313" s="8"/>
      <c r="K63313" s="8"/>
      <c r="L63313" s="8"/>
      <c r="M63313" s="8"/>
      <c r="N63313" s="8"/>
      <c r="O63313" s="8"/>
      <c r="P63313" s="8"/>
      <c r="Q63313" s="8"/>
      <c r="R63313" s="103"/>
      <c r="S63313" s="8"/>
      <c r="T63313" s="8"/>
      <c r="U63313" s="8"/>
      <c r="V63313" s="8"/>
      <c r="W63313" s="8"/>
      <c r="X63313" s="8"/>
      <c r="Y63313" s="8"/>
      <c r="Z63313" s="8"/>
      <c r="AA63313" s="8"/>
    </row>
    <row r="63314" spans="1:27" x14ac:dyDescent="0.25">
      <c r="A63314" s="8"/>
      <c r="B63314" s="8"/>
      <c r="C63314" s="99"/>
      <c r="D63314" s="8"/>
      <c r="E63314" s="8"/>
      <c r="F63314" s="8"/>
      <c r="G63314" s="8"/>
      <c r="H63314" s="8"/>
      <c r="I63314" s="102"/>
      <c r="J63314" s="8"/>
      <c r="K63314" s="8"/>
      <c r="L63314" s="8"/>
      <c r="M63314" s="8"/>
      <c r="N63314" s="8"/>
      <c r="O63314" s="8"/>
      <c r="P63314" s="8"/>
      <c r="Q63314" s="8"/>
      <c r="R63314" s="103"/>
      <c r="S63314" s="8"/>
      <c r="T63314" s="8"/>
      <c r="U63314" s="8"/>
      <c r="V63314" s="8"/>
      <c r="W63314" s="8"/>
      <c r="X63314" s="8"/>
      <c r="Y63314" s="8"/>
      <c r="Z63314" s="8"/>
      <c r="AA63314" s="8"/>
    </row>
    <row r="63315" spans="1:27" x14ac:dyDescent="0.25">
      <c r="A63315" s="8"/>
      <c r="B63315" s="8"/>
      <c r="C63315" s="99"/>
      <c r="D63315" s="8"/>
      <c r="E63315" s="8"/>
      <c r="F63315" s="8"/>
      <c r="G63315" s="8"/>
      <c r="H63315" s="8"/>
      <c r="I63315" s="102"/>
      <c r="J63315" s="8"/>
      <c r="K63315" s="8"/>
      <c r="L63315" s="8"/>
      <c r="M63315" s="8"/>
      <c r="N63315" s="8"/>
      <c r="O63315" s="8"/>
      <c r="P63315" s="8"/>
      <c r="Q63315" s="8"/>
      <c r="R63315" s="103"/>
      <c r="S63315" s="8"/>
      <c r="T63315" s="8"/>
      <c r="U63315" s="8"/>
      <c r="V63315" s="8"/>
      <c r="W63315" s="8"/>
      <c r="X63315" s="8"/>
      <c r="Y63315" s="8"/>
      <c r="Z63315" s="8"/>
      <c r="AA63315" s="8"/>
    </row>
    <row r="63316" spans="1:27" x14ac:dyDescent="0.25">
      <c r="A63316" s="8"/>
      <c r="B63316" s="8"/>
      <c r="C63316" s="99"/>
      <c r="D63316" s="8"/>
      <c r="E63316" s="8"/>
      <c r="F63316" s="8"/>
      <c r="G63316" s="8"/>
      <c r="H63316" s="8"/>
      <c r="I63316" s="102"/>
      <c r="J63316" s="8"/>
      <c r="K63316" s="8"/>
      <c r="L63316" s="8"/>
      <c r="M63316" s="8"/>
      <c r="N63316" s="8"/>
      <c r="O63316" s="8"/>
      <c r="P63316" s="8"/>
      <c r="Q63316" s="8"/>
      <c r="R63316" s="103"/>
      <c r="S63316" s="8"/>
      <c r="T63316" s="8"/>
      <c r="U63316" s="8"/>
      <c r="V63316" s="8"/>
      <c r="W63316" s="8"/>
      <c r="X63316" s="8"/>
      <c r="Y63316" s="8"/>
      <c r="Z63316" s="8"/>
      <c r="AA63316" s="8"/>
    </row>
    <row r="63317" spans="1:27" x14ac:dyDescent="0.25">
      <c r="A63317" s="8"/>
      <c r="B63317" s="8"/>
      <c r="C63317" s="99"/>
      <c r="D63317" s="8"/>
      <c r="E63317" s="8"/>
      <c r="F63317" s="8"/>
      <c r="G63317" s="8"/>
      <c r="H63317" s="8"/>
      <c r="I63317" s="102"/>
      <c r="J63317" s="8"/>
      <c r="K63317" s="8"/>
      <c r="L63317" s="8"/>
      <c r="M63317" s="8"/>
      <c r="N63317" s="8"/>
      <c r="O63317" s="8"/>
      <c r="P63317" s="8"/>
      <c r="Q63317" s="8"/>
      <c r="R63317" s="103"/>
      <c r="S63317" s="8"/>
      <c r="T63317" s="8"/>
      <c r="U63317" s="8"/>
      <c r="V63317" s="8"/>
      <c r="W63317" s="8"/>
      <c r="X63317" s="8"/>
      <c r="Y63317" s="8"/>
      <c r="Z63317" s="8"/>
      <c r="AA63317" s="8"/>
    </row>
    <row r="63318" spans="1:27" x14ac:dyDescent="0.25">
      <c r="A63318" s="8"/>
      <c r="B63318" s="8"/>
      <c r="C63318" s="99"/>
      <c r="D63318" s="8"/>
      <c r="E63318" s="8"/>
      <c r="F63318" s="8"/>
      <c r="G63318" s="8"/>
      <c r="H63318" s="8"/>
      <c r="I63318" s="102"/>
      <c r="J63318" s="8"/>
      <c r="K63318" s="8"/>
      <c r="L63318" s="8"/>
      <c r="M63318" s="8"/>
      <c r="N63318" s="8"/>
      <c r="O63318" s="8"/>
      <c r="P63318" s="8"/>
      <c r="Q63318" s="8"/>
      <c r="R63318" s="103"/>
      <c r="S63318" s="8"/>
      <c r="T63318" s="8"/>
      <c r="U63318" s="8"/>
      <c r="V63318" s="8"/>
      <c r="W63318" s="8"/>
      <c r="X63318" s="8"/>
      <c r="Y63318" s="8"/>
      <c r="Z63318" s="8"/>
      <c r="AA63318" s="8"/>
    </row>
    <row r="63319" spans="1:27" x14ac:dyDescent="0.25">
      <c r="A63319" s="8"/>
      <c r="B63319" s="8"/>
      <c r="C63319" s="99"/>
      <c r="D63319" s="8"/>
      <c r="E63319" s="8"/>
      <c r="F63319" s="8"/>
      <c r="G63319" s="8"/>
      <c r="H63319" s="8"/>
      <c r="I63319" s="102"/>
      <c r="J63319" s="8"/>
      <c r="K63319" s="8"/>
      <c r="L63319" s="8"/>
      <c r="M63319" s="8"/>
      <c r="N63319" s="8"/>
      <c r="O63319" s="8"/>
      <c r="P63319" s="8"/>
      <c r="Q63319" s="8"/>
      <c r="R63319" s="103"/>
      <c r="S63319" s="8"/>
      <c r="T63319" s="8"/>
      <c r="U63319" s="8"/>
      <c r="V63319" s="8"/>
      <c r="W63319" s="8"/>
      <c r="X63319" s="8"/>
      <c r="Y63319" s="8"/>
      <c r="Z63319" s="8"/>
      <c r="AA63319" s="8"/>
    </row>
    <row r="63320" spans="1:27" x14ac:dyDescent="0.25">
      <c r="A63320" s="8"/>
      <c r="B63320" s="8"/>
      <c r="C63320" s="99"/>
      <c r="D63320" s="8"/>
      <c r="E63320" s="8"/>
      <c r="F63320" s="8"/>
      <c r="G63320" s="8"/>
      <c r="H63320" s="8"/>
      <c r="I63320" s="102"/>
      <c r="J63320" s="8"/>
      <c r="K63320" s="8"/>
      <c r="L63320" s="8"/>
      <c r="M63320" s="8"/>
      <c r="N63320" s="8"/>
      <c r="O63320" s="8"/>
      <c r="P63320" s="8"/>
      <c r="Q63320" s="8"/>
      <c r="R63320" s="103"/>
      <c r="S63320" s="8"/>
      <c r="T63320" s="8"/>
      <c r="U63320" s="8"/>
      <c r="V63320" s="8"/>
      <c r="W63320" s="8"/>
      <c r="X63320" s="8"/>
      <c r="Y63320" s="8"/>
      <c r="Z63320" s="8"/>
      <c r="AA63320" s="8"/>
    </row>
    <row r="63321" spans="1:27" x14ac:dyDescent="0.25">
      <c r="A63321" s="8"/>
      <c r="B63321" s="8"/>
      <c r="C63321" s="99"/>
      <c r="D63321" s="8"/>
      <c r="E63321" s="8"/>
      <c r="F63321" s="8"/>
      <c r="G63321" s="8"/>
      <c r="H63321" s="8"/>
      <c r="I63321" s="102"/>
      <c r="J63321" s="8"/>
      <c r="K63321" s="8"/>
      <c r="L63321" s="8"/>
      <c r="M63321" s="8"/>
      <c r="N63321" s="8"/>
      <c r="O63321" s="8"/>
      <c r="P63321" s="8"/>
      <c r="Q63321" s="8"/>
      <c r="R63321" s="103"/>
      <c r="S63321" s="8"/>
      <c r="T63321" s="8"/>
      <c r="U63321" s="8"/>
      <c r="V63321" s="8"/>
      <c r="W63321" s="8"/>
      <c r="X63321" s="8"/>
      <c r="Y63321" s="8"/>
      <c r="Z63321" s="8"/>
      <c r="AA63321" s="8"/>
    </row>
    <row r="63322" spans="1:27" x14ac:dyDescent="0.25">
      <c r="A63322" s="8"/>
      <c r="B63322" s="8"/>
      <c r="C63322" s="99"/>
      <c r="D63322" s="8"/>
      <c r="E63322" s="8"/>
      <c r="F63322" s="8"/>
      <c r="G63322" s="8"/>
      <c r="H63322" s="8"/>
      <c r="I63322" s="102"/>
      <c r="J63322" s="8"/>
      <c r="K63322" s="8"/>
      <c r="L63322" s="8"/>
      <c r="M63322" s="8"/>
      <c r="N63322" s="8"/>
      <c r="O63322" s="8"/>
      <c r="P63322" s="8"/>
      <c r="Q63322" s="8"/>
      <c r="R63322" s="103"/>
      <c r="S63322" s="8"/>
      <c r="T63322" s="8"/>
      <c r="U63322" s="8"/>
      <c r="V63322" s="8"/>
      <c r="W63322" s="8"/>
      <c r="X63322" s="8"/>
      <c r="Y63322" s="8"/>
      <c r="Z63322" s="8"/>
      <c r="AA63322" s="8"/>
    </row>
    <row r="63323" spans="1:27" x14ac:dyDescent="0.25">
      <c r="A63323" s="8"/>
      <c r="B63323" s="8"/>
      <c r="C63323" s="99"/>
      <c r="D63323" s="8"/>
      <c r="E63323" s="8"/>
      <c r="F63323" s="8"/>
      <c r="G63323" s="8"/>
      <c r="H63323" s="8"/>
      <c r="I63323" s="102"/>
      <c r="J63323" s="8"/>
      <c r="K63323" s="8"/>
      <c r="L63323" s="8"/>
      <c r="M63323" s="8"/>
      <c r="N63323" s="8"/>
      <c r="O63323" s="8"/>
      <c r="P63323" s="8"/>
      <c r="Q63323" s="8"/>
      <c r="R63323" s="103"/>
      <c r="S63323" s="8"/>
      <c r="T63323" s="8"/>
      <c r="U63323" s="8"/>
      <c r="V63323" s="8"/>
      <c r="W63323" s="8"/>
      <c r="X63323" s="8"/>
      <c r="Y63323" s="8"/>
      <c r="Z63323" s="8"/>
      <c r="AA63323" s="8"/>
    </row>
    <row r="63324" spans="1:27" x14ac:dyDescent="0.25">
      <c r="A63324" s="8"/>
      <c r="B63324" s="8"/>
      <c r="C63324" s="99"/>
      <c r="D63324" s="8"/>
      <c r="E63324" s="8"/>
      <c r="F63324" s="8"/>
      <c r="G63324" s="8"/>
      <c r="H63324" s="8"/>
      <c r="I63324" s="102"/>
      <c r="J63324" s="8"/>
      <c r="K63324" s="8"/>
      <c r="L63324" s="8"/>
      <c r="M63324" s="8"/>
      <c r="N63324" s="8"/>
      <c r="O63324" s="8"/>
      <c r="P63324" s="8"/>
      <c r="Q63324" s="8"/>
      <c r="R63324" s="103"/>
      <c r="S63324" s="8"/>
      <c r="T63324" s="8"/>
      <c r="U63324" s="8"/>
      <c r="V63324" s="8"/>
      <c r="W63324" s="8"/>
      <c r="X63324" s="8"/>
      <c r="Y63324" s="8"/>
      <c r="Z63324" s="8"/>
      <c r="AA63324" s="8"/>
    </row>
    <row r="63325" spans="1:27" x14ac:dyDescent="0.25">
      <c r="A63325" s="8"/>
      <c r="B63325" s="8"/>
      <c r="C63325" s="99"/>
      <c r="D63325" s="8"/>
      <c r="E63325" s="8"/>
      <c r="F63325" s="8"/>
      <c r="G63325" s="8"/>
      <c r="H63325" s="8"/>
      <c r="I63325" s="102"/>
      <c r="J63325" s="8"/>
      <c r="K63325" s="8"/>
      <c r="L63325" s="8"/>
      <c r="M63325" s="8"/>
      <c r="N63325" s="8"/>
      <c r="O63325" s="8"/>
      <c r="P63325" s="8"/>
      <c r="Q63325" s="8"/>
      <c r="R63325" s="103"/>
      <c r="S63325" s="8"/>
      <c r="T63325" s="8"/>
      <c r="U63325" s="8"/>
      <c r="V63325" s="8"/>
      <c r="W63325" s="8"/>
      <c r="X63325" s="8"/>
      <c r="Y63325" s="8"/>
      <c r="Z63325" s="8"/>
      <c r="AA63325" s="8"/>
    </row>
    <row r="63326" spans="1:27" x14ac:dyDescent="0.25">
      <c r="A63326" s="8"/>
      <c r="B63326" s="8"/>
      <c r="C63326" s="99"/>
      <c r="D63326" s="8"/>
      <c r="E63326" s="8"/>
      <c r="F63326" s="8"/>
      <c r="G63326" s="8"/>
      <c r="H63326" s="8"/>
      <c r="I63326" s="102"/>
      <c r="J63326" s="8"/>
      <c r="K63326" s="8"/>
      <c r="L63326" s="8"/>
      <c r="M63326" s="8"/>
      <c r="N63326" s="8"/>
      <c r="O63326" s="8"/>
      <c r="P63326" s="8"/>
      <c r="Q63326" s="8"/>
      <c r="R63326" s="103"/>
      <c r="S63326" s="8"/>
      <c r="T63326" s="8"/>
      <c r="U63326" s="8"/>
      <c r="V63326" s="8"/>
      <c r="W63326" s="8"/>
      <c r="X63326" s="8"/>
      <c r="Y63326" s="8"/>
      <c r="Z63326" s="8"/>
      <c r="AA63326" s="8"/>
    </row>
    <row r="63327" spans="1:27" x14ac:dyDescent="0.25">
      <c r="A63327" s="8"/>
      <c r="B63327" s="8"/>
      <c r="C63327" s="99"/>
      <c r="D63327" s="8"/>
      <c r="E63327" s="8"/>
      <c r="F63327" s="8"/>
      <c r="G63327" s="8"/>
      <c r="H63327" s="8"/>
      <c r="I63327" s="102"/>
      <c r="J63327" s="8"/>
      <c r="K63327" s="8"/>
      <c r="L63327" s="8"/>
      <c r="M63327" s="8"/>
      <c r="N63327" s="8"/>
      <c r="O63327" s="8"/>
      <c r="P63327" s="8"/>
      <c r="Q63327" s="8"/>
      <c r="R63327" s="103"/>
      <c r="S63327" s="8"/>
      <c r="T63327" s="8"/>
      <c r="U63327" s="8"/>
      <c r="V63327" s="8"/>
      <c r="W63327" s="8"/>
      <c r="X63327" s="8"/>
      <c r="Y63327" s="8"/>
      <c r="Z63327" s="8"/>
      <c r="AA63327" s="8"/>
    </row>
    <row r="63328" spans="1:27" x14ac:dyDescent="0.25">
      <c r="A63328" s="8"/>
      <c r="B63328" s="8"/>
      <c r="C63328" s="99"/>
      <c r="D63328" s="8"/>
      <c r="E63328" s="8"/>
      <c r="F63328" s="8"/>
      <c r="G63328" s="8"/>
      <c r="H63328" s="8"/>
      <c r="I63328" s="102"/>
      <c r="J63328" s="8"/>
      <c r="K63328" s="8"/>
      <c r="L63328" s="8"/>
      <c r="M63328" s="8"/>
      <c r="N63328" s="8"/>
      <c r="O63328" s="8"/>
      <c r="P63328" s="8"/>
      <c r="Q63328" s="8"/>
      <c r="R63328" s="103"/>
      <c r="S63328" s="8"/>
      <c r="T63328" s="8"/>
      <c r="U63328" s="8"/>
      <c r="V63328" s="8"/>
      <c r="W63328" s="8"/>
      <c r="X63328" s="8"/>
      <c r="Y63328" s="8"/>
      <c r="Z63328" s="8"/>
      <c r="AA63328" s="8"/>
    </row>
    <row r="63329" spans="1:27" x14ac:dyDescent="0.25">
      <c r="A63329" s="8"/>
      <c r="B63329" s="8"/>
      <c r="C63329" s="99"/>
      <c r="D63329" s="8"/>
      <c r="E63329" s="8"/>
      <c r="F63329" s="8"/>
      <c r="G63329" s="8"/>
      <c r="H63329" s="8"/>
      <c r="I63329" s="102"/>
      <c r="J63329" s="8"/>
      <c r="K63329" s="8"/>
      <c r="L63329" s="8"/>
      <c r="M63329" s="8"/>
      <c r="N63329" s="8"/>
      <c r="O63329" s="8"/>
      <c r="P63329" s="8"/>
      <c r="Q63329" s="8"/>
      <c r="R63329" s="103"/>
      <c r="S63329" s="8"/>
      <c r="T63329" s="8"/>
      <c r="U63329" s="8"/>
      <c r="V63329" s="8"/>
      <c r="W63329" s="8"/>
      <c r="X63329" s="8"/>
      <c r="Y63329" s="8"/>
      <c r="Z63329" s="8"/>
      <c r="AA63329" s="8"/>
    </row>
    <row r="63330" spans="1:27" x14ac:dyDescent="0.25">
      <c r="A63330" s="8"/>
      <c r="B63330" s="8"/>
      <c r="C63330" s="99"/>
      <c r="D63330" s="8"/>
      <c r="E63330" s="8"/>
      <c r="F63330" s="8"/>
      <c r="G63330" s="8"/>
      <c r="H63330" s="8"/>
      <c r="I63330" s="102"/>
      <c r="J63330" s="8"/>
      <c r="K63330" s="8"/>
      <c r="L63330" s="8"/>
      <c r="M63330" s="8"/>
      <c r="N63330" s="8"/>
      <c r="O63330" s="8"/>
      <c r="P63330" s="8"/>
      <c r="Q63330" s="8"/>
      <c r="R63330" s="103"/>
      <c r="S63330" s="8"/>
      <c r="T63330" s="8"/>
      <c r="U63330" s="8"/>
      <c r="V63330" s="8"/>
      <c r="W63330" s="8"/>
      <c r="X63330" s="8"/>
      <c r="Y63330" s="8"/>
      <c r="Z63330" s="8"/>
      <c r="AA63330" s="8"/>
    </row>
    <row r="63331" spans="1:27" x14ac:dyDescent="0.25">
      <c r="A63331" s="8"/>
      <c r="B63331" s="8"/>
      <c r="C63331" s="99"/>
      <c r="D63331" s="8"/>
      <c r="E63331" s="8"/>
      <c r="F63331" s="8"/>
      <c r="G63331" s="8"/>
      <c r="H63331" s="8"/>
      <c r="I63331" s="102"/>
      <c r="J63331" s="8"/>
      <c r="K63331" s="8"/>
      <c r="L63331" s="8"/>
      <c r="M63331" s="8"/>
      <c r="N63331" s="8"/>
      <c r="O63331" s="8"/>
      <c r="P63331" s="8"/>
      <c r="Q63331" s="8"/>
      <c r="R63331" s="103"/>
      <c r="S63331" s="8"/>
      <c r="T63331" s="8"/>
      <c r="U63331" s="8"/>
      <c r="V63331" s="8"/>
      <c r="W63331" s="8"/>
      <c r="X63331" s="8"/>
      <c r="Y63331" s="8"/>
      <c r="Z63331" s="8"/>
      <c r="AA63331" s="8"/>
    </row>
    <row r="63332" spans="1:27" x14ac:dyDescent="0.25">
      <c r="A63332" s="8"/>
      <c r="B63332" s="8"/>
      <c r="C63332" s="99"/>
      <c r="D63332" s="8"/>
      <c r="E63332" s="8"/>
      <c r="F63332" s="8"/>
      <c r="G63332" s="8"/>
      <c r="H63332" s="8"/>
      <c r="I63332" s="102"/>
      <c r="J63332" s="8"/>
      <c r="K63332" s="8"/>
      <c r="L63332" s="8"/>
      <c r="M63332" s="8"/>
      <c r="N63332" s="8"/>
      <c r="O63332" s="8"/>
      <c r="P63332" s="8"/>
      <c r="Q63332" s="8"/>
      <c r="R63332" s="103"/>
      <c r="S63332" s="8"/>
      <c r="T63332" s="8"/>
      <c r="U63332" s="8"/>
      <c r="V63332" s="8"/>
      <c r="W63332" s="8"/>
      <c r="X63332" s="8"/>
      <c r="Y63332" s="8"/>
      <c r="Z63332" s="8"/>
      <c r="AA63332" s="8"/>
    </row>
    <row r="63333" spans="1:27" x14ac:dyDescent="0.25">
      <c r="A63333" s="8"/>
      <c r="B63333" s="8"/>
      <c r="C63333" s="99"/>
      <c r="D63333" s="8"/>
      <c r="E63333" s="8"/>
      <c r="F63333" s="8"/>
      <c r="G63333" s="8"/>
      <c r="H63333" s="8"/>
      <c r="I63333" s="102"/>
      <c r="J63333" s="8"/>
      <c r="K63333" s="8"/>
      <c r="L63333" s="8"/>
      <c r="M63333" s="8"/>
      <c r="N63333" s="8"/>
      <c r="O63333" s="8"/>
      <c r="P63333" s="8"/>
      <c r="Q63333" s="8"/>
      <c r="R63333" s="103"/>
      <c r="S63333" s="8"/>
      <c r="T63333" s="8"/>
      <c r="U63333" s="8"/>
      <c r="V63333" s="8"/>
      <c r="W63333" s="8"/>
      <c r="X63333" s="8"/>
      <c r="Y63333" s="8"/>
      <c r="Z63333" s="8"/>
      <c r="AA63333" s="8"/>
    </row>
    <row r="63334" spans="1:27" x14ac:dyDescent="0.25">
      <c r="A63334" s="8"/>
      <c r="B63334" s="8"/>
      <c r="C63334" s="99"/>
      <c r="D63334" s="8"/>
      <c r="E63334" s="8"/>
      <c r="F63334" s="8"/>
      <c r="G63334" s="8"/>
      <c r="H63334" s="8"/>
      <c r="I63334" s="102"/>
      <c r="J63334" s="8"/>
      <c r="K63334" s="8"/>
      <c r="L63334" s="8"/>
      <c r="M63334" s="8"/>
      <c r="N63334" s="8"/>
      <c r="O63334" s="8"/>
      <c r="P63334" s="8"/>
      <c r="Q63334" s="8"/>
      <c r="R63334" s="103"/>
      <c r="S63334" s="8"/>
      <c r="T63334" s="8"/>
      <c r="U63334" s="8"/>
      <c r="V63334" s="8"/>
      <c r="W63334" s="8"/>
      <c r="X63334" s="8"/>
      <c r="Y63334" s="8"/>
      <c r="Z63334" s="8"/>
      <c r="AA63334" s="8"/>
    </row>
    <row r="63335" spans="1:27" x14ac:dyDescent="0.25">
      <c r="A63335" s="8"/>
      <c r="B63335" s="8"/>
      <c r="C63335" s="99"/>
      <c r="D63335" s="8"/>
      <c r="E63335" s="8"/>
      <c r="F63335" s="8"/>
      <c r="G63335" s="8"/>
      <c r="H63335" s="8"/>
      <c r="I63335" s="102"/>
      <c r="J63335" s="8"/>
      <c r="K63335" s="8"/>
      <c r="L63335" s="8"/>
      <c r="M63335" s="8"/>
      <c r="N63335" s="8"/>
      <c r="O63335" s="8"/>
      <c r="P63335" s="8"/>
      <c r="Q63335" s="8"/>
      <c r="R63335" s="103"/>
      <c r="S63335" s="8"/>
      <c r="T63335" s="8"/>
      <c r="U63335" s="8"/>
      <c r="V63335" s="8"/>
      <c r="W63335" s="8"/>
      <c r="X63335" s="8"/>
      <c r="Y63335" s="8"/>
      <c r="Z63335" s="8"/>
      <c r="AA63335" s="8"/>
    </row>
    <row r="63336" spans="1:27" x14ac:dyDescent="0.25">
      <c r="A63336" s="8"/>
      <c r="B63336" s="8"/>
      <c r="C63336" s="99"/>
      <c r="D63336" s="8"/>
      <c r="E63336" s="8"/>
      <c r="F63336" s="8"/>
      <c r="G63336" s="8"/>
      <c r="H63336" s="8"/>
      <c r="I63336" s="102"/>
      <c r="J63336" s="8"/>
      <c r="K63336" s="8"/>
      <c r="L63336" s="8"/>
      <c r="M63336" s="8"/>
      <c r="N63336" s="8"/>
      <c r="O63336" s="8"/>
      <c r="P63336" s="8"/>
      <c r="Q63336" s="8"/>
      <c r="R63336" s="103"/>
      <c r="S63336" s="8"/>
      <c r="T63336" s="8"/>
      <c r="U63336" s="8"/>
      <c r="V63336" s="8"/>
      <c r="W63336" s="8"/>
      <c r="X63336" s="8"/>
      <c r="Y63336" s="8"/>
      <c r="Z63336" s="8"/>
      <c r="AA63336" s="8"/>
    </row>
    <row r="63337" spans="1:27" x14ac:dyDescent="0.25">
      <c r="A63337" s="8"/>
      <c r="B63337" s="8"/>
      <c r="C63337" s="99"/>
      <c r="D63337" s="8"/>
      <c r="E63337" s="8"/>
      <c r="F63337" s="8"/>
      <c r="G63337" s="8"/>
      <c r="H63337" s="8"/>
      <c r="I63337" s="102"/>
      <c r="J63337" s="8"/>
      <c r="K63337" s="8"/>
      <c r="L63337" s="8"/>
      <c r="M63337" s="8"/>
      <c r="N63337" s="8"/>
      <c r="O63337" s="8"/>
      <c r="P63337" s="8"/>
      <c r="Q63337" s="8"/>
      <c r="R63337" s="103"/>
      <c r="S63337" s="8"/>
      <c r="T63337" s="8"/>
      <c r="U63337" s="8"/>
      <c r="V63337" s="8"/>
      <c r="W63337" s="8"/>
      <c r="X63337" s="8"/>
      <c r="Y63337" s="8"/>
      <c r="Z63337" s="8"/>
      <c r="AA63337" s="8"/>
    </row>
    <row r="63338" spans="1:27" x14ac:dyDescent="0.25">
      <c r="A63338" s="8"/>
      <c r="B63338" s="8"/>
      <c r="C63338" s="99"/>
      <c r="D63338" s="8"/>
      <c r="E63338" s="8"/>
      <c r="F63338" s="8"/>
      <c r="G63338" s="8"/>
      <c r="H63338" s="8"/>
      <c r="I63338" s="102"/>
      <c r="J63338" s="8"/>
      <c r="K63338" s="8"/>
      <c r="L63338" s="8"/>
      <c r="M63338" s="8"/>
      <c r="N63338" s="8"/>
      <c r="O63338" s="8"/>
      <c r="P63338" s="8"/>
      <c r="Q63338" s="8"/>
      <c r="R63338" s="103"/>
      <c r="S63338" s="8"/>
      <c r="T63338" s="8"/>
      <c r="U63338" s="8"/>
      <c r="V63338" s="8"/>
      <c r="W63338" s="8"/>
      <c r="X63338" s="8"/>
      <c r="Y63338" s="8"/>
      <c r="Z63338" s="8"/>
      <c r="AA63338" s="8"/>
    </row>
    <row r="63339" spans="1:27" x14ac:dyDescent="0.25">
      <c r="A63339" s="8"/>
      <c r="B63339" s="8"/>
      <c r="C63339" s="99"/>
      <c r="D63339" s="8"/>
      <c r="E63339" s="8"/>
      <c r="F63339" s="8"/>
      <c r="G63339" s="8"/>
      <c r="H63339" s="8"/>
      <c r="I63339" s="102"/>
      <c r="J63339" s="8"/>
      <c r="K63339" s="8"/>
      <c r="L63339" s="8"/>
      <c r="M63339" s="8"/>
      <c r="N63339" s="8"/>
      <c r="O63339" s="8"/>
      <c r="P63339" s="8"/>
      <c r="Q63339" s="8"/>
      <c r="R63339" s="103"/>
      <c r="S63339" s="8"/>
      <c r="T63339" s="8"/>
      <c r="U63339" s="8"/>
      <c r="V63339" s="8"/>
      <c r="W63339" s="8"/>
      <c r="X63339" s="8"/>
      <c r="Y63339" s="8"/>
      <c r="Z63339" s="8"/>
      <c r="AA63339" s="8"/>
    </row>
    <row r="63340" spans="1:27" x14ac:dyDescent="0.25">
      <c r="A63340" s="8"/>
      <c r="B63340" s="8"/>
      <c r="C63340" s="99"/>
      <c r="D63340" s="8"/>
      <c r="E63340" s="8"/>
      <c r="F63340" s="8"/>
      <c r="G63340" s="8"/>
      <c r="H63340" s="8"/>
      <c r="I63340" s="102"/>
      <c r="J63340" s="8"/>
      <c r="K63340" s="8"/>
      <c r="L63340" s="8"/>
      <c r="M63340" s="8"/>
      <c r="N63340" s="8"/>
      <c r="O63340" s="8"/>
      <c r="P63340" s="8"/>
      <c r="Q63340" s="8"/>
      <c r="R63340" s="103"/>
      <c r="S63340" s="8"/>
      <c r="T63340" s="8"/>
      <c r="U63340" s="8"/>
      <c r="V63340" s="8"/>
      <c r="W63340" s="8"/>
      <c r="X63340" s="8"/>
      <c r="Y63340" s="8"/>
      <c r="Z63340" s="8"/>
      <c r="AA63340" s="8"/>
    </row>
    <row r="63341" spans="1:27" x14ac:dyDescent="0.25">
      <c r="A63341" s="8"/>
      <c r="B63341" s="8"/>
      <c r="C63341" s="99"/>
      <c r="D63341" s="8"/>
      <c r="E63341" s="8"/>
      <c r="F63341" s="8"/>
      <c r="G63341" s="8"/>
      <c r="H63341" s="8"/>
      <c r="I63341" s="102"/>
      <c r="J63341" s="8"/>
      <c r="K63341" s="8"/>
      <c r="L63341" s="8"/>
      <c r="M63341" s="8"/>
      <c r="N63341" s="8"/>
      <c r="O63341" s="8"/>
      <c r="P63341" s="8"/>
      <c r="Q63341" s="8"/>
      <c r="R63341" s="103"/>
      <c r="S63341" s="8"/>
      <c r="T63341" s="8"/>
      <c r="U63341" s="8"/>
      <c r="V63341" s="8"/>
      <c r="W63341" s="8"/>
      <c r="X63341" s="8"/>
      <c r="Y63341" s="8"/>
      <c r="Z63341" s="8"/>
      <c r="AA63341" s="8"/>
    </row>
    <row r="63342" spans="1:27" x14ac:dyDescent="0.25">
      <c r="A63342" s="8"/>
      <c r="B63342" s="8"/>
      <c r="C63342" s="99"/>
      <c r="D63342" s="8"/>
      <c r="E63342" s="8"/>
      <c r="F63342" s="8"/>
      <c r="G63342" s="8"/>
      <c r="H63342" s="8"/>
      <c r="I63342" s="102"/>
      <c r="J63342" s="8"/>
      <c r="K63342" s="8"/>
      <c r="L63342" s="8"/>
      <c r="M63342" s="8"/>
      <c r="N63342" s="8"/>
      <c r="O63342" s="8"/>
      <c r="P63342" s="8"/>
      <c r="Q63342" s="8"/>
      <c r="R63342" s="103"/>
      <c r="S63342" s="8"/>
      <c r="T63342" s="8"/>
      <c r="U63342" s="8"/>
      <c r="V63342" s="8"/>
      <c r="W63342" s="8"/>
      <c r="X63342" s="8"/>
      <c r="Y63342" s="8"/>
      <c r="Z63342" s="8"/>
      <c r="AA63342" s="8"/>
    </row>
    <row r="63343" spans="1:27" x14ac:dyDescent="0.25">
      <c r="A63343" s="8"/>
      <c r="B63343" s="8"/>
      <c r="C63343" s="99"/>
      <c r="D63343" s="8"/>
      <c r="E63343" s="8"/>
      <c r="F63343" s="8"/>
      <c r="G63343" s="8"/>
      <c r="H63343" s="8"/>
      <c r="I63343" s="102"/>
      <c r="J63343" s="8"/>
      <c r="K63343" s="8"/>
      <c r="L63343" s="8"/>
      <c r="M63343" s="8"/>
      <c r="N63343" s="8"/>
      <c r="O63343" s="8"/>
      <c r="P63343" s="8"/>
      <c r="Q63343" s="8"/>
      <c r="R63343" s="103"/>
      <c r="S63343" s="8"/>
      <c r="T63343" s="8"/>
      <c r="U63343" s="8"/>
      <c r="V63343" s="8"/>
      <c r="W63343" s="8"/>
      <c r="X63343" s="8"/>
      <c r="Y63343" s="8"/>
      <c r="Z63343" s="8"/>
      <c r="AA63343" s="8"/>
    </row>
    <row r="63344" spans="1:27" x14ac:dyDescent="0.25">
      <c r="A63344" s="8"/>
      <c r="B63344" s="8"/>
      <c r="C63344" s="99"/>
      <c r="D63344" s="8"/>
      <c r="E63344" s="8"/>
      <c r="F63344" s="8"/>
      <c r="G63344" s="8"/>
      <c r="H63344" s="8"/>
      <c r="I63344" s="102"/>
      <c r="J63344" s="8"/>
      <c r="K63344" s="8"/>
      <c r="L63344" s="8"/>
      <c r="M63344" s="8"/>
      <c r="N63344" s="8"/>
      <c r="O63344" s="8"/>
      <c r="P63344" s="8"/>
      <c r="Q63344" s="8"/>
      <c r="R63344" s="103"/>
      <c r="S63344" s="8"/>
      <c r="T63344" s="8"/>
      <c r="U63344" s="8"/>
      <c r="V63344" s="8"/>
      <c r="W63344" s="8"/>
      <c r="X63344" s="8"/>
      <c r="Y63344" s="8"/>
      <c r="Z63344" s="8"/>
      <c r="AA63344" s="8"/>
    </row>
    <row r="63345" spans="1:27" x14ac:dyDescent="0.25">
      <c r="A63345" s="8"/>
      <c r="B63345" s="8"/>
      <c r="C63345" s="99"/>
      <c r="D63345" s="8"/>
      <c r="E63345" s="8"/>
      <c r="F63345" s="8"/>
      <c r="G63345" s="8"/>
      <c r="H63345" s="8"/>
      <c r="I63345" s="102"/>
      <c r="J63345" s="8"/>
      <c r="K63345" s="8"/>
      <c r="L63345" s="8"/>
      <c r="M63345" s="8"/>
      <c r="N63345" s="8"/>
      <c r="O63345" s="8"/>
      <c r="P63345" s="8"/>
      <c r="Q63345" s="8"/>
      <c r="R63345" s="103"/>
      <c r="S63345" s="8"/>
      <c r="T63345" s="8"/>
      <c r="U63345" s="8"/>
      <c r="V63345" s="8"/>
      <c r="W63345" s="8"/>
      <c r="X63345" s="8"/>
      <c r="Y63345" s="8"/>
      <c r="Z63345" s="8"/>
      <c r="AA63345" s="8"/>
    </row>
    <row r="63346" spans="1:27" x14ac:dyDescent="0.25">
      <c r="A63346" s="8"/>
      <c r="B63346" s="8"/>
      <c r="C63346" s="99"/>
      <c r="D63346" s="8"/>
      <c r="E63346" s="8"/>
      <c r="F63346" s="8"/>
      <c r="G63346" s="8"/>
      <c r="H63346" s="8"/>
      <c r="I63346" s="102"/>
      <c r="J63346" s="8"/>
      <c r="K63346" s="8"/>
      <c r="L63346" s="8"/>
      <c r="M63346" s="8"/>
      <c r="N63346" s="8"/>
      <c r="O63346" s="8"/>
      <c r="P63346" s="8"/>
      <c r="Q63346" s="8"/>
      <c r="R63346" s="103"/>
      <c r="S63346" s="8"/>
      <c r="T63346" s="8"/>
      <c r="U63346" s="8"/>
      <c r="V63346" s="8"/>
      <c r="W63346" s="8"/>
      <c r="X63346" s="8"/>
      <c r="Y63346" s="8"/>
      <c r="Z63346" s="8"/>
      <c r="AA63346" s="8"/>
    </row>
    <row r="63347" spans="1:27" x14ac:dyDescent="0.25">
      <c r="A63347" s="8"/>
      <c r="B63347" s="8"/>
      <c r="C63347" s="99"/>
      <c r="D63347" s="8"/>
      <c r="E63347" s="8"/>
      <c r="F63347" s="8"/>
      <c r="G63347" s="8"/>
      <c r="H63347" s="8"/>
      <c r="I63347" s="102"/>
      <c r="J63347" s="8"/>
      <c r="K63347" s="8"/>
      <c r="L63347" s="8"/>
      <c r="M63347" s="8"/>
      <c r="N63347" s="8"/>
      <c r="O63347" s="8"/>
      <c r="P63347" s="8"/>
      <c r="Q63347" s="8"/>
      <c r="R63347" s="103"/>
      <c r="S63347" s="8"/>
      <c r="T63347" s="8"/>
      <c r="U63347" s="8"/>
      <c r="V63347" s="8"/>
      <c r="W63347" s="8"/>
      <c r="X63347" s="8"/>
      <c r="Y63347" s="8"/>
      <c r="Z63347" s="8"/>
      <c r="AA63347" s="8"/>
    </row>
    <row r="63348" spans="1:27" x14ac:dyDescent="0.25">
      <c r="A63348" s="8"/>
      <c r="B63348" s="8"/>
      <c r="C63348" s="99"/>
      <c r="D63348" s="8"/>
      <c r="E63348" s="8"/>
      <c r="F63348" s="8"/>
      <c r="G63348" s="8"/>
      <c r="H63348" s="8"/>
      <c r="I63348" s="102"/>
      <c r="J63348" s="8"/>
      <c r="K63348" s="8"/>
      <c r="L63348" s="8"/>
      <c r="M63348" s="8"/>
      <c r="N63348" s="8"/>
      <c r="O63348" s="8"/>
      <c r="P63348" s="8"/>
      <c r="Q63348" s="8"/>
      <c r="R63348" s="103"/>
      <c r="S63348" s="8"/>
      <c r="T63348" s="8"/>
      <c r="U63348" s="8"/>
      <c r="V63348" s="8"/>
      <c r="W63348" s="8"/>
      <c r="X63348" s="8"/>
      <c r="Y63348" s="8"/>
      <c r="Z63348" s="8"/>
      <c r="AA63348" s="8"/>
    </row>
    <row r="63349" spans="1:27" x14ac:dyDescent="0.25">
      <c r="A63349" s="8"/>
      <c r="B63349" s="8"/>
      <c r="C63349" s="99"/>
      <c r="D63349" s="8"/>
      <c r="E63349" s="8"/>
      <c r="F63349" s="8"/>
      <c r="G63349" s="8"/>
      <c r="H63349" s="8"/>
      <c r="I63349" s="102"/>
      <c r="J63349" s="8"/>
      <c r="K63349" s="8"/>
      <c r="L63349" s="8"/>
      <c r="M63349" s="8"/>
      <c r="N63349" s="8"/>
      <c r="O63349" s="8"/>
      <c r="P63349" s="8"/>
      <c r="Q63349" s="8"/>
      <c r="R63349" s="103"/>
      <c r="S63349" s="8"/>
      <c r="T63349" s="8"/>
      <c r="U63349" s="8"/>
      <c r="V63349" s="8"/>
      <c r="W63349" s="8"/>
      <c r="X63349" s="8"/>
      <c r="Y63349" s="8"/>
      <c r="Z63349" s="8"/>
      <c r="AA63349" s="8"/>
    </row>
    <row r="63350" spans="1:27" x14ac:dyDescent="0.25">
      <c r="A63350" s="8"/>
      <c r="B63350" s="8"/>
      <c r="C63350" s="99"/>
      <c r="D63350" s="8"/>
      <c r="E63350" s="8"/>
      <c r="F63350" s="8"/>
      <c r="G63350" s="8"/>
      <c r="H63350" s="8"/>
      <c r="I63350" s="102"/>
      <c r="J63350" s="8"/>
      <c r="K63350" s="8"/>
      <c r="L63350" s="8"/>
      <c r="M63350" s="8"/>
      <c r="N63350" s="8"/>
      <c r="O63350" s="8"/>
      <c r="P63350" s="8"/>
      <c r="Q63350" s="8"/>
      <c r="R63350" s="103"/>
      <c r="S63350" s="8"/>
      <c r="T63350" s="8"/>
      <c r="U63350" s="8"/>
      <c r="V63350" s="8"/>
      <c r="W63350" s="8"/>
      <c r="X63350" s="8"/>
      <c r="Y63350" s="8"/>
      <c r="Z63350" s="8"/>
      <c r="AA63350" s="8"/>
    </row>
    <row r="63351" spans="1:27" x14ac:dyDescent="0.25">
      <c r="A63351" s="8"/>
      <c r="B63351" s="8"/>
      <c r="C63351" s="99"/>
      <c r="D63351" s="8"/>
      <c r="E63351" s="8"/>
      <c r="F63351" s="8"/>
      <c r="G63351" s="8"/>
      <c r="H63351" s="8"/>
      <c r="I63351" s="102"/>
      <c r="J63351" s="8"/>
      <c r="K63351" s="8"/>
      <c r="L63351" s="8"/>
      <c r="M63351" s="8"/>
      <c r="N63351" s="8"/>
      <c r="O63351" s="8"/>
      <c r="P63351" s="8"/>
      <c r="Q63351" s="8"/>
      <c r="R63351" s="103"/>
      <c r="S63351" s="8"/>
      <c r="T63351" s="8"/>
      <c r="U63351" s="8"/>
      <c r="V63351" s="8"/>
      <c r="W63351" s="8"/>
      <c r="X63351" s="8"/>
      <c r="Y63351" s="8"/>
      <c r="Z63351" s="8"/>
      <c r="AA63351" s="8"/>
    </row>
    <row r="63352" spans="1:27" x14ac:dyDescent="0.25">
      <c r="A63352" s="8"/>
      <c r="B63352" s="8"/>
      <c r="C63352" s="99"/>
      <c r="D63352" s="8"/>
      <c r="E63352" s="8"/>
      <c r="F63352" s="8"/>
      <c r="G63352" s="8"/>
      <c r="H63352" s="8"/>
      <c r="I63352" s="102"/>
      <c r="J63352" s="8"/>
      <c r="K63352" s="8"/>
      <c r="L63352" s="8"/>
      <c r="M63352" s="8"/>
      <c r="N63352" s="8"/>
      <c r="O63352" s="8"/>
      <c r="P63352" s="8"/>
      <c r="Q63352" s="8"/>
      <c r="R63352" s="103"/>
      <c r="S63352" s="8"/>
      <c r="T63352" s="8"/>
      <c r="U63352" s="8"/>
      <c r="V63352" s="8"/>
      <c r="W63352" s="8"/>
      <c r="X63352" s="8"/>
      <c r="Y63352" s="8"/>
      <c r="Z63352" s="8"/>
      <c r="AA63352" s="8"/>
    </row>
    <row r="63353" spans="1:27" x14ac:dyDescent="0.25">
      <c r="A63353" s="8"/>
      <c r="B63353" s="8"/>
      <c r="C63353" s="99"/>
      <c r="D63353" s="8"/>
      <c r="E63353" s="8"/>
      <c r="F63353" s="8"/>
      <c r="G63353" s="8"/>
      <c r="H63353" s="8"/>
      <c r="I63353" s="102"/>
      <c r="J63353" s="8"/>
      <c r="K63353" s="8"/>
      <c r="L63353" s="8"/>
      <c r="M63353" s="8"/>
      <c r="N63353" s="8"/>
      <c r="O63353" s="8"/>
      <c r="P63353" s="8"/>
      <c r="Q63353" s="8"/>
      <c r="R63353" s="103"/>
      <c r="S63353" s="8"/>
      <c r="T63353" s="8"/>
      <c r="U63353" s="8"/>
      <c r="V63353" s="8"/>
      <c r="W63353" s="8"/>
      <c r="X63353" s="8"/>
      <c r="Y63353" s="8"/>
      <c r="Z63353" s="8"/>
      <c r="AA63353" s="8"/>
    </row>
    <row r="63354" spans="1:27" x14ac:dyDescent="0.25">
      <c r="A63354" s="8"/>
      <c r="B63354" s="8"/>
      <c r="C63354" s="99"/>
      <c r="D63354" s="8"/>
      <c r="E63354" s="8"/>
      <c r="F63354" s="8"/>
      <c r="G63354" s="8"/>
      <c r="H63354" s="8"/>
      <c r="I63354" s="102"/>
      <c r="J63354" s="8"/>
      <c r="K63354" s="8"/>
      <c r="L63354" s="8"/>
      <c r="M63354" s="8"/>
      <c r="N63354" s="8"/>
      <c r="O63354" s="8"/>
      <c r="P63354" s="8"/>
      <c r="Q63354" s="8"/>
      <c r="R63354" s="103"/>
      <c r="S63354" s="8"/>
      <c r="T63354" s="8"/>
      <c r="U63354" s="8"/>
      <c r="V63354" s="8"/>
      <c r="W63354" s="8"/>
      <c r="X63354" s="8"/>
      <c r="Y63354" s="8"/>
      <c r="Z63354" s="8"/>
      <c r="AA63354" s="8"/>
    </row>
    <row r="63355" spans="1:27" x14ac:dyDescent="0.25">
      <c r="A63355" s="8"/>
      <c r="B63355" s="8"/>
      <c r="C63355" s="99"/>
      <c r="D63355" s="8"/>
      <c r="E63355" s="8"/>
      <c r="F63355" s="8"/>
      <c r="G63355" s="8"/>
      <c r="H63355" s="8"/>
      <c r="I63355" s="102"/>
      <c r="J63355" s="8"/>
      <c r="K63355" s="8"/>
      <c r="L63355" s="8"/>
      <c r="M63355" s="8"/>
      <c r="N63355" s="8"/>
      <c r="O63355" s="8"/>
      <c r="P63355" s="8"/>
      <c r="Q63355" s="8"/>
      <c r="R63355" s="103"/>
      <c r="S63355" s="8"/>
      <c r="T63355" s="8"/>
      <c r="U63355" s="8"/>
      <c r="V63355" s="8"/>
      <c r="W63355" s="8"/>
      <c r="X63355" s="8"/>
      <c r="Y63355" s="8"/>
      <c r="Z63355" s="8"/>
      <c r="AA63355" s="8"/>
    </row>
    <row r="63356" spans="1:27" x14ac:dyDescent="0.25">
      <c r="A63356" s="8"/>
      <c r="B63356" s="8"/>
      <c r="C63356" s="99"/>
      <c r="D63356" s="8"/>
      <c r="E63356" s="8"/>
      <c r="F63356" s="8"/>
      <c r="G63356" s="8"/>
      <c r="H63356" s="8"/>
      <c r="I63356" s="102"/>
      <c r="J63356" s="8"/>
      <c r="K63356" s="8"/>
      <c r="L63356" s="8"/>
      <c r="M63356" s="8"/>
      <c r="N63356" s="8"/>
      <c r="O63356" s="8"/>
      <c r="P63356" s="8"/>
      <c r="Q63356" s="8"/>
      <c r="R63356" s="103"/>
      <c r="S63356" s="8"/>
      <c r="T63356" s="8"/>
      <c r="U63356" s="8"/>
      <c r="V63356" s="8"/>
      <c r="W63356" s="8"/>
      <c r="X63356" s="8"/>
      <c r="Y63356" s="8"/>
      <c r="Z63356" s="8"/>
      <c r="AA63356" s="8"/>
    </row>
    <row r="63357" spans="1:27" x14ac:dyDescent="0.25">
      <c r="A63357" s="8"/>
      <c r="B63357" s="8"/>
      <c r="C63357" s="99"/>
      <c r="D63357" s="8"/>
      <c r="E63357" s="8"/>
      <c r="F63357" s="8"/>
      <c r="G63357" s="8"/>
      <c r="H63357" s="8"/>
      <c r="I63357" s="102"/>
      <c r="J63357" s="8"/>
      <c r="K63357" s="8"/>
      <c r="L63357" s="8"/>
      <c r="M63357" s="8"/>
      <c r="N63357" s="8"/>
      <c r="O63357" s="8"/>
      <c r="P63357" s="8"/>
      <c r="Q63357" s="8"/>
      <c r="R63357" s="103"/>
      <c r="S63357" s="8"/>
      <c r="T63357" s="8"/>
      <c r="U63357" s="8"/>
      <c r="V63357" s="8"/>
      <c r="W63357" s="8"/>
      <c r="X63357" s="8"/>
      <c r="Y63357" s="8"/>
      <c r="Z63357" s="8"/>
      <c r="AA63357" s="8"/>
    </row>
    <row r="63358" spans="1:27" x14ac:dyDescent="0.25">
      <c r="A63358" s="8"/>
      <c r="B63358" s="8"/>
      <c r="C63358" s="99"/>
      <c r="D63358" s="8"/>
      <c r="E63358" s="8"/>
      <c r="F63358" s="8"/>
      <c r="G63358" s="8"/>
      <c r="H63358" s="8"/>
      <c r="I63358" s="102"/>
      <c r="J63358" s="8"/>
      <c r="K63358" s="8"/>
      <c r="L63358" s="8"/>
      <c r="M63358" s="8"/>
      <c r="N63358" s="8"/>
      <c r="O63358" s="8"/>
      <c r="P63358" s="8"/>
      <c r="Q63358" s="8"/>
      <c r="R63358" s="103"/>
      <c r="S63358" s="8"/>
      <c r="T63358" s="8"/>
      <c r="U63358" s="8"/>
      <c r="V63358" s="8"/>
      <c r="W63358" s="8"/>
      <c r="X63358" s="8"/>
      <c r="Y63358" s="8"/>
      <c r="Z63358" s="8"/>
      <c r="AA63358" s="8"/>
    </row>
    <row r="63359" spans="1:27" x14ac:dyDescent="0.25">
      <c r="A63359" s="8"/>
      <c r="B63359" s="8"/>
      <c r="C63359" s="99"/>
      <c r="D63359" s="8"/>
      <c r="E63359" s="8"/>
      <c r="F63359" s="8"/>
      <c r="G63359" s="8"/>
      <c r="H63359" s="8"/>
      <c r="I63359" s="102"/>
      <c r="J63359" s="8"/>
      <c r="K63359" s="8"/>
      <c r="L63359" s="8"/>
      <c r="M63359" s="8"/>
      <c r="N63359" s="8"/>
      <c r="O63359" s="8"/>
      <c r="P63359" s="8"/>
      <c r="Q63359" s="8"/>
      <c r="R63359" s="103"/>
      <c r="S63359" s="8"/>
      <c r="T63359" s="8"/>
      <c r="U63359" s="8"/>
      <c r="V63359" s="8"/>
      <c r="W63359" s="8"/>
      <c r="X63359" s="8"/>
      <c r="Y63359" s="8"/>
      <c r="Z63359" s="8"/>
      <c r="AA63359" s="8"/>
    </row>
    <row r="63360" spans="1:27" x14ac:dyDescent="0.25">
      <c r="A63360" s="8"/>
      <c r="B63360" s="8"/>
      <c r="C63360" s="99"/>
      <c r="D63360" s="8"/>
      <c r="E63360" s="8"/>
      <c r="F63360" s="8"/>
      <c r="G63360" s="8"/>
      <c r="H63360" s="8"/>
      <c r="I63360" s="102"/>
      <c r="J63360" s="8"/>
      <c r="K63360" s="8"/>
      <c r="L63360" s="8"/>
      <c r="M63360" s="8"/>
      <c r="N63360" s="8"/>
      <c r="O63360" s="8"/>
      <c r="P63360" s="8"/>
      <c r="Q63360" s="8"/>
      <c r="R63360" s="103"/>
      <c r="S63360" s="8"/>
      <c r="T63360" s="8"/>
      <c r="U63360" s="8"/>
      <c r="V63360" s="8"/>
      <c r="W63360" s="8"/>
      <c r="X63360" s="8"/>
      <c r="Y63360" s="8"/>
      <c r="Z63360" s="8"/>
      <c r="AA63360" s="8"/>
    </row>
    <row r="63361" spans="1:27" x14ac:dyDescent="0.25">
      <c r="A63361" s="8"/>
      <c r="B63361" s="8"/>
      <c r="C63361" s="99"/>
      <c r="D63361" s="8"/>
      <c r="E63361" s="8"/>
      <c r="F63361" s="8"/>
      <c r="G63361" s="8"/>
      <c r="H63361" s="8"/>
      <c r="I63361" s="102"/>
      <c r="J63361" s="8"/>
      <c r="K63361" s="8"/>
      <c r="L63361" s="8"/>
      <c r="M63361" s="8"/>
      <c r="N63361" s="8"/>
      <c r="O63361" s="8"/>
      <c r="P63361" s="8"/>
      <c r="Q63361" s="8"/>
      <c r="R63361" s="103"/>
      <c r="S63361" s="8"/>
      <c r="T63361" s="8"/>
      <c r="U63361" s="8"/>
      <c r="V63361" s="8"/>
      <c r="W63361" s="8"/>
      <c r="X63361" s="8"/>
      <c r="Y63361" s="8"/>
      <c r="Z63361" s="8"/>
      <c r="AA63361" s="8"/>
    </row>
    <row r="63362" spans="1:27" x14ac:dyDescent="0.25">
      <c r="A63362" s="8"/>
      <c r="B63362" s="8"/>
      <c r="C63362" s="99"/>
      <c r="D63362" s="8"/>
      <c r="E63362" s="8"/>
      <c r="F63362" s="8"/>
      <c r="G63362" s="8"/>
      <c r="H63362" s="8"/>
      <c r="I63362" s="102"/>
      <c r="J63362" s="8"/>
      <c r="K63362" s="8"/>
      <c r="L63362" s="8"/>
      <c r="M63362" s="8"/>
      <c r="N63362" s="8"/>
      <c r="O63362" s="8"/>
      <c r="P63362" s="8"/>
      <c r="Q63362" s="8"/>
      <c r="R63362" s="103"/>
      <c r="S63362" s="8"/>
      <c r="T63362" s="8"/>
      <c r="U63362" s="8"/>
      <c r="V63362" s="8"/>
      <c r="W63362" s="8"/>
      <c r="X63362" s="8"/>
      <c r="Y63362" s="8"/>
      <c r="Z63362" s="8"/>
      <c r="AA63362" s="8"/>
    </row>
    <row r="63363" spans="1:27" x14ac:dyDescent="0.25">
      <c r="A63363" s="8"/>
      <c r="B63363" s="8"/>
      <c r="C63363" s="99"/>
      <c r="D63363" s="8"/>
      <c r="E63363" s="8"/>
      <c r="F63363" s="8"/>
      <c r="G63363" s="8"/>
      <c r="H63363" s="8"/>
      <c r="I63363" s="102"/>
      <c r="J63363" s="8"/>
      <c r="K63363" s="8"/>
      <c r="L63363" s="8"/>
      <c r="M63363" s="8"/>
      <c r="N63363" s="8"/>
      <c r="O63363" s="8"/>
      <c r="P63363" s="8"/>
      <c r="Q63363" s="8"/>
      <c r="R63363" s="103"/>
      <c r="S63363" s="8"/>
      <c r="T63363" s="8"/>
      <c r="U63363" s="8"/>
      <c r="V63363" s="8"/>
      <c r="W63363" s="8"/>
      <c r="X63363" s="8"/>
      <c r="Y63363" s="8"/>
      <c r="Z63363" s="8"/>
      <c r="AA63363" s="8"/>
    </row>
    <row r="63364" spans="1:27" x14ac:dyDescent="0.25">
      <c r="A63364" s="8"/>
      <c r="B63364" s="8"/>
      <c r="C63364" s="99"/>
      <c r="D63364" s="8"/>
      <c r="E63364" s="8"/>
      <c r="F63364" s="8"/>
      <c r="G63364" s="8"/>
      <c r="H63364" s="8"/>
      <c r="I63364" s="102"/>
      <c r="J63364" s="8"/>
      <c r="K63364" s="8"/>
      <c r="L63364" s="8"/>
      <c r="M63364" s="8"/>
      <c r="N63364" s="8"/>
      <c r="O63364" s="8"/>
      <c r="P63364" s="8"/>
      <c r="Q63364" s="8"/>
      <c r="R63364" s="103"/>
      <c r="S63364" s="8"/>
      <c r="T63364" s="8"/>
      <c r="U63364" s="8"/>
      <c r="V63364" s="8"/>
      <c r="W63364" s="8"/>
      <c r="X63364" s="8"/>
      <c r="Y63364" s="8"/>
      <c r="Z63364" s="8"/>
      <c r="AA63364" s="8"/>
    </row>
    <row r="63365" spans="1:27" x14ac:dyDescent="0.25">
      <c r="A63365" s="8"/>
      <c r="B63365" s="8"/>
      <c r="C63365" s="99"/>
      <c r="D63365" s="8"/>
      <c r="E63365" s="8"/>
      <c r="F63365" s="8"/>
      <c r="G63365" s="8"/>
      <c r="H63365" s="8"/>
      <c r="I63365" s="102"/>
      <c r="J63365" s="8"/>
      <c r="K63365" s="8"/>
      <c r="L63365" s="8"/>
      <c r="M63365" s="8"/>
      <c r="N63365" s="8"/>
      <c r="O63365" s="8"/>
      <c r="P63365" s="8"/>
      <c r="Q63365" s="8"/>
      <c r="R63365" s="103"/>
      <c r="S63365" s="8"/>
      <c r="T63365" s="8"/>
      <c r="U63365" s="8"/>
      <c r="V63365" s="8"/>
      <c r="W63365" s="8"/>
      <c r="X63365" s="8"/>
      <c r="Y63365" s="8"/>
      <c r="Z63365" s="8"/>
      <c r="AA63365" s="8"/>
    </row>
    <row r="63366" spans="1:27" x14ac:dyDescent="0.25">
      <c r="A63366" s="8"/>
      <c r="B63366" s="8"/>
      <c r="C63366" s="99"/>
      <c r="D63366" s="8"/>
      <c r="E63366" s="8"/>
      <c r="F63366" s="8"/>
      <c r="G63366" s="8"/>
      <c r="H63366" s="8"/>
      <c r="I63366" s="102"/>
      <c r="J63366" s="8"/>
      <c r="K63366" s="8"/>
      <c r="L63366" s="8"/>
      <c r="M63366" s="8"/>
      <c r="N63366" s="8"/>
      <c r="O63366" s="8"/>
      <c r="P63366" s="8"/>
      <c r="Q63366" s="8"/>
      <c r="R63366" s="103"/>
      <c r="S63366" s="8"/>
      <c r="T63366" s="8"/>
      <c r="U63366" s="8"/>
      <c r="V63366" s="8"/>
      <c r="W63366" s="8"/>
      <c r="X63366" s="8"/>
      <c r="Y63366" s="8"/>
      <c r="Z63366" s="8"/>
      <c r="AA63366" s="8"/>
    </row>
    <row r="63367" spans="1:27" x14ac:dyDescent="0.25">
      <c r="A63367" s="8"/>
      <c r="B63367" s="8"/>
      <c r="C63367" s="99"/>
      <c r="D63367" s="8"/>
      <c r="E63367" s="8"/>
      <c r="F63367" s="8"/>
      <c r="G63367" s="8"/>
      <c r="H63367" s="8"/>
      <c r="I63367" s="102"/>
      <c r="J63367" s="8"/>
      <c r="K63367" s="8"/>
      <c r="L63367" s="8"/>
      <c r="M63367" s="8"/>
      <c r="N63367" s="8"/>
      <c r="O63367" s="8"/>
      <c r="P63367" s="8"/>
      <c r="Q63367" s="8"/>
      <c r="R63367" s="103"/>
      <c r="S63367" s="8"/>
      <c r="T63367" s="8"/>
      <c r="U63367" s="8"/>
      <c r="V63367" s="8"/>
      <c r="W63367" s="8"/>
      <c r="X63367" s="8"/>
      <c r="Y63367" s="8"/>
      <c r="Z63367" s="8"/>
      <c r="AA63367" s="8"/>
    </row>
    <row r="63368" spans="1:27" x14ac:dyDescent="0.25">
      <c r="A63368" s="8"/>
      <c r="B63368" s="8"/>
      <c r="C63368" s="99"/>
      <c r="D63368" s="8"/>
      <c r="E63368" s="8"/>
      <c r="F63368" s="8"/>
      <c r="G63368" s="8"/>
      <c r="H63368" s="8"/>
      <c r="I63368" s="102"/>
      <c r="J63368" s="8"/>
      <c r="K63368" s="8"/>
      <c r="L63368" s="8"/>
      <c r="M63368" s="8"/>
      <c r="N63368" s="8"/>
      <c r="O63368" s="8"/>
      <c r="P63368" s="8"/>
      <c r="Q63368" s="8"/>
      <c r="R63368" s="103"/>
      <c r="S63368" s="8"/>
      <c r="T63368" s="8"/>
      <c r="U63368" s="8"/>
      <c r="V63368" s="8"/>
      <c r="W63368" s="8"/>
      <c r="X63368" s="8"/>
      <c r="Y63368" s="8"/>
      <c r="Z63368" s="8"/>
      <c r="AA63368" s="8"/>
    </row>
    <row r="63369" spans="1:27" x14ac:dyDescent="0.25">
      <c r="A63369" s="8"/>
      <c r="B63369" s="8"/>
      <c r="C63369" s="99"/>
      <c r="D63369" s="8"/>
      <c r="E63369" s="8"/>
      <c r="F63369" s="8"/>
      <c r="G63369" s="8"/>
      <c r="H63369" s="8"/>
      <c r="I63369" s="102"/>
      <c r="J63369" s="8"/>
      <c r="K63369" s="8"/>
      <c r="L63369" s="8"/>
      <c r="M63369" s="8"/>
      <c r="N63369" s="8"/>
      <c r="O63369" s="8"/>
      <c r="P63369" s="8"/>
      <c r="Q63369" s="8"/>
      <c r="R63369" s="103"/>
      <c r="S63369" s="8"/>
      <c r="T63369" s="8"/>
      <c r="U63369" s="8"/>
      <c r="V63369" s="8"/>
      <c r="W63369" s="8"/>
      <c r="X63369" s="8"/>
      <c r="Y63369" s="8"/>
      <c r="Z63369" s="8"/>
      <c r="AA63369" s="8"/>
    </row>
    <row r="63370" spans="1:27" x14ac:dyDescent="0.25">
      <c r="A63370" s="8"/>
      <c r="B63370" s="8"/>
      <c r="C63370" s="99"/>
      <c r="D63370" s="8"/>
      <c r="E63370" s="8"/>
      <c r="F63370" s="8"/>
      <c r="G63370" s="8"/>
      <c r="H63370" s="8"/>
      <c r="I63370" s="102"/>
      <c r="J63370" s="8"/>
      <c r="K63370" s="8"/>
      <c r="L63370" s="8"/>
      <c r="M63370" s="8"/>
      <c r="N63370" s="8"/>
      <c r="O63370" s="8"/>
      <c r="P63370" s="8"/>
      <c r="Q63370" s="8"/>
      <c r="R63370" s="103"/>
      <c r="S63370" s="8"/>
      <c r="T63370" s="8"/>
      <c r="U63370" s="8"/>
      <c r="V63370" s="8"/>
      <c r="W63370" s="8"/>
      <c r="X63370" s="8"/>
      <c r="Y63370" s="8"/>
      <c r="Z63370" s="8"/>
      <c r="AA63370" s="8"/>
    </row>
    <row r="63371" spans="1:27" x14ac:dyDescent="0.25">
      <c r="A63371" s="8"/>
      <c r="B63371" s="8"/>
      <c r="C63371" s="99"/>
      <c r="D63371" s="8"/>
      <c r="E63371" s="8"/>
      <c r="F63371" s="8"/>
      <c r="G63371" s="8"/>
      <c r="H63371" s="8"/>
      <c r="I63371" s="102"/>
      <c r="J63371" s="8"/>
      <c r="K63371" s="8"/>
      <c r="L63371" s="8"/>
      <c r="M63371" s="8"/>
      <c r="N63371" s="8"/>
      <c r="O63371" s="8"/>
      <c r="P63371" s="8"/>
      <c r="Q63371" s="8"/>
      <c r="R63371" s="103"/>
      <c r="S63371" s="8"/>
      <c r="T63371" s="8"/>
      <c r="U63371" s="8"/>
      <c r="V63371" s="8"/>
      <c r="W63371" s="8"/>
      <c r="X63371" s="8"/>
      <c r="Y63371" s="8"/>
      <c r="Z63371" s="8"/>
      <c r="AA63371" s="8"/>
    </row>
    <row r="63372" spans="1:27" x14ac:dyDescent="0.25">
      <c r="A63372" s="8"/>
      <c r="B63372" s="8"/>
      <c r="C63372" s="99"/>
      <c r="D63372" s="8"/>
      <c r="E63372" s="8"/>
      <c r="F63372" s="8"/>
      <c r="G63372" s="8"/>
      <c r="H63372" s="8"/>
      <c r="I63372" s="102"/>
      <c r="J63372" s="8"/>
      <c r="K63372" s="8"/>
      <c r="L63372" s="8"/>
      <c r="M63372" s="8"/>
      <c r="N63372" s="8"/>
      <c r="O63372" s="8"/>
      <c r="P63372" s="8"/>
      <c r="Q63372" s="8"/>
      <c r="R63372" s="103"/>
      <c r="S63372" s="8"/>
      <c r="T63372" s="8"/>
      <c r="U63372" s="8"/>
      <c r="V63372" s="8"/>
      <c r="W63372" s="8"/>
      <c r="X63372" s="8"/>
      <c r="Y63372" s="8"/>
      <c r="Z63372" s="8"/>
      <c r="AA63372" s="8"/>
    </row>
    <row r="63373" spans="1:27" x14ac:dyDescent="0.25">
      <c r="A63373" s="8"/>
      <c r="B63373" s="8"/>
      <c r="C63373" s="99"/>
      <c r="D63373" s="8"/>
      <c r="E63373" s="8"/>
      <c r="F63373" s="8"/>
      <c r="G63373" s="8"/>
      <c r="H63373" s="8"/>
      <c r="I63373" s="102"/>
      <c r="J63373" s="8"/>
      <c r="K63373" s="8"/>
      <c r="L63373" s="8"/>
      <c r="M63373" s="8"/>
      <c r="N63373" s="8"/>
      <c r="O63373" s="8"/>
      <c r="P63373" s="8"/>
      <c r="Q63373" s="8"/>
      <c r="R63373" s="103"/>
      <c r="S63373" s="8"/>
      <c r="T63373" s="8"/>
      <c r="U63373" s="8"/>
      <c r="V63373" s="8"/>
      <c r="W63373" s="8"/>
      <c r="X63373" s="8"/>
      <c r="Y63373" s="8"/>
      <c r="Z63373" s="8"/>
      <c r="AA63373" s="8"/>
    </row>
    <row r="63374" spans="1:27" x14ac:dyDescent="0.25">
      <c r="A63374" s="8"/>
      <c r="B63374" s="8"/>
      <c r="C63374" s="99"/>
      <c r="D63374" s="8"/>
      <c r="E63374" s="8"/>
      <c r="F63374" s="8"/>
      <c r="G63374" s="8"/>
      <c r="H63374" s="8"/>
      <c r="I63374" s="102"/>
      <c r="J63374" s="8"/>
      <c r="K63374" s="8"/>
      <c r="L63374" s="8"/>
      <c r="M63374" s="8"/>
      <c r="N63374" s="8"/>
      <c r="O63374" s="8"/>
      <c r="P63374" s="8"/>
      <c r="Q63374" s="8"/>
      <c r="R63374" s="103"/>
      <c r="S63374" s="8"/>
      <c r="T63374" s="8"/>
      <c r="U63374" s="8"/>
      <c r="V63374" s="8"/>
      <c r="W63374" s="8"/>
      <c r="X63374" s="8"/>
      <c r="Y63374" s="8"/>
      <c r="Z63374" s="8"/>
      <c r="AA63374" s="8"/>
    </row>
    <row r="63375" spans="1:27" x14ac:dyDescent="0.25">
      <c r="A63375" s="8"/>
      <c r="B63375" s="8"/>
      <c r="C63375" s="99"/>
      <c r="D63375" s="8"/>
      <c r="E63375" s="8"/>
      <c r="F63375" s="8"/>
      <c r="G63375" s="8"/>
      <c r="H63375" s="8"/>
      <c r="I63375" s="102"/>
      <c r="J63375" s="8"/>
      <c r="K63375" s="8"/>
      <c r="L63375" s="8"/>
      <c r="M63375" s="8"/>
      <c r="N63375" s="8"/>
      <c r="O63375" s="8"/>
      <c r="P63375" s="8"/>
      <c r="Q63375" s="8"/>
      <c r="R63375" s="103"/>
      <c r="S63375" s="8"/>
      <c r="T63375" s="8"/>
      <c r="U63375" s="8"/>
      <c r="V63375" s="8"/>
      <c r="W63375" s="8"/>
      <c r="X63375" s="8"/>
      <c r="Y63375" s="8"/>
      <c r="Z63375" s="8"/>
      <c r="AA63375" s="8"/>
    </row>
    <row r="63376" spans="1:27" x14ac:dyDescent="0.25">
      <c r="A63376" s="8"/>
      <c r="B63376" s="8"/>
      <c r="C63376" s="99"/>
      <c r="D63376" s="8"/>
      <c r="E63376" s="8"/>
      <c r="F63376" s="8"/>
      <c r="G63376" s="8"/>
      <c r="H63376" s="8"/>
      <c r="I63376" s="102"/>
      <c r="J63376" s="8"/>
      <c r="K63376" s="8"/>
      <c r="L63376" s="8"/>
      <c r="M63376" s="8"/>
      <c r="N63376" s="8"/>
      <c r="O63376" s="8"/>
      <c r="P63376" s="8"/>
      <c r="Q63376" s="8"/>
      <c r="R63376" s="103"/>
      <c r="S63376" s="8"/>
      <c r="T63376" s="8"/>
      <c r="U63376" s="8"/>
      <c r="V63376" s="8"/>
      <c r="W63376" s="8"/>
      <c r="X63376" s="8"/>
      <c r="Y63376" s="8"/>
      <c r="Z63376" s="8"/>
      <c r="AA63376" s="8"/>
    </row>
    <row r="63377" spans="1:27" x14ac:dyDescent="0.25">
      <c r="A63377" s="8"/>
      <c r="B63377" s="8"/>
      <c r="C63377" s="99"/>
      <c r="D63377" s="8"/>
      <c r="E63377" s="8"/>
      <c r="F63377" s="8"/>
      <c r="G63377" s="8"/>
      <c r="H63377" s="8"/>
      <c r="I63377" s="102"/>
      <c r="J63377" s="8"/>
      <c r="K63377" s="8"/>
      <c r="L63377" s="8"/>
      <c r="M63377" s="8"/>
      <c r="N63377" s="8"/>
      <c r="O63377" s="8"/>
      <c r="P63377" s="8"/>
      <c r="Q63377" s="8"/>
      <c r="R63377" s="103"/>
      <c r="S63377" s="8"/>
      <c r="T63377" s="8"/>
      <c r="U63377" s="8"/>
      <c r="V63377" s="8"/>
      <c r="W63377" s="8"/>
      <c r="X63377" s="8"/>
      <c r="Y63377" s="8"/>
      <c r="Z63377" s="8"/>
      <c r="AA63377" s="8"/>
    </row>
    <row r="63378" spans="1:27" x14ac:dyDescent="0.25">
      <c r="A63378" s="8"/>
      <c r="B63378" s="8"/>
      <c r="C63378" s="99"/>
      <c r="D63378" s="8"/>
      <c r="E63378" s="8"/>
      <c r="F63378" s="8"/>
      <c r="G63378" s="8"/>
      <c r="H63378" s="8"/>
      <c r="I63378" s="102"/>
      <c r="J63378" s="8"/>
      <c r="K63378" s="8"/>
      <c r="L63378" s="8"/>
      <c r="M63378" s="8"/>
      <c r="N63378" s="8"/>
      <c r="O63378" s="8"/>
      <c r="P63378" s="8"/>
      <c r="Q63378" s="8"/>
      <c r="R63378" s="103"/>
      <c r="S63378" s="8"/>
      <c r="T63378" s="8"/>
      <c r="U63378" s="8"/>
      <c r="V63378" s="8"/>
      <c r="W63378" s="8"/>
      <c r="X63378" s="8"/>
      <c r="Y63378" s="8"/>
      <c r="Z63378" s="8"/>
      <c r="AA63378" s="8"/>
    </row>
    <row r="63379" spans="1:27" x14ac:dyDescent="0.25">
      <c r="A63379" s="8"/>
      <c r="B63379" s="8"/>
      <c r="C63379" s="99"/>
      <c r="D63379" s="8"/>
      <c r="E63379" s="8"/>
      <c r="F63379" s="8"/>
      <c r="G63379" s="8"/>
      <c r="H63379" s="8"/>
      <c r="I63379" s="102"/>
      <c r="J63379" s="8"/>
      <c r="K63379" s="8"/>
      <c r="L63379" s="8"/>
      <c r="M63379" s="8"/>
      <c r="N63379" s="8"/>
      <c r="O63379" s="8"/>
      <c r="P63379" s="8"/>
      <c r="Q63379" s="8"/>
      <c r="R63379" s="103"/>
      <c r="S63379" s="8"/>
      <c r="T63379" s="8"/>
      <c r="U63379" s="8"/>
      <c r="V63379" s="8"/>
      <c r="W63379" s="8"/>
      <c r="X63379" s="8"/>
      <c r="Y63379" s="8"/>
      <c r="Z63379" s="8"/>
      <c r="AA63379" s="8"/>
    </row>
    <row r="63380" spans="1:27" x14ac:dyDescent="0.25">
      <c r="A63380" s="8"/>
      <c r="B63380" s="8"/>
      <c r="C63380" s="99"/>
      <c r="D63380" s="8"/>
      <c r="E63380" s="8"/>
      <c r="F63380" s="8"/>
      <c r="G63380" s="8"/>
      <c r="H63380" s="8"/>
      <c r="I63380" s="102"/>
      <c r="J63380" s="8"/>
      <c r="K63380" s="8"/>
      <c r="L63380" s="8"/>
      <c r="M63380" s="8"/>
      <c r="N63380" s="8"/>
      <c r="O63380" s="8"/>
      <c r="P63380" s="8"/>
      <c r="Q63380" s="8"/>
      <c r="R63380" s="103"/>
      <c r="S63380" s="8"/>
      <c r="T63380" s="8"/>
      <c r="U63380" s="8"/>
      <c r="V63380" s="8"/>
      <c r="W63380" s="8"/>
      <c r="X63380" s="8"/>
      <c r="Y63380" s="8"/>
      <c r="Z63380" s="8"/>
      <c r="AA63380" s="8"/>
    </row>
    <row r="63381" spans="1:27" x14ac:dyDescent="0.25">
      <c r="A63381" s="8"/>
      <c r="B63381" s="8"/>
      <c r="C63381" s="99"/>
      <c r="D63381" s="8"/>
      <c r="E63381" s="8"/>
      <c r="F63381" s="8"/>
      <c r="G63381" s="8"/>
      <c r="H63381" s="8"/>
      <c r="I63381" s="102"/>
      <c r="J63381" s="8"/>
      <c r="K63381" s="8"/>
      <c r="L63381" s="8"/>
      <c r="M63381" s="8"/>
      <c r="N63381" s="8"/>
      <c r="O63381" s="8"/>
      <c r="P63381" s="8"/>
      <c r="Q63381" s="8"/>
      <c r="R63381" s="103"/>
      <c r="S63381" s="8"/>
      <c r="T63381" s="8"/>
      <c r="U63381" s="8"/>
      <c r="V63381" s="8"/>
      <c r="W63381" s="8"/>
      <c r="X63381" s="8"/>
      <c r="Y63381" s="8"/>
      <c r="Z63381" s="8"/>
      <c r="AA63381" s="8"/>
    </row>
    <row r="63382" spans="1:27" x14ac:dyDescent="0.25">
      <c r="A63382" s="8"/>
      <c r="B63382" s="8"/>
      <c r="C63382" s="99"/>
      <c r="D63382" s="8"/>
      <c r="E63382" s="8"/>
      <c r="F63382" s="8"/>
      <c r="G63382" s="8"/>
      <c r="H63382" s="8"/>
      <c r="I63382" s="102"/>
      <c r="J63382" s="8"/>
      <c r="K63382" s="8"/>
      <c r="L63382" s="8"/>
      <c r="M63382" s="8"/>
      <c r="N63382" s="8"/>
      <c r="O63382" s="8"/>
      <c r="P63382" s="8"/>
      <c r="Q63382" s="8"/>
      <c r="R63382" s="103"/>
      <c r="S63382" s="8"/>
      <c r="T63382" s="8"/>
      <c r="U63382" s="8"/>
      <c r="V63382" s="8"/>
      <c r="W63382" s="8"/>
      <c r="X63382" s="8"/>
      <c r="Y63382" s="8"/>
      <c r="Z63382" s="8"/>
      <c r="AA63382" s="8"/>
    </row>
    <row r="63383" spans="1:27" x14ac:dyDescent="0.25">
      <c r="A63383" s="8"/>
      <c r="B63383" s="8"/>
      <c r="C63383" s="99"/>
      <c r="D63383" s="8"/>
      <c r="E63383" s="8"/>
      <c r="F63383" s="8"/>
      <c r="G63383" s="8"/>
      <c r="H63383" s="8"/>
      <c r="I63383" s="102"/>
      <c r="J63383" s="8"/>
      <c r="K63383" s="8"/>
      <c r="L63383" s="8"/>
      <c r="M63383" s="8"/>
      <c r="N63383" s="8"/>
      <c r="O63383" s="8"/>
      <c r="P63383" s="8"/>
      <c r="Q63383" s="8"/>
      <c r="R63383" s="103"/>
      <c r="S63383" s="8"/>
      <c r="T63383" s="8"/>
      <c r="U63383" s="8"/>
      <c r="V63383" s="8"/>
      <c r="W63383" s="8"/>
      <c r="X63383" s="8"/>
      <c r="Y63383" s="8"/>
      <c r="Z63383" s="8"/>
      <c r="AA63383" s="8"/>
    </row>
    <row r="63384" spans="1:27" x14ac:dyDescent="0.25">
      <c r="A63384" s="8"/>
      <c r="B63384" s="8"/>
      <c r="C63384" s="99"/>
      <c r="D63384" s="8"/>
      <c r="E63384" s="8"/>
      <c r="F63384" s="8"/>
      <c r="G63384" s="8"/>
      <c r="H63384" s="8"/>
      <c r="I63384" s="102"/>
      <c r="J63384" s="8"/>
      <c r="K63384" s="8"/>
      <c r="L63384" s="8"/>
      <c r="M63384" s="8"/>
      <c r="N63384" s="8"/>
      <c r="O63384" s="8"/>
      <c r="P63384" s="8"/>
      <c r="Q63384" s="8"/>
      <c r="R63384" s="103"/>
      <c r="S63384" s="8"/>
      <c r="T63384" s="8"/>
      <c r="U63384" s="8"/>
      <c r="V63384" s="8"/>
      <c r="W63384" s="8"/>
      <c r="X63384" s="8"/>
      <c r="Y63384" s="8"/>
      <c r="Z63384" s="8"/>
      <c r="AA63384" s="8"/>
    </row>
    <row r="63385" spans="1:27" x14ac:dyDescent="0.25">
      <c r="A63385" s="8"/>
      <c r="B63385" s="8"/>
      <c r="C63385" s="99"/>
      <c r="D63385" s="8"/>
      <c r="E63385" s="8"/>
      <c r="F63385" s="8"/>
      <c r="G63385" s="8"/>
      <c r="H63385" s="8"/>
      <c r="I63385" s="102"/>
      <c r="J63385" s="8"/>
      <c r="K63385" s="8"/>
      <c r="L63385" s="8"/>
      <c r="M63385" s="8"/>
      <c r="N63385" s="8"/>
      <c r="O63385" s="8"/>
      <c r="P63385" s="8"/>
      <c r="Q63385" s="8"/>
      <c r="R63385" s="103"/>
      <c r="S63385" s="8"/>
      <c r="T63385" s="8"/>
      <c r="U63385" s="8"/>
      <c r="V63385" s="8"/>
      <c r="W63385" s="8"/>
      <c r="X63385" s="8"/>
      <c r="Y63385" s="8"/>
      <c r="Z63385" s="8"/>
      <c r="AA63385" s="8"/>
    </row>
    <row r="63386" spans="1:27" x14ac:dyDescent="0.25">
      <c r="A63386" s="8"/>
      <c r="B63386" s="8"/>
      <c r="C63386" s="99"/>
      <c r="D63386" s="8"/>
      <c r="E63386" s="8"/>
      <c r="F63386" s="8"/>
      <c r="G63386" s="8"/>
      <c r="H63386" s="8"/>
      <c r="I63386" s="102"/>
      <c r="J63386" s="8"/>
      <c r="K63386" s="8"/>
      <c r="L63386" s="8"/>
      <c r="M63386" s="8"/>
      <c r="N63386" s="8"/>
      <c r="O63386" s="8"/>
      <c r="P63386" s="8"/>
      <c r="Q63386" s="8"/>
      <c r="R63386" s="103"/>
      <c r="S63386" s="8"/>
      <c r="T63386" s="8"/>
      <c r="U63386" s="8"/>
      <c r="V63386" s="8"/>
      <c r="W63386" s="8"/>
      <c r="X63386" s="8"/>
      <c r="Y63386" s="8"/>
      <c r="Z63386" s="8"/>
      <c r="AA63386" s="8"/>
    </row>
    <row r="63387" spans="1:27" x14ac:dyDescent="0.25">
      <c r="A63387" s="8"/>
      <c r="B63387" s="8"/>
      <c r="C63387" s="99"/>
      <c r="D63387" s="8"/>
      <c r="E63387" s="8"/>
      <c r="F63387" s="8"/>
      <c r="G63387" s="8"/>
      <c r="H63387" s="8"/>
      <c r="I63387" s="102"/>
      <c r="J63387" s="8"/>
      <c r="K63387" s="8"/>
      <c r="L63387" s="8"/>
      <c r="M63387" s="8"/>
      <c r="N63387" s="8"/>
      <c r="O63387" s="8"/>
      <c r="P63387" s="8"/>
      <c r="Q63387" s="8"/>
      <c r="R63387" s="103"/>
      <c r="S63387" s="8"/>
      <c r="T63387" s="8"/>
      <c r="U63387" s="8"/>
      <c r="V63387" s="8"/>
      <c r="W63387" s="8"/>
      <c r="X63387" s="8"/>
      <c r="Y63387" s="8"/>
      <c r="Z63387" s="8"/>
      <c r="AA63387" s="8"/>
    </row>
    <row r="63388" spans="1:27" x14ac:dyDescent="0.25">
      <c r="A63388" s="8"/>
      <c r="B63388" s="8"/>
      <c r="C63388" s="99"/>
      <c r="D63388" s="8"/>
      <c r="E63388" s="8"/>
      <c r="F63388" s="8"/>
      <c r="G63388" s="8"/>
      <c r="H63388" s="8"/>
      <c r="I63388" s="102"/>
      <c r="J63388" s="8"/>
      <c r="K63388" s="8"/>
      <c r="L63388" s="8"/>
      <c r="M63388" s="8"/>
      <c r="N63388" s="8"/>
      <c r="O63388" s="8"/>
      <c r="P63388" s="8"/>
      <c r="Q63388" s="8"/>
      <c r="R63388" s="103"/>
      <c r="S63388" s="8"/>
      <c r="T63388" s="8"/>
      <c r="U63388" s="8"/>
      <c r="V63388" s="8"/>
      <c r="W63388" s="8"/>
      <c r="X63388" s="8"/>
      <c r="Y63388" s="8"/>
      <c r="Z63388" s="8"/>
      <c r="AA63388" s="8"/>
    </row>
    <row r="63389" spans="1:27" x14ac:dyDescent="0.25">
      <c r="A63389" s="8"/>
      <c r="B63389" s="8"/>
      <c r="C63389" s="99"/>
      <c r="D63389" s="8"/>
      <c r="E63389" s="8"/>
      <c r="F63389" s="8"/>
      <c r="G63389" s="8"/>
      <c r="H63389" s="8"/>
      <c r="I63389" s="102"/>
      <c r="J63389" s="8"/>
      <c r="K63389" s="8"/>
      <c r="L63389" s="8"/>
      <c r="M63389" s="8"/>
      <c r="N63389" s="8"/>
      <c r="O63389" s="8"/>
      <c r="P63389" s="8"/>
      <c r="Q63389" s="8"/>
      <c r="R63389" s="103"/>
      <c r="S63389" s="8"/>
      <c r="T63389" s="8"/>
      <c r="U63389" s="8"/>
      <c r="V63389" s="8"/>
      <c r="W63389" s="8"/>
      <c r="X63389" s="8"/>
      <c r="Y63389" s="8"/>
      <c r="Z63389" s="8"/>
      <c r="AA63389" s="8"/>
    </row>
    <row r="63390" spans="1:27" x14ac:dyDescent="0.25">
      <c r="A63390" s="8"/>
      <c r="B63390" s="8"/>
      <c r="C63390" s="99"/>
      <c r="D63390" s="8"/>
      <c r="E63390" s="8"/>
      <c r="F63390" s="8"/>
      <c r="G63390" s="8"/>
      <c r="H63390" s="8"/>
      <c r="I63390" s="102"/>
      <c r="J63390" s="8"/>
      <c r="K63390" s="8"/>
      <c r="L63390" s="8"/>
      <c r="M63390" s="8"/>
      <c r="N63390" s="8"/>
      <c r="O63390" s="8"/>
      <c r="P63390" s="8"/>
      <c r="Q63390" s="8"/>
      <c r="R63390" s="103"/>
      <c r="S63390" s="8"/>
      <c r="T63390" s="8"/>
      <c r="U63390" s="8"/>
      <c r="V63390" s="8"/>
      <c r="W63390" s="8"/>
      <c r="X63390" s="8"/>
      <c r="Y63390" s="8"/>
      <c r="Z63390" s="8"/>
      <c r="AA63390" s="8"/>
    </row>
    <row r="63391" spans="1:27" x14ac:dyDescent="0.25">
      <c r="A63391" s="8"/>
      <c r="B63391" s="8"/>
      <c r="C63391" s="99"/>
      <c r="D63391" s="8"/>
      <c r="E63391" s="8"/>
      <c r="F63391" s="8"/>
      <c r="G63391" s="8"/>
      <c r="H63391" s="8"/>
      <c r="I63391" s="102"/>
      <c r="J63391" s="8"/>
      <c r="K63391" s="8"/>
      <c r="L63391" s="8"/>
      <c r="M63391" s="8"/>
      <c r="N63391" s="8"/>
      <c r="O63391" s="8"/>
      <c r="P63391" s="8"/>
      <c r="Q63391" s="8"/>
      <c r="R63391" s="103"/>
      <c r="S63391" s="8"/>
      <c r="T63391" s="8"/>
      <c r="U63391" s="8"/>
      <c r="V63391" s="8"/>
      <c r="W63391" s="8"/>
      <c r="X63391" s="8"/>
      <c r="Y63391" s="8"/>
      <c r="Z63391" s="8"/>
      <c r="AA63391" s="8"/>
    </row>
    <row r="63392" spans="1:27" x14ac:dyDescent="0.25">
      <c r="A63392" s="8"/>
      <c r="B63392" s="8"/>
      <c r="C63392" s="99"/>
      <c r="D63392" s="8"/>
      <c r="E63392" s="8"/>
      <c r="F63392" s="8"/>
      <c r="G63392" s="8"/>
      <c r="H63392" s="8"/>
      <c r="I63392" s="102"/>
      <c r="J63392" s="8"/>
      <c r="K63392" s="8"/>
      <c r="L63392" s="8"/>
      <c r="M63392" s="8"/>
      <c r="N63392" s="8"/>
      <c r="O63392" s="8"/>
      <c r="P63392" s="8"/>
      <c r="Q63392" s="8"/>
      <c r="R63392" s="103"/>
      <c r="S63392" s="8"/>
      <c r="T63392" s="8"/>
      <c r="U63392" s="8"/>
      <c r="V63392" s="8"/>
      <c r="W63392" s="8"/>
      <c r="X63392" s="8"/>
      <c r="Y63392" s="8"/>
      <c r="Z63392" s="8"/>
      <c r="AA63392" s="8"/>
    </row>
    <row r="63393" spans="1:27" x14ac:dyDescent="0.25">
      <c r="A63393" s="8"/>
      <c r="B63393" s="8"/>
      <c r="C63393" s="99"/>
      <c r="D63393" s="8"/>
      <c r="E63393" s="8"/>
      <c r="F63393" s="8"/>
      <c r="G63393" s="8"/>
      <c r="H63393" s="8"/>
      <c r="I63393" s="102"/>
      <c r="J63393" s="8"/>
      <c r="K63393" s="8"/>
      <c r="L63393" s="8"/>
      <c r="M63393" s="8"/>
      <c r="N63393" s="8"/>
      <c r="O63393" s="8"/>
      <c r="P63393" s="8"/>
      <c r="Q63393" s="8"/>
      <c r="R63393" s="103"/>
      <c r="S63393" s="8"/>
      <c r="T63393" s="8"/>
      <c r="U63393" s="8"/>
      <c r="V63393" s="8"/>
      <c r="W63393" s="8"/>
      <c r="X63393" s="8"/>
      <c r="Y63393" s="8"/>
      <c r="Z63393" s="8"/>
      <c r="AA63393" s="8"/>
    </row>
    <row r="63394" spans="1:27" x14ac:dyDescent="0.25">
      <c r="A63394" s="8"/>
      <c r="B63394" s="8"/>
      <c r="C63394" s="99"/>
      <c r="D63394" s="8"/>
      <c r="E63394" s="8"/>
      <c r="F63394" s="8"/>
      <c r="G63394" s="8"/>
      <c r="H63394" s="8"/>
      <c r="I63394" s="102"/>
      <c r="J63394" s="8"/>
      <c r="K63394" s="8"/>
      <c r="L63394" s="8"/>
      <c r="M63394" s="8"/>
      <c r="N63394" s="8"/>
      <c r="O63394" s="8"/>
      <c r="P63394" s="8"/>
      <c r="Q63394" s="8"/>
      <c r="R63394" s="103"/>
      <c r="S63394" s="8"/>
      <c r="T63394" s="8"/>
      <c r="U63394" s="8"/>
      <c r="V63394" s="8"/>
      <c r="W63394" s="8"/>
      <c r="X63394" s="8"/>
      <c r="Y63394" s="8"/>
      <c r="Z63394" s="8"/>
      <c r="AA63394" s="8"/>
    </row>
    <row r="63395" spans="1:27" x14ac:dyDescent="0.25">
      <c r="A63395" s="8"/>
      <c r="B63395" s="8"/>
      <c r="C63395" s="99"/>
      <c r="D63395" s="8"/>
      <c r="E63395" s="8"/>
      <c r="F63395" s="8"/>
      <c r="G63395" s="8"/>
      <c r="H63395" s="8"/>
      <c r="I63395" s="102"/>
      <c r="J63395" s="8"/>
      <c r="K63395" s="8"/>
      <c r="L63395" s="8"/>
      <c r="M63395" s="8"/>
      <c r="N63395" s="8"/>
      <c r="O63395" s="8"/>
      <c r="P63395" s="8"/>
      <c r="Q63395" s="8"/>
      <c r="R63395" s="103"/>
      <c r="S63395" s="8"/>
      <c r="T63395" s="8"/>
      <c r="U63395" s="8"/>
      <c r="V63395" s="8"/>
      <c r="W63395" s="8"/>
      <c r="X63395" s="8"/>
      <c r="Y63395" s="8"/>
      <c r="Z63395" s="8"/>
      <c r="AA63395" s="8"/>
    </row>
    <row r="63396" spans="1:27" x14ac:dyDescent="0.25">
      <c r="A63396" s="8"/>
      <c r="B63396" s="8"/>
      <c r="C63396" s="99"/>
      <c r="D63396" s="8"/>
      <c r="E63396" s="8"/>
      <c r="F63396" s="8"/>
      <c r="G63396" s="8"/>
      <c r="H63396" s="8"/>
      <c r="I63396" s="102"/>
      <c r="J63396" s="8"/>
      <c r="K63396" s="8"/>
      <c r="L63396" s="8"/>
      <c r="M63396" s="8"/>
      <c r="N63396" s="8"/>
      <c r="O63396" s="8"/>
      <c r="P63396" s="8"/>
      <c r="Q63396" s="8"/>
      <c r="R63396" s="103"/>
      <c r="S63396" s="8"/>
      <c r="T63396" s="8"/>
      <c r="U63396" s="8"/>
      <c r="V63396" s="8"/>
      <c r="W63396" s="8"/>
      <c r="X63396" s="8"/>
      <c r="Y63396" s="8"/>
      <c r="Z63396" s="8"/>
      <c r="AA63396" s="8"/>
    </row>
    <row r="63397" spans="1:27" x14ac:dyDescent="0.25">
      <c r="A63397" s="8"/>
      <c r="B63397" s="8"/>
      <c r="C63397" s="99"/>
      <c r="D63397" s="8"/>
      <c r="E63397" s="8"/>
      <c r="F63397" s="8"/>
      <c r="G63397" s="8"/>
      <c r="H63397" s="8"/>
      <c r="I63397" s="102"/>
      <c r="J63397" s="8"/>
      <c r="K63397" s="8"/>
      <c r="L63397" s="8"/>
      <c r="M63397" s="8"/>
      <c r="N63397" s="8"/>
      <c r="O63397" s="8"/>
      <c r="P63397" s="8"/>
      <c r="Q63397" s="8"/>
      <c r="R63397" s="103"/>
      <c r="S63397" s="8"/>
      <c r="T63397" s="8"/>
      <c r="U63397" s="8"/>
      <c r="V63397" s="8"/>
      <c r="W63397" s="8"/>
      <c r="X63397" s="8"/>
      <c r="Y63397" s="8"/>
      <c r="Z63397" s="8"/>
      <c r="AA63397" s="8"/>
    </row>
    <row r="63398" spans="1:27" x14ac:dyDescent="0.25">
      <c r="A63398" s="8"/>
      <c r="B63398" s="8"/>
      <c r="C63398" s="99"/>
      <c r="D63398" s="8"/>
      <c r="E63398" s="8"/>
      <c r="F63398" s="8"/>
      <c r="G63398" s="8"/>
      <c r="H63398" s="8"/>
      <c r="I63398" s="102"/>
      <c r="J63398" s="8"/>
      <c r="K63398" s="8"/>
      <c r="L63398" s="8"/>
      <c r="M63398" s="8"/>
      <c r="N63398" s="8"/>
      <c r="O63398" s="8"/>
      <c r="P63398" s="8"/>
      <c r="Q63398" s="8"/>
      <c r="R63398" s="103"/>
      <c r="S63398" s="8"/>
      <c r="T63398" s="8"/>
      <c r="U63398" s="8"/>
      <c r="V63398" s="8"/>
      <c r="W63398" s="8"/>
      <c r="X63398" s="8"/>
      <c r="Y63398" s="8"/>
      <c r="Z63398" s="8"/>
      <c r="AA63398" s="8"/>
    </row>
    <row r="63399" spans="1:27" x14ac:dyDescent="0.25">
      <c r="A63399" s="8"/>
      <c r="B63399" s="8"/>
      <c r="C63399" s="99"/>
      <c r="D63399" s="8"/>
      <c r="E63399" s="8"/>
      <c r="F63399" s="8"/>
      <c r="G63399" s="8"/>
      <c r="H63399" s="8"/>
      <c r="I63399" s="102"/>
      <c r="J63399" s="8"/>
      <c r="K63399" s="8"/>
      <c r="L63399" s="8"/>
      <c r="M63399" s="8"/>
      <c r="N63399" s="8"/>
      <c r="O63399" s="8"/>
      <c r="P63399" s="8"/>
      <c r="Q63399" s="8"/>
      <c r="R63399" s="103"/>
      <c r="S63399" s="8"/>
      <c r="T63399" s="8"/>
      <c r="U63399" s="8"/>
      <c r="V63399" s="8"/>
      <c r="W63399" s="8"/>
      <c r="X63399" s="8"/>
      <c r="Y63399" s="8"/>
      <c r="Z63399" s="8"/>
      <c r="AA63399" s="8"/>
    </row>
    <row r="63400" spans="1:27" x14ac:dyDescent="0.25">
      <c r="A63400" s="8"/>
      <c r="B63400" s="8"/>
      <c r="C63400" s="99"/>
      <c r="D63400" s="8"/>
      <c r="E63400" s="8"/>
      <c r="F63400" s="8"/>
      <c r="G63400" s="8"/>
      <c r="H63400" s="8"/>
      <c r="I63400" s="102"/>
      <c r="J63400" s="8"/>
      <c r="K63400" s="8"/>
      <c r="L63400" s="8"/>
      <c r="M63400" s="8"/>
      <c r="N63400" s="8"/>
      <c r="O63400" s="8"/>
      <c r="P63400" s="8"/>
      <c r="Q63400" s="8"/>
      <c r="R63400" s="103"/>
      <c r="S63400" s="8"/>
      <c r="T63400" s="8"/>
      <c r="U63400" s="8"/>
      <c r="V63400" s="8"/>
      <c r="W63400" s="8"/>
      <c r="X63400" s="8"/>
      <c r="Y63400" s="8"/>
      <c r="Z63400" s="8"/>
      <c r="AA63400" s="8"/>
    </row>
    <row r="63401" spans="1:27" x14ac:dyDescent="0.25">
      <c r="A63401" s="8"/>
      <c r="B63401" s="8"/>
      <c r="C63401" s="99"/>
      <c r="D63401" s="8"/>
      <c r="E63401" s="8"/>
      <c r="F63401" s="8"/>
      <c r="G63401" s="8"/>
      <c r="H63401" s="8"/>
      <c r="I63401" s="102"/>
      <c r="J63401" s="8"/>
      <c r="K63401" s="8"/>
      <c r="L63401" s="8"/>
      <c r="M63401" s="8"/>
      <c r="N63401" s="8"/>
      <c r="O63401" s="8"/>
      <c r="P63401" s="8"/>
      <c r="Q63401" s="8"/>
      <c r="R63401" s="103"/>
      <c r="S63401" s="8"/>
      <c r="T63401" s="8"/>
      <c r="U63401" s="8"/>
      <c r="V63401" s="8"/>
      <c r="W63401" s="8"/>
      <c r="X63401" s="8"/>
      <c r="Y63401" s="8"/>
      <c r="Z63401" s="8"/>
      <c r="AA63401" s="8"/>
    </row>
    <row r="63402" spans="1:27" x14ac:dyDescent="0.25">
      <c r="A63402" s="8"/>
      <c r="B63402" s="8"/>
      <c r="C63402" s="99"/>
      <c r="D63402" s="8"/>
      <c r="E63402" s="8"/>
      <c r="F63402" s="8"/>
      <c r="G63402" s="8"/>
      <c r="H63402" s="8"/>
      <c r="I63402" s="102"/>
      <c r="J63402" s="8"/>
      <c r="K63402" s="8"/>
      <c r="L63402" s="8"/>
      <c r="M63402" s="8"/>
      <c r="N63402" s="8"/>
      <c r="O63402" s="8"/>
      <c r="P63402" s="8"/>
      <c r="Q63402" s="8"/>
      <c r="R63402" s="103"/>
      <c r="S63402" s="8"/>
      <c r="T63402" s="8"/>
      <c r="U63402" s="8"/>
      <c r="V63402" s="8"/>
      <c r="W63402" s="8"/>
      <c r="X63402" s="8"/>
      <c r="Y63402" s="8"/>
      <c r="Z63402" s="8"/>
      <c r="AA63402" s="8"/>
    </row>
    <row r="63403" spans="1:27" x14ac:dyDescent="0.25">
      <c r="A63403" s="8"/>
      <c r="B63403" s="8"/>
      <c r="C63403" s="99"/>
      <c r="D63403" s="8"/>
      <c r="E63403" s="8"/>
      <c r="F63403" s="8"/>
      <c r="G63403" s="8"/>
      <c r="H63403" s="8"/>
      <c r="I63403" s="102"/>
      <c r="J63403" s="8"/>
      <c r="K63403" s="8"/>
      <c r="L63403" s="8"/>
      <c r="M63403" s="8"/>
      <c r="N63403" s="8"/>
      <c r="O63403" s="8"/>
      <c r="P63403" s="8"/>
      <c r="Q63403" s="8"/>
      <c r="R63403" s="103"/>
      <c r="S63403" s="8"/>
      <c r="T63403" s="8"/>
      <c r="U63403" s="8"/>
      <c r="V63403" s="8"/>
      <c r="W63403" s="8"/>
      <c r="X63403" s="8"/>
      <c r="Y63403" s="8"/>
      <c r="Z63403" s="8"/>
      <c r="AA63403" s="8"/>
    </row>
    <row r="63404" spans="1:27" x14ac:dyDescent="0.25">
      <c r="A63404" s="8"/>
      <c r="B63404" s="8"/>
      <c r="C63404" s="99"/>
      <c r="D63404" s="8"/>
      <c r="E63404" s="8"/>
      <c r="F63404" s="8"/>
      <c r="G63404" s="8"/>
      <c r="H63404" s="8"/>
      <c r="I63404" s="102"/>
      <c r="J63404" s="8"/>
      <c r="K63404" s="8"/>
      <c r="L63404" s="8"/>
      <c r="M63404" s="8"/>
      <c r="N63404" s="8"/>
      <c r="O63404" s="8"/>
      <c r="P63404" s="8"/>
      <c r="Q63404" s="8"/>
      <c r="R63404" s="103"/>
      <c r="S63404" s="8"/>
      <c r="T63404" s="8"/>
      <c r="U63404" s="8"/>
      <c r="V63404" s="8"/>
      <c r="W63404" s="8"/>
      <c r="X63404" s="8"/>
      <c r="Y63404" s="8"/>
      <c r="Z63404" s="8"/>
      <c r="AA63404" s="8"/>
    </row>
    <row r="63405" spans="1:27" x14ac:dyDescent="0.25">
      <c r="A63405" s="8"/>
      <c r="B63405" s="8"/>
      <c r="C63405" s="99"/>
      <c r="D63405" s="8"/>
      <c r="E63405" s="8"/>
      <c r="F63405" s="8"/>
      <c r="G63405" s="8"/>
      <c r="H63405" s="8"/>
      <c r="I63405" s="102"/>
      <c r="J63405" s="8"/>
      <c r="K63405" s="8"/>
      <c r="L63405" s="8"/>
      <c r="M63405" s="8"/>
      <c r="N63405" s="8"/>
      <c r="O63405" s="8"/>
      <c r="P63405" s="8"/>
      <c r="Q63405" s="8"/>
      <c r="R63405" s="103"/>
      <c r="S63405" s="8"/>
      <c r="T63405" s="8"/>
      <c r="U63405" s="8"/>
      <c r="V63405" s="8"/>
      <c r="W63405" s="8"/>
      <c r="X63405" s="8"/>
      <c r="Y63405" s="8"/>
      <c r="Z63405" s="8"/>
      <c r="AA63405" s="8"/>
    </row>
    <row r="63406" spans="1:27" x14ac:dyDescent="0.25">
      <c r="A63406" s="8"/>
      <c r="B63406" s="8"/>
      <c r="C63406" s="99"/>
      <c r="D63406" s="8"/>
      <c r="E63406" s="8"/>
      <c r="F63406" s="8"/>
      <c r="G63406" s="8"/>
      <c r="H63406" s="8"/>
      <c r="I63406" s="102"/>
      <c r="J63406" s="8"/>
      <c r="K63406" s="8"/>
      <c r="L63406" s="8"/>
      <c r="M63406" s="8"/>
      <c r="N63406" s="8"/>
      <c r="O63406" s="8"/>
      <c r="P63406" s="8"/>
      <c r="Q63406" s="8"/>
      <c r="R63406" s="103"/>
      <c r="S63406" s="8"/>
      <c r="T63406" s="8"/>
      <c r="U63406" s="8"/>
      <c r="V63406" s="8"/>
      <c r="W63406" s="8"/>
      <c r="X63406" s="8"/>
      <c r="Y63406" s="8"/>
      <c r="Z63406" s="8"/>
      <c r="AA63406" s="8"/>
    </row>
    <row r="63407" spans="1:27" x14ac:dyDescent="0.25">
      <c r="A63407" s="8"/>
      <c r="B63407" s="8"/>
      <c r="C63407" s="99"/>
      <c r="D63407" s="8"/>
      <c r="E63407" s="8"/>
      <c r="F63407" s="8"/>
      <c r="G63407" s="8"/>
      <c r="H63407" s="8"/>
      <c r="I63407" s="102"/>
      <c r="J63407" s="8"/>
      <c r="K63407" s="8"/>
      <c r="L63407" s="8"/>
      <c r="M63407" s="8"/>
      <c r="N63407" s="8"/>
      <c r="O63407" s="8"/>
      <c r="P63407" s="8"/>
      <c r="Q63407" s="8"/>
      <c r="R63407" s="103"/>
      <c r="S63407" s="8"/>
      <c r="T63407" s="8"/>
      <c r="U63407" s="8"/>
      <c r="V63407" s="8"/>
      <c r="W63407" s="8"/>
      <c r="X63407" s="8"/>
      <c r="Y63407" s="8"/>
      <c r="Z63407" s="8"/>
      <c r="AA63407" s="8"/>
    </row>
    <row r="63408" spans="1:27" x14ac:dyDescent="0.25">
      <c r="A63408" s="8"/>
      <c r="B63408" s="8"/>
      <c r="C63408" s="99"/>
      <c r="D63408" s="8"/>
      <c r="E63408" s="8"/>
      <c r="F63408" s="8"/>
      <c r="G63408" s="8"/>
      <c r="H63408" s="8"/>
      <c r="I63408" s="102"/>
      <c r="J63408" s="8"/>
      <c r="K63408" s="8"/>
      <c r="L63408" s="8"/>
      <c r="M63408" s="8"/>
      <c r="N63408" s="8"/>
      <c r="O63408" s="8"/>
      <c r="P63408" s="8"/>
      <c r="Q63408" s="8"/>
      <c r="R63408" s="103"/>
      <c r="S63408" s="8"/>
      <c r="T63408" s="8"/>
      <c r="U63408" s="8"/>
      <c r="V63408" s="8"/>
      <c r="W63408" s="8"/>
      <c r="X63408" s="8"/>
      <c r="Y63408" s="8"/>
      <c r="Z63408" s="8"/>
      <c r="AA63408" s="8"/>
    </row>
    <row r="63409" spans="1:27" x14ac:dyDescent="0.25">
      <c r="A63409" s="8"/>
      <c r="B63409" s="8"/>
      <c r="C63409" s="99"/>
      <c r="D63409" s="8"/>
      <c r="E63409" s="8"/>
      <c r="F63409" s="8"/>
      <c r="G63409" s="8"/>
      <c r="H63409" s="8"/>
      <c r="I63409" s="102"/>
      <c r="J63409" s="8"/>
      <c r="K63409" s="8"/>
      <c r="L63409" s="8"/>
      <c r="M63409" s="8"/>
      <c r="N63409" s="8"/>
      <c r="O63409" s="8"/>
      <c r="P63409" s="8"/>
      <c r="Q63409" s="8"/>
      <c r="R63409" s="103"/>
      <c r="S63409" s="8"/>
      <c r="T63409" s="8"/>
      <c r="U63409" s="8"/>
      <c r="V63409" s="8"/>
      <c r="W63409" s="8"/>
      <c r="X63409" s="8"/>
      <c r="Y63409" s="8"/>
      <c r="Z63409" s="8"/>
      <c r="AA63409" s="8"/>
    </row>
    <row r="63410" spans="1:27" x14ac:dyDescent="0.25">
      <c r="A63410" s="8"/>
      <c r="B63410" s="8"/>
      <c r="C63410" s="99"/>
      <c r="D63410" s="8"/>
      <c r="E63410" s="8"/>
      <c r="F63410" s="8"/>
      <c r="G63410" s="8"/>
      <c r="H63410" s="8"/>
      <c r="I63410" s="102"/>
      <c r="J63410" s="8"/>
      <c r="K63410" s="8"/>
      <c r="L63410" s="8"/>
      <c r="M63410" s="8"/>
      <c r="N63410" s="8"/>
      <c r="O63410" s="8"/>
      <c r="P63410" s="8"/>
      <c r="Q63410" s="8"/>
      <c r="R63410" s="103"/>
      <c r="S63410" s="8"/>
      <c r="T63410" s="8"/>
      <c r="U63410" s="8"/>
      <c r="V63410" s="8"/>
      <c r="W63410" s="8"/>
      <c r="X63410" s="8"/>
      <c r="Y63410" s="8"/>
      <c r="Z63410" s="8"/>
      <c r="AA63410" s="8"/>
    </row>
    <row r="63411" spans="1:27" x14ac:dyDescent="0.25">
      <c r="A63411" s="8"/>
      <c r="B63411" s="8"/>
      <c r="C63411" s="99"/>
      <c r="D63411" s="8"/>
      <c r="E63411" s="8"/>
      <c r="F63411" s="8"/>
      <c r="G63411" s="8"/>
      <c r="H63411" s="8"/>
      <c r="I63411" s="102"/>
      <c r="J63411" s="8"/>
      <c r="K63411" s="8"/>
      <c r="L63411" s="8"/>
      <c r="M63411" s="8"/>
      <c r="N63411" s="8"/>
      <c r="O63411" s="8"/>
      <c r="P63411" s="8"/>
      <c r="Q63411" s="8"/>
      <c r="R63411" s="103"/>
      <c r="S63411" s="8"/>
      <c r="T63411" s="8"/>
      <c r="U63411" s="8"/>
      <c r="V63411" s="8"/>
      <c r="W63411" s="8"/>
      <c r="X63411" s="8"/>
      <c r="Y63411" s="8"/>
      <c r="Z63411" s="8"/>
      <c r="AA63411" s="8"/>
    </row>
    <row r="63412" spans="1:27" x14ac:dyDescent="0.25">
      <c r="A63412" s="8"/>
      <c r="B63412" s="8"/>
      <c r="C63412" s="99"/>
      <c r="D63412" s="8"/>
      <c r="E63412" s="8"/>
      <c r="F63412" s="8"/>
      <c r="G63412" s="8"/>
      <c r="H63412" s="8"/>
      <c r="I63412" s="102"/>
      <c r="J63412" s="8"/>
      <c r="K63412" s="8"/>
      <c r="L63412" s="8"/>
      <c r="M63412" s="8"/>
      <c r="N63412" s="8"/>
      <c r="O63412" s="8"/>
      <c r="P63412" s="8"/>
      <c r="Q63412" s="8"/>
      <c r="R63412" s="103"/>
      <c r="S63412" s="8"/>
      <c r="T63412" s="8"/>
      <c r="U63412" s="8"/>
      <c r="V63412" s="8"/>
      <c r="W63412" s="8"/>
      <c r="X63412" s="8"/>
      <c r="Y63412" s="8"/>
      <c r="Z63412" s="8"/>
      <c r="AA63412" s="8"/>
    </row>
    <row r="63413" spans="1:27" x14ac:dyDescent="0.25">
      <c r="A63413" s="8"/>
      <c r="B63413" s="8"/>
      <c r="C63413" s="99"/>
      <c r="D63413" s="8"/>
      <c r="E63413" s="8"/>
      <c r="F63413" s="8"/>
      <c r="G63413" s="8"/>
      <c r="H63413" s="8"/>
      <c r="I63413" s="102"/>
      <c r="J63413" s="8"/>
      <c r="K63413" s="8"/>
      <c r="L63413" s="8"/>
      <c r="M63413" s="8"/>
      <c r="N63413" s="8"/>
      <c r="O63413" s="8"/>
      <c r="P63413" s="8"/>
      <c r="Q63413" s="8"/>
      <c r="R63413" s="103"/>
      <c r="S63413" s="8"/>
      <c r="T63413" s="8"/>
      <c r="U63413" s="8"/>
      <c r="V63413" s="8"/>
      <c r="W63413" s="8"/>
      <c r="X63413" s="8"/>
      <c r="Y63413" s="8"/>
      <c r="Z63413" s="8"/>
      <c r="AA63413" s="8"/>
    </row>
    <row r="63414" spans="1:27" x14ac:dyDescent="0.25">
      <c r="A63414" s="8"/>
      <c r="B63414" s="8"/>
      <c r="C63414" s="99"/>
      <c r="D63414" s="8"/>
      <c r="E63414" s="8"/>
      <c r="F63414" s="8"/>
      <c r="G63414" s="8"/>
      <c r="H63414" s="8"/>
      <c r="I63414" s="102"/>
      <c r="J63414" s="8"/>
      <c r="K63414" s="8"/>
      <c r="L63414" s="8"/>
      <c r="M63414" s="8"/>
      <c r="N63414" s="8"/>
      <c r="O63414" s="8"/>
      <c r="P63414" s="8"/>
      <c r="Q63414" s="8"/>
      <c r="R63414" s="103"/>
      <c r="S63414" s="8"/>
      <c r="T63414" s="8"/>
      <c r="U63414" s="8"/>
      <c r="V63414" s="8"/>
      <c r="W63414" s="8"/>
      <c r="X63414" s="8"/>
      <c r="Y63414" s="8"/>
      <c r="Z63414" s="8"/>
      <c r="AA63414" s="8"/>
    </row>
    <row r="63415" spans="1:27" x14ac:dyDescent="0.25">
      <c r="A63415" s="8"/>
      <c r="B63415" s="8"/>
      <c r="C63415" s="99"/>
      <c r="D63415" s="8"/>
      <c r="E63415" s="8"/>
      <c r="F63415" s="8"/>
      <c r="G63415" s="8"/>
      <c r="H63415" s="8"/>
      <c r="I63415" s="102"/>
      <c r="J63415" s="8"/>
      <c r="K63415" s="8"/>
      <c r="L63415" s="8"/>
      <c r="M63415" s="8"/>
      <c r="N63415" s="8"/>
      <c r="O63415" s="8"/>
      <c r="P63415" s="8"/>
      <c r="Q63415" s="8"/>
      <c r="R63415" s="103"/>
      <c r="S63415" s="8"/>
      <c r="T63415" s="8"/>
      <c r="U63415" s="8"/>
      <c r="V63415" s="8"/>
      <c r="W63415" s="8"/>
      <c r="X63415" s="8"/>
      <c r="Y63415" s="8"/>
      <c r="Z63415" s="8"/>
      <c r="AA63415" s="8"/>
    </row>
    <row r="63416" spans="1:27" x14ac:dyDescent="0.25">
      <c r="A63416" s="8"/>
      <c r="B63416" s="8"/>
      <c r="C63416" s="99"/>
      <c r="D63416" s="8"/>
      <c r="E63416" s="8"/>
      <c r="F63416" s="8"/>
      <c r="G63416" s="8"/>
      <c r="H63416" s="8"/>
      <c r="I63416" s="102"/>
      <c r="J63416" s="8"/>
      <c r="K63416" s="8"/>
      <c r="L63416" s="8"/>
      <c r="M63416" s="8"/>
      <c r="N63416" s="8"/>
      <c r="O63416" s="8"/>
      <c r="P63416" s="8"/>
      <c r="Q63416" s="8"/>
      <c r="R63416" s="103"/>
      <c r="S63416" s="8"/>
      <c r="T63416" s="8"/>
      <c r="U63416" s="8"/>
      <c r="V63416" s="8"/>
      <c r="W63416" s="8"/>
      <c r="X63416" s="8"/>
      <c r="Y63416" s="8"/>
      <c r="Z63416" s="8"/>
      <c r="AA63416" s="8"/>
    </row>
    <row r="63417" spans="1:27" x14ac:dyDescent="0.25">
      <c r="A63417" s="8"/>
      <c r="B63417" s="8"/>
      <c r="C63417" s="99"/>
      <c r="D63417" s="8"/>
      <c r="E63417" s="8"/>
      <c r="F63417" s="8"/>
      <c r="G63417" s="8"/>
      <c r="H63417" s="8"/>
      <c r="I63417" s="102"/>
      <c r="J63417" s="8"/>
      <c r="K63417" s="8"/>
      <c r="L63417" s="8"/>
      <c r="M63417" s="8"/>
      <c r="N63417" s="8"/>
      <c r="O63417" s="8"/>
      <c r="P63417" s="8"/>
      <c r="Q63417" s="8"/>
      <c r="R63417" s="103"/>
      <c r="S63417" s="8"/>
      <c r="T63417" s="8"/>
      <c r="U63417" s="8"/>
      <c r="V63417" s="8"/>
      <c r="W63417" s="8"/>
      <c r="X63417" s="8"/>
      <c r="Y63417" s="8"/>
      <c r="Z63417" s="8"/>
      <c r="AA63417" s="8"/>
    </row>
    <row r="63418" spans="1:27" x14ac:dyDescent="0.25">
      <c r="A63418" s="8"/>
      <c r="B63418" s="8"/>
      <c r="C63418" s="99"/>
      <c r="D63418" s="8"/>
      <c r="E63418" s="8"/>
      <c r="F63418" s="8"/>
      <c r="G63418" s="8"/>
      <c r="H63418" s="8"/>
      <c r="I63418" s="102"/>
      <c r="J63418" s="8"/>
      <c r="K63418" s="8"/>
      <c r="L63418" s="8"/>
      <c r="M63418" s="8"/>
      <c r="N63418" s="8"/>
      <c r="O63418" s="8"/>
      <c r="P63418" s="8"/>
      <c r="Q63418" s="8"/>
      <c r="R63418" s="103"/>
      <c r="S63418" s="8"/>
      <c r="T63418" s="8"/>
      <c r="U63418" s="8"/>
      <c r="V63418" s="8"/>
      <c r="W63418" s="8"/>
      <c r="X63418" s="8"/>
      <c r="Y63418" s="8"/>
      <c r="Z63418" s="8"/>
      <c r="AA63418" s="8"/>
    </row>
    <row r="63419" spans="1:27" x14ac:dyDescent="0.25">
      <c r="A63419" s="8"/>
      <c r="B63419" s="8"/>
      <c r="C63419" s="99"/>
      <c r="D63419" s="8"/>
      <c r="E63419" s="8"/>
      <c r="F63419" s="8"/>
      <c r="G63419" s="8"/>
      <c r="H63419" s="8"/>
      <c r="I63419" s="102"/>
      <c r="J63419" s="8"/>
      <c r="K63419" s="8"/>
      <c r="L63419" s="8"/>
      <c r="M63419" s="8"/>
      <c r="N63419" s="8"/>
      <c r="O63419" s="8"/>
      <c r="P63419" s="8"/>
      <c r="Q63419" s="8"/>
      <c r="R63419" s="103"/>
      <c r="S63419" s="8"/>
      <c r="T63419" s="8"/>
      <c r="U63419" s="8"/>
      <c r="V63419" s="8"/>
      <c r="W63419" s="8"/>
      <c r="X63419" s="8"/>
      <c r="Y63419" s="8"/>
      <c r="Z63419" s="8"/>
      <c r="AA63419" s="8"/>
    </row>
    <row r="63420" spans="1:27" x14ac:dyDescent="0.25">
      <c r="A63420" s="8"/>
      <c r="B63420" s="8"/>
      <c r="C63420" s="99"/>
      <c r="D63420" s="8"/>
      <c r="E63420" s="8"/>
      <c r="F63420" s="8"/>
      <c r="G63420" s="8"/>
      <c r="H63420" s="8"/>
      <c r="I63420" s="102"/>
      <c r="J63420" s="8"/>
      <c r="K63420" s="8"/>
      <c r="L63420" s="8"/>
      <c r="M63420" s="8"/>
      <c r="N63420" s="8"/>
      <c r="O63420" s="8"/>
      <c r="P63420" s="8"/>
      <c r="Q63420" s="8"/>
      <c r="R63420" s="103"/>
      <c r="S63420" s="8"/>
      <c r="T63420" s="8"/>
      <c r="U63420" s="8"/>
      <c r="V63420" s="8"/>
      <c r="W63420" s="8"/>
      <c r="X63420" s="8"/>
      <c r="Y63420" s="8"/>
      <c r="Z63420" s="8"/>
      <c r="AA63420" s="8"/>
    </row>
    <row r="63421" spans="1:27" x14ac:dyDescent="0.25">
      <c r="A63421" s="8"/>
      <c r="B63421" s="8"/>
      <c r="C63421" s="99"/>
      <c r="D63421" s="8"/>
      <c r="E63421" s="8"/>
      <c r="F63421" s="8"/>
      <c r="G63421" s="8"/>
      <c r="H63421" s="8"/>
      <c r="I63421" s="102"/>
      <c r="J63421" s="8"/>
      <c r="K63421" s="8"/>
      <c r="L63421" s="8"/>
      <c r="M63421" s="8"/>
      <c r="N63421" s="8"/>
      <c r="O63421" s="8"/>
      <c r="P63421" s="8"/>
      <c r="Q63421" s="8"/>
      <c r="R63421" s="103"/>
      <c r="S63421" s="8"/>
      <c r="T63421" s="8"/>
      <c r="U63421" s="8"/>
      <c r="V63421" s="8"/>
      <c r="W63421" s="8"/>
      <c r="X63421" s="8"/>
      <c r="Y63421" s="8"/>
      <c r="Z63421" s="8"/>
      <c r="AA63421" s="8"/>
    </row>
    <row r="63422" spans="1:27" x14ac:dyDescent="0.25">
      <c r="A63422" s="8"/>
      <c r="B63422" s="8"/>
      <c r="C63422" s="99"/>
      <c r="D63422" s="8"/>
      <c r="E63422" s="8"/>
      <c r="F63422" s="8"/>
      <c r="G63422" s="8"/>
      <c r="H63422" s="8"/>
      <c r="I63422" s="102"/>
      <c r="J63422" s="8"/>
      <c r="K63422" s="8"/>
      <c r="L63422" s="8"/>
      <c r="M63422" s="8"/>
      <c r="N63422" s="8"/>
      <c r="O63422" s="8"/>
      <c r="P63422" s="8"/>
      <c r="Q63422" s="8"/>
      <c r="R63422" s="103"/>
      <c r="S63422" s="8"/>
      <c r="T63422" s="8"/>
      <c r="U63422" s="8"/>
      <c r="V63422" s="8"/>
      <c r="W63422" s="8"/>
      <c r="X63422" s="8"/>
      <c r="Y63422" s="8"/>
      <c r="Z63422" s="8"/>
      <c r="AA63422" s="8"/>
    </row>
    <row r="63423" spans="1:27" x14ac:dyDescent="0.25">
      <c r="A63423" s="8"/>
      <c r="B63423" s="8"/>
      <c r="C63423" s="99"/>
      <c r="D63423" s="8"/>
      <c r="E63423" s="8"/>
      <c r="F63423" s="8"/>
      <c r="G63423" s="8"/>
      <c r="H63423" s="8"/>
      <c r="I63423" s="102"/>
      <c r="J63423" s="8"/>
      <c r="K63423" s="8"/>
      <c r="L63423" s="8"/>
      <c r="M63423" s="8"/>
      <c r="N63423" s="8"/>
      <c r="O63423" s="8"/>
      <c r="P63423" s="8"/>
      <c r="Q63423" s="8"/>
      <c r="R63423" s="103"/>
      <c r="S63423" s="8"/>
      <c r="T63423" s="8"/>
      <c r="U63423" s="8"/>
      <c r="V63423" s="8"/>
      <c r="W63423" s="8"/>
      <c r="X63423" s="8"/>
      <c r="Y63423" s="8"/>
      <c r="Z63423" s="8"/>
      <c r="AA63423" s="8"/>
    </row>
    <row r="63424" spans="1:27" x14ac:dyDescent="0.25">
      <c r="A63424" s="8"/>
      <c r="B63424" s="8"/>
      <c r="C63424" s="99"/>
      <c r="D63424" s="8"/>
      <c r="E63424" s="8"/>
      <c r="F63424" s="8"/>
      <c r="G63424" s="8"/>
      <c r="H63424" s="8"/>
      <c r="I63424" s="102"/>
      <c r="J63424" s="8"/>
      <c r="K63424" s="8"/>
      <c r="L63424" s="8"/>
      <c r="M63424" s="8"/>
      <c r="N63424" s="8"/>
      <c r="O63424" s="8"/>
      <c r="P63424" s="8"/>
      <c r="Q63424" s="8"/>
      <c r="R63424" s="103"/>
      <c r="S63424" s="8"/>
      <c r="T63424" s="8"/>
      <c r="U63424" s="8"/>
      <c r="V63424" s="8"/>
      <c r="W63424" s="8"/>
      <c r="X63424" s="8"/>
      <c r="Y63424" s="8"/>
      <c r="Z63424" s="8"/>
      <c r="AA63424" s="8"/>
    </row>
    <row r="63425" spans="1:27" x14ac:dyDescent="0.25">
      <c r="A63425" s="8"/>
      <c r="B63425" s="8"/>
      <c r="C63425" s="99"/>
      <c r="D63425" s="8"/>
      <c r="E63425" s="8"/>
      <c r="F63425" s="8"/>
      <c r="G63425" s="8"/>
      <c r="H63425" s="8"/>
      <c r="I63425" s="102"/>
      <c r="J63425" s="8"/>
      <c r="K63425" s="8"/>
      <c r="L63425" s="8"/>
      <c r="M63425" s="8"/>
      <c r="N63425" s="8"/>
      <c r="O63425" s="8"/>
      <c r="P63425" s="8"/>
      <c r="Q63425" s="8"/>
      <c r="R63425" s="103"/>
      <c r="S63425" s="8"/>
      <c r="T63425" s="8"/>
      <c r="U63425" s="8"/>
      <c r="V63425" s="8"/>
      <c r="W63425" s="8"/>
      <c r="X63425" s="8"/>
      <c r="Y63425" s="8"/>
      <c r="Z63425" s="8"/>
      <c r="AA63425" s="8"/>
    </row>
    <row r="63426" spans="1:27" x14ac:dyDescent="0.25">
      <c r="A63426" s="8"/>
      <c r="B63426" s="8"/>
      <c r="C63426" s="99"/>
      <c r="D63426" s="8"/>
      <c r="E63426" s="8"/>
      <c r="F63426" s="8"/>
      <c r="G63426" s="8"/>
      <c r="H63426" s="8"/>
      <c r="I63426" s="102"/>
      <c r="J63426" s="8"/>
      <c r="K63426" s="8"/>
      <c r="L63426" s="8"/>
      <c r="M63426" s="8"/>
      <c r="N63426" s="8"/>
      <c r="O63426" s="8"/>
      <c r="P63426" s="8"/>
      <c r="Q63426" s="8"/>
      <c r="R63426" s="103"/>
      <c r="S63426" s="8"/>
      <c r="T63426" s="8"/>
      <c r="U63426" s="8"/>
      <c r="V63426" s="8"/>
      <c r="W63426" s="8"/>
      <c r="X63426" s="8"/>
      <c r="Y63426" s="8"/>
      <c r="Z63426" s="8"/>
      <c r="AA63426" s="8"/>
    </row>
    <row r="63427" spans="1:27" x14ac:dyDescent="0.25">
      <c r="A63427" s="8"/>
      <c r="B63427" s="8"/>
      <c r="C63427" s="99"/>
      <c r="D63427" s="8"/>
      <c r="E63427" s="8"/>
      <c r="F63427" s="8"/>
      <c r="G63427" s="8"/>
      <c r="H63427" s="8"/>
      <c r="I63427" s="102"/>
      <c r="J63427" s="8"/>
      <c r="K63427" s="8"/>
      <c r="L63427" s="8"/>
      <c r="M63427" s="8"/>
      <c r="N63427" s="8"/>
      <c r="O63427" s="8"/>
      <c r="P63427" s="8"/>
      <c r="Q63427" s="8"/>
      <c r="R63427" s="103"/>
      <c r="S63427" s="8"/>
      <c r="T63427" s="8"/>
      <c r="U63427" s="8"/>
      <c r="V63427" s="8"/>
      <c r="W63427" s="8"/>
      <c r="X63427" s="8"/>
      <c r="Y63427" s="8"/>
      <c r="Z63427" s="8"/>
      <c r="AA63427" s="8"/>
    </row>
    <row r="63428" spans="1:27" x14ac:dyDescent="0.25">
      <c r="A63428" s="8"/>
      <c r="B63428" s="8"/>
      <c r="C63428" s="99"/>
      <c r="D63428" s="8"/>
      <c r="E63428" s="8"/>
      <c r="F63428" s="8"/>
      <c r="G63428" s="8"/>
      <c r="H63428" s="8"/>
      <c r="I63428" s="102"/>
      <c r="J63428" s="8"/>
      <c r="K63428" s="8"/>
      <c r="L63428" s="8"/>
      <c r="M63428" s="8"/>
      <c r="N63428" s="8"/>
      <c r="O63428" s="8"/>
      <c r="P63428" s="8"/>
      <c r="Q63428" s="8"/>
      <c r="R63428" s="103"/>
      <c r="S63428" s="8"/>
      <c r="T63428" s="8"/>
      <c r="U63428" s="8"/>
      <c r="V63428" s="8"/>
      <c r="W63428" s="8"/>
      <c r="X63428" s="8"/>
      <c r="Y63428" s="8"/>
      <c r="Z63428" s="8"/>
      <c r="AA63428" s="8"/>
    </row>
    <row r="63429" spans="1:27" x14ac:dyDescent="0.25">
      <c r="A63429" s="8"/>
      <c r="B63429" s="8"/>
      <c r="C63429" s="99"/>
      <c r="D63429" s="8"/>
      <c r="E63429" s="8"/>
      <c r="F63429" s="8"/>
      <c r="G63429" s="8"/>
      <c r="H63429" s="8"/>
      <c r="I63429" s="102"/>
      <c r="J63429" s="8"/>
      <c r="K63429" s="8"/>
      <c r="L63429" s="8"/>
      <c r="M63429" s="8"/>
      <c r="N63429" s="8"/>
      <c r="O63429" s="8"/>
      <c r="P63429" s="8"/>
      <c r="Q63429" s="8"/>
      <c r="R63429" s="103"/>
      <c r="S63429" s="8"/>
      <c r="T63429" s="8"/>
      <c r="U63429" s="8"/>
      <c r="V63429" s="8"/>
      <c r="W63429" s="8"/>
      <c r="X63429" s="8"/>
      <c r="Y63429" s="8"/>
      <c r="Z63429" s="8"/>
      <c r="AA63429" s="8"/>
    </row>
    <row r="63430" spans="1:27" x14ac:dyDescent="0.25">
      <c r="A63430" s="8"/>
      <c r="B63430" s="8"/>
      <c r="C63430" s="99"/>
      <c r="D63430" s="8"/>
      <c r="E63430" s="8"/>
      <c r="F63430" s="8"/>
      <c r="G63430" s="8"/>
      <c r="H63430" s="8"/>
      <c r="I63430" s="102"/>
      <c r="J63430" s="8"/>
      <c r="K63430" s="8"/>
      <c r="L63430" s="8"/>
      <c r="M63430" s="8"/>
      <c r="N63430" s="8"/>
      <c r="O63430" s="8"/>
      <c r="P63430" s="8"/>
      <c r="Q63430" s="8"/>
      <c r="R63430" s="103"/>
      <c r="S63430" s="8"/>
      <c r="T63430" s="8"/>
      <c r="U63430" s="8"/>
      <c r="V63430" s="8"/>
      <c r="W63430" s="8"/>
      <c r="X63430" s="8"/>
      <c r="Y63430" s="8"/>
      <c r="Z63430" s="8"/>
      <c r="AA63430" s="8"/>
    </row>
    <row r="63431" spans="1:27" x14ac:dyDescent="0.25">
      <c r="A63431" s="8"/>
      <c r="B63431" s="8"/>
      <c r="C63431" s="99"/>
      <c r="D63431" s="8"/>
      <c r="E63431" s="8"/>
      <c r="F63431" s="8"/>
      <c r="G63431" s="8"/>
      <c r="H63431" s="8"/>
      <c r="I63431" s="102"/>
      <c r="J63431" s="8"/>
      <c r="K63431" s="8"/>
      <c r="L63431" s="8"/>
      <c r="M63431" s="8"/>
      <c r="N63431" s="8"/>
      <c r="O63431" s="8"/>
      <c r="P63431" s="8"/>
      <c r="Q63431" s="8"/>
      <c r="R63431" s="103"/>
      <c r="S63431" s="8"/>
      <c r="T63431" s="8"/>
      <c r="U63431" s="8"/>
      <c r="V63431" s="8"/>
      <c r="W63431" s="8"/>
      <c r="X63431" s="8"/>
      <c r="Y63431" s="8"/>
      <c r="Z63431" s="8"/>
      <c r="AA63431" s="8"/>
    </row>
    <row r="63432" spans="1:27" x14ac:dyDescent="0.25">
      <c r="A63432" s="8"/>
      <c r="B63432" s="8"/>
      <c r="C63432" s="99"/>
      <c r="D63432" s="8"/>
      <c r="E63432" s="8"/>
      <c r="F63432" s="8"/>
      <c r="G63432" s="8"/>
      <c r="H63432" s="8"/>
      <c r="I63432" s="102"/>
      <c r="J63432" s="8"/>
      <c r="K63432" s="8"/>
      <c r="L63432" s="8"/>
      <c r="M63432" s="8"/>
      <c r="N63432" s="8"/>
      <c r="O63432" s="8"/>
      <c r="P63432" s="8"/>
      <c r="Q63432" s="8"/>
      <c r="R63432" s="103"/>
      <c r="S63432" s="8"/>
      <c r="T63432" s="8"/>
      <c r="U63432" s="8"/>
      <c r="V63432" s="8"/>
      <c r="W63432" s="8"/>
      <c r="X63432" s="8"/>
      <c r="Y63432" s="8"/>
      <c r="Z63432" s="8"/>
      <c r="AA63432" s="8"/>
    </row>
    <row r="63433" spans="1:27" x14ac:dyDescent="0.25">
      <c r="A63433" s="8"/>
      <c r="B63433" s="8"/>
      <c r="C63433" s="99"/>
      <c r="D63433" s="8"/>
      <c r="E63433" s="8"/>
      <c r="F63433" s="8"/>
      <c r="G63433" s="8"/>
      <c r="H63433" s="8"/>
      <c r="I63433" s="102"/>
      <c r="J63433" s="8"/>
      <c r="K63433" s="8"/>
      <c r="L63433" s="8"/>
      <c r="M63433" s="8"/>
      <c r="N63433" s="8"/>
      <c r="O63433" s="8"/>
      <c r="P63433" s="8"/>
      <c r="Q63433" s="8"/>
      <c r="R63433" s="103"/>
      <c r="S63433" s="8"/>
      <c r="T63433" s="8"/>
      <c r="U63433" s="8"/>
      <c r="V63433" s="8"/>
      <c r="W63433" s="8"/>
      <c r="X63433" s="8"/>
      <c r="Y63433" s="8"/>
      <c r="Z63433" s="8"/>
      <c r="AA63433" s="8"/>
    </row>
    <row r="63434" spans="1:27" x14ac:dyDescent="0.25">
      <c r="A63434" s="8"/>
      <c r="B63434" s="8"/>
      <c r="C63434" s="99"/>
      <c r="D63434" s="8"/>
      <c r="E63434" s="8"/>
      <c r="F63434" s="8"/>
      <c r="G63434" s="8"/>
      <c r="H63434" s="8"/>
      <c r="I63434" s="102"/>
      <c r="J63434" s="8"/>
      <c r="K63434" s="8"/>
      <c r="L63434" s="8"/>
      <c r="M63434" s="8"/>
      <c r="N63434" s="8"/>
      <c r="O63434" s="8"/>
      <c r="P63434" s="8"/>
      <c r="Q63434" s="8"/>
      <c r="R63434" s="103"/>
      <c r="S63434" s="8"/>
      <c r="T63434" s="8"/>
      <c r="U63434" s="8"/>
      <c r="V63434" s="8"/>
      <c r="W63434" s="8"/>
      <c r="X63434" s="8"/>
      <c r="Y63434" s="8"/>
      <c r="Z63434" s="8"/>
      <c r="AA63434" s="8"/>
    </row>
    <row r="63435" spans="1:27" x14ac:dyDescent="0.25">
      <c r="A63435" s="8"/>
      <c r="B63435" s="8"/>
      <c r="C63435" s="99"/>
      <c r="D63435" s="8"/>
      <c r="E63435" s="8"/>
      <c r="F63435" s="8"/>
      <c r="G63435" s="8"/>
      <c r="H63435" s="8"/>
      <c r="I63435" s="102"/>
      <c r="J63435" s="8"/>
      <c r="K63435" s="8"/>
      <c r="L63435" s="8"/>
      <c r="M63435" s="8"/>
      <c r="N63435" s="8"/>
      <c r="O63435" s="8"/>
      <c r="P63435" s="8"/>
      <c r="Q63435" s="8"/>
      <c r="R63435" s="103"/>
      <c r="S63435" s="8"/>
      <c r="T63435" s="8"/>
      <c r="U63435" s="8"/>
      <c r="V63435" s="8"/>
      <c r="W63435" s="8"/>
      <c r="X63435" s="8"/>
      <c r="Y63435" s="8"/>
      <c r="Z63435" s="8"/>
      <c r="AA63435" s="8"/>
    </row>
    <row r="63436" spans="1:27" x14ac:dyDescent="0.25">
      <c r="A63436" s="8"/>
      <c r="B63436" s="8"/>
      <c r="C63436" s="99"/>
      <c r="D63436" s="8"/>
      <c r="E63436" s="8"/>
      <c r="F63436" s="8"/>
      <c r="G63436" s="8"/>
      <c r="H63436" s="8"/>
      <c r="I63436" s="102"/>
      <c r="J63436" s="8"/>
      <c r="K63436" s="8"/>
      <c r="L63436" s="8"/>
      <c r="M63436" s="8"/>
      <c r="N63436" s="8"/>
      <c r="O63436" s="8"/>
      <c r="P63436" s="8"/>
      <c r="Q63436" s="8"/>
      <c r="R63436" s="103"/>
      <c r="S63436" s="8"/>
      <c r="T63436" s="8"/>
      <c r="U63436" s="8"/>
      <c r="V63436" s="8"/>
      <c r="W63436" s="8"/>
      <c r="X63436" s="8"/>
      <c r="Y63436" s="8"/>
      <c r="Z63436" s="8"/>
      <c r="AA63436" s="8"/>
    </row>
    <row r="63437" spans="1:27" x14ac:dyDescent="0.25">
      <c r="A63437" s="8"/>
      <c r="B63437" s="8"/>
      <c r="C63437" s="99"/>
      <c r="D63437" s="8"/>
      <c r="E63437" s="8"/>
      <c r="F63437" s="8"/>
      <c r="G63437" s="8"/>
      <c r="H63437" s="8"/>
      <c r="I63437" s="102"/>
      <c r="J63437" s="8"/>
      <c r="K63437" s="8"/>
      <c r="L63437" s="8"/>
      <c r="M63437" s="8"/>
      <c r="N63437" s="8"/>
      <c r="O63437" s="8"/>
      <c r="P63437" s="8"/>
      <c r="Q63437" s="8"/>
      <c r="R63437" s="103"/>
      <c r="S63437" s="8"/>
      <c r="T63437" s="8"/>
      <c r="U63437" s="8"/>
      <c r="V63437" s="8"/>
      <c r="W63437" s="8"/>
      <c r="X63437" s="8"/>
      <c r="Y63437" s="8"/>
      <c r="Z63437" s="8"/>
      <c r="AA63437" s="8"/>
    </row>
    <row r="63438" spans="1:27" x14ac:dyDescent="0.25">
      <c r="A63438" s="8"/>
      <c r="B63438" s="8"/>
      <c r="C63438" s="99"/>
      <c r="D63438" s="8"/>
      <c r="E63438" s="8"/>
      <c r="F63438" s="8"/>
      <c r="G63438" s="8"/>
      <c r="H63438" s="8"/>
      <c r="I63438" s="102"/>
      <c r="J63438" s="8"/>
      <c r="K63438" s="8"/>
      <c r="L63438" s="8"/>
      <c r="M63438" s="8"/>
      <c r="N63438" s="8"/>
      <c r="O63438" s="8"/>
      <c r="P63438" s="8"/>
      <c r="Q63438" s="8"/>
      <c r="R63438" s="103"/>
      <c r="S63438" s="8"/>
      <c r="T63438" s="8"/>
      <c r="U63438" s="8"/>
      <c r="V63438" s="8"/>
      <c r="W63438" s="8"/>
      <c r="X63438" s="8"/>
      <c r="Y63438" s="8"/>
      <c r="Z63438" s="8"/>
      <c r="AA63438" s="8"/>
    </row>
    <row r="63439" spans="1:27" x14ac:dyDescent="0.25">
      <c r="A63439" s="8"/>
      <c r="B63439" s="8"/>
      <c r="C63439" s="99"/>
      <c r="D63439" s="8"/>
      <c r="E63439" s="8"/>
      <c r="F63439" s="8"/>
      <c r="G63439" s="8"/>
      <c r="H63439" s="8"/>
      <c r="I63439" s="102"/>
      <c r="J63439" s="8"/>
      <c r="K63439" s="8"/>
      <c r="L63439" s="8"/>
      <c r="M63439" s="8"/>
      <c r="N63439" s="8"/>
      <c r="O63439" s="8"/>
      <c r="P63439" s="8"/>
      <c r="Q63439" s="8"/>
      <c r="R63439" s="103"/>
      <c r="S63439" s="8"/>
      <c r="T63439" s="8"/>
      <c r="U63439" s="8"/>
      <c r="V63439" s="8"/>
      <c r="W63439" s="8"/>
      <c r="X63439" s="8"/>
      <c r="Y63439" s="8"/>
      <c r="Z63439" s="8"/>
      <c r="AA63439" s="8"/>
    </row>
    <row r="63440" spans="1:27" x14ac:dyDescent="0.25">
      <c r="A63440" s="8"/>
      <c r="B63440" s="8"/>
      <c r="C63440" s="99"/>
      <c r="D63440" s="8"/>
      <c r="E63440" s="8"/>
      <c r="F63440" s="8"/>
      <c r="G63440" s="8"/>
      <c r="H63440" s="8"/>
      <c r="I63440" s="102"/>
      <c r="J63440" s="8"/>
      <c r="K63440" s="8"/>
      <c r="L63440" s="8"/>
      <c r="M63440" s="8"/>
      <c r="N63440" s="8"/>
      <c r="O63440" s="8"/>
      <c r="P63440" s="8"/>
      <c r="Q63440" s="8"/>
      <c r="R63440" s="103"/>
      <c r="S63440" s="8"/>
      <c r="T63440" s="8"/>
      <c r="U63440" s="8"/>
      <c r="V63440" s="8"/>
      <c r="W63440" s="8"/>
      <c r="X63440" s="8"/>
      <c r="Y63440" s="8"/>
      <c r="Z63440" s="8"/>
      <c r="AA63440" s="8"/>
    </row>
    <row r="63441" spans="1:27" x14ac:dyDescent="0.25">
      <c r="A63441" s="8"/>
      <c r="B63441" s="8"/>
      <c r="C63441" s="99"/>
      <c r="D63441" s="8"/>
      <c r="E63441" s="8"/>
      <c r="F63441" s="8"/>
      <c r="G63441" s="8"/>
      <c r="H63441" s="8"/>
      <c r="I63441" s="102"/>
      <c r="J63441" s="8"/>
      <c r="K63441" s="8"/>
      <c r="L63441" s="8"/>
      <c r="M63441" s="8"/>
      <c r="N63441" s="8"/>
      <c r="O63441" s="8"/>
      <c r="P63441" s="8"/>
      <c r="Q63441" s="8"/>
      <c r="R63441" s="103"/>
      <c r="S63441" s="8"/>
      <c r="T63441" s="8"/>
      <c r="U63441" s="8"/>
      <c r="V63441" s="8"/>
      <c r="W63441" s="8"/>
      <c r="X63441" s="8"/>
      <c r="Y63441" s="8"/>
      <c r="Z63441" s="8"/>
      <c r="AA63441" s="8"/>
    </row>
    <row r="63442" spans="1:27" x14ac:dyDescent="0.25">
      <c r="A63442" s="8"/>
      <c r="B63442" s="8"/>
      <c r="C63442" s="99"/>
      <c r="D63442" s="8"/>
      <c r="E63442" s="8"/>
      <c r="F63442" s="8"/>
      <c r="G63442" s="8"/>
      <c r="H63442" s="8"/>
      <c r="I63442" s="102"/>
      <c r="J63442" s="8"/>
      <c r="K63442" s="8"/>
      <c r="L63442" s="8"/>
      <c r="M63442" s="8"/>
      <c r="N63442" s="8"/>
      <c r="O63442" s="8"/>
      <c r="P63442" s="8"/>
      <c r="Q63442" s="8"/>
      <c r="R63442" s="103"/>
      <c r="S63442" s="8"/>
      <c r="T63442" s="8"/>
      <c r="U63442" s="8"/>
      <c r="V63442" s="8"/>
      <c r="W63442" s="8"/>
      <c r="X63442" s="8"/>
      <c r="Y63442" s="8"/>
      <c r="Z63442" s="8"/>
      <c r="AA63442" s="8"/>
    </row>
    <row r="63443" spans="1:27" x14ac:dyDescent="0.25">
      <c r="A63443" s="8"/>
      <c r="B63443" s="8"/>
      <c r="C63443" s="99"/>
      <c r="D63443" s="8"/>
      <c r="E63443" s="8"/>
      <c r="F63443" s="8"/>
      <c r="G63443" s="8"/>
      <c r="H63443" s="8"/>
      <c r="I63443" s="102"/>
      <c r="J63443" s="8"/>
      <c r="K63443" s="8"/>
      <c r="L63443" s="8"/>
      <c r="M63443" s="8"/>
      <c r="N63443" s="8"/>
      <c r="O63443" s="8"/>
      <c r="P63443" s="8"/>
      <c r="Q63443" s="8"/>
      <c r="R63443" s="103"/>
      <c r="S63443" s="8"/>
      <c r="T63443" s="8"/>
      <c r="U63443" s="8"/>
      <c r="V63443" s="8"/>
      <c r="W63443" s="8"/>
      <c r="X63443" s="8"/>
      <c r="Y63443" s="8"/>
      <c r="Z63443" s="8"/>
      <c r="AA63443" s="8"/>
    </row>
    <row r="63444" spans="1:27" x14ac:dyDescent="0.25">
      <c r="A63444" s="8"/>
      <c r="B63444" s="8"/>
      <c r="C63444" s="99"/>
      <c r="D63444" s="8"/>
      <c r="E63444" s="8"/>
      <c r="F63444" s="8"/>
      <c r="G63444" s="8"/>
      <c r="H63444" s="8"/>
      <c r="I63444" s="102"/>
      <c r="J63444" s="8"/>
      <c r="K63444" s="8"/>
      <c r="L63444" s="8"/>
      <c r="M63444" s="8"/>
      <c r="N63444" s="8"/>
      <c r="O63444" s="8"/>
      <c r="P63444" s="8"/>
      <c r="Q63444" s="8"/>
      <c r="R63444" s="103"/>
      <c r="S63444" s="8"/>
      <c r="T63444" s="8"/>
      <c r="U63444" s="8"/>
      <c r="V63444" s="8"/>
      <c r="W63444" s="8"/>
      <c r="X63444" s="8"/>
      <c r="Y63444" s="8"/>
      <c r="Z63444" s="8"/>
      <c r="AA63444" s="8"/>
    </row>
    <row r="63445" spans="1:27" x14ac:dyDescent="0.25">
      <c r="A63445" s="8"/>
      <c r="B63445" s="8"/>
      <c r="C63445" s="99"/>
      <c r="D63445" s="8"/>
      <c r="E63445" s="8"/>
      <c r="F63445" s="8"/>
      <c r="G63445" s="8"/>
      <c r="H63445" s="8"/>
      <c r="I63445" s="102"/>
      <c r="J63445" s="8"/>
      <c r="K63445" s="8"/>
      <c r="L63445" s="8"/>
      <c r="M63445" s="8"/>
      <c r="N63445" s="8"/>
      <c r="O63445" s="8"/>
      <c r="P63445" s="8"/>
      <c r="Q63445" s="8"/>
      <c r="R63445" s="103"/>
      <c r="S63445" s="8"/>
      <c r="T63445" s="8"/>
      <c r="U63445" s="8"/>
      <c r="V63445" s="8"/>
      <c r="W63445" s="8"/>
      <c r="X63445" s="8"/>
      <c r="Y63445" s="8"/>
      <c r="Z63445" s="8"/>
      <c r="AA63445" s="8"/>
    </row>
    <row r="63446" spans="1:27" x14ac:dyDescent="0.25">
      <c r="A63446" s="8"/>
      <c r="B63446" s="8"/>
      <c r="C63446" s="99"/>
      <c r="D63446" s="8"/>
      <c r="E63446" s="8"/>
      <c r="F63446" s="8"/>
      <c r="G63446" s="8"/>
      <c r="H63446" s="8"/>
      <c r="I63446" s="102"/>
      <c r="J63446" s="8"/>
      <c r="K63446" s="8"/>
      <c r="L63446" s="8"/>
      <c r="M63446" s="8"/>
      <c r="N63446" s="8"/>
      <c r="O63446" s="8"/>
      <c r="P63446" s="8"/>
      <c r="Q63446" s="8"/>
      <c r="R63446" s="103"/>
      <c r="S63446" s="8"/>
      <c r="T63446" s="8"/>
      <c r="U63446" s="8"/>
      <c r="V63446" s="8"/>
      <c r="W63446" s="8"/>
      <c r="X63446" s="8"/>
      <c r="Y63446" s="8"/>
      <c r="Z63446" s="8"/>
      <c r="AA63446" s="8"/>
    </row>
    <row r="63447" spans="1:27" x14ac:dyDescent="0.25">
      <c r="A63447" s="8"/>
      <c r="B63447" s="8"/>
      <c r="C63447" s="99"/>
      <c r="D63447" s="8"/>
      <c r="E63447" s="8"/>
      <c r="F63447" s="8"/>
      <c r="G63447" s="8"/>
      <c r="H63447" s="8"/>
      <c r="I63447" s="102"/>
      <c r="J63447" s="8"/>
      <c r="K63447" s="8"/>
      <c r="L63447" s="8"/>
      <c r="M63447" s="8"/>
      <c r="N63447" s="8"/>
      <c r="O63447" s="8"/>
      <c r="P63447" s="8"/>
      <c r="Q63447" s="8"/>
      <c r="R63447" s="103"/>
      <c r="S63447" s="8"/>
      <c r="T63447" s="8"/>
      <c r="U63447" s="8"/>
      <c r="V63447" s="8"/>
      <c r="W63447" s="8"/>
      <c r="X63447" s="8"/>
      <c r="Y63447" s="8"/>
      <c r="Z63447" s="8"/>
      <c r="AA63447" s="8"/>
    </row>
    <row r="63448" spans="1:27" x14ac:dyDescent="0.25">
      <c r="A63448" s="8"/>
      <c r="B63448" s="8"/>
      <c r="C63448" s="99"/>
      <c r="D63448" s="8"/>
      <c r="E63448" s="8"/>
      <c r="F63448" s="8"/>
      <c r="G63448" s="8"/>
      <c r="H63448" s="8"/>
      <c r="I63448" s="102"/>
      <c r="J63448" s="8"/>
      <c r="K63448" s="8"/>
      <c r="L63448" s="8"/>
      <c r="M63448" s="8"/>
      <c r="N63448" s="8"/>
      <c r="O63448" s="8"/>
      <c r="P63448" s="8"/>
      <c r="Q63448" s="8"/>
      <c r="R63448" s="103"/>
      <c r="S63448" s="8"/>
      <c r="T63448" s="8"/>
      <c r="U63448" s="8"/>
      <c r="V63448" s="8"/>
      <c r="W63448" s="8"/>
      <c r="X63448" s="8"/>
      <c r="Y63448" s="8"/>
      <c r="Z63448" s="8"/>
      <c r="AA63448" s="8"/>
    </row>
    <row r="63449" spans="1:27" x14ac:dyDescent="0.25">
      <c r="A63449" s="8"/>
      <c r="B63449" s="8"/>
      <c r="C63449" s="99"/>
      <c r="D63449" s="8"/>
      <c r="E63449" s="8"/>
      <c r="F63449" s="8"/>
      <c r="G63449" s="8"/>
      <c r="H63449" s="8"/>
      <c r="I63449" s="102"/>
      <c r="J63449" s="8"/>
      <c r="K63449" s="8"/>
      <c r="L63449" s="8"/>
      <c r="M63449" s="8"/>
      <c r="N63449" s="8"/>
      <c r="O63449" s="8"/>
      <c r="P63449" s="8"/>
      <c r="Q63449" s="8"/>
      <c r="R63449" s="103"/>
      <c r="S63449" s="8"/>
      <c r="T63449" s="8"/>
      <c r="U63449" s="8"/>
      <c r="V63449" s="8"/>
      <c r="W63449" s="8"/>
      <c r="X63449" s="8"/>
      <c r="Y63449" s="8"/>
      <c r="Z63449" s="8"/>
      <c r="AA63449" s="8"/>
    </row>
    <row r="63450" spans="1:27" x14ac:dyDescent="0.25">
      <c r="A63450" s="8"/>
      <c r="B63450" s="8"/>
      <c r="C63450" s="99"/>
      <c r="D63450" s="8"/>
      <c r="E63450" s="8"/>
      <c r="F63450" s="8"/>
      <c r="G63450" s="8"/>
      <c r="H63450" s="8"/>
      <c r="I63450" s="102"/>
      <c r="J63450" s="8"/>
      <c r="K63450" s="8"/>
      <c r="L63450" s="8"/>
      <c r="M63450" s="8"/>
      <c r="N63450" s="8"/>
      <c r="O63450" s="8"/>
      <c r="P63450" s="8"/>
      <c r="Q63450" s="8"/>
      <c r="R63450" s="103"/>
      <c r="S63450" s="8"/>
      <c r="T63450" s="8"/>
      <c r="U63450" s="8"/>
      <c r="V63450" s="8"/>
      <c r="W63450" s="8"/>
      <c r="X63450" s="8"/>
      <c r="Y63450" s="8"/>
      <c r="Z63450" s="8"/>
      <c r="AA63450" s="8"/>
    </row>
    <row r="63451" spans="1:27" x14ac:dyDescent="0.25">
      <c r="A63451" s="8"/>
      <c r="B63451" s="8"/>
      <c r="C63451" s="99"/>
      <c r="D63451" s="8"/>
      <c r="E63451" s="8"/>
      <c r="F63451" s="8"/>
      <c r="G63451" s="8"/>
      <c r="H63451" s="8"/>
      <c r="I63451" s="102"/>
      <c r="J63451" s="8"/>
      <c r="K63451" s="8"/>
      <c r="L63451" s="8"/>
      <c r="M63451" s="8"/>
      <c r="N63451" s="8"/>
      <c r="O63451" s="8"/>
      <c r="P63451" s="8"/>
      <c r="Q63451" s="8"/>
      <c r="R63451" s="103"/>
      <c r="S63451" s="8"/>
      <c r="T63451" s="8"/>
      <c r="U63451" s="8"/>
      <c r="V63451" s="8"/>
      <c r="W63451" s="8"/>
      <c r="X63451" s="8"/>
      <c r="Y63451" s="8"/>
      <c r="Z63451" s="8"/>
      <c r="AA63451" s="8"/>
    </row>
    <row r="63452" spans="1:27" x14ac:dyDescent="0.25">
      <c r="A63452" s="8"/>
      <c r="B63452" s="8"/>
      <c r="C63452" s="99"/>
      <c r="D63452" s="8"/>
      <c r="E63452" s="8"/>
      <c r="F63452" s="8"/>
      <c r="G63452" s="8"/>
      <c r="H63452" s="8"/>
      <c r="I63452" s="102"/>
      <c r="J63452" s="8"/>
      <c r="K63452" s="8"/>
      <c r="L63452" s="8"/>
      <c r="M63452" s="8"/>
      <c r="N63452" s="8"/>
      <c r="O63452" s="8"/>
      <c r="P63452" s="8"/>
      <c r="Q63452" s="8"/>
      <c r="R63452" s="103"/>
      <c r="S63452" s="8"/>
      <c r="T63452" s="8"/>
      <c r="U63452" s="8"/>
      <c r="V63452" s="8"/>
      <c r="W63452" s="8"/>
      <c r="X63452" s="8"/>
      <c r="Y63452" s="8"/>
      <c r="Z63452" s="8"/>
      <c r="AA63452" s="8"/>
    </row>
    <row r="63453" spans="1:27" x14ac:dyDescent="0.25">
      <c r="A63453" s="8"/>
      <c r="B63453" s="8"/>
      <c r="C63453" s="99"/>
      <c r="D63453" s="8"/>
      <c r="E63453" s="8"/>
      <c r="F63453" s="8"/>
      <c r="G63453" s="8"/>
      <c r="H63453" s="8"/>
      <c r="I63453" s="102"/>
      <c r="J63453" s="8"/>
      <c r="K63453" s="8"/>
      <c r="L63453" s="8"/>
      <c r="M63453" s="8"/>
      <c r="N63453" s="8"/>
      <c r="O63453" s="8"/>
      <c r="P63453" s="8"/>
      <c r="Q63453" s="8"/>
      <c r="R63453" s="103"/>
      <c r="S63453" s="8"/>
      <c r="T63453" s="8"/>
      <c r="U63453" s="8"/>
      <c r="V63453" s="8"/>
      <c r="W63453" s="8"/>
      <c r="X63453" s="8"/>
      <c r="Y63453" s="8"/>
      <c r="Z63453" s="8"/>
      <c r="AA63453" s="8"/>
    </row>
    <row r="63454" spans="1:27" x14ac:dyDescent="0.25">
      <c r="A63454" s="8"/>
      <c r="B63454" s="8"/>
      <c r="C63454" s="99"/>
      <c r="D63454" s="8"/>
      <c r="E63454" s="8"/>
      <c r="F63454" s="8"/>
      <c r="G63454" s="8"/>
      <c r="H63454" s="8"/>
      <c r="I63454" s="102"/>
      <c r="J63454" s="8"/>
      <c r="K63454" s="8"/>
      <c r="L63454" s="8"/>
      <c r="M63454" s="8"/>
      <c r="N63454" s="8"/>
      <c r="O63454" s="8"/>
      <c r="P63454" s="8"/>
      <c r="Q63454" s="8"/>
      <c r="R63454" s="103"/>
      <c r="S63454" s="8"/>
      <c r="T63454" s="8"/>
      <c r="U63454" s="8"/>
      <c r="V63454" s="8"/>
      <c r="W63454" s="8"/>
      <c r="X63454" s="8"/>
      <c r="Y63454" s="8"/>
      <c r="Z63454" s="8"/>
      <c r="AA63454" s="8"/>
    </row>
    <row r="63455" spans="1:27" x14ac:dyDescent="0.25">
      <c r="A63455" s="8"/>
      <c r="B63455" s="8"/>
      <c r="C63455" s="99"/>
      <c r="D63455" s="8"/>
      <c r="E63455" s="8"/>
      <c r="F63455" s="8"/>
      <c r="G63455" s="8"/>
      <c r="H63455" s="8"/>
      <c r="I63455" s="102"/>
      <c r="J63455" s="8"/>
      <c r="K63455" s="8"/>
      <c r="L63455" s="8"/>
      <c r="M63455" s="8"/>
      <c r="N63455" s="8"/>
      <c r="O63455" s="8"/>
      <c r="P63455" s="8"/>
      <c r="Q63455" s="8"/>
      <c r="R63455" s="103"/>
      <c r="S63455" s="8"/>
      <c r="T63455" s="8"/>
      <c r="U63455" s="8"/>
      <c r="V63455" s="8"/>
      <c r="W63455" s="8"/>
      <c r="X63455" s="8"/>
      <c r="Y63455" s="8"/>
      <c r="Z63455" s="8"/>
      <c r="AA63455" s="8"/>
    </row>
    <row r="63456" spans="1:27" x14ac:dyDescent="0.25">
      <c r="A63456" s="8"/>
      <c r="B63456" s="8"/>
      <c r="C63456" s="99"/>
      <c r="D63456" s="8"/>
      <c r="E63456" s="8"/>
      <c r="F63456" s="8"/>
      <c r="G63456" s="8"/>
      <c r="H63456" s="8"/>
      <c r="I63456" s="102"/>
      <c r="J63456" s="8"/>
      <c r="K63456" s="8"/>
      <c r="L63456" s="8"/>
      <c r="M63456" s="8"/>
      <c r="N63456" s="8"/>
      <c r="O63456" s="8"/>
      <c r="P63456" s="8"/>
      <c r="Q63456" s="8"/>
      <c r="R63456" s="103"/>
      <c r="S63456" s="8"/>
      <c r="T63456" s="8"/>
      <c r="U63456" s="8"/>
      <c r="V63456" s="8"/>
      <c r="W63456" s="8"/>
      <c r="X63456" s="8"/>
      <c r="Y63456" s="8"/>
      <c r="Z63456" s="8"/>
      <c r="AA63456" s="8"/>
    </row>
    <row r="63457" spans="1:27" x14ac:dyDescent="0.25">
      <c r="A63457" s="8"/>
      <c r="B63457" s="8"/>
      <c r="C63457" s="99"/>
      <c r="D63457" s="8"/>
      <c r="E63457" s="8"/>
      <c r="F63457" s="8"/>
      <c r="G63457" s="8"/>
      <c r="H63457" s="8"/>
      <c r="I63457" s="102"/>
      <c r="J63457" s="8"/>
      <c r="K63457" s="8"/>
      <c r="L63457" s="8"/>
      <c r="M63457" s="8"/>
      <c r="N63457" s="8"/>
      <c r="O63457" s="8"/>
      <c r="P63457" s="8"/>
      <c r="Q63457" s="8"/>
      <c r="R63457" s="103"/>
      <c r="S63457" s="8"/>
      <c r="T63457" s="8"/>
      <c r="U63457" s="8"/>
      <c r="V63457" s="8"/>
      <c r="W63457" s="8"/>
      <c r="X63457" s="8"/>
      <c r="Y63457" s="8"/>
      <c r="Z63457" s="8"/>
      <c r="AA63457" s="8"/>
    </row>
    <row r="63458" spans="1:27" x14ac:dyDescent="0.25">
      <c r="A63458" s="8"/>
      <c r="B63458" s="8"/>
      <c r="C63458" s="99"/>
      <c r="D63458" s="8"/>
      <c r="E63458" s="8"/>
      <c r="F63458" s="8"/>
      <c r="G63458" s="8"/>
      <c r="H63458" s="8"/>
      <c r="I63458" s="102"/>
      <c r="J63458" s="8"/>
      <c r="K63458" s="8"/>
      <c r="L63458" s="8"/>
      <c r="M63458" s="8"/>
      <c r="N63458" s="8"/>
      <c r="O63458" s="8"/>
      <c r="P63458" s="8"/>
      <c r="Q63458" s="8"/>
      <c r="R63458" s="103"/>
      <c r="S63458" s="8"/>
      <c r="T63458" s="8"/>
      <c r="U63458" s="8"/>
      <c r="V63458" s="8"/>
      <c r="W63458" s="8"/>
      <c r="X63458" s="8"/>
      <c r="Y63458" s="8"/>
      <c r="Z63458" s="8"/>
      <c r="AA63458" s="8"/>
    </row>
    <row r="63459" spans="1:27" x14ac:dyDescent="0.25">
      <c r="A63459" s="8"/>
      <c r="B63459" s="8"/>
      <c r="C63459" s="99"/>
      <c r="D63459" s="8"/>
      <c r="E63459" s="8"/>
      <c r="F63459" s="8"/>
      <c r="G63459" s="8"/>
      <c r="H63459" s="8"/>
      <c r="I63459" s="102"/>
      <c r="J63459" s="8"/>
      <c r="K63459" s="8"/>
      <c r="L63459" s="8"/>
      <c r="M63459" s="8"/>
      <c r="N63459" s="8"/>
      <c r="O63459" s="8"/>
      <c r="P63459" s="8"/>
      <c r="Q63459" s="8"/>
      <c r="R63459" s="103"/>
      <c r="S63459" s="8"/>
      <c r="T63459" s="8"/>
      <c r="U63459" s="8"/>
      <c r="V63459" s="8"/>
      <c r="W63459" s="8"/>
      <c r="X63459" s="8"/>
      <c r="Y63459" s="8"/>
      <c r="Z63459" s="8"/>
      <c r="AA63459" s="8"/>
    </row>
    <row r="63460" spans="1:27" x14ac:dyDescent="0.25">
      <c r="A63460" s="8"/>
      <c r="B63460" s="8"/>
      <c r="C63460" s="99"/>
      <c r="D63460" s="8"/>
      <c r="E63460" s="8"/>
      <c r="F63460" s="8"/>
      <c r="G63460" s="8"/>
      <c r="H63460" s="8"/>
      <c r="I63460" s="102"/>
      <c r="J63460" s="8"/>
      <c r="K63460" s="8"/>
      <c r="L63460" s="8"/>
      <c r="M63460" s="8"/>
      <c r="N63460" s="8"/>
      <c r="O63460" s="8"/>
      <c r="P63460" s="8"/>
      <c r="Q63460" s="8"/>
      <c r="R63460" s="103"/>
      <c r="S63460" s="8"/>
      <c r="T63460" s="8"/>
      <c r="U63460" s="8"/>
      <c r="V63460" s="8"/>
      <c r="W63460" s="8"/>
      <c r="X63460" s="8"/>
      <c r="Y63460" s="8"/>
      <c r="Z63460" s="8"/>
      <c r="AA63460" s="8"/>
    </row>
    <row r="63461" spans="1:27" x14ac:dyDescent="0.25">
      <c r="A63461" s="8"/>
      <c r="B63461" s="8"/>
      <c r="C63461" s="99"/>
      <c r="D63461" s="8"/>
      <c r="E63461" s="8"/>
      <c r="F63461" s="8"/>
      <c r="G63461" s="8"/>
      <c r="H63461" s="8"/>
      <c r="I63461" s="102"/>
      <c r="J63461" s="8"/>
      <c r="K63461" s="8"/>
      <c r="L63461" s="8"/>
      <c r="M63461" s="8"/>
      <c r="N63461" s="8"/>
      <c r="O63461" s="8"/>
      <c r="P63461" s="8"/>
      <c r="Q63461" s="8"/>
      <c r="R63461" s="103"/>
      <c r="S63461" s="8"/>
      <c r="T63461" s="8"/>
      <c r="U63461" s="8"/>
      <c r="V63461" s="8"/>
      <c r="W63461" s="8"/>
      <c r="X63461" s="8"/>
      <c r="Y63461" s="8"/>
      <c r="Z63461" s="8"/>
      <c r="AA63461" s="8"/>
    </row>
    <row r="63462" spans="1:27" x14ac:dyDescent="0.25">
      <c r="A63462" s="8"/>
      <c r="B63462" s="8"/>
      <c r="C63462" s="99"/>
      <c r="D63462" s="8"/>
      <c r="E63462" s="8"/>
      <c r="F63462" s="8"/>
      <c r="G63462" s="8"/>
      <c r="H63462" s="8"/>
      <c r="I63462" s="102"/>
      <c r="J63462" s="8"/>
      <c r="K63462" s="8"/>
      <c r="L63462" s="8"/>
      <c r="M63462" s="8"/>
      <c r="N63462" s="8"/>
      <c r="O63462" s="8"/>
      <c r="P63462" s="8"/>
      <c r="Q63462" s="8"/>
      <c r="R63462" s="103"/>
      <c r="S63462" s="8"/>
      <c r="T63462" s="8"/>
      <c r="U63462" s="8"/>
      <c r="V63462" s="8"/>
      <c r="W63462" s="8"/>
      <c r="X63462" s="8"/>
      <c r="Y63462" s="8"/>
      <c r="Z63462" s="8"/>
      <c r="AA63462" s="8"/>
    </row>
    <row r="63463" spans="1:27" x14ac:dyDescent="0.25">
      <c r="A63463" s="8"/>
      <c r="B63463" s="8"/>
      <c r="C63463" s="99"/>
      <c r="D63463" s="8"/>
      <c r="E63463" s="8"/>
      <c r="F63463" s="8"/>
      <c r="G63463" s="8"/>
      <c r="H63463" s="8"/>
      <c r="I63463" s="102"/>
      <c r="J63463" s="8"/>
      <c r="K63463" s="8"/>
      <c r="L63463" s="8"/>
      <c r="M63463" s="8"/>
      <c r="N63463" s="8"/>
      <c r="O63463" s="8"/>
      <c r="P63463" s="8"/>
      <c r="Q63463" s="8"/>
      <c r="R63463" s="103"/>
      <c r="S63463" s="8"/>
      <c r="T63463" s="8"/>
      <c r="U63463" s="8"/>
      <c r="V63463" s="8"/>
      <c r="W63463" s="8"/>
      <c r="X63463" s="8"/>
      <c r="Y63463" s="8"/>
      <c r="Z63463" s="8"/>
      <c r="AA63463" s="8"/>
    </row>
    <row r="63464" spans="1:27" x14ac:dyDescent="0.25">
      <c r="A63464" s="8"/>
      <c r="B63464" s="8"/>
      <c r="C63464" s="99"/>
      <c r="D63464" s="8"/>
      <c r="E63464" s="8"/>
      <c r="F63464" s="8"/>
      <c r="G63464" s="8"/>
      <c r="H63464" s="8"/>
      <c r="I63464" s="102"/>
      <c r="J63464" s="8"/>
      <c r="K63464" s="8"/>
      <c r="L63464" s="8"/>
      <c r="M63464" s="8"/>
      <c r="N63464" s="8"/>
      <c r="O63464" s="8"/>
      <c r="P63464" s="8"/>
      <c r="Q63464" s="8"/>
      <c r="R63464" s="103"/>
      <c r="S63464" s="8"/>
      <c r="T63464" s="8"/>
      <c r="U63464" s="8"/>
      <c r="V63464" s="8"/>
      <c r="W63464" s="8"/>
      <c r="X63464" s="8"/>
      <c r="Y63464" s="8"/>
      <c r="Z63464" s="8"/>
      <c r="AA63464" s="8"/>
    </row>
    <row r="63465" spans="1:27" x14ac:dyDescent="0.25">
      <c r="A63465" s="8"/>
      <c r="B63465" s="8"/>
      <c r="C63465" s="99"/>
      <c r="D63465" s="8"/>
      <c r="E63465" s="8"/>
      <c r="F63465" s="8"/>
      <c r="G63465" s="8"/>
      <c r="H63465" s="8"/>
      <c r="I63465" s="102"/>
      <c r="J63465" s="8"/>
      <c r="K63465" s="8"/>
      <c r="L63465" s="8"/>
      <c r="M63465" s="8"/>
      <c r="N63465" s="8"/>
      <c r="O63465" s="8"/>
      <c r="P63465" s="8"/>
      <c r="Q63465" s="8"/>
      <c r="R63465" s="103"/>
      <c r="S63465" s="8"/>
      <c r="T63465" s="8"/>
      <c r="U63465" s="8"/>
      <c r="V63465" s="8"/>
      <c r="W63465" s="8"/>
      <c r="X63465" s="8"/>
      <c r="Y63465" s="8"/>
      <c r="Z63465" s="8"/>
      <c r="AA63465" s="8"/>
    </row>
    <row r="63466" spans="1:27" x14ac:dyDescent="0.25">
      <c r="A63466" s="8"/>
      <c r="B63466" s="8"/>
      <c r="C63466" s="99"/>
      <c r="D63466" s="8"/>
      <c r="E63466" s="8"/>
      <c r="F63466" s="8"/>
      <c r="G63466" s="8"/>
      <c r="H63466" s="8"/>
      <c r="I63466" s="102"/>
      <c r="J63466" s="8"/>
      <c r="K63466" s="8"/>
      <c r="L63466" s="8"/>
      <c r="M63466" s="8"/>
      <c r="N63466" s="8"/>
      <c r="O63466" s="8"/>
      <c r="P63466" s="8"/>
      <c r="Q63466" s="8"/>
      <c r="R63466" s="103"/>
      <c r="S63466" s="8"/>
      <c r="T63466" s="8"/>
      <c r="U63466" s="8"/>
      <c r="V63466" s="8"/>
      <c r="W63466" s="8"/>
      <c r="X63466" s="8"/>
      <c r="Y63466" s="8"/>
      <c r="Z63466" s="8"/>
      <c r="AA63466" s="8"/>
    </row>
    <row r="63467" spans="1:27" x14ac:dyDescent="0.25">
      <c r="A63467" s="8"/>
      <c r="B63467" s="8"/>
      <c r="C63467" s="99"/>
      <c r="D63467" s="8"/>
      <c r="E63467" s="8"/>
      <c r="F63467" s="8"/>
      <c r="G63467" s="8"/>
      <c r="H63467" s="8"/>
      <c r="I63467" s="102"/>
      <c r="J63467" s="8"/>
      <c r="K63467" s="8"/>
      <c r="L63467" s="8"/>
      <c r="M63467" s="8"/>
      <c r="N63467" s="8"/>
      <c r="O63467" s="8"/>
      <c r="P63467" s="8"/>
      <c r="Q63467" s="8"/>
      <c r="R63467" s="103"/>
      <c r="S63467" s="8"/>
      <c r="T63467" s="8"/>
      <c r="U63467" s="8"/>
      <c r="V63467" s="8"/>
      <c r="W63467" s="8"/>
      <c r="X63467" s="8"/>
      <c r="Y63467" s="8"/>
      <c r="Z63467" s="8"/>
      <c r="AA63467" s="8"/>
    </row>
    <row r="63468" spans="1:27" x14ac:dyDescent="0.25">
      <c r="A63468" s="8"/>
      <c r="B63468" s="8"/>
      <c r="C63468" s="99"/>
      <c r="D63468" s="8"/>
      <c r="E63468" s="8"/>
      <c r="F63468" s="8"/>
      <c r="G63468" s="8"/>
      <c r="H63468" s="8"/>
      <c r="I63468" s="102"/>
      <c r="J63468" s="8"/>
      <c r="K63468" s="8"/>
      <c r="L63468" s="8"/>
      <c r="M63468" s="8"/>
      <c r="N63468" s="8"/>
      <c r="O63468" s="8"/>
      <c r="P63468" s="8"/>
      <c r="Q63468" s="8"/>
      <c r="R63468" s="103"/>
      <c r="S63468" s="8"/>
      <c r="T63468" s="8"/>
      <c r="U63468" s="8"/>
      <c r="V63468" s="8"/>
      <c r="W63468" s="8"/>
      <c r="X63468" s="8"/>
      <c r="Y63468" s="8"/>
      <c r="Z63468" s="8"/>
      <c r="AA63468" s="8"/>
    </row>
    <row r="63469" spans="1:27" x14ac:dyDescent="0.25">
      <c r="A63469" s="8"/>
      <c r="B63469" s="8"/>
      <c r="C63469" s="99"/>
      <c r="D63469" s="8"/>
      <c r="E63469" s="8"/>
      <c r="F63469" s="8"/>
      <c r="G63469" s="8"/>
      <c r="H63469" s="8"/>
      <c r="I63469" s="102"/>
      <c r="J63469" s="8"/>
      <c r="K63469" s="8"/>
      <c r="L63469" s="8"/>
      <c r="M63469" s="8"/>
      <c r="N63469" s="8"/>
      <c r="O63469" s="8"/>
      <c r="P63469" s="8"/>
      <c r="Q63469" s="8"/>
      <c r="R63469" s="103"/>
      <c r="S63469" s="8"/>
      <c r="T63469" s="8"/>
      <c r="U63469" s="8"/>
      <c r="V63469" s="8"/>
      <c r="W63469" s="8"/>
      <c r="X63469" s="8"/>
      <c r="Y63469" s="8"/>
      <c r="Z63469" s="8"/>
      <c r="AA63469" s="8"/>
    </row>
    <row r="63470" spans="1:27" x14ac:dyDescent="0.25">
      <c r="A63470" s="8"/>
      <c r="B63470" s="8"/>
      <c r="C63470" s="99"/>
      <c r="D63470" s="8"/>
      <c r="E63470" s="8"/>
      <c r="F63470" s="8"/>
      <c r="G63470" s="8"/>
      <c r="H63470" s="8"/>
      <c r="I63470" s="102"/>
      <c r="J63470" s="8"/>
      <c r="K63470" s="8"/>
      <c r="L63470" s="8"/>
      <c r="M63470" s="8"/>
      <c r="N63470" s="8"/>
      <c r="O63470" s="8"/>
      <c r="P63470" s="8"/>
      <c r="Q63470" s="8"/>
      <c r="R63470" s="103"/>
      <c r="S63470" s="8"/>
      <c r="T63470" s="8"/>
      <c r="U63470" s="8"/>
      <c r="V63470" s="8"/>
      <c r="W63470" s="8"/>
      <c r="X63470" s="8"/>
      <c r="Y63470" s="8"/>
      <c r="Z63470" s="8"/>
      <c r="AA63470" s="8"/>
    </row>
    <row r="63471" spans="1:27" x14ac:dyDescent="0.25">
      <c r="A63471" s="8"/>
      <c r="B63471" s="8"/>
      <c r="C63471" s="99"/>
      <c r="D63471" s="8"/>
      <c r="E63471" s="8"/>
      <c r="F63471" s="8"/>
      <c r="G63471" s="8"/>
      <c r="H63471" s="8"/>
      <c r="I63471" s="102"/>
      <c r="J63471" s="8"/>
      <c r="K63471" s="8"/>
      <c r="L63471" s="8"/>
      <c r="M63471" s="8"/>
      <c r="N63471" s="8"/>
      <c r="O63471" s="8"/>
      <c r="P63471" s="8"/>
      <c r="Q63471" s="8"/>
      <c r="R63471" s="103"/>
      <c r="S63471" s="8"/>
      <c r="T63471" s="8"/>
      <c r="U63471" s="8"/>
      <c r="V63471" s="8"/>
      <c r="W63471" s="8"/>
      <c r="X63471" s="8"/>
      <c r="Y63471" s="8"/>
      <c r="Z63471" s="8"/>
      <c r="AA63471" s="8"/>
    </row>
    <row r="63472" spans="1:27" x14ac:dyDescent="0.25">
      <c r="A63472" s="8"/>
      <c r="B63472" s="8"/>
      <c r="C63472" s="99"/>
      <c r="D63472" s="8"/>
      <c r="E63472" s="8"/>
      <c r="F63472" s="8"/>
      <c r="G63472" s="8"/>
      <c r="H63472" s="8"/>
      <c r="I63472" s="102"/>
      <c r="J63472" s="8"/>
      <c r="K63472" s="8"/>
      <c r="L63472" s="8"/>
      <c r="M63472" s="8"/>
      <c r="N63472" s="8"/>
      <c r="O63472" s="8"/>
      <c r="P63472" s="8"/>
      <c r="Q63472" s="8"/>
      <c r="R63472" s="103"/>
      <c r="S63472" s="8"/>
      <c r="T63472" s="8"/>
      <c r="U63472" s="8"/>
      <c r="V63472" s="8"/>
      <c r="W63472" s="8"/>
      <c r="X63472" s="8"/>
      <c r="Y63472" s="8"/>
      <c r="Z63472" s="8"/>
      <c r="AA63472" s="8"/>
    </row>
    <row r="63473" spans="1:27" x14ac:dyDescent="0.25">
      <c r="A63473" s="8"/>
      <c r="B63473" s="8"/>
      <c r="C63473" s="99"/>
      <c r="D63473" s="8"/>
      <c r="E63473" s="8"/>
      <c r="F63473" s="8"/>
      <c r="G63473" s="8"/>
      <c r="H63473" s="8"/>
      <c r="I63473" s="102"/>
      <c r="J63473" s="8"/>
      <c r="K63473" s="8"/>
      <c r="L63473" s="8"/>
      <c r="M63473" s="8"/>
      <c r="N63473" s="8"/>
      <c r="O63473" s="8"/>
      <c r="P63473" s="8"/>
      <c r="Q63473" s="8"/>
      <c r="R63473" s="103"/>
      <c r="S63473" s="8"/>
      <c r="T63473" s="8"/>
      <c r="U63473" s="8"/>
      <c r="V63473" s="8"/>
      <c r="W63473" s="8"/>
      <c r="X63473" s="8"/>
      <c r="Y63473" s="8"/>
      <c r="Z63473" s="8"/>
      <c r="AA63473" s="8"/>
    </row>
    <row r="63474" spans="1:27" x14ac:dyDescent="0.25">
      <c r="A63474" s="8"/>
      <c r="B63474" s="8"/>
      <c r="C63474" s="99"/>
      <c r="D63474" s="8"/>
      <c r="E63474" s="8"/>
      <c r="F63474" s="8"/>
      <c r="G63474" s="8"/>
      <c r="H63474" s="8"/>
      <c r="I63474" s="102"/>
      <c r="J63474" s="8"/>
      <c r="K63474" s="8"/>
      <c r="L63474" s="8"/>
      <c r="M63474" s="8"/>
      <c r="N63474" s="8"/>
      <c r="O63474" s="8"/>
      <c r="P63474" s="8"/>
      <c r="Q63474" s="8"/>
      <c r="R63474" s="103"/>
      <c r="S63474" s="8"/>
      <c r="T63474" s="8"/>
      <c r="U63474" s="8"/>
      <c r="V63474" s="8"/>
      <c r="W63474" s="8"/>
      <c r="X63474" s="8"/>
      <c r="Y63474" s="8"/>
      <c r="Z63474" s="8"/>
      <c r="AA63474" s="8"/>
    </row>
    <row r="63475" spans="1:27" x14ac:dyDescent="0.25">
      <c r="A63475" s="8"/>
      <c r="B63475" s="8"/>
      <c r="C63475" s="99"/>
      <c r="D63475" s="8"/>
      <c r="E63475" s="8"/>
      <c r="F63475" s="8"/>
      <c r="G63475" s="8"/>
      <c r="H63475" s="8"/>
      <c r="I63475" s="102"/>
      <c r="J63475" s="8"/>
      <c r="K63475" s="8"/>
      <c r="L63475" s="8"/>
      <c r="M63475" s="8"/>
      <c r="N63475" s="8"/>
      <c r="O63475" s="8"/>
      <c r="P63475" s="8"/>
      <c r="Q63475" s="8"/>
      <c r="R63475" s="103"/>
      <c r="S63475" s="8"/>
      <c r="T63475" s="8"/>
      <c r="U63475" s="8"/>
      <c r="V63475" s="8"/>
      <c r="W63475" s="8"/>
      <c r="X63475" s="8"/>
      <c r="Y63475" s="8"/>
      <c r="Z63475" s="8"/>
      <c r="AA63475" s="8"/>
    </row>
    <row r="63476" spans="1:27" x14ac:dyDescent="0.25">
      <c r="A63476" s="8"/>
      <c r="B63476" s="8"/>
      <c r="C63476" s="99"/>
      <c r="D63476" s="8"/>
      <c r="E63476" s="8"/>
      <c r="F63476" s="8"/>
      <c r="G63476" s="8"/>
      <c r="H63476" s="8"/>
      <c r="I63476" s="102"/>
      <c r="J63476" s="8"/>
      <c r="K63476" s="8"/>
      <c r="L63476" s="8"/>
      <c r="M63476" s="8"/>
      <c r="N63476" s="8"/>
      <c r="O63476" s="8"/>
      <c r="P63476" s="8"/>
      <c r="Q63476" s="8"/>
      <c r="R63476" s="103"/>
      <c r="S63476" s="8"/>
      <c r="T63476" s="8"/>
      <c r="U63476" s="8"/>
      <c r="V63476" s="8"/>
      <c r="W63476" s="8"/>
      <c r="X63476" s="8"/>
      <c r="Y63476" s="8"/>
      <c r="Z63476" s="8"/>
      <c r="AA63476" s="8"/>
    </row>
    <row r="63477" spans="1:27" x14ac:dyDescent="0.25">
      <c r="A63477" s="8"/>
      <c r="B63477" s="8"/>
      <c r="C63477" s="99"/>
      <c r="D63477" s="8"/>
      <c r="E63477" s="8"/>
      <c r="F63477" s="8"/>
      <c r="G63477" s="8"/>
      <c r="H63477" s="8"/>
      <c r="I63477" s="102"/>
      <c r="J63477" s="8"/>
      <c r="K63477" s="8"/>
      <c r="L63477" s="8"/>
      <c r="M63477" s="8"/>
      <c r="N63477" s="8"/>
      <c r="O63477" s="8"/>
      <c r="P63477" s="8"/>
      <c r="Q63477" s="8"/>
      <c r="R63477" s="103"/>
      <c r="S63477" s="8"/>
      <c r="T63477" s="8"/>
      <c r="U63477" s="8"/>
      <c r="V63477" s="8"/>
      <c r="W63477" s="8"/>
      <c r="X63477" s="8"/>
      <c r="Y63477" s="8"/>
      <c r="Z63477" s="8"/>
      <c r="AA63477" s="8"/>
    </row>
    <row r="63478" spans="1:27" x14ac:dyDescent="0.25">
      <c r="A63478" s="8"/>
      <c r="B63478" s="8"/>
      <c r="C63478" s="99"/>
      <c r="D63478" s="8"/>
      <c r="E63478" s="8"/>
      <c r="F63478" s="8"/>
      <c r="G63478" s="8"/>
      <c r="H63478" s="8"/>
      <c r="I63478" s="102"/>
      <c r="J63478" s="8"/>
      <c r="K63478" s="8"/>
      <c r="L63478" s="8"/>
      <c r="M63478" s="8"/>
      <c r="N63478" s="8"/>
      <c r="O63478" s="8"/>
      <c r="P63478" s="8"/>
      <c r="Q63478" s="8"/>
      <c r="R63478" s="103"/>
      <c r="S63478" s="8"/>
      <c r="T63478" s="8"/>
      <c r="U63478" s="8"/>
      <c r="V63478" s="8"/>
      <c r="W63478" s="8"/>
      <c r="X63478" s="8"/>
      <c r="Y63478" s="8"/>
      <c r="Z63478" s="8"/>
      <c r="AA63478" s="8"/>
    </row>
    <row r="63479" spans="1:27" x14ac:dyDescent="0.25">
      <c r="A63479" s="8"/>
      <c r="B63479" s="8"/>
      <c r="C63479" s="99"/>
      <c r="D63479" s="8"/>
      <c r="E63479" s="8"/>
      <c r="F63479" s="8"/>
      <c r="G63479" s="8"/>
      <c r="H63479" s="8"/>
      <c r="I63479" s="102"/>
      <c r="J63479" s="8"/>
      <c r="K63479" s="8"/>
      <c r="L63479" s="8"/>
      <c r="M63479" s="8"/>
      <c r="N63479" s="8"/>
      <c r="O63479" s="8"/>
      <c r="P63479" s="8"/>
      <c r="Q63479" s="8"/>
      <c r="R63479" s="103"/>
      <c r="S63479" s="8"/>
      <c r="T63479" s="8"/>
      <c r="U63479" s="8"/>
      <c r="V63479" s="8"/>
      <c r="W63479" s="8"/>
      <c r="X63479" s="8"/>
      <c r="Y63479" s="8"/>
      <c r="Z63479" s="8"/>
      <c r="AA63479" s="8"/>
    </row>
    <row r="63480" spans="1:27" x14ac:dyDescent="0.25">
      <c r="A63480" s="8"/>
      <c r="B63480" s="8"/>
      <c r="C63480" s="99"/>
      <c r="D63480" s="8"/>
      <c r="E63480" s="8"/>
      <c r="F63480" s="8"/>
      <c r="G63480" s="8"/>
      <c r="H63480" s="8"/>
      <c r="I63480" s="102"/>
      <c r="J63480" s="8"/>
      <c r="K63480" s="8"/>
      <c r="L63480" s="8"/>
      <c r="M63480" s="8"/>
      <c r="N63480" s="8"/>
      <c r="O63480" s="8"/>
      <c r="P63480" s="8"/>
      <c r="Q63480" s="8"/>
      <c r="R63480" s="103"/>
      <c r="S63480" s="8"/>
      <c r="T63480" s="8"/>
      <c r="U63480" s="8"/>
      <c r="V63480" s="8"/>
      <c r="W63480" s="8"/>
      <c r="X63480" s="8"/>
      <c r="Y63480" s="8"/>
      <c r="Z63480" s="8"/>
      <c r="AA63480" s="8"/>
    </row>
    <row r="63481" spans="1:27" x14ac:dyDescent="0.25">
      <c r="A63481" s="8"/>
      <c r="B63481" s="8"/>
      <c r="C63481" s="99"/>
      <c r="D63481" s="8"/>
      <c r="E63481" s="8"/>
      <c r="F63481" s="8"/>
      <c r="G63481" s="8"/>
      <c r="H63481" s="8"/>
      <c r="I63481" s="102"/>
      <c r="J63481" s="8"/>
      <c r="K63481" s="8"/>
      <c r="L63481" s="8"/>
      <c r="M63481" s="8"/>
      <c r="N63481" s="8"/>
      <c r="O63481" s="8"/>
      <c r="P63481" s="8"/>
      <c r="Q63481" s="8"/>
      <c r="R63481" s="103"/>
      <c r="S63481" s="8"/>
      <c r="T63481" s="8"/>
      <c r="U63481" s="8"/>
      <c r="V63481" s="8"/>
      <c r="W63481" s="8"/>
      <c r="X63481" s="8"/>
      <c r="Y63481" s="8"/>
      <c r="Z63481" s="8"/>
      <c r="AA63481" s="8"/>
    </row>
    <row r="63482" spans="1:27" x14ac:dyDescent="0.25">
      <c r="A63482" s="8"/>
      <c r="B63482" s="8"/>
      <c r="C63482" s="99"/>
      <c r="D63482" s="8"/>
      <c r="E63482" s="8"/>
      <c r="F63482" s="8"/>
      <c r="G63482" s="8"/>
      <c r="H63482" s="8"/>
      <c r="I63482" s="102"/>
      <c r="J63482" s="8"/>
      <c r="K63482" s="8"/>
      <c r="L63482" s="8"/>
      <c r="M63482" s="8"/>
      <c r="N63482" s="8"/>
      <c r="O63482" s="8"/>
      <c r="P63482" s="8"/>
      <c r="Q63482" s="8"/>
      <c r="R63482" s="103"/>
      <c r="S63482" s="8"/>
      <c r="T63482" s="8"/>
      <c r="U63482" s="8"/>
      <c r="V63482" s="8"/>
      <c r="W63482" s="8"/>
      <c r="X63482" s="8"/>
      <c r="Y63482" s="8"/>
      <c r="Z63482" s="8"/>
      <c r="AA63482" s="8"/>
    </row>
    <row r="63483" spans="1:27" x14ac:dyDescent="0.25">
      <c r="A63483" s="8"/>
      <c r="B63483" s="8"/>
      <c r="C63483" s="99"/>
      <c r="D63483" s="8"/>
      <c r="E63483" s="8"/>
      <c r="F63483" s="8"/>
      <c r="G63483" s="8"/>
      <c r="H63483" s="8"/>
      <c r="I63483" s="102"/>
      <c r="J63483" s="8"/>
      <c r="K63483" s="8"/>
      <c r="L63483" s="8"/>
      <c r="M63483" s="8"/>
      <c r="N63483" s="8"/>
      <c r="O63483" s="8"/>
      <c r="P63483" s="8"/>
      <c r="Q63483" s="8"/>
      <c r="R63483" s="103"/>
      <c r="S63483" s="8"/>
      <c r="T63483" s="8"/>
      <c r="U63483" s="8"/>
      <c r="V63483" s="8"/>
      <c r="W63483" s="8"/>
      <c r="X63483" s="8"/>
      <c r="Y63483" s="8"/>
      <c r="Z63483" s="8"/>
      <c r="AA63483" s="8"/>
    </row>
    <row r="63484" spans="1:27" x14ac:dyDescent="0.25">
      <c r="A63484" s="8"/>
      <c r="B63484" s="8"/>
      <c r="C63484" s="99"/>
      <c r="D63484" s="8"/>
      <c r="E63484" s="8"/>
      <c r="F63484" s="8"/>
      <c r="G63484" s="8"/>
      <c r="H63484" s="8"/>
      <c r="I63484" s="102"/>
      <c r="J63484" s="8"/>
      <c r="K63484" s="8"/>
      <c r="L63484" s="8"/>
      <c r="M63484" s="8"/>
      <c r="N63484" s="8"/>
      <c r="O63484" s="8"/>
      <c r="P63484" s="8"/>
      <c r="Q63484" s="8"/>
      <c r="R63484" s="103"/>
      <c r="S63484" s="8"/>
      <c r="T63484" s="8"/>
      <c r="U63484" s="8"/>
      <c r="V63484" s="8"/>
      <c r="W63484" s="8"/>
      <c r="X63484" s="8"/>
      <c r="Y63484" s="8"/>
      <c r="Z63484" s="8"/>
      <c r="AA63484" s="8"/>
    </row>
    <row r="63485" spans="1:27" x14ac:dyDescent="0.25">
      <c r="A63485" s="8"/>
      <c r="B63485" s="8"/>
      <c r="C63485" s="99"/>
      <c r="D63485" s="8"/>
      <c r="E63485" s="8"/>
      <c r="F63485" s="8"/>
      <c r="G63485" s="8"/>
      <c r="H63485" s="8"/>
      <c r="I63485" s="102"/>
      <c r="J63485" s="8"/>
      <c r="K63485" s="8"/>
      <c r="L63485" s="8"/>
      <c r="M63485" s="8"/>
      <c r="N63485" s="8"/>
      <c r="O63485" s="8"/>
      <c r="P63485" s="8"/>
      <c r="Q63485" s="8"/>
      <c r="R63485" s="103"/>
      <c r="S63485" s="8"/>
      <c r="T63485" s="8"/>
      <c r="U63485" s="8"/>
      <c r="V63485" s="8"/>
      <c r="W63485" s="8"/>
      <c r="X63485" s="8"/>
      <c r="Y63485" s="8"/>
      <c r="Z63485" s="8"/>
      <c r="AA63485" s="8"/>
    </row>
    <row r="63486" spans="1:27" x14ac:dyDescent="0.25">
      <c r="A63486" s="8"/>
      <c r="B63486" s="8"/>
      <c r="C63486" s="99"/>
      <c r="D63486" s="8"/>
      <c r="E63486" s="8"/>
      <c r="F63486" s="8"/>
      <c r="G63486" s="8"/>
      <c r="H63486" s="8"/>
      <c r="I63486" s="102"/>
      <c r="J63486" s="8"/>
      <c r="K63486" s="8"/>
      <c r="L63486" s="8"/>
      <c r="M63486" s="8"/>
      <c r="N63486" s="8"/>
      <c r="O63486" s="8"/>
      <c r="P63486" s="8"/>
      <c r="Q63486" s="8"/>
      <c r="R63486" s="103"/>
      <c r="S63486" s="8"/>
      <c r="T63486" s="8"/>
      <c r="U63486" s="8"/>
      <c r="V63486" s="8"/>
      <c r="W63486" s="8"/>
      <c r="X63486" s="8"/>
      <c r="Y63486" s="8"/>
      <c r="Z63486" s="8"/>
      <c r="AA63486" s="8"/>
    </row>
    <row r="63487" spans="1:27" x14ac:dyDescent="0.25">
      <c r="A63487" s="8"/>
      <c r="B63487" s="8"/>
      <c r="C63487" s="99"/>
      <c r="D63487" s="8"/>
      <c r="E63487" s="8"/>
      <c r="F63487" s="8"/>
      <c r="G63487" s="8"/>
      <c r="H63487" s="8"/>
      <c r="I63487" s="102"/>
      <c r="J63487" s="8"/>
      <c r="K63487" s="8"/>
      <c r="L63487" s="8"/>
      <c r="M63487" s="8"/>
      <c r="N63487" s="8"/>
      <c r="O63487" s="8"/>
      <c r="P63487" s="8"/>
      <c r="Q63487" s="8"/>
      <c r="R63487" s="103"/>
      <c r="S63487" s="8"/>
      <c r="T63487" s="8"/>
      <c r="U63487" s="8"/>
      <c r="V63487" s="8"/>
      <c r="W63487" s="8"/>
      <c r="X63487" s="8"/>
      <c r="Y63487" s="8"/>
      <c r="Z63487" s="8"/>
      <c r="AA63487" s="8"/>
    </row>
    <row r="63488" spans="1:27" x14ac:dyDescent="0.25">
      <c r="A63488" s="8"/>
      <c r="B63488" s="8"/>
      <c r="C63488" s="99"/>
      <c r="D63488" s="8"/>
      <c r="E63488" s="8"/>
      <c r="F63488" s="8"/>
      <c r="G63488" s="8"/>
      <c r="H63488" s="8"/>
      <c r="I63488" s="102"/>
      <c r="J63488" s="8"/>
      <c r="K63488" s="8"/>
      <c r="L63488" s="8"/>
      <c r="M63488" s="8"/>
      <c r="N63488" s="8"/>
      <c r="O63488" s="8"/>
      <c r="P63488" s="8"/>
      <c r="Q63488" s="8"/>
      <c r="R63488" s="103"/>
      <c r="S63488" s="8"/>
      <c r="T63488" s="8"/>
      <c r="U63488" s="8"/>
      <c r="V63488" s="8"/>
      <c r="W63488" s="8"/>
      <c r="X63488" s="8"/>
      <c r="Y63488" s="8"/>
      <c r="Z63488" s="8"/>
      <c r="AA63488" s="8"/>
    </row>
    <row r="63489" spans="1:27" x14ac:dyDescent="0.25">
      <c r="A63489" s="8"/>
      <c r="B63489" s="8"/>
      <c r="C63489" s="99"/>
      <c r="D63489" s="8"/>
      <c r="E63489" s="8"/>
      <c r="F63489" s="8"/>
      <c r="G63489" s="8"/>
      <c r="H63489" s="8"/>
      <c r="I63489" s="102"/>
      <c r="J63489" s="8"/>
      <c r="K63489" s="8"/>
      <c r="L63489" s="8"/>
      <c r="M63489" s="8"/>
      <c r="N63489" s="8"/>
      <c r="O63489" s="8"/>
      <c r="P63489" s="8"/>
      <c r="Q63489" s="8"/>
      <c r="R63489" s="103"/>
      <c r="S63489" s="8"/>
      <c r="T63489" s="8"/>
      <c r="U63489" s="8"/>
      <c r="V63489" s="8"/>
      <c r="W63489" s="8"/>
      <c r="X63489" s="8"/>
      <c r="Y63489" s="8"/>
      <c r="Z63489" s="8"/>
      <c r="AA63489" s="8"/>
    </row>
    <row r="63490" spans="1:27" x14ac:dyDescent="0.25">
      <c r="A63490" s="8"/>
      <c r="B63490" s="8"/>
      <c r="C63490" s="99"/>
      <c r="D63490" s="8"/>
      <c r="E63490" s="8"/>
      <c r="F63490" s="8"/>
      <c r="G63490" s="8"/>
      <c r="H63490" s="8"/>
      <c r="I63490" s="102"/>
      <c r="J63490" s="8"/>
      <c r="K63490" s="8"/>
      <c r="L63490" s="8"/>
      <c r="M63490" s="8"/>
      <c r="N63490" s="8"/>
      <c r="O63490" s="8"/>
      <c r="P63490" s="8"/>
      <c r="Q63490" s="8"/>
      <c r="R63490" s="103"/>
      <c r="S63490" s="8"/>
      <c r="T63490" s="8"/>
      <c r="U63490" s="8"/>
      <c r="V63490" s="8"/>
      <c r="W63490" s="8"/>
      <c r="X63490" s="8"/>
      <c r="Y63490" s="8"/>
      <c r="Z63490" s="8"/>
      <c r="AA63490" s="8"/>
    </row>
    <row r="63491" spans="1:27" x14ac:dyDescent="0.25">
      <c r="A63491" s="8"/>
      <c r="B63491" s="8"/>
      <c r="C63491" s="99"/>
      <c r="D63491" s="8"/>
      <c r="E63491" s="8"/>
      <c r="F63491" s="8"/>
      <c r="G63491" s="8"/>
      <c r="H63491" s="8"/>
      <c r="I63491" s="102"/>
      <c r="J63491" s="8"/>
      <c r="K63491" s="8"/>
      <c r="L63491" s="8"/>
      <c r="M63491" s="8"/>
      <c r="N63491" s="8"/>
      <c r="O63491" s="8"/>
      <c r="P63491" s="8"/>
      <c r="Q63491" s="8"/>
      <c r="R63491" s="103"/>
      <c r="S63491" s="8"/>
      <c r="T63491" s="8"/>
      <c r="U63491" s="8"/>
      <c r="V63491" s="8"/>
      <c r="W63491" s="8"/>
      <c r="X63491" s="8"/>
      <c r="Y63491" s="8"/>
      <c r="Z63491" s="8"/>
      <c r="AA63491" s="8"/>
    </row>
    <row r="63492" spans="1:27" x14ac:dyDescent="0.25">
      <c r="A63492" s="8"/>
      <c r="B63492" s="8"/>
      <c r="C63492" s="99"/>
      <c r="D63492" s="8"/>
      <c r="E63492" s="8"/>
      <c r="F63492" s="8"/>
      <c r="G63492" s="8"/>
      <c r="H63492" s="8"/>
      <c r="I63492" s="102"/>
      <c r="J63492" s="8"/>
      <c r="K63492" s="8"/>
      <c r="L63492" s="8"/>
      <c r="M63492" s="8"/>
      <c r="N63492" s="8"/>
      <c r="O63492" s="8"/>
      <c r="P63492" s="8"/>
      <c r="Q63492" s="8"/>
      <c r="R63492" s="103"/>
      <c r="S63492" s="8"/>
      <c r="T63492" s="8"/>
      <c r="U63492" s="8"/>
      <c r="V63492" s="8"/>
      <c r="W63492" s="8"/>
      <c r="X63492" s="8"/>
      <c r="Y63492" s="8"/>
      <c r="Z63492" s="8"/>
      <c r="AA63492" s="8"/>
    </row>
    <row r="63493" spans="1:27" x14ac:dyDescent="0.25">
      <c r="A63493" s="8"/>
      <c r="B63493" s="8"/>
      <c r="C63493" s="99"/>
      <c r="D63493" s="8"/>
      <c r="E63493" s="8"/>
      <c r="F63493" s="8"/>
      <c r="G63493" s="8"/>
      <c r="H63493" s="8"/>
      <c r="I63493" s="102"/>
      <c r="J63493" s="8"/>
      <c r="K63493" s="8"/>
      <c r="L63493" s="8"/>
      <c r="M63493" s="8"/>
      <c r="N63493" s="8"/>
      <c r="O63493" s="8"/>
      <c r="P63493" s="8"/>
      <c r="Q63493" s="8"/>
      <c r="R63493" s="103"/>
      <c r="S63493" s="8"/>
      <c r="T63493" s="8"/>
      <c r="U63493" s="8"/>
      <c r="V63493" s="8"/>
      <c r="W63493" s="8"/>
      <c r="X63493" s="8"/>
      <c r="Y63493" s="8"/>
      <c r="Z63493" s="8"/>
      <c r="AA63493" s="8"/>
    </row>
    <row r="63494" spans="1:27" x14ac:dyDescent="0.25">
      <c r="A63494" s="8"/>
      <c r="B63494" s="8"/>
      <c r="C63494" s="99"/>
      <c r="D63494" s="8"/>
      <c r="E63494" s="8"/>
      <c r="F63494" s="8"/>
      <c r="G63494" s="8"/>
      <c r="H63494" s="8"/>
      <c r="I63494" s="102"/>
      <c r="J63494" s="8"/>
      <c r="K63494" s="8"/>
      <c r="L63494" s="8"/>
      <c r="M63494" s="8"/>
      <c r="N63494" s="8"/>
      <c r="O63494" s="8"/>
      <c r="P63494" s="8"/>
      <c r="Q63494" s="8"/>
      <c r="R63494" s="103"/>
      <c r="S63494" s="8"/>
      <c r="T63494" s="8"/>
      <c r="U63494" s="8"/>
      <c r="V63494" s="8"/>
      <c r="W63494" s="8"/>
      <c r="X63494" s="8"/>
      <c r="Y63494" s="8"/>
      <c r="Z63494" s="8"/>
      <c r="AA63494" s="8"/>
    </row>
    <row r="63495" spans="1:27" x14ac:dyDescent="0.25">
      <c r="A63495" s="8"/>
      <c r="B63495" s="8"/>
      <c r="C63495" s="99"/>
      <c r="D63495" s="8"/>
      <c r="E63495" s="8"/>
      <c r="F63495" s="8"/>
      <c r="G63495" s="8"/>
      <c r="H63495" s="8"/>
      <c r="I63495" s="102"/>
      <c r="J63495" s="8"/>
      <c r="K63495" s="8"/>
      <c r="L63495" s="8"/>
      <c r="M63495" s="8"/>
      <c r="N63495" s="8"/>
      <c r="O63495" s="8"/>
      <c r="P63495" s="8"/>
      <c r="Q63495" s="8"/>
      <c r="R63495" s="103"/>
      <c r="S63495" s="8"/>
      <c r="T63495" s="8"/>
      <c r="U63495" s="8"/>
      <c r="V63495" s="8"/>
      <c r="W63495" s="8"/>
      <c r="X63495" s="8"/>
      <c r="Y63495" s="8"/>
      <c r="Z63495" s="8"/>
      <c r="AA63495" s="8"/>
    </row>
    <row r="63496" spans="1:27" x14ac:dyDescent="0.25">
      <c r="A63496" s="8"/>
      <c r="B63496" s="8"/>
      <c r="C63496" s="99"/>
      <c r="D63496" s="8"/>
      <c r="E63496" s="8"/>
      <c r="F63496" s="8"/>
      <c r="G63496" s="8"/>
      <c r="H63496" s="8"/>
      <c r="I63496" s="102"/>
      <c r="J63496" s="8"/>
      <c r="K63496" s="8"/>
      <c r="L63496" s="8"/>
      <c r="M63496" s="8"/>
      <c r="N63496" s="8"/>
      <c r="O63496" s="8"/>
      <c r="P63496" s="8"/>
      <c r="Q63496" s="8"/>
      <c r="R63496" s="103"/>
      <c r="S63496" s="8"/>
      <c r="T63496" s="8"/>
      <c r="U63496" s="8"/>
      <c r="V63496" s="8"/>
      <c r="W63496" s="8"/>
      <c r="X63496" s="8"/>
      <c r="Y63496" s="8"/>
      <c r="Z63496" s="8"/>
      <c r="AA63496" s="8"/>
    </row>
    <row r="63497" spans="1:27" x14ac:dyDescent="0.25">
      <c r="A63497" s="8"/>
      <c r="B63497" s="8"/>
      <c r="C63497" s="99"/>
      <c r="D63497" s="8"/>
      <c r="E63497" s="8"/>
      <c r="F63497" s="8"/>
      <c r="G63497" s="8"/>
      <c r="H63497" s="8"/>
      <c r="I63497" s="102"/>
      <c r="J63497" s="8"/>
      <c r="K63497" s="8"/>
      <c r="L63497" s="8"/>
      <c r="M63497" s="8"/>
      <c r="N63497" s="8"/>
      <c r="O63497" s="8"/>
      <c r="P63497" s="8"/>
      <c r="Q63497" s="8"/>
      <c r="R63497" s="103"/>
      <c r="S63497" s="8"/>
      <c r="T63497" s="8"/>
      <c r="U63497" s="8"/>
      <c r="V63497" s="8"/>
      <c r="W63497" s="8"/>
      <c r="X63497" s="8"/>
      <c r="Y63497" s="8"/>
      <c r="Z63497" s="8"/>
      <c r="AA63497" s="8"/>
    </row>
    <row r="63498" spans="1:27" x14ac:dyDescent="0.25">
      <c r="A63498" s="8"/>
      <c r="B63498" s="8"/>
      <c r="C63498" s="99"/>
      <c r="D63498" s="8"/>
      <c r="E63498" s="8"/>
      <c r="F63498" s="8"/>
      <c r="G63498" s="8"/>
      <c r="H63498" s="8"/>
      <c r="I63498" s="102"/>
      <c r="J63498" s="8"/>
      <c r="K63498" s="8"/>
      <c r="L63498" s="8"/>
      <c r="M63498" s="8"/>
      <c r="N63498" s="8"/>
      <c r="O63498" s="8"/>
      <c r="P63498" s="8"/>
      <c r="Q63498" s="8"/>
      <c r="R63498" s="103"/>
      <c r="S63498" s="8"/>
      <c r="T63498" s="8"/>
      <c r="U63498" s="8"/>
      <c r="V63498" s="8"/>
      <c r="W63498" s="8"/>
      <c r="X63498" s="8"/>
      <c r="Y63498" s="8"/>
      <c r="Z63498" s="8"/>
      <c r="AA63498" s="8"/>
    </row>
    <row r="63499" spans="1:27" x14ac:dyDescent="0.25">
      <c r="A63499" s="8"/>
      <c r="B63499" s="8"/>
      <c r="C63499" s="99"/>
      <c r="D63499" s="8"/>
      <c r="E63499" s="8"/>
      <c r="F63499" s="8"/>
      <c r="G63499" s="8"/>
      <c r="H63499" s="8"/>
      <c r="I63499" s="102"/>
      <c r="J63499" s="8"/>
      <c r="K63499" s="8"/>
      <c r="L63499" s="8"/>
      <c r="M63499" s="8"/>
      <c r="N63499" s="8"/>
      <c r="O63499" s="8"/>
      <c r="P63499" s="8"/>
      <c r="Q63499" s="8"/>
      <c r="R63499" s="103"/>
      <c r="S63499" s="8"/>
      <c r="T63499" s="8"/>
      <c r="U63499" s="8"/>
      <c r="V63499" s="8"/>
      <c r="W63499" s="8"/>
      <c r="X63499" s="8"/>
      <c r="Y63499" s="8"/>
      <c r="Z63499" s="8"/>
      <c r="AA63499" s="8"/>
    </row>
    <row r="63500" spans="1:27" x14ac:dyDescent="0.25">
      <c r="A63500" s="8"/>
      <c r="B63500" s="8"/>
      <c r="C63500" s="99"/>
      <c r="D63500" s="8"/>
      <c r="E63500" s="8"/>
      <c r="F63500" s="8"/>
      <c r="G63500" s="8"/>
      <c r="H63500" s="8"/>
      <c r="I63500" s="102"/>
      <c r="J63500" s="8"/>
      <c r="K63500" s="8"/>
      <c r="L63500" s="8"/>
      <c r="M63500" s="8"/>
      <c r="N63500" s="8"/>
      <c r="O63500" s="8"/>
      <c r="P63500" s="8"/>
      <c r="Q63500" s="8"/>
      <c r="R63500" s="103"/>
      <c r="S63500" s="8"/>
      <c r="T63500" s="8"/>
      <c r="U63500" s="8"/>
      <c r="V63500" s="8"/>
      <c r="W63500" s="8"/>
      <c r="X63500" s="8"/>
      <c r="Y63500" s="8"/>
      <c r="Z63500" s="8"/>
      <c r="AA63500" s="8"/>
    </row>
    <row r="63501" spans="1:27" x14ac:dyDescent="0.25">
      <c r="A63501" s="8"/>
      <c r="B63501" s="8"/>
      <c r="C63501" s="99"/>
      <c r="D63501" s="8"/>
      <c r="E63501" s="8"/>
      <c r="F63501" s="8"/>
      <c r="G63501" s="8"/>
      <c r="H63501" s="8"/>
      <c r="I63501" s="102"/>
      <c r="J63501" s="8"/>
      <c r="K63501" s="8"/>
      <c r="L63501" s="8"/>
      <c r="M63501" s="8"/>
      <c r="N63501" s="8"/>
      <c r="O63501" s="8"/>
      <c r="P63501" s="8"/>
      <c r="Q63501" s="8"/>
      <c r="R63501" s="103"/>
      <c r="S63501" s="8"/>
      <c r="T63501" s="8"/>
      <c r="U63501" s="8"/>
      <c r="V63501" s="8"/>
      <c r="W63501" s="8"/>
      <c r="X63501" s="8"/>
      <c r="Y63501" s="8"/>
      <c r="Z63501" s="8"/>
      <c r="AA63501" s="8"/>
    </row>
    <row r="63502" spans="1:27" x14ac:dyDescent="0.25">
      <c r="A63502" s="8"/>
      <c r="B63502" s="8"/>
      <c r="C63502" s="99"/>
      <c r="D63502" s="8"/>
      <c r="E63502" s="8"/>
      <c r="F63502" s="8"/>
      <c r="G63502" s="8"/>
      <c r="H63502" s="8"/>
      <c r="I63502" s="102"/>
      <c r="J63502" s="8"/>
      <c r="K63502" s="8"/>
      <c r="L63502" s="8"/>
      <c r="M63502" s="8"/>
      <c r="N63502" s="8"/>
      <c r="O63502" s="8"/>
      <c r="P63502" s="8"/>
      <c r="Q63502" s="8"/>
      <c r="R63502" s="103"/>
      <c r="S63502" s="8"/>
      <c r="T63502" s="8"/>
      <c r="U63502" s="8"/>
      <c r="V63502" s="8"/>
      <c r="W63502" s="8"/>
      <c r="X63502" s="8"/>
      <c r="Y63502" s="8"/>
      <c r="Z63502" s="8"/>
      <c r="AA63502" s="8"/>
    </row>
    <row r="63503" spans="1:27" x14ac:dyDescent="0.25">
      <c r="A63503" s="8"/>
      <c r="B63503" s="8"/>
      <c r="C63503" s="99"/>
      <c r="D63503" s="8"/>
      <c r="E63503" s="8"/>
      <c r="F63503" s="8"/>
      <c r="G63503" s="8"/>
      <c r="H63503" s="8"/>
      <c r="I63503" s="102"/>
      <c r="J63503" s="8"/>
      <c r="K63503" s="8"/>
      <c r="L63503" s="8"/>
      <c r="M63503" s="8"/>
      <c r="N63503" s="8"/>
      <c r="O63503" s="8"/>
      <c r="P63503" s="8"/>
      <c r="Q63503" s="8"/>
      <c r="R63503" s="103"/>
      <c r="S63503" s="8"/>
      <c r="T63503" s="8"/>
      <c r="U63503" s="8"/>
      <c r="V63503" s="8"/>
      <c r="W63503" s="8"/>
      <c r="X63503" s="8"/>
      <c r="Y63503" s="8"/>
      <c r="Z63503" s="8"/>
      <c r="AA63503" s="8"/>
    </row>
    <row r="63504" spans="1:27" x14ac:dyDescent="0.25">
      <c r="A63504" s="8"/>
      <c r="B63504" s="8"/>
      <c r="C63504" s="99"/>
      <c r="D63504" s="8"/>
      <c r="E63504" s="8"/>
      <c r="F63504" s="8"/>
      <c r="G63504" s="8"/>
      <c r="H63504" s="8"/>
      <c r="I63504" s="102"/>
      <c r="J63504" s="8"/>
      <c r="K63504" s="8"/>
      <c r="L63504" s="8"/>
      <c r="M63504" s="8"/>
      <c r="N63504" s="8"/>
      <c r="O63504" s="8"/>
      <c r="P63504" s="8"/>
      <c r="Q63504" s="8"/>
      <c r="R63504" s="103"/>
      <c r="S63504" s="8"/>
      <c r="T63504" s="8"/>
      <c r="U63504" s="8"/>
      <c r="V63504" s="8"/>
      <c r="W63504" s="8"/>
      <c r="X63504" s="8"/>
      <c r="Y63504" s="8"/>
      <c r="Z63504" s="8"/>
      <c r="AA63504" s="8"/>
    </row>
    <row r="63505" spans="1:27" x14ac:dyDescent="0.25">
      <c r="A63505" s="8"/>
      <c r="B63505" s="8"/>
      <c r="C63505" s="99"/>
      <c r="D63505" s="8"/>
      <c r="E63505" s="8"/>
      <c r="F63505" s="8"/>
      <c r="G63505" s="8"/>
      <c r="H63505" s="8"/>
      <c r="I63505" s="102"/>
      <c r="J63505" s="8"/>
      <c r="K63505" s="8"/>
      <c r="L63505" s="8"/>
      <c r="M63505" s="8"/>
      <c r="N63505" s="8"/>
      <c r="O63505" s="8"/>
      <c r="P63505" s="8"/>
      <c r="Q63505" s="8"/>
      <c r="R63505" s="103"/>
      <c r="S63505" s="8"/>
      <c r="T63505" s="8"/>
      <c r="U63505" s="8"/>
      <c r="V63505" s="8"/>
      <c r="W63505" s="8"/>
      <c r="X63505" s="8"/>
      <c r="Y63505" s="8"/>
      <c r="Z63505" s="8"/>
      <c r="AA63505" s="8"/>
    </row>
    <row r="63506" spans="1:27" x14ac:dyDescent="0.25">
      <c r="A63506" s="8"/>
      <c r="B63506" s="8"/>
      <c r="C63506" s="99"/>
      <c r="D63506" s="8"/>
      <c r="E63506" s="8"/>
      <c r="F63506" s="8"/>
      <c r="G63506" s="8"/>
      <c r="H63506" s="8"/>
      <c r="I63506" s="102"/>
      <c r="J63506" s="8"/>
      <c r="K63506" s="8"/>
      <c r="L63506" s="8"/>
      <c r="M63506" s="8"/>
      <c r="N63506" s="8"/>
      <c r="O63506" s="8"/>
      <c r="P63506" s="8"/>
      <c r="Q63506" s="8"/>
      <c r="R63506" s="103"/>
      <c r="S63506" s="8"/>
      <c r="T63506" s="8"/>
      <c r="U63506" s="8"/>
      <c r="V63506" s="8"/>
      <c r="W63506" s="8"/>
      <c r="X63506" s="8"/>
      <c r="Y63506" s="8"/>
      <c r="Z63506" s="8"/>
      <c r="AA63506" s="8"/>
    </row>
    <row r="63507" spans="1:27" x14ac:dyDescent="0.25">
      <c r="A63507" s="8"/>
      <c r="B63507" s="8"/>
      <c r="C63507" s="99"/>
      <c r="D63507" s="8"/>
      <c r="E63507" s="8"/>
      <c r="F63507" s="8"/>
      <c r="G63507" s="8"/>
      <c r="H63507" s="8"/>
      <c r="I63507" s="102"/>
      <c r="J63507" s="8"/>
      <c r="K63507" s="8"/>
      <c r="L63507" s="8"/>
      <c r="M63507" s="8"/>
      <c r="N63507" s="8"/>
      <c r="O63507" s="8"/>
      <c r="P63507" s="8"/>
      <c r="Q63507" s="8"/>
      <c r="R63507" s="103"/>
      <c r="S63507" s="8"/>
      <c r="T63507" s="8"/>
      <c r="U63507" s="8"/>
      <c r="V63507" s="8"/>
      <c r="W63507" s="8"/>
      <c r="X63507" s="8"/>
      <c r="Y63507" s="8"/>
      <c r="Z63507" s="8"/>
      <c r="AA63507" s="8"/>
    </row>
    <row r="63508" spans="1:27" x14ac:dyDescent="0.25">
      <c r="A63508" s="8"/>
      <c r="B63508" s="8"/>
      <c r="C63508" s="99"/>
      <c r="D63508" s="8"/>
      <c r="E63508" s="8"/>
      <c r="F63508" s="8"/>
      <c r="G63508" s="8"/>
      <c r="H63508" s="8"/>
      <c r="I63508" s="102"/>
      <c r="J63508" s="8"/>
      <c r="K63508" s="8"/>
      <c r="L63508" s="8"/>
      <c r="M63508" s="8"/>
      <c r="N63508" s="8"/>
      <c r="O63508" s="8"/>
      <c r="P63508" s="8"/>
      <c r="Q63508" s="8"/>
      <c r="R63508" s="103"/>
      <c r="S63508" s="8"/>
      <c r="T63508" s="8"/>
      <c r="U63508" s="8"/>
      <c r="V63508" s="8"/>
      <c r="W63508" s="8"/>
      <c r="X63508" s="8"/>
      <c r="Y63508" s="8"/>
      <c r="Z63508" s="8"/>
      <c r="AA63508" s="8"/>
    </row>
    <row r="63509" spans="1:27" x14ac:dyDescent="0.25">
      <c r="A63509" s="8"/>
      <c r="B63509" s="8"/>
      <c r="C63509" s="99"/>
      <c r="D63509" s="8"/>
      <c r="E63509" s="8"/>
      <c r="F63509" s="8"/>
      <c r="G63509" s="8"/>
      <c r="H63509" s="8"/>
      <c r="I63509" s="102"/>
      <c r="J63509" s="8"/>
      <c r="K63509" s="8"/>
      <c r="L63509" s="8"/>
      <c r="M63509" s="8"/>
      <c r="N63509" s="8"/>
      <c r="O63509" s="8"/>
      <c r="P63509" s="8"/>
      <c r="Q63509" s="8"/>
      <c r="R63509" s="103"/>
      <c r="S63509" s="8"/>
      <c r="T63509" s="8"/>
      <c r="U63509" s="8"/>
      <c r="V63509" s="8"/>
      <c r="W63509" s="8"/>
      <c r="X63509" s="8"/>
      <c r="Y63509" s="8"/>
      <c r="Z63509" s="8"/>
      <c r="AA63509" s="8"/>
    </row>
    <row r="63510" spans="1:27" x14ac:dyDescent="0.25">
      <c r="A63510" s="8"/>
      <c r="B63510" s="8"/>
      <c r="C63510" s="99"/>
      <c r="D63510" s="8"/>
      <c r="E63510" s="8"/>
      <c r="F63510" s="8"/>
      <c r="G63510" s="8"/>
      <c r="H63510" s="8"/>
      <c r="I63510" s="102"/>
      <c r="J63510" s="8"/>
      <c r="K63510" s="8"/>
      <c r="L63510" s="8"/>
      <c r="M63510" s="8"/>
      <c r="N63510" s="8"/>
      <c r="O63510" s="8"/>
      <c r="P63510" s="8"/>
      <c r="Q63510" s="8"/>
      <c r="R63510" s="103"/>
      <c r="S63510" s="8"/>
      <c r="T63510" s="8"/>
      <c r="U63510" s="8"/>
      <c r="V63510" s="8"/>
      <c r="W63510" s="8"/>
      <c r="X63510" s="8"/>
      <c r="Y63510" s="8"/>
      <c r="Z63510" s="8"/>
      <c r="AA63510" s="8"/>
    </row>
    <row r="63511" spans="1:27" x14ac:dyDescent="0.25">
      <c r="A63511" s="8"/>
      <c r="B63511" s="8"/>
      <c r="C63511" s="99"/>
      <c r="D63511" s="8"/>
      <c r="E63511" s="8"/>
      <c r="F63511" s="8"/>
      <c r="G63511" s="8"/>
      <c r="H63511" s="8"/>
      <c r="I63511" s="102"/>
      <c r="J63511" s="8"/>
      <c r="K63511" s="8"/>
      <c r="L63511" s="8"/>
      <c r="M63511" s="8"/>
      <c r="N63511" s="8"/>
      <c r="O63511" s="8"/>
      <c r="P63511" s="8"/>
      <c r="Q63511" s="8"/>
      <c r="R63511" s="103"/>
      <c r="S63511" s="8"/>
      <c r="T63511" s="8"/>
      <c r="U63511" s="8"/>
      <c r="V63511" s="8"/>
      <c r="W63511" s="8"/>
      <c r="X63511" s="8"/>
      <c r="Y63511" s="8"/>
      <c r="Z63511" s="8"/>
      <c r="AA63511" s="8"/>
    </row>
    <row r="63512" spans="1:27" x14ac:dyDescent="0.25">
      <c r="A63512" s="8"/>
      <c r="B63512" s="8"/>
      <c r="C63512" s="99"/>
      <c r="D63512" s="8"/>
      <c r="E63512" s="8"/>
      <c r="F63512" s="8"/>
      <c r="G63512" s="8"/>
      <c r="H63512" s="8"/>
      <c r="I63512" s="102"/>
      <c r="J63512" s="8"/>
      <c r="K63512" s="8"/>
      <c r="L63512" s="8"/>
      <c r="M63512" s="8"/>
      <c r="N63512" s="8"/>
      <c r="O63512" s="8"/>
      <c r="P63512" s="8"/>
      <c r="Q63512" s="8"/>
      <c r="R63512" s="103"/>
      <c r="S63512" s="8"/>
      <c r="T63512" s="8"/>
      <c r="U63512" s="8"/>
      <c r="V63512" s="8"/>
      <c r="W63512" s="8"/>
      <c r="X63512" s="8"/>
      <c r="Y63512" s="8"/>
      <c r="Z63512" s="8"/>
      <c r="AA63512" s="8"/>
    </row>
    <row r="63513" spans="1:27" x14ac:dyDescent="0.25">
      <c r="A63513" s="8"/>
      <c r="B63513" s="8"/>
      <c r="C63513" s="99"/>
      <c r="D63513" s="8"/>
      <c r="E63513" s="8"/>
      <c r="F63513" s="8"/>
      <c r="G63513" s="8"/>
      <c r="H63513" s="8"/>
      <c r="I63513" s="102"/>
      <c r="J63513" s="8"/>
      <c r="K63513" s="8"/>
      <c r="L63513" s="8"/>
      <c r="M63513" s="8"/>
      <c r="N63513" s="8"/>
      <c r="O63513" s="8"/>
      <c r="P63513" s="8"/>
      <c r="Q63513" s="8"/>
      <c r="R63513" s="103"/>
      <c r="S63513" s="8"/>
      <c r="T63513" s="8"/>
      <c r="U63513" s="8"/>
      <c r="V63513" s="8"/>
      <c r="W63513" s="8"/>
      <c r="X63513" s="8"/>
      <c r="Y63513" s="8"/>
      <c r="Z63513" s="8"/>
      <c r="AA63513" s="8"/>
    </row>
    <row r="63514" spans="1:27" x14ac:dyDescent="0.25">
      <c r="A63514" s="8"/>
      <c r="B63514" s="8"/>
      <c r="C63514" s="99"/>
      <c r="D63514" s="8"/>
      <c r="E63514" s="8"/>
      <c r="F63514" s="8"/>
      <c r="G63514" s="8"/>
      <c r="H63514" s="8"/>
      <c r="I63514" s="102"/>
      <c r="J63514" s="8"/>
      <c r="K63514" s="8"/>
      <c r="L63514" s="8"/>
      <c r="M63514" s="8"/>
      <c r="N63514" s="8"/>
      <c r="O63514" s="8"/>
      <c r="P63514" s="8"/>
      <c r="Q63514" s="8"/>
      <c r="R63514" s="103"/>
      <c r="S63514" s="8"/>
      <c r="T63514" s="8"/>
      <c r="U63514" s="8"/>
      <c r="V63514" s="8"/>
      <c r="W63514" s="8"/>
      <c r="X63514" s="8"/>
      <c r="Y63514" s="8"/>
      <c r="Z63514" s="8"/>
      <c r="AA63514" s="8"/>
    </row>
    <row r="63515" spans="1:27" x14ac:dyDescent="0.25">
      <c r="A63515" s="8"/>
      <c r="B63515" s="8"/>
      <c r="C63515" s="99"/>
      <c r="D63515" s="8"/>
      <c r="E63515" s="8"/>
      <c r="F63515" s="8"/>
      <c r="G63515" s="8"/>
      <c r="H63515" s="8"/>
      <c r="I63515" s="102"/>
      <c r="J63515" s="8"/>
      <c r="K63515" s="8"/>
      <c r="L63515" s="8"/>
      <c r="M63515" s="8"/>
      <c r="N63515" s="8"/>
      <c r="O63515" s="8"/>
      <c r="P63515" s="8"/>
      <c r="Q63515" s="8"/>
      <c r="R63515" s="103"/>
      <c r="S63515" s="8"/>
      <c r="T63515" s="8"/>
      <c r="U63515" s="8"/>
      <c r="V63515" s="8"/>
      <c r="W63515" s="8"/>
      <c r="X63515" s="8"/>
      <c r="Y63515" s="8"/>
      <c r="Z63515" s="8"/>
      <c r="AA63515" s="8"/>
    </row>
    <row r="63516" spans="1:27" x14ac:dyDescent="0.25">
      <c r="A63516" s="8"/>
      <c r="B63516" s="8"/>
      <c r="C63516" s="99"/>
      <c r="D63516" s="8"/>
      <c r="E63516" s="8"/>
      <c r="F63516" s="8"/>
      <c r="G63516" s="8"/>
      <c r="H63516" s="8"/>
      <c r="I63516" s="102"/>
      <c r="J63516" s="8"/>
      <c r="K63516" s="8"/>
      <c r="L63516" s="8"/>
      <c r="M63516" s="8"/>
      <c r="N63516" s="8"/>
      <c r="O63516" s="8"/>
      <c r="P63516" s="8"/>
      <c r="Q63516" s="8"/>
      <c r="R63516" s="103"/>
      <c r="S63516" s="8"/>
      <c r="T63516" s="8"/>
      <c r="U63516" s="8"/>
      <c r="V63516" s="8"/>
      <c r="W63516" s="8"/>
      <c r="X63516" s="8"/>
      <c r="Y63516" s="8"/>
      <c r="Z63516" s="8"/>
      <c r="AA63516" s="8"/>
    </row>
    <row r="63517" spans="1:27" x14ac:dyDescent="0.25">
      <c r="A63517" s="8"/>
      <c r="B63517" s="8"/>
      <c r="C63517" s="99"/>
      <c r="D63517" s="8"/>
      <c r="E63517" s="8"/>
      <c r="F63517" s="8"/>
      <c r="G63517" s="8"/>
      <c r="H63517" s="8"/>
      <c r="I63517" s="102"/>
      <c r="J63517" s="8"/>
      <c r="K63517" s="8"/>
      <c r="L63517" s="8"/>
      <c r="M63517" s="8"/>
      <c r="N63517" s="8"/>
      <c r="O63517" s="8"/>
      <c r="P63517" s="8"/>
      <c r="Q63517" s="8"/>
      <c r="R63517" s="103"/>
      <c r="S63517" s="8"/>
      <c r="T63517" s="8"/>
      <c r="U63517" s="8"/>
      <c r="V63517" s="8"/>
      <c r="W63517" s="8"/>
      <c r="X63517" s="8"/>
      <c r="Y63517" s="8"/>
      <c r="Z63517" s="8"/>
      <c r="AA63517" s="8"/>
    </row>
    <row r="63518" spans="1:27" x14ac:dyDescent="0.25">
      <c r="A63518" s="8"/>
      <c r="B63518" s="8"/>
      <c r="C63518" s="99"/>
      <c r="D63518" s="8"/>
      <c r="E63518" s="8"/>
      <c r="F63518" s="8"/>
      <c r="G63518" s="8"/>
      <c r="H63518" s="8"/>
      <c r="I63518" s="102"/>
      <c r="J63518" s="8"/>
      <c r="K63518" s="8"/>
      <c r="L63518" s="8"/>
      <c r="M63518" s="8"/>
      <c r="N63518" s="8"/>
      <c r="O63518" s="8"/>
      <c r="P63518" s="8"/>
      <c r="Q63518" s="8"/>
      <c r="R63518" s="103"/>
      <c r="S63518" s="8"/>
      <c r="T63518" s="8"/>
      <c r="U63518" s="8"/>
      <c r="V63518" s="8"/>
      <c r="W63518" s="8"/>
      <c r="X63518" s="8"/>
      <c r="Y63518" s="8"/>
      <c r="Z63518" s="8"/>
      <c r="AA63518" s="8"/>
    </row>
    <row r="63519" spans="1:27" x14ac:dyDescent="0.25">
      <c r="A63519" s="8"/>
      <c r="B63519" s="8"/>
      <c r="C63519" s="99"/>
      <c r="D63519" s="8"/>
      <c r="E63519" s="8"/>
      <c r="F63519" s="8"/>
      <c r="G63519" s="8"/>
      <c r="H63519" s="8"/>
      <c r="I63519" s="102"/>
      <c r="J63519" s="8"/>
      <c r="K63519" s="8"/>
      <c r="L63519" s="8"/>
      <c r="M63519" s="8"/>
      <c r="N63519" s="8"/>
      <c r="O63519" s="8"/>
      <c r="P63519" s="8"/>
      <c r="Q63519" s="8"/>
      <c r="R63519" s="103"/>
      <c r="S63519" s="8"/>
      <c r="T63519" s="8"/>
      <c r="U63519" s="8"/>
      <c r="V63519" s="8"/>
      <c r="W63519" s="8"/>
      <c r="X63519" s="8"/>
      <c r="Y63519" s="8"/>
      <c r="Z63519" s="8"/>
      <c r="AA63519" s="8"/>
    </row>
    <row r="63520" spans="1:27" x14ac:dyDescent="0.25">
      <c r="A63520" s="8"/>
      <c r="B63520" s="8"/>
      <c r="C63520" s="99"/>
      <c r="D63520" s="8"/>
      <c r="E63520" s="8"/>
      <c r="F63520" s="8"/>
      <c r="G63520" s="8"/>
      <c r="H63520" s="8"/>
      <c r="I63520" s="102"/>
      <c r="J63520" s="8"/>
      <c r="K63520" s="8"/>
      <c r="L63520" s="8"/>
      <c r="M63520" s="8"/>
      <c r="N63520" s="8"/>
      <c r="O63520" s="8"/>
      <c r="P63520" s="8"/>
      <c r="Q63520" s="8"/>
      <c r="R63520" s="103"/>
      <c r="S63520" s="8"/>
      <c r="T63520" s="8"/>
      <c r="U63520" s="8"/>
      <c r="V63520" s="8"/>
      <c r="W63520" s="8"/>
      <c r="X63520" s="8"/>
      <c r="Y63520" s="8"/>
      <c r="Z63520" s="8"/>
      <c r="AA63520" s="8"/>
    </row>
    <row r="63521" spans="1:27" x14ac:dyDescent="0.25">
      <c r="A63521" s="8"/>
      <c r="B63521" s="8"/>
      <c r="C63521" s="99"/>
      <c r="D63521" s="8"/>
      <c r="E63521" s="8"/>
      <c r="F63521" s="8"/>
      <c r="G63521" s="8"/>
      <c r="H63521" s="8"/>
      <c r="I63521" s="102"/>
      <c r="J63521" s="8"/>
      <c r="K63521" s="8"/>
      <c r="L63521" s="8"/>
      <c r="M63521" s="8"/>
      <c r="N63521" s="8"/>
      <c r="O63521" s="8"/>
      <c r="P63521" s="8"/>
      <c r="Q63521" s="8"/>
      <c r="R63521" s="103"/>
      <c r="S63521" s="8"/>
      <c r="T63521" s="8"/>
      <c r="U63521" s="8"/>
      <c r="V63521" s="8"/>
      <c r="W63521" s="8"/>
      <c r="X63521" s="8"/>
      <c r="Y63521" s="8"/>
      <c r="Z63521" s="8"/>
      <c r="AA63521" s="8"/>
    </row>
    <row r="63522" spans="1:27" x14ac:dyDescent="0.25">
      <c r="A63522" s="8"/>
      <c r="B63522" s="8"/>
      <c r="C63522" s="99"/>
      <c r="D63522" s="8"/>
      <c r="E63522" s="8"/>
      <c r="F63522" s="8"/>
      <c r="G63522" s="8"/>
      <c r="H63522" s="8"/>
      <c r="I63522" s="102"/>
      <c r="J63522" s="8"/>
      <c r="K63522" s="8"/>
      <c r="L63522" s="8"/>
      <c r="M63522" s="8"/>
      <c r="N63522" s="8"/>
      <c r="O63522" s="8"/>
      <c r="P63522" s="8"/>
      <c r="Q63522" s="8"/>
      <c r="R63522" s="103"/>
      <c r="S63522" s="8"/>
      <c r="T63522" s="8"/>
      <c r="U63522" s="8"/>
      <c r="V63522" s="8"/>
      <c r="W63522" s="8"/>
      <c r="X63522" s="8"/>
      <c r="Y63522" s="8"/>
      <c r="Z63522" s="8"/>
      <c r="AA63522" s="8"/>
    </row>
    <row r="63523" spans="1:27" x14ac:dyDescent="0.25">
      <c r="A63523" s="8"/>
      <c r="B63523" s="8"/>
      <c r="C63523" s="99"/>
      <c r="D63523" s="8"/>
      <c r="E63523" s="8"/>
      <c r="F63523" s="8"/>
      <c r="G63523" s="8"/>
      <c r="H63523" s="8"/>
      <c r="I63523" s="102"/>
      <c r="J63523" s="8"/>
      <c r="K63523" s="8"/>
      <c r="L63523" s="8"/>
      <c r="M63523" s="8"/>
      <c r="N63523" s="8"/>
      <c r="O63523" s="8"/>
      <c r="P63523" s="8"/>
      <c r="Q63523" s="8"/>
      <c r="R63523" s="103"/>
      <c r="S63523" s="8"/>
      <c r="T63523" s="8"/>
      <c r="U63523" s="8"/>
      <c r="V63523" s="8"/>
      <c r="W63523" s="8"/>
      <c r="X63523" s="8"/>
      <c r="Y63523" s="8"/>
      <c r="Z63523" s="8"/>
      <c r="AA63523" s="8"/>
    </row>
    <row r="63524" spans="1:27" x14ac:dyDescent="0.25">
      <c r="A63524" s="8"/>
      <c r="B63524" s="8"/>
      <c r="C63524" s="99"/>
      <c r="D63524" s="8"/>
      <c r="E63524" s="8"/>
      <c r="F63524" s="8"/>
      <c r="G63524" s="8"/>
      <c r="H63524" s="8"/>
      <c r="I63524" s="102"/>
      <c r="J63524" s="8"/>
      <c r="K63524" s="8"/>
      <c r="L63524" s="8"/>
      <c r="M63524" s="8"/>
      <c r="N63524" s="8"/>
      <c r="O63524" s="8"/>
      <c r="P63524" s="8"/>
      <c r="Q63524" s="8"/>
      <c r="R63524" s="103"/>
      <c r="S63524" s="8"/>
      <c r="T63524" s="8"/>
      <c r="U63524" s="8"/>
      <c r="V63524" s="8"/>
      <c r="W63524" s="8"/>
      <c r="X63524" s="8"/>
      <c r="Y63524" s="8"/>
      <c r="Z63524" s="8"/>
      <c r="AA63524" s="8"/>
    </row>
    <row r="63525" spans="1:27" x14ac:dyDescent="0.25">
      <c r="A63525" s="8"/>
      <c r="B63525" s="8"/>
      <c r="C63525" s="99"/>
      <c r="D63525" s="8"/>
      <c r="E63525" s="8"/>
      <c r="F63525" s="8"/>
      <c r="G63525" s="8"/>
      <c r="H63525" s="8"/>
      <c r="I63525" s="102"/>
      <c r="J63525" s="8"/>
      <c r="K63525" s="8"/>
      <c r="L63525" s="8"/>
      <c r="M63525" s="8"/>
      <c r="N63525" s="8"/>
      <c r="O63525" s="8"/>
      <c r="P63525" s="8"/>
      <c r="Q63525" s="8"/>
      <c r="R63525" s="103"/>
      <c r="S63525" s="8"/>
      <c r="T63525" s="8"/>
      <c r="U63525" s="8"/>
      <c r="V63525" s="8"/>
      <c r="W63525" s="8"/>
      <c r="X63525" s="8"/>
      <c r="Y63525" s="8"/>
      <c r="Z63525" s="8"/>
      <c r="AA63525" s="8"/>
    </row>
    <row r="63526" spans="1:27" x14ac:dyDescent="0.25">
      <c r="A63526" s="8"/>
      <c r="B63526" s="8"/>
      <c r="C63526" s="99"/>
      <c r="D63526" s="8"/>
      <c r="E63526" s="8"/>
      <c r="F63526" s="8"/>
      <c r="G63526" s="8"/>
      <c r="H63526" s="8"/>
      <c r="I63526" s="102"/>
      <c r="J63526" s="8"/>
      <c r="K63526" s="8"/>
      <c r="L63526" s="8"/>
      <c r="M63526" s="8"/>
      <c r="N63526" s="8"/>
      <c r="O63526" s="8"/>
      <c r="P63526" s="8"/>
      <c r="Q63526" s="8"/>
      <c r="R63526" s="103"/>
      <c r="S63526" s="8"/>
      <c r="T63526" s="8"/>
      <c r="U63526" s="8"/>
      <c r="V63526" s="8"/>
      <c r="W63526" s="8"/>
      <c r="X63526" s="8"/>
      <c r="Y63526" s="8"/>
      <c r="Z63526" s="8"/>
      <c r="AA63526" s="8"/>
    </row>
    <row r="63527" spans="1:27" x14ac:dyDescent="0.25">
      <c r="A63527" s="8"/>
      <c r="B63527" s="8"/>
      <c r="C63527" s="99"/>
      <c r="D63527" s="8"/>
      <c r="E63527" s="8"/>
      <c r="F63527" s="8"/>
      <c r="G63527" s="8"/>
      <c r="H63527" s="8"/>
      <c r="I63527" s="102"/>
      <c r="J63527" s="8"/>
      <c r="K63527" s="8"/>
      <c r="L63527" s="8"/>
      <c r="M63527" s="8"/>
      <c r="N63527" s="8"/>
      <c r="O63527" s="8"/>
      <c r="P63527" s="8"/>
      <c r="Q63527" s="8"/>
      <c r="R63527" s="103"/>
      <c r="S63527" s="8"/>
      <c r="T63527" s="8"/>
      <c r="U63527" s="8"/>
      <c r="V63527" s="8"/>
      <c r="W63527" s="8"/>
      <c r="X63527" s="8"/>
      <c r="Y63527" s="8"/>
      <c r="Z63527" s="8"/>
      <c r="AA63527" s="8"/>
    </row>
    <row r="63528" spans="1:27" x14ac:dyDescent="0.25">
      <c r="A63528" s="8"/>
      <c r="B63528" s="8"/>
      <c r="C63528" s="99"/>
      <c r="D63528" s="8"/>
      <c r="E63528" s="8"/>
      <c r="F63528" s="8"/>
      <c r="G63528" s="8"/>
      <c r="H63528" s="8"/>
      <c r="I63528" s="102"/>
      <c r="J63528" s="8"/>
      <c r="K63528" s="8"/>
      <c r="L63528" s="8"/>
      <c r="M63528" s="8"/>
      <c r="N63528" s="8"/>
      <c r="O63528" s="8"/>
      <c r="P63528" s="8"/>
      <c r="Q63528" s="8"/>
      <c r="R63528" s="103"/>
      <c r="S63528" s="8"/>
      <c r="T63528" s="8"/>
      <c r="U63528" s="8"/>
      <c r="V63528" s="8"/>
      <c r="W63528" s="8"/>
      <c r="X63528" s="8"/>
      <c r="Y63528" s="8"/>
      <c r="Z63528" s="8"/>
      <c r="AA63528" s="8"/>
    </row>
    <row r="63529" spans="1:27" x14ac:dyDescent="0.25">
      <c r="A63529" s="8"/>
      <c r="B63529" s="8"/>
      <c r="C63529" s="99"/>
      <c r="D63529" s="8"/>
      <c r="E63529" s="8"/>
      <c r="F63529" s="8"/>
      <c r="G63529" s="8"/>
      <c r="H63529" s="8"/>
      <c r="I63529" s="102"/>
      <c r="J63529" s="8"/>
      <c r="K63529" s="8"/>
      <c r="L63529" s="8"/>
      <c r="M63529" s="8"/>
      <c r="N63529" s="8"/>
      <c r="O63529" s="8"/>
      <c r="P63529" s="8"/>
      <c r="Q63529" s="8"/>
      <c r="R63529" s="103"/>
      <c r="S63529" s="8"/>
      <c r="T63529" s="8"/>
      <c r="U63529" s="8"/>
      <c r="V63529" s="8"/>
      <c r="W63529" s="8"/>
      <c r="X63529" s="8"/>
      <c r="Y63529" s="8"/>
      <c r="Z63529" s="8"/>
      <c r="AA63529" s="8"/>
    </row>
    <row r="63530" spans="1:27" x14ac:dyDescent="0.25">
      <c r="A63530" s="8"/>
      <c r="B63530" s="8"/>
      <c r="C63530" s="99"/>
      <c r="D63530" s="8"/>
      <c r="E63530" s="8"/>
      <c r="F63530" s="8"/>
      <c r="G63530" s="8"/>
      <c r="H63530" s="8"/>
      <c r="I63530" s="102"/>
      <c r="J63530" s="8"/>
      <c r="K63530" s="8"/>
      <c r="L63530" s="8"/>
      <c r="M63530" s="8"/>
      <c r="N63530" s="8"/>
      <c r="O63530" s="8"/>
      <c r="P63530" s="8"/>
      <c r="Q63530" s="8"/>
      <c r="R63530" s="103"/>
      <c r="S63530" s="8"/>
      <c r="T63530" s="8"/>
      <c r="U63530" s="8"/>
      <c r="V63530" s="8"/>
      <c r="W63530" s="8"/>
      <c r="X63530" s="8"/>
      <c r="Y63530" s="8"/>
      <c r="Z63530" s="8"/>
      <c r="AA63530" s="8"/>
    </row>
    <row r="63531" spans="1:27" x14ac:dyDescent="0.25">
      <c r="A63531" s="8"/>
      <c r="B63531" s="8"/>
      <c r="C63531" s="99"/>
      <c r="D63531" s="8"/>
      <c r="E63531" s="8"/>
      <c r="F63531" s="8"/>
      <c r="G63531" s="8"/>
      <c r="H63531" s="8"/>
      <c r="I63531" s="102"/>
      <c r="J63531" s="8"/>
      <c r="K63531" s="8"/>
      <c r="L63531" s="8"/>
      <c r="M63531" s="8"/>
      <c r="N63531" s="8"/>
      <c r="O63531" s="8"/>
      <c r="P63531" s="8"/>
      <c r="Q63531" s="8"/>
      <c r="R63531" s="103"/>
      <c r="S63531" s="8"/>
      <c r="T63531" s="8"/>
      <c r="U63531" s="8"/>
      <c r="V63531" s="8"/>
      <c r="W63531" s="8"/>
      <c r="X63531" s="8"/>
      <c r="Y63531" s="8"/>
      <c r="Z63531" s="8"/>
      <c r="AA63531" s="8"/>
    </row>
    <row r="63532" spans="1:27" x14ac:dyDescent="0.25">
      <c r="A63532" s="8"/>
      <c r="B63532" s="8"/>
      <c r="C63532" s="99"/>
      <c r="D63532" s="8"/>
      <c r="E63532" s="8"/>
      <c r="F63532" s="8"/>
      <c r="G63532" s="8"/>
      <c r="H63532" s="8"/>
      <c r="I63532" s="102"/>
      <c r="J63532" s="8"/>
      <c r="K63532" s="8"/>
      <c r="L63532" s="8"/>
      <c r="M63532" s="8"/>
      <c r="N63532" s="8"/>
      <c r="O63532" s="8"/>
      <c r="P63532" s="8"/>
      <c r="Q63532" s="8"/>
      <c r="R63532" s="103"/>
      <c r="S63532" s="8"/>
      <c r="T63532" s="8"/>
      <c r="U63532" s="8"/>
      <c r="V63532" s="8"/>
      <c r="W63532" s="8"/>
      <c r="X63532" s="8"/>
      <c r="Y63532" s="8"/>
      <c r="Z63532" s="8"/>
      <c r="AA63532" s="8"/>
    </row>
    <row r="63533" spans="1:27" x14ac:dyDescent="0.25">
      <c r="A63533" s="8"/>
      <c r="B63533" s="8"/>
      <c r="C63533" s="99"/>
      <c r="D63533" s="8"/>
      <c r="E63533" s="8"/>
      <c r="F63533" s="8"/>
      <c r="G63533" s="8"/>
      <c r="H63533" s="8"/>
      <c r="I63533" s="102"/>
      <c r="J63533" s="8"/>
      <c r="K63533" s="8"/>
      <c r="L63533" s="8"/>
      <c r="M63533" s="8"/>
      <c r="N63533" s="8"/>
      <c r="O63533" s="8"/>
      <c r="P63533" s="8"/>
      <c r="Q63533" s="8"/>
      <c r="R63533" s="103"/>
      <c r="S63533" s="8"/>
      <c r="T63533" s="8"/>
      <c r="U63533" s="8"/>
      <c r="V63533" s="8"/>
      <c r="W63533" s="8"/>
      <c r="X63533" s="8"/>
      <c r="Y63533" s="8"/>
      <c r="Z63533" s="8"/>
      <c r="AA63533" s="8"/>
    </row>
    <row r="63534" spans="1:27" x14ac:dyDescent="0.25">
      <c r="A63534" s="8"/>
      <c r="B63534" s="8"/>
      <c r="C63534" s="99"/>
      <c r="D63534" s="8"/>
      <c r="E63534" s="8"/>
      <c r="F63534" s="8"/>
      <c r="G63534" s="8"/>
      <c r="H63534" s="8"/>
      <c r="I63534" s="102"/>
      <c r="J63534" s="8"/>
      <c r="K63534" s="8"/>
      <c r="L63534" s="8"/>
      <c r="M63534" s="8"/>
      <c r="N63534" s="8"/>
      <c r="O63534" s="8"/>
      <c r="P63534" s="8"/>
      <c r="Q63534" s="8"/>
      <c r="R63534" s="103"/>
      <c r="S63534" s="8"/>
      <c r="T63534" s="8"/>
      <c r="U63534" s="8"/>
      <c r="V63534" s="8"/>
      <c r="W63534" s="8"/>
      <c r="X63534" s="8"/>
      <c r="Y63534" s="8"/>
      <c r="Z63534" s="8"/>
      <c r="AA63534" s="8"/>
    </row>
    <row r="63535" spans="1:27" x14ac:dyDescent="0.25">
      <c r="A63535" s="8"/>
      <c r="B63535" s="8"/>
      <c r="C63535" s="99"/>
      <c r="D63535" s="8"/>
      <c r="E63535" s="8"/>
      <c r="F63535" s="8"/>
      <c r="G63535" s="8"/>
      <c r="H63535" s="8"/>
      <c r="I63535" s="102"/>
      <c r="J63535" s="8"/>
      <c r="K63535" s="8"/>
      <c r="L63535" s="8"/>
      <c r="M63535" s="8"/>
      <c r="N63535" s="8"/>
      <c r="O63535" s="8"/>
      <c r="P63535" s="8"/>
      <c r="Q63535" s="8"/>
      <c r="R63535" s="103"/>
      <c r="S63535" s="8"/>
      <c r="T63535" s="8"/>
      <c r="U63535" s="8"/>
      <c r="V63535" s="8"/>
      <c r="W63535" s="8"/>
      <c r="X63535" s="8"/>
      <c r="Y63535" s="8"/>
      <c r="Z63535" s="8"/>
      <c r="AA63535" s="8"/>
    </row>
    <row r="63536" spans="1:27" x14ac:dyDescent="0.25">
      <c r="A63536" s="8"/>
      <c r="B63536" s="8"/>
      <c r="C63536" s="99"/>
      <c r="D63536" s="8"/>
      <c r="E63536" s="8"/>
      <c r="F63536" s="8"/>
      <c r="G63536" s="8"/>
      <c r="H63536" s="8"/>
      <c r="I63536" s="102"/>
      <c r="J63536" s="8"/>
      <c r="K63536" s="8"/>
      <c r="L63536" s="8"/>
      <c r="M63536" s="8"/>
      <c r="N63536" s="8"/>
      <c r="O63536" s="8"/>
      <c r="P63536" s="8"/>
      <c r="Q63536" s="8"/>
      <c r="R63536" s="103"/>
      <c r="S63536" s="8"/>
      <c r="T63536" s="8"/>
      <c r="U63536" s="8"/>
      <c r="V63536" s="8"/>
      <c r="W63536" s="8"/>
      <c r="X63536" s="8"/>
      <c r="Y63536" s="8"/>
      <c r="Z63536" s="8"/>
      <c r="AA63536" s="8"/>
    </row>
    <row r="63537" spans="1:27" x14ac:dyDescent="0.25">
      <c r="A63537" s="8"/>
      <c r="B63537" s="8"/>
      <c r="C63537" s="99"/>
      <c r="D63537" s="8"/>
      <c r="E63537" s="8"/>
      <c r="F63537" s="8"/>
      <c r="G63537" s="8"/>
      <c r="H63537" s="8"/>
      <c r="I63537" s="102"/>
      <c r="J63537" s="8"/>
      <c r="K63537" s="8"/>
      <c r="L63537" s="8"/>
      <c r="M63537" s="8"/>
      <c r="N63537" s="8"/>
      <c r="O63537" s="8"/>
      <c r="P63537" s="8"/>
      <c r="Q63537" s="8"/>
      <c r="R63537" s="103"/>
      <c r="S63537" s="8"/>
      <c r="T63537" s="8"/>
      <c r="U63537" s="8"/>
      <c r="V63537" s="8"/>
      <c r="W63537" s="8"/>
      <c r="X63537" s="8"/>
      <c r="Y63537" s="8"/>
      <c r="Z63537" s="8"/>
      <c r="AA63537" s="8"/>
    </row>
    <row r="63538" spans="1:27" x14ac:dyDescent="0.25">
      <c r="A63538" s="8"/>
      <c r="B63538" s="8"/>
      <c r="C63538" s="99"/>
      <c r="D63538" s="8"/>
      <c r="E63538" s="8"/>
      <c r="F63538" s="8"/>
      <c r="G63538" s="8"/>
      <c r="H63538" s="8"/>
      <c r="I63538" s="102"/>
      <c r="J63538" s="8"/>
      <c r="K63538" s="8"/>
      <c r="L63538" s="8"/>
      <c r="M63538" s="8"/>
      <c r="N63538" s="8"/>
      <c r="O63538" s="8"/>
      <c r="P63538" s="8"/>
      <c r="Q63538" s="8"/>
      <c r="R63538" s="103"/>
      <c r="S63538" s="8"/>
      <c r="T63538" s="8"/>
      <c r="U63538" s="8"/>
      <c r="V63538" s="8"/>
      <c r="W63538" s="8"/>
      <c r="X63538" s="8"/>
      <c r="Y63538" s="8"/>
      <c r="Z63538" s="8"/>
      <c r="AA63538" s="8"/>
    </row>
    <row r="63539" spans="1:27" x14ac:dyDescent="0.25">
      <c r="A63539" s="8"/>
      <c r="B63539" s="8"/>
      <c r="C63539" s="99"/>
      <c r="D63539" s="8"/>
      <c r="E63539" s="8"/>
      <c r="F63539" s="8"/>
      <c r="G63539" s="8"/>
      <c r="H63539" s="8"/>
      <c r="I63539" s="102"/>
      <c r="J63539" s="8"/>
      <c r="K63539" s="8"/>
      <c r="L63539" s="8"/>
      <c r="M63539" s="8"/>
      <c r="N63539" s="8"/>
      <c r="O63539" s="8"/>
      <c r="P63539" s="8"/>
      <c r="Q63539" s="8"/>
      <c r="R63539" s="103"/>
      <c r="S63539" s="8"/>
      <c r="T63539" s="8"/>
      <c r="U63539" s="8"/>
      <c r="V63539" s="8"/>
      <c r="W63539" s="8"/>
      <c r="X63539" s="8"/>
      <c r="Y63539" s="8"/>
      <c r="Z63539" s="8"/>
      <c r="AA63539" s="8"/>
    </row>
    <row r="63540" spans="1:27" x14ac:dyDescent="0.25">
      <c r="A63540" s="8"/>
      <c r="B63540" s="8"/>
      <c r="C63540" s="99"/>
      <c r="D63540" s="8"/>
      <c r="E63540" s="8"/>
      <c r="F63540" s="8"/>
      <c r="G63540" s="8"/>
      <c r="H63540" s="8"/>
      <c r="I63540" s="102"/>
      <c r="J63540" s="8"/>
      <c r="K63540" s="8"/>
      <c r="L63540" s="8"/>
      <c r="M63540" s="8"/>
      <c r="N63540" s="8"/>
      <c r="O63540" s="8"/>
      <c r="P63540" s="8"/>
      <c r="Q63540" s="8"/>
      <c r="R63540" s="103"/>
      <c r="S63540" s="8"/>
      <c r="T63540" s="8"/>
      <c r="U63540" s="8"/>
      <c r="V63540" s="8"/>
      <c r="W63540" s="8"/>
      <c r="X63540" s="8"/>
      <c r="Y63540" s="8"/>
      <c r="Z63540" s="8"/>
      <c r="AA63540" s="8"/>
    </row>
    <row r="63541" spans="1:27" x14ac:dyDescent="0.25">
      <c r="A63541" s="8"/>
      <c r="B63541" s="8"/>
      <c r="C63541" s="99"/>
      <c r="D63541" s="8"/>
      <c r="E63541" s="8"/>
      <c r="F63541" s="8"/>
      <c r="G63541" s="8"/>
      <c r="H63541" s="8"/>
      <c r="I63541" s="102"/>
      <c r="J63541" s="8"/>
      <c r="K63541" s="8"/>
      <c r="L63541" s="8"/>
      <c r="M63541" s="8"/>
      <c r="N63541" s="8"/>
      <c r="O63541" s="8"/>
      <c r="P63541" s="8"/>
      <c r="Q63541" s="8"/>
      <c r="R63541" s="103"/>
      <c r="S63541" s="8"/>
      <c r="T63541" s="8"/>
      <c r="U63541" s="8"/>
      <c r="V63541" s="8"/>
      <c r="W63541" s="8"/>
      <c r="X63541" s="8"/>
      <c r="Y63541" s="8"/>
      <c r="Z63541" s="8"/>
      <c r="AA63541" s="8"/>
    </row>
    <row r="63542" spans="1:27" x14ac:dyDescent="0.25">
      <c r="A63542" s="8"/>
      <c r="B63542" s="8"/>
      <c r="C63542" s="99"/>
      <c r="D63542" s="8"/>
      <c r="E63542" s="8"/>
      <c r="F63542" s="8"/>
      <c r="G63542" s="8"/>
      <c r="H63542" s="8"/>
      <c r="I63542" s="102"/>
      <c r="J63542" s="8"/>
      <c r="K63542" s="8"/>
      <c r="L63542" s="8"/>
      <c r="M63542" s="8"/>
      <c r="N63542" s="8"/>
      <c r="O63542" s="8"/>
      <c r="P63542" s="8"/>
      <c r="Q63542" s="8"/>
      <c r="R63542" s="103"/>
      <c r="S63542" s="8"/>
      <c r="T63542" s="8"/>
      <c r="U63542" s="8"/>
      <c r="V63542" s="8"/>
      <c r="W63542" s="8"/>
      <c r="X63542" s="8"/>
      <c r="Y63542" s="8"/>
      <c r="Z63542" s="8"/>
      <c r="AA63542" s="8"/>
    </row>
    <row r="63543" spans="1:27" x14ac:dyDescent="0.25">
      <c r="A63543" s="8"/>
      <c r="B63543" s="8"/>
      <c r="C63543" s="99"/>
      <c r="D63543" s="8"/>
      <c r="E63543" s="8"/>
      <c r="F63543" s="8"/>
      <c r="G63543" s="8"/>
      <c r="H63543" s="8"/>
      <c r="I63543" s="102"/>
      <c r="J63543" s="8"/>
      <c r="K63543" s="8"/>
      <c r="L63543" s="8"/>
      <c r="M63543" s="8"/>
      <c r="N63543" s="8"/>
      <c r="O63543" s="8"/>
      <c r="P63543" s="8"/>
      <c r="Q63543" s="8"/>
      <c r="R63543" s="103"/>
      <c r="S63543" s="8"/>
      <c r="T63543" s="8"/>
      <c r="U63543" s="8"/>
      <c r="V63543" s="8"/>
      <c r="W63543" s="8"/>
      <c r="X63543" s="8"/>
      <c r="Y63543" s="8"/>
      <c r="Z63543" s="8"/>
      <c r="AA63543" s="8"/>
    </row>
    <row r="63544" spans="1:27" x14ac:dyDescent="0.25">
      <c r="A63544" s="8"/>
      <c r="B63544" s="8"/>
      <c r="C63544" s="99"/>
      <c r="D63544" s="8"/>
      <c r="E63544" s="8"/>
      <c r="F63544" s="8"/>
      <c r="G63544" s="8"/>
      <c r="H63544" s="8"/>
      <c r="I63544" s="102"/>
      <c r="J63544" s="8"/>
      <c r="K63544" s="8"/>
      <c r="L63544" s="8"/>
      <c r="M63544" s="8"/>
      <c r="N63544" s="8"/>
      <c r="O63544" s="8"/>
      <c r="P63544" s="8"/>
      <c r="Q63544" s="8"/>
      <c r="R63544" s="103"/>
      <c r="S63544" s="8"/>
      <c r="T63544" s="8"/>
      <c r="U63544" s="8"/>
      <c r="V63544" s="8"/>
      <c r="W63544" s="8"/>
      <c r="X63544" s="8"/>
      <c r="Y63544" s="8"/>
      <c r="Z63544" s="8"/>
      <c r="AA63544" s="8"/>
    </row>
    <row r="63545" spans="1:27" x14ac:dyDescent="0.25">
      <c r="A63545" s="8"/>
      <c r="B63545" s="8"/>
      <c r="C63545" s="99"/>
      <c r="D63545" s="8"/>
      <c r="E63545" s="8"/>
      <c r="F63545" s="8"/>
      <c r="G63545" s="8"/>
      <c r="H63545" s="8"/>
      <c r="I63545" s="102"/>
      <c r="J63545" s="8"/>
      <c r="K63545" s="8"/>
      <c r="L63545" s="8"/>
      <c r="M63545" s="8"/>
      <c r="N63545" s="8"/>
      <c r="O63545" s="8"/>
      <c r="P63545" s="8"/>
      <c r="Q63545" s="8"/>
      <c r="R63545" s="103"/>
      <c r="S63545" s="8"/>
      <c r="T63545" s="8"/>
      <c r="U63545" s="8"/>
      <c r="V63545" s="8"/>
      <c r="W63545" s="8"/>
      <c r="X63545" s="8"/>
      <c r="Y63545" s="8"/>
      <c r="Z63545" s="8"/>
      <c r="AA63545" s="8"/>
    </row>
    <row r="63546" spans="1:27" x14ac:dyDescent="0.25">
      <c r="A63546" s="8"/>
      <c r="B63546" s="8"/>
      <c r="C63546" s="99"/>
      <c r="D63546" s="8"/>
      <c r="E63546" s="8"/>
      <c r="F63546" s="8"/>
      <c r="G63546" s="8"/>
      <c r="H63546" s="8"/>
      <c r="I63546" s="102"/>
      <c r="J63546" s="8"/>
      <c r="K63546" s="8"/>
      <c r="L63546" s="8"/>
      <c r="M63546" s="8"/>
      <c r="N63546" s="8"/>
      <c r="O63546" s="8"/>
      <c r="P63546" s="8"/>
      <c r="Q63546" s="8"/>
      <c r="R63546" s="103"/>
      <c r="S63546" s="8"/>
      <c r="T63546" s="8"/>
      <c r="U63546" s="8"/>
      <c r="V63546" s="8"/>
      <c r="W63546" s="8"/>
      <c r="X63546" s="8"/>
      <c r="Y63546" s="8"/>
      <c r="Z63546" s="8"/>
      <c r="AA63546" s="8"/>
    </row>
    <row r="63547" spans="1:27" x14ac:dyDescent="0.25">
      <c r="A63547" s="8"/>
      <c r="B63547" s="8"/>
      <c r="C63547" s="99"/>
      <c r="D63547" s="8"/>
      <c r="E63547" s="8"/>
      <c r="F63547" s="8"/>
      <c r="G63547" s="8"/>
      <c r="H63547" s="8"/>
      <c r="I63547" s="102"/>
      <c r="J63547" s="8"/>
      <c r="K63547" s="8"/>
      <c r="L63547" s="8"/>
      <c r="M63547" s="8"/>
      <c r="N63547" s="8"/>
      <c r="O63547" s="8"/>
      <c r="P63547" s="8"/>
      <c r="Q63547" s="8"/>
      <c r="R63547" s="103"/>
      <c r="S63547" s="8"/>
      <c r="T63547" s="8"/>
      <c r="U63547" s="8"/>
      <c r="V63547" s="8"/>
      <c r="W63547" s="8"/>
      <c r="X63547" s="8"/>
      <c r="Y63547" s="8"/>
      <c r="Z63547" s="8"/>
      <c r="AA63547" s="8"/>
    </row>
    <row r="63548" spans="1:27" x14ac:dyDescent="0.25">
      <c r="A63548" s="8"/>
      <c r="B63548" s="8"/>
      <c r="C63548" s="99"/>
      <c r="D63548" s="8"/>
      <c r="E63548" s="8"/>
      <c r="F63548" s="8"/>
      <c r="G63548" s="8"/>
      <c r="H63548" s="8"/>
      <c r="I63548" s="102"/>
      <c r="J63548" s="8"/>
      <c r="K63548" s="8"/>
      <c r="L63548" s="8"/>
      <c r="M63548" s="8"/>
      <c r="N63548" s="8"/>
      <c r="O63548" s="8"/>
      <c r="P63548" s="8"/>
      <c r="Q63548" s="8"/>
      <c r="R63548" s="103"/>
      <c r="S63548" s="8"/>
      <c r="T63548" s="8"/>
      <c r="U63548" s="8"/>
      <c r="V63548" s="8"/>
      <c r="W63548" s="8"/>
      <c r="X63548" s="8"/>
      <c r="Y63548" s="8"/>
      <c r="Z63548" s="8"/>
      <c r="AA63548" s="8"/>
    </row>
    <row r="63549" spans="1:27" x14ac:dyDescent="0.25">
      <c r="A63549" s="8"/>
      <c r="B63549" s="8"/>
      <c r="C63549" s="99"/>
      <c r="D63549" s="8"/>
      <c r="E63549" s="8"/>
      <c r="F63549" s="8"/>
      <c r="G63549" s="8"/>
      <c r="H63549" s="8"/>
      <c r="I63549" s="102"/>
      <c r="J63549" s="8"/>
      <c r="K63549" s="8"/>
      <c r="L63549" s="8"/>
      <c r="M63549" s="8"/>
      <c r="N63549" s="8"/>
      <c r="O63549" s="8"/>
      <c r="P63549" s="8"/>
      <c r="Q63549" s="8"/>
      <c r="R63549" s="103"/>
      <c r="S63549" s="8"/>
      <c r="T63549" s="8"/>
      <c r="U63549" s="8"/>
      <c r="V63549" s="8"/>
      <c r="W63549" s="8"/>
      <c r="X63549" s="8"/>
      <c r="Y63549" s="8"/>
      <c r="Z63549" s="8"/>
      <c r="AA63549" s="8"/>
    </row>
    <row r="63550" spans="1:27" x14ac:dyDescent="0.25">
      <c r="A63550" s="8"/>
      <c r="B63550" s="8"/>
      <c r="C63550" s="99"/>
      <c r="D63550" s="8"/>
      <c r="E63550" s="8"/>
      <c r="F63550" s="8"/>
      <c r="G63550" s="8"/>
      <c r="H63550" s="8"/>
      <c r="I63550" s="102"/>
      <c r="J63550" s="8"/>
      <c r="K63550" s="8"/>
      <c r="L63550" s="8"/>
      <c r="M63550" s="8"/>
      <c r="N63550" s="8"/>
      <c r="O63550" s="8"/>
      <c r="P63550" s="8"/>
      <c r="Q63550" s="8"/>
      <c r="R63550" s="103"/>
      <c r="S63550" s="8"/>
      <c r="T63550" s="8"/>
      <c r="U63550" s="8"/>
      <c r="V63550" s="8"/>
      <c r="W63550" s="8"/>
      <c r="X63550" s="8"/>
      <c r="Y63550" s="8"/>
      <c r="Z63550" s="8"/>
      <c r="AA63550" s="8"/>
    </row>
    <row r="63551" spans="1:27" x14ac:dyDescent="0.25">
      <c r="A63551" s="8"/>
      <c r="B63551" s="8"/>
      <c r="C63551" s="99"/>
      <c r="D63551" s="8"/>
      <c r="E63551" s="8"/>
      <c r="F63551" s="8"/>
      <c r="G63551" s="8"/>
      <c r="H63551" s="8"/>
      <c r="I63551" s="102"/>
      <c r="J63551" s="8"/>
      <c r="K63551" s="8"/>
      <c r="L63551" s="8"/>
      <c r="M63551" s="8"/>
      <c r="N63551" s="8"/>
      <c r="O63551" s="8"/>
      <c r="P63551" s="8"/>
      <c r="Q63551" s="8"/>
      <c r="R63551" s="103"/>
      <c r="S63551" s="8"/>
      <c r="T63551" s="8"/>
      <c r="U63551" s="8"/>
      <c r="V63551" s="8"/>
      <c r="W63551" s="8"/>
      <c r="X63551" s="8"/>
      <c r="Y63551" s="8"/>
      <c r="Z63551" s="8"/>
      <c r="AA63551" s="8"/>
    </row>
    <row r="63552" spans="1:27" x14ac:dyDescent="0.25">
      <c r="A63552" s="8"/>
      <c r="B63552" s="8"/>
      <c r="C63552" s="99"/>
      <c r="D63552" s="8"/>
      <c r="E63552" s="8"/>
      <c r="F63552" s="8"/>
      <c r="G63552" s="8"/>
      <c r="H63552" s="8"/>
      <c r="I63552" s="102"/>
      <c r="J63552" s="8"/>
      <c r="K63552" s="8"/>
      <c r="L63552" s="8"/>
      <c r="M63552" s="8"/>
      <c r="N63552" s="8"/>
      <c r="O63552" s="8"/>
      <c r="P63552" s="8"/>
      <c r="Q63552" s="8"/>
      <c r="R63552" s="103"/>
      <c r="S63552" s="8"/>
      <c r="T63552" s="8"/>
      <c r="U63552" s="8"/>
      <c r="V63552" s="8"/>
      <c r="W63552" s="8"/>
      <c r="X63552" s="8"/>
      <c r="Y63552" s="8"/>
      <c r="Z63552" s="8"/>
      <c r="AA63552" s="8"/>
    </row>
    <row r="63553" spans="1:27" x14ac:dyDescent="0.25">
      <c r="A63553" s="8"/>
      <c r="B63553" s="8"/>
      <c r="C63553" s="99"/>
      <c r="D63553" s="8"/>
      <c r="E63553" s="8"/>
      <c r="F63553" s="8"/>
      <c r="G63553" s="8"/>
      <c r="H63553" s="8"/>
      <c r="I63553" s="102"/>
      <c r="J63553" s="8"/>
      <c r="K63553" s="8"/>
      <c r="L63553" s="8"/>
      <c r="M63553" s="8"/>
      <c r="N63553" s="8"/>
      <c r="O63553" s="8"/>
      <c r="P63553" s="8"/>
      <c r="Q63553" s="8"/>
      <c r="R63553" s="103"/>
      <c r="S63553" s="8"/>
      <c r="T63553" s="8"/>
      <c r="U63553" s="8"/>
      <c r="V63553" s="8"/>
      <c r="W63553" s="8"/>
      <c r="X63553" s="8"/>
      <c r="Y63553" s="8"/>
      <c r="Z63553" s="8"/>
      <c r="AA63553" s="8"/>
    </row>
    <row r="63554" spans="1:27" x14ac:dyDescent="0.25">
      <c r="A63554" s="8"/>
      <c r="B63554" s="8"/>
      <c r="C63554" s="99"/>
      <c r="D63554" s="8"/>
      <c r="E63554" s="8"/>
      <c r="F63554" s="8"/>
      <c r="G63554" s="8"/>
      <c r="H63554" s="8"/>
      <c r="I63554" s="102"/>
      <c r="J63554" s="8"/>
      <c r="K63554" s="8"/>
      <c r="L63554" s="8"/>
      <c r="M63554" s="8"/>
      <c r="N63554" s="8"/>
      <c r="O63554" s="8"/>
      <c r="P63554" s="8"/>
      <c r="Q63554" s="8"/>
      <c r="R63554" s="103"/>
      <c r="S63554" s="8"/>
      <c r="T63554" s="8"/>
      <c r="U63554" s="8"/>
      <c r="V63554" s="8"/>
      <c r="W63554" s="8"/>
      <c r="X63554" s="8"/>
      <c r="Y63554" s="8"/>
      <c r="Z63554" s="8"/>
      <c r="AA63554" s="8"/>
    </row>
    <row r="63555" spans="1:27" x14ac:dyDescent="0.25">
      <c r="A63555" s="8"/>
      <c r="B63555" s="8"/>
      <c r="C63555" s="99"/>
      <c r="D63555" s="8"/>
      <c r="E63555" s="8"/>
      <c r="F63555" s="8"/>
      <c r="G63555" s="8"/>
      <c r="H63555" s="8"/>
      <c r="I63555" s="102"/>
      <c r="J63555" s="8"/>
      <c r="K63555" s="8"/>
      <c r="L63555" s="8"/>
      <c r="M63555" s="8"/>
      <c r="N63555" s="8"/>
      <c r="O63555" s="8"/>
      <c r="P63555" s="8"/>
      <c r="Q63555" s="8"/>
      <c r="R63555" s="103"/>
      <c r="S63555" s="8"/>
      <c r="T63555" s="8"/>
      <c r="U63555" s="8"/>
      <c r="V63555" s="8"/>
      <c r="W63555" s="8"/>
      <c r="X63555" s="8"/>
      <c r="Y63555" s="8"/>
      <c r="Z63555" s="8"/>
      <c r="AA63555" s="8"/>
    </row>
    <row r="63556" spans="1:27" x14ac:dyDescent="0.25">
      <c r="A63556" s="8"/>
      <c r="B63556" s="8"/>
      <c r="C63556" s="99"/>
      <c r="D63556" s="8"/>
      <c r="E63556" s="8"/>
      <c r="F63556" s="8"/>
      <c r="G63556" s="8"/>
      <c r="H63556" s="8"/>
      <c r="I63556" s="102"/>
      <c r="J63556" s="8"/>
      <c r="K63556" s="8"/>
      <c r="L63556" s="8"/>
      <c r="M63556" s="8"/>
      <c r="N63556" s="8"/>
      <c r="O63556" s="8"/>
      <c r="P63556" s="8"/>
      <c r="Q63556" s="8"/>
      <c r="R63556" s="103"/>
      <c r="S63556" s="8"/>
      <c r="T63556" s="8"/>
      <c r="U63556" s="8"/>
      <c r="V63556" s="8"/>
      <c r="W63556" s="8"/>
      <c r="X63556" s="8"/>
      <c r="Y63556" s="8"/>
      <c r="Z63556" s="8"/>
      <c r="AA63556" s="8"/>
    </row>
    <row r="63557" spans="1:27" x14ac:dyDescent="0.25">
      <c r="A63557" s="8"/>
      <c r="B63557" s="8"/>
      <c r="C63557" s="99"/>
      <c r="D63557" s="8"/>
      <c r="E63557" s="8"/>
      <c r="F63557" s="8"/>
      <c r="G63557" s="8"/>
      <c r="H63557" s="8"/>
      <c r="I63557" s="102"/>
      <c r="J63557" s="8"/>
      <c r="K63557" s="8"/>
      <c r="L63557" s="8"/>
      <c r="M63557" s="8"/>
      <c r="N63557" s="8"/>
      <c r="O63557" s="8"/>
      <c r="P63557" s="8"/>
      <c r="Q63557" s="8"/>
      <c r="R63557" s="103"/>
      <c r="S63557" s="8"/>
      <c r="T63557" s="8"/>
      <c r="U63557" s="8"/>
      <c r="V63557" s="8"/>
      <c r="W63557" s="8"/>
      <c r="X63557" s="8"/>
      <c r="Y63557" s="8"/>
      <c r="Z63557" s="8"/>
      <c r="AA63557" s="8"/>
    </row>
    <row r="63558" spans="1:27" x14ac:dyDescent="0.25">
      <c r="A63558" s="8"/>
      <c r="B63558" s="8"/>
      <c r="C63558" s="99"/>
      <c r="D63558" s="8"/>
      <c r="E63558" s="8"/>
      <c r="F63558" s="8"/>
      <c r="G63558" s="8"/>
      <c r="H63558" s="8"/>
      <c r="I63558" s="102"/>
      <c r="J63558" s="8"/>
      <c r="K63558" s="8"/>
      <c r="L63558" s="8"/>
      <c r="M63558" s="8"/>
      <c r="N63558" s="8"/>
      <c r="O63558" s="8"/>
      <c r="P63558" s="8"/>
      <c r="Q63558" s="8"/>
      <c r="R63558" s="103"/>
      <c r="S63558" s="8"/>
      <c r="T63558" s="8"/>
      <c r="U63558" s="8"/>
      <c r="V63558" s="8"/>
      <c r="W63558" s="8"/>
      <c r="X63558" s="8"/>
      <c r="Y63558" s="8"/>
      <c r="Z63558" s="8"/>
      <c r="AA63558" s="8"/>
    </row>
    <row r="63559" spans="1:27" x14ac:dyDescent="0.25">
      <c r="A63559" s="8"/>
      <c r="B63559" s="8"/>
      <c r="C63559" s="99"/>
      <c r="D63559" s="8"/>
      <c r="E63559" s="8"/>
      <c r="F63559" s="8"/>
      <c r="G63559" s="8"/>
      <c r="H63559" s="8"/>
      <c r="I63559" s="102"/>
      <c r="J63559" s="8"/>
      <c r="K63559" s="8"/>
      <c r="L63559" s="8"/>
      <c r="M63559" s="8"/>
      <c r="N63559" s="8"/>
      <c r="O63559" s="8"/>
      <c r="P63559" s="8"/>
      <c r="Q63559" s="8"/>
      <c r="R63559" s="103"/>
      <c r="S63559" s="8"/>
      <c r="T63559" s="8"/>
      <c r="U63559" s="8"/>
      <c r="V63559" s="8"/>
      <c r="W63559" s="8"/>
      <c r="X63559" s="8"/>
      <c r="Y63559" s="8"/>
      <c r="Z63559" s="8"/>
      <c r="AA63559" s="8"/>
    </row>
    <row r="63560" spans="1:27" x14ac:dyDescent="0.25">
      <c r="A63560" s="8"/>
      <c r="B63560" s="8"/>
      <c r="C63560" s="99"/>
      <c r="D63560" s="8"/>
      <c r="E63560" s="8"/>
      <c r="F63560" s="8"/>
      <c r="G63560" s="8"/>
      <c r="H63560" s="8"/>
      <c r="I63560" s="102"/>
      <c r="J63560" s="8"/>
      <c r="K63560" s="8"/>
      <c r="L63560" s="8"/>
      <c r="M63560" s="8"/>
      <c r="N63560" s="8"/>
      <c r="O63560" s="8"/>
      <c r="P63560" s="8"/>
      <c r="Q63560" s="8"/>
      <c r="R63560" s="103"/>
      <c r="S63560" s="8"/>
      <c r="T63560" s="8"/>
      <c r="U63560" s="8"/>
      <c r="V63560" s="8"/>
      <c r="W63560" s="8"/>
      <c r="X63560" s="8"/>
      <c r="Y63560" s="8"/>
      <c r="Z63560" s="8"/>
      <c r="AA63560" s="8"/>
    </row>
    <row r="63561" spans="1:27" x14ac:dyDescent="0.25">
      <c r="A63561" s="8"/>
      <c r="B63561" s="8"/>
      <c r="C63561" s="99"/>
      <c r="D63561" s="8"/>
      <c r="E63561" s="8"/>
      <c r="F63561" s="8"/>
      <c r="G63561" s="8"/>
      <c r="H63561" s="8"/>
      <c r="I63561" s="102"/>
      <c r="J63561" s="8"/>
      <c r="K63561" s="8"/>
      <c r="L63561" s="8"/>
      <c r="M63561" s="8"/>
      <c r="N63561" s="8"/>
      <c r="O63561" s="8"/>
      <c r="P63561" s="8"/>
      <c r="Q63561" s="8"/>
      <c r="R63561" s="103"/>
      <c r="S63561" s="8"/>
      <c r="T63561" s="8"/>
      <c r="U63561" s="8"/>
      <c r="V63561" s="8"/>
      <c r="W63561" s="8"/>
      <c r="X63561" s="8"/>
      <c r="Y63561" s="8"/>
      <c r="Z63561" s="8"/>
      <c r="AA63561" s="8"/>
    </row>
    <row r="63562" spans="1:27" x14ac:dyDescent="0.25">
      <c r="A63562" s="8"/>
      <c r="B63562" s="8"/>
      <c r="C63562" s="99"/>
      <c r="D63562" s="8"/>
      <c r="E63562" s="8"/>
      <c r="F63562" s="8"/>
      <c r="G63562" s="8"/>
      <c r="H63562" s="8"/>
      <c r="I63562" s="102"/>
      <c r="J63562" s="8"/>
      <c r="K63562" s="8"/>
      <c r="L63562" s="8"/>
      <c r="M63562" s="8"/>
      <c r="N63562" s="8"/>
      <c r="O63562" s="8"/>
      <c r="P63562" s="8"/>
      <c r="Q63562" s="8"/>
      <c r="R63562" s="103"/>
      <c r="S63562" s="8"/>
      <c r="T63562" s="8"/>
      <c r="U63562" s="8"/>
      <c r="V63562" s="8"/>
      <c r="W63562" s="8"/>
      <c r="X63562" s="8"/>
      <c r="Y63562" s="8"/>
      <c r="Z63562" s="8"/>
      <c r="AA63562" s="8"/>
    </row>
    <row r="63563" spans="1:27" x14ac:dyDescent="0.25">
      <c r="A63563" s="8"/>
      <c r="B63563" s="8"/>
      <c r="C63563" s="99"/>
      <c r="D63563" s="8"/>
      <c r="E63563" s="8"/>
      <c r="F63563" s="8"/>
      <c r="G63563" s="8"/>
      <c r="H63563" s="8"/>
      <c r="I63563" s="102"/>
      <c r="J63563" s="8"/>
      <c r="K63563" s="8"/>
      <c r="L63563" s="8"/>
      <c r="M63563" s="8"/>
      <c r="N63563" s="8"/>
      <c r="O63563" s="8"/>
      <c r="P63563" s="8"/>
      <c r="Q63563" s="8"/>
      <c r="R63563" s="103"/>
      <c r="S63563" s="8"/>
      <c r="T63563" s="8"/>
      <c r="U63563" s="8"/>
      <c r="V63563" s="8"/>
      <c r="W63563" s="8"/>
      <c r="X63563" s="8"/>
      <c r="Y63563" s="8"/>
      <c r="Z63563" s="8"/>
      <c r="AA63563" s="8"/>
    </row>
    <row r="63564" spans="1:27" x14ac:dyDescent="0.25">
      <c r="A63564" s="8"/>
      <c r="B63564" s="8"/>
      <c r="C63564" s="99"/>
      <c r="D63564" s="8"/>
      <c r="E63564" s="8"/>
      <c r="F63564" s="8"/>
      <c r="G63564" s="8"/>
      <c r="H63564" s="8"/>
      <c r="I63564" s="102"/>
      <c r="J63564" s="8"/>
      <c r="K63564" s="8"/>
      <c r="L63564" s="8"/>
      <c r="M63564" s="8"/>
      <c r="N63564" s="8"/>
      <c r="O63564" s="8"/>
      <c r="P63564" s="8"/>
      <c r="Q63564" s="8"/>
      <c r="R63564" s="103"/>
      <c r="S63564" s="8"/>
      <c r="T63564" s="8"/>
      <c r="U63564" s="8"/>
      <c r="V63564" s="8"/>
      <c r="W63564" s="8"/>
      <c r="X63564" s="8"/>
      <c r="Y63564" s="8"/>
      <c r="Z63564" s="8"/>
      <c r="AA63564" s="8"/>
    </row>
    <row r="63565" spans="1:27" x14ac:dyDescent="0.25">
      <c r="A63565" s="8"/>
      <c r="B63565" s="8"/>
      <c r="C63565" s="99"/>
      <c r="D63565" s="8"/>
      <c r="E63565" s="8"/>
      <c r="F63565" s="8"/>
      <c r="G63565" s="8"/>
      <c r="H63565" s="8"/>
      <c r="I63565" s="102"/>
      <c r="J63565" s="8"/>
      <c r="K63565" s="8"/>
      <c r="L63565" s="8"/>
      <c r="M63565" s="8"/>
      <c r="N63565" s="8"/>
      <c r="O63565" s="8"/>
      <c r="P63565" s="8"/>
      <c r="Q63565" s="8"/>
      <c r="R63565" s="103"/>
      <c r="S63565" s="8"/>
      <c r="T63565" s="8"/>
      <c r="U63565" s="8"/>
      <c r="V63565" s="8"/>
      <c r="W63565" s="8"/>
      <c r="X63565" s="8"/>
      <c r="Y63565" s="8"/>
      <c r="Z63565" s="8"/>
      <c r="AA63565" s="8"/>
    </row>
    <row r="63566" spans="1:27" x14ac:dyDescent="0.25">
      <c r="A63566" s="8"/>
      <c r="B63566" s="8"/>
      <c r="C63566" s="99"/>
      <c r="D63566" s="8"/>
      <c r="E63566" s="8"/>
      <c r="F63566" s="8"/>
      <c r="G63566" s="8"/>
      <c r="H63566" s="8"/>
      <c r="I63566" s="102"/>
      <c r="J63566" s="8"/>
      <c r="K63566" s="8"/>
      <c r="L63566" s="8"/>
      <c r="M63566" s="8"/>
      <c r="N63566" s="8"/>
      <c r="O63566" s="8"/>
      <c r="P63566" s="8"/>
      <c r="Q63566" s="8"/>
      <c r="R63566" s="103"/>
      <c r="S63566" s="8"/>
      <c r="T63566" s="8"/>
      <c r="U63566" s="8"/>
      <c r="V63566" s="8"/>
      <c r="W63566" s="8"/>
      <c r="X63566" s="8"/>
      <c r="Y63566" s="8"/>
      <c r="Z63566" s="8"/>
      <c r="AA63566" s="8"/>
    </row>
    <row r="63567" spans="1:27" x14ac:dyDescent="0.25">
      <c r="A63567" s="8"/>
      <c r="B63567" s="8"/>
      <c r="C63567" s="99"/>
      <c r="D63567" s="8"/>
      <c r="E63567" s="8"/>
      <c r="F63567" s="8"/>
      <c r="G63567" s="8"/>
      <c r="H63567" s="8"/>
      <c r="I63567" s="102"/>
      <c r="J63567" s="8"/>
      <c r="K63567" s="8"/>
      <c r="L63567" s="8"/>
      <c r="M63567" s="8"/>
      <c r="N63567" s="8"/>
      <c r="O63567" s="8"/>
      <c r="P63567" s="8"/>
      <c r="Q63567" s="8"/>
      <c r="R63567" s="103"/>
      <c r="S63567" s="8"/>
      <c r="T63567" s="8"/>
      <c r="U63567" s="8"/>
      <c r="V63567" s="8"/>
      <c r="W63567" s="8"/>
      <c r="X63567" s="8"/>
      <c r="Y63567" s="8"/>
      <c r="Z63567" s="8"/>
      <c r="AA63567" s="8"/>
    </row>
    <row r="63568" spans="1:27" x14ac:dyDescent="0.25">
      <c r="A63568" s="8"/>
      <c r="B63568" s="8"/>
      <c r="C63568" s="99"/>
      <c r="D63568" s="8"/>
      <c r="E63568" s="8"/>
      <c r="F63568" s="8"/>
      <c r="G63568" s="8"/>
      <c r="H63568" s="8"/>
      <c r="I63568" s="102"/>
      <c r="J63568" s="8"/>
      <c r="K63568" s="8"/>
      <c r="L63568" s="8"/>
      <c r="M63568" s="8"/>
      <c r="N63568" s="8"/>
      <c r="O63568" s="8"/>
      <c r="P63568" s="8"/>
      <c r="Q63568" s="8"/>
      <c r="R63568" s="103"/>
      <c r="S63568" s="8"/>
      <c r="T63568" s="8"/>
      <c r="U63568" s="8"/>
      <c r="V63568" s="8"/>
      <c r="W63568" s="8"/>
      <c r="X63568" s="8"/>
      <c r="Y63568" s="8"/>
      <c r="Z63568" s="8"/>
      <c r="AA63568" s="8"/>
    </row>
    <row r="63569" spans="1:27" x14ac:dyDescent="0.25">
      <c r="A63569" s="8"/>
      <c r="B63569" s="8"/>
      <c r="C63569" s="99"/>
      <c r="D63569" s="8"/>
      <c r="E63569" s="8"/>
      <c r="F63569" s="8"/>
      <c r="G63569" s="8"/>
      <c r="H63569" s="8"/>
      <c r="I63569" s="102"/>
      <c r="J63569" s="8"/>
      <c r="K63569" s="8"/>
      <c r="L63569" s="8"/>
      <c r="M63569" s="8"/>
      <c r="N63569" s="8"/>
      <c r="O63569" s="8"/>
      <c r="P63569" s="8"/>
      <c r="Q63569" s="8"/>
      <c r="R63569" s="103"/>
      <c r="S63569" s="8"/>
      <c r="T63569" s="8"/>
      <c r="U63569" s="8"/>
      <c r="V63569" s="8"/>
      <c r="W63569" s="8"/>
      <c r="X63569" s="8"/>
      <c r="Y63569" s="8"/>
      <c r="Z63569" s="8"/>
      <c r="AA63569" s="8"/>
    </row>
    <row r="63570" spans="1:27" x14ac:dyDescent="0.25">
      <c r="A63570" s="8"/>
      <c r="B63570" s="8"/>
      <c r="C63570" s="99"/>
      <c r="D63570" s="8"/>
      <c r="E63570" s="8"/>
      <c r="F63570" s="8"/>
      <c r="G63570" s="8"/>
      <c r="H63570" s="8"/>
      <c r="I63570" s="102"/>
      <c r="J63570" s="8"/>
      <c r="K63570" s="8"/>
      <c r="L63570" s="8"/>
      <c r="M63570" s="8"/>
      <c r="N63570" s="8"/>
      <c r="O63570" s="8"/>
      <c r="P63570" s="8"/>
      <c r="Q63570" s="8"/>
      <c r="R63570" s="103"/>
      <c r="S63570" s="8"/>
      <c r="T63570" s="8"/>
      <c r="U63570" s="8"/>
      <c r="V63570" s="8"/>
      <c r="W63570" s="8"/>
      <c r="X63570" s="8"/>
      <c r="Y63570" s="8"/>
      <c r="Z63570" s="8"/>
      <c r="AA63570" s="8"/>
    </row>
    <row r="63571" spans="1:27" x14ac:dyDescent="0.25">
      <c r="A63571" s="8"/>
      <c r="B63571" s="8"/>
      <c r="C63571" s="99"/>
      <c r="D63571" s="8"/>
      <c r="E63571" s="8"/>
      <c r="F63571" s="8"/>
      <c r="G63571" s="8"/>
      <c r="H63571" s="8"/>
      <c r="I63571" s="102"/>
      <c r="J63571" s="8"/>
      <c r="K63571" s="8"/>
      <c r="L63571" s="8"/>
      <c r="M63571" s="8"/>
      <c r="N63571" s="8"/>
      <c r="O63571" s="8"/>
      <c r="P63571" s="8"/>
      <c r="Q63571" s="8"/>
      <c r="R63571" s="103"/>
      <c r="S63571" s="8"/>
      <c r="T63571" s="8"/>
      <c r="U63571" s="8"/>
      <c r="V63571" s="8"/>
      <c r="W63571" s="8"/>
      <c r="X63571" s="8"/>
      <c r="Y63571" s="8"/>
      <c r="Z63571" s="8"/>
      <c r="AA63571" s="8"/>
    </row>
    <row r="63572" spans="1:27" x14ac:dyDescent="0.25">
      <c r="A63572" s="8"/>
      <c r="B63572" s="8"/>
      <c r="C63572" s="99"/>
      <c r="D63572" s="8"/>
      <c r="E63572" s="8"/>
      <c r="F63572" s="8"/>
      <c r="G63572" s="8"/>
      <c r="H63572" s="8"/>
      <c r="I63572" s="102"/>
      <c r="J63572" s="8"/>
      <c r="K63572" s="8"/>
      <c r="L63572" s="8"/>
      <c r="M63572" s="8"/>
      <c r="N63572" s="8"/>
      <c r="O63572" s="8"/>
      <c r="P63572" s="8"/>
      <c r="Q63572" s="8"/>
      <c r="R63572" s="103"/>
      <c r="S63572" s="8"/>
      <c r="T63572" s="8"/>
      <c r="U63572" s="8"/>
      <c r="V63572" s="8"/>
      <c r="W63572" s="8"/>
      <c r="X63572" s="8"/>
      <c r="Y63572" s="8"/>
      <c r="Z63572" s="8"/>
      <c r="AA63572" s="8"/>
    </row>
    <row r="63573" spans="1:27" x14ac:dyDescent="0.25">
      <c r="A63573" s="8"/>
      <c r="B63573" s="8"/>
      <c r="C63573" s="99"/>
      <c r="D63573" s="8"/>
      <c r="E63573" s="8"/>
      <c r="F63573" s="8"/>
      <c r="G63573" s="8"/>
      <c r="H63573" s="8"/>
      <c r="I63573" s="102"/>
      <c r="J63573" s="8"/>
      <c r="K63573" s="8"/>
      <c r="L63573" s="8"/>
      <c r="M63573" s="8"/>
      <c r="N63573" s="8"/>
      <c r="O63573" s="8"/>
      <c r="P63573" s="8"/>
      <c r="Q63573" s="8"/>
      <c r="R63573" s="103"/>
      <c r="S63573" s="8"/>
      <c r="T63573" s="8"/>
      <c r="U63573" s="8"/>
      <c r="V63573" s="8"/>
      <c r="W63573" s="8"/>
      <c r="X63573" s="8"/>
      <c r="Y63573" s="8"/>
      <c r="Z63573" s="8"/>
      <c r="AA63573" s="8"/>
    </row>
    <row r="63574" spans="1:27" x14ac:dyDescent="0.25">
      <c r="A63574" s="8"/>
      <c r="B63574" s="8"/>
      <c r="C63574" s="99"/>
      <c r="D63574" s="8"/>
      <c r="E63574" s="8"/>
      <c r="F63574" s="8"/>
      <c r="G63574" s="8"/>
      <c r="H63574" s="8"/>
      <c r="I63574" s="102"/>
      <c r="J63574" s="8"/>
      <c r="K63574" s="8"/>
      <c r="L63574" s="8"/>
      <c r="M63574" s="8"/>
      <c r="N63574" s="8"/>
      <c r="O63574" s="8"/>
      <c r="P63574" s="8"/>
      <c r="Q63574" s="8"/>
      <c r="R63574" s="103"/>
      <c r="S63574" s="8"/>
      <c r="T63574" s="8"/>
      <c r="U63574" s="8"/>
      <c r="V63574" s="8"/>
      <c r="W63574" s="8"/>
      <c r="X63574" s="8"/>
      <c r="Y63574" s="8"/>
      <c r="Z63574" s="8"/>
      <c r="AA63574" s="8"/>
    </row>
    <row r="63575" spans="1:27" x14ac:dyDescent="0.25">
      <c r="A63575" s="8"/>
      <c r="B63575" s="8"/>
      <c r="C63575" s="99"/>
      <c r="D63575" s="8"/>
      <c r="E63575" s="8"/>
      <c r="F63575" s="8"/>
      <c r="G63575" s="8"/>
      <c r="H63575" s="8"/>
      <c r="I63575" s="102"/>
      <c r="J63575" s="8"/>
      <c r="K63575" s="8"/>
      <c r="L63575" s="8"/>
      <c r="M63575" s="8"/>
      <c r="N63575" s="8"/>
      <c r="O63575" s="8"/>
      <c r="P63575" s="8"/>
      <c r="Q63575" s="8"/>
      <c r="R63575" s="103"/>
      <c r="S63575" s="8"/>
      <c r="T63575" s="8"/>
      <c r="U63575" s="8"/>
      <c r="V63575" s="8"/>
      <c r="W63575" s="8"/>
      <c r="X63575" s="8"/>
      <c r="Y63575" s="8"/>
      <c r="Z63575" s="8"/>
      <c r="AA63575" s="8"/>
    </row>
    <row r="63576" spans="1:27" x14ac:dyDescent="0.25">
      <c r="A63576" s="8"/>
      <c r="B63576" s="8"/>
      <c r="C63576" s="99"/>
      <c r="D63576" s="8"/>
      <c r="E63576" s="8"/>
      <c r="F63576" s="8"/>
      <c r="G63576" s="8"/>
      <c r="H63576" s="8"/>
      <c r="I63576" s="102"/>
      <c r="J63576" s="8"/>
      <c r="K63576" s="8"/>
      <c r="L63576" s="8"/>
      <c r="M63576" s="8"/>
      <c r="N63576" s="8"/>
      <c r="O63576" s="8"/>
      <c r="P63576" s="8"/>
      <c r="Q63576" s="8"/>
      <c r="R63576" s="103"/>
      <c r="S63576" s="8"/>
      <c r="T63576" s="8"/>
      <c r="U63576" s="8"/>
      <c r="V63576" s="8"/>
      <c r="W63576" s="8"/>
      <c r="X63576" s="8"/>
      <c r="Y63576" s="8"/>
      <c r="Z63576" s="8"/>
      <c r="AA63576" s="8"/>
    </row>
    <row r="63577" spans="1:27" x14ac:dyDescent="0.25">
      <c r="A63577" s="8"/>
      <c r="B63577" s="8"/>
      <c r="C63577" s="99"/>
      <c r="D63577" s="8"/>
      <c r="E63577" s="8"/>
      <c r="F63577" s="8"/>
      <c r="G63577" s="8"/>
      <c r="H63577" s="8"/>
      <c r="I63577" s="102"/>
      <c r="J63577" s="8"/>
      <c r="K63577" s="8"/>
      <c r="L63577" s="8"/>
      <c r="M63577" s="8"/>
      <c r="N63577" s="8"/>
      <c r="O63577" s="8"/>
      <c r="P63577" s="8"/>
      <c r="Q63577" s="8"/>
      <c r="R63577" s="103"/>
      <c r="S63577" s="8"/>
      <c r="T63577" s="8"/>
      <c r="U63577" s="8"/>
      <c r="V63577" s="8"/>
      <c r="W63577" s="8"/>
      <c r="X63577" s="8"/>
      <c r="Y63577" s="8"/>
      <c r="Z63577" s="8"/>
      <c r="AA63577" s="8"/>
    </row>
    <row r="63578" spans="1:27" x14ac:dyDescent="0.25">
      <c r="A63578" s="8"/>
      <c r="B63578" s="8"/>
      <c r="C63578" s="99"/>
      <c r="D63578" s="8"/>
      <c r="E63578" s="8"/>
      <c r="F63578" s="8"/>
      <c r="G63578" s="8"/>
      <c r="H63578" s="8"/>
      <c r="I63578" s="102"/>
      <c r="J63578" s="8"/>
      <c r="K63578" s="8"/>
      <c r="L63578" s="8"/>
      <c r="M63578" s="8"/>
      <c r="N63578" s="8"/>
      <c r="O63578" s="8"/>
      <c r="P63578" s="8"/>
      <c r="Q63578" s="8"/>
      <c r="R63578" s="103"/>
      <c r="S63578" s="8"/>
      <c r="T63578" s="8"/>
      <c r="U63578" s="8"/>
      <c r="V63578" s="8"/>
      <c r="W63578" s="8"/>
      <c r="X63578" s="8"/>
      <c r="Y63578" s="8"/>
      <c r="Z63578" s="8"/>
      <c r="AA63578" s="8"/>
    </row>
    <row r="63579" spans="1:27" x14ac:dyDescent="0.25">
      <c r="A63579" s="8"/>
      <c r="B63579" s="8"/>
      <c r="C63579" s="99"/>
      <c r="D63579" s="8"/>
      <c r="E63579" s="8"/>
      <c r="F63579" s="8"/>
      <c r="G63579" s="8"/>
      <c r="H63579" s="8"/>
      <c r="I63579" s="102"/>
      <c r="J63579" s="8"/>
      <c r="K63579" s="8"/>
      <c r="L63579" s="8"/>
      <c r="M63579" s="8"/>
      <c r="N63579" s="8"/>
      <c r="O63579" s="8"/>
      <c r="P63579" s="8"/>
      <c r="Q63579" s="8"/>
      <c r="R63579" s="103"/>
      <c r="S63579" s="8"/>
      <c r="T63579" s="8"/>
      <c r="U63579" s="8"/>
      <c r="V63579" s="8"/>
      <c r="W63579" s="8"/>
      <c r="X63579" s="8"/>
      <c r="Y63579" s="8"/>
      <c r="Z63579" s="8"/>
      <c r="AA63579" s="8"/>
    </row>
    <row r="63580" spans="1:27" x14ac:dyDescent="0.25">
      <c r="A63580" s="8"/>
      <c r="B63580" s="8"/>
      <c r="C63580" s="99"/>
      <c r="D63580" s="8"/>
      <c r="E63580" s="8"/>
      <c r="F63580" s="8"/>
      <c r="G63580" s="8"/>
      <c r="H63580" s="8"/>
      <c r="I63580" s="102"/>
      <c r="J63580" s="8"/>
      <c r="K63580" s="8"/>
      <c r="L63580" s="8"/>
      <c r="M63580" s="8"/>
      <c r="N63580" s="8"/>
      <c r="O63580" s="8"/>
      <c r="P63580" s="8"/>
      <c r="Q63580" s="8"/>
      <c r="R63580" s="103"/>
      <c r="S63580" s="8"/>
      <c r="T63580" s="8"/>
      <c r="U63580" s="8"/>
      <c r="V63580" s="8"/>
      <c r="W63580" s="8"/>
      <c r="X63580" s="8"/>
      <c r="Y63580" s="8"/>
      <c r="Z63580" s="8"/>
      <c r="AA63580" s="8"/>
    </row>
    <row r="63581" spans="1:27" x14ac:dyDescent="0.25">
      <c r="A63581" s="8"/>
      <c r="B63581" s="8"/>
      <c r="C63581" s="99"/>
      <c r="D63581" s="8"/>
      <c r="E63581" s="8"/>
      <c r="F63581" s="8"/>
      <c r="G63581" s="8"/>
      <c r="H63581" s="8"/>
      <c r="I63581" s="102"/>
      <c r="J63581" s="8"/>
      <c r="K63581" s="8"/>
      <c r="L63581" s="8"/>
      <c r="M63581" s="8"/>
      <c r="N63581" s="8"/>
      <c r="O63581" s="8"/>
      <c r="P63581" s="8"/>
      <c r="Q63581" s="8"/>
      <c r="R63581" s="103"/>
      <c r="S63581" s="8"/>
      <c r="T63581" s="8"/>
      <c r="U63581" s="8"/>
      <c r="V63581" s="8"/>
      <c r="W63581" s="8"/>
      <c r="X63581" s="8"/>
      <c r="Y63581" s="8"/>
      <c r="Z63581" s="8"/>
      <c r="AA63581" s="8"/>
    </row>
    <row r="63582" spans="1:27" x14ac:dyDescent="0.25">
      <c r="A63582" s="8"/>
      <c r="B63582" s="8"/>
      <c r="C63582" s="99"/>
      <c r="D63582" s="8"/>
      <c r="E63582" s="8"/>
      <c r="F63582" s="8"/>
      <c r="G63582" s="8"/>
      <c r="H63582" s="8"/>
      <c r="I63582" s="102"/>
      <c r="J63582" s="8"/>
      <c r="K63582" s="8"/>
      <c r="L63582" s="8"/>
      <c r="M63582" s="8"/>
      <c r="N63582" s="8"/>
      <c r="O63582" s="8"/>
      <c r="P63582" s="8"/>
      <c r="Q63582" s="8"/>
      <c r="R63582" s="103"/>
      <c r="S63582" s="8"/>
      <c r="T63582" s="8"/>
      <c r="U63582" s="8"/>
      <c r="V63582" s="8"/>
      <c r="W63582" s="8"/>
      <c r="X63582" s="8"/>
      <c r="Y63582" s="8"/>
      <c r="Z63582" s="8"/>
      <c r="AA63582" s="8"/>
    </row>
    <row r="63583" spans="1:27" x14ac:dyDescent="0.25">
      <c r="A63583" s="8"/>
      <c r="B63583" s="8"/>
      <c r="C63583" s="99"/>
      <c r="D63583" s="8"/>
      <c r="E63583" s="8"/>
      <c r="F63583" s="8"/>
      <c r="G63583" s="8"/>
      <c r="H63583" s="8"/>
      <c r="I63583" s="102"/>
      <c r="J63583" s="8"/>
      <c r="K63583" s="8"/>
      <c r="L63583" s="8"/>
      <c r="M63583" s="8"/>
      <c r="N63583" s="8"/>
      <c r="O63583" s="8"/>
      <c r="P63583" s="8"/>
      <c r="Q63583" s="8"/>
      <c r="R63583" s="103"/>
      <c r="S63583" s="8"/>
      <c r="T63583" s="8"/>
      <c r="U63583" s="8"/>
      <c r="V63583" s="8"/>
      <c r="W63583" s="8"/>
      <c r="X63583" s="8"/>
      <c r="Y63583" s="8"/>
      <c r="Z63583" s="8"/>
      <c r="AA63583" s="8"/>
    </row>
    <row r="63584" spans="1:27" x14ac:dyDescent="0.25">
      <c r="A63584" s="8"/>
      <c r="B63584" s="8"/>
      <c r="C63584" s="99"/>
      <c r="D63584" s="8"/>
      <c r="E63584" s="8"/>
      <c r="F63584" s="8"/>
      <c r="G63584" s="8"/>
      <c r="H63584" s="8"/>
      <c r="I63584" s="102"/>
      <c r="J63584" s="8"/>
      <c r="K63584" s="8"/>
      <c r="L63584" s="8"/>
      <c r="M63584" s="8"/>
      <c r="N63584" s="8"/>
      <c r="O63584" s="8"/>
      <c r="P63584" s="8"/>
      <c r="Q63584" s="8"/>
      <c r="R63584" s="103"/>
      <c r="S63584" s="8"/>
      <c r="T63584" s="8"/>
      <c r="U63584" s="8"/>
      <c r="V63584" s="8"/>
      <c r="W63584" s="8"/>
      <c r="X63584" s="8"/>
      <c r="Y63584" s="8"/>
      <c r="Z63584" s="8"/>
      <c r="AA63584" s="8"/>
    </row>
    <row r="63585" spans="1:27" x14ac:dyDescent="0.25">
      <c r="A63585" s="8"/>
      <c r="B63585" s="8"/>
      <c r="C63585" s="99"/>
      <c r="D63585" s="8"/>
      <c r="E63585" s="8"/>
      <c r="F63585" s="8"/>
      <c r="G63585" s="8"/>
      <c r="H63585" s="8"/>
      <c r="I63585" s="102"/>
      <c r="J63585" s="8"/>
      <c r="K63585" s="8"/>
      <c r="L63585" s="8"/>
      <c r="M63585" s="8"/>
      <c r="N63585" s="8"/>
      <c r="O63585" s="8"/>
      <c r="P63585" s="8"/>
      <c r="Q63585" s="8"/>
      <c r="R63585" s="103"/>
      <c r="S63585" s="8"/>
      <c r="T63585" s="8"/>
      <c r="U63585" s="8"/>
      <c r="V63585" s="8"/>
      <c r="W63585" s="8"/>
      <c r="X63585" s="8"/>
      <c r="Y63585" s="8"/>
      <c r="Z63585" s="8"/>
      <c r="AA63585" s="8"/>
    </row>
    <row r="63586" spans="1:27" x14ac:dyDescent="0.25">
      <c r="A63586" s="8"/>
      <c r="B63586" s="8"/>
      <c r="C63586" s="99"/>
      <c r="D63586" s="8"/>
      <c r="E63586" s="8"/>
      <c r="F63586" s="8"/>
      <c r="G63586" s="8"/>
      <c r="H63586" s="8"/>
      <c r="I63586" s="102"/>
      <c r="J63586" s="8"/>
      <c r="K63586" s="8"/>
      <c r="L63586" s="8"/>
      <c r="M63586" s="8"/>
      <c r="N63586" s="8"/>
      <c r="O63586" s="8"/>
      <c r="P63586" s="8"/>
      <c r="Q63586" s="8"/>
      <c r="R63586" s="103"/>
      <c r="S63586" s="8"/>
      <c r="T63586" s="8"/>
      <c r="U63586" s="8"/>
      <c r="V63586" s="8"/>
      <c r="W63586" s="8"/>
      <c r="X63586" s="8"/>
      <c r="Y63586" s="8"/>
      <c r="Z63586" s="8"/>
      <c r="AA63586" s="8"/>
    </row>
    <row r="63587" spans="1:27" x14ac:dyDescent="0.25">
      <c r="A63587" s="8"/>
      <c r="B63587" s="8"/>
      <c r="C63587" s="99"/>
      <c r="D63587" s="8"/>
      <c r="E63587" s="8"/>
      <c r="F63587" s="8"/>
      <c r="G63587" s="8"/>
      <c r="H63587" s="8"/>
      <c r="I63587" s="102"/>
      <c r="J63587" s="8"/>
      <c r="K63587" s="8"/>
      <c r="L63587" s="8"/>
      <c r="M63587" s="8"/>
      <c r="N63587" s="8"/>
      <c r="O63587" s="8"/>
      <c r="P63587" s="8"/>
      <c r="Q63587" s="8"/>
      <c r="R63587" s="103"/>
      <c r="S63587" s="8"/>
      <c r="T63587" s="8"/>
      <c r="U63587" s="8"/>
      <c r="V63587" s="8"/>
      <c r="W63587" s="8"/>
      <c r="X63587" s="8"/>
      <c r="Y63587" s="8"/>
      <c r="Z63587" s="8"/>
      <c r="AA63587" s="8"/>
    </row>
    <row r="63588" spans="1:27" x14ac:dyDescent="0.25">
      <c r="A63588" s="8"/>
      <c r="B63588" s="8"/>
      <c r="C63588" s="99"/>
      <c r="D63588" s="8"/>
      <c r="E63588" s="8"/>
      <c r="F63588" s="8"/>
      <c r="G63588" s="8"/>
      <c r="H63588" s="8"/>
      <c r="I63588" s="102"/>
      <c r="J63588" s="8"/>
      <c r="K63588" s="8"/>
      <c r="L63588" s="8"/>
      <c r="M63588" s="8"/>
      <c r="N63588" s="8"/>
      <c r="O63588" s="8"/>
      <c r="P63588" s="8"/>
      <c r="Q63588" s="8"/>
      <c r="R63588" s="103"/>
      <c r="S63588" s="8"/>
      <c r="T63588" s="8"/>
      <c r="U63588" s="8"/>
      <c r="V63588" s="8"/>
      <c r="W63588" s="8"/>
      <c r="X63588" s="8"/>
      <c r="Y63588" s="8"/>
      <c r="Z63588" s="8"/>
      <c r="AA63588" s="8"/>
    </row>
    <row r="63589" spans="1:27" x14ac:dyDescent="0.25">
      <c r="A63589" s="8"/>
      <c r="B63589" s="8"/>
      <c r="C63589" s="99"/>
      <c r="D63589" s="8"/>
      <c r="E63589" s="8"/>
      <c r="F63589" s="8"/>
      <c r="G63589" s="8"/>
      <c r="H63589" s="8"/>
      <c r="I63589" s="102"/>
      <c r="J63589" s="8"/>
      <c r="K63589" s="8"/>
      <c r="L63589" s="8"/>
      <c r="M63589" s="8"/>
      <c r="N63589" s="8"/>
      <c r="O63589" s="8"/>
      <c r="P63589" s="8"/>
      <c r="Q63589" s="8"/>
      <c r="R63589" s="103"/>
      <c r="S63589" s="8"/>
      <c r="T63589" s="8"/>
      <c r="U63589" s="8"/>
      <c r="V63589" s="8"/>
      <c r="W63589" s="8"/>
      <c r="X63589" s="8"/>
      <c r="Y63589" s="8"/>
      <c r="Z63589" s="8"/>
      <c r="AA63589" s="8"/>
    </row>
    <row r="63590" spans="1:27" x14ac:dyDescent="0.25">
      <c r="A63590" s="8"/>
      <c r="B63590" s="8"/>
      <c r="C63590" s="99"/>
      <c r="D63590" s="8"/>
      <c r="E63590" s="8"/>
      <c r="F63590" s="8"/>
      <c r="G63590" s="8"/>
      <c r="H63590" s="8"/>
      <c r="I63590" s="102"/>
      <c r="J63590" s="8"/>
      <c r="K63590" s="8"/>
      <c r="L63590" s="8"/>
      <c r="M63590" s="8"/>
      <c r="N63590" s="8"/>
      <c r="O63590" s="8"/>
      <c r="P63590" s="8"/>
      <c r="Q63590" s="8"/>
      <c r="R63590" s="103"/>
      <c r="S63590" s="8"/>
      <c r="T63590" s="8"/>
      <c r="U63590" s="8"/>
      <c r="V63590" s="8"/>
      <c r="W63590" s="8"/>
      <c r="X63590" s="8"/>
      <c r="Y63590" s="8"/>
      <c r="Z63590" s="8"/>
      <c r="AA63590" s="8"/>
    </row>
    <row r="63591" spans="1:27" x14ac:dyDescent="0.25">
      <c r="A63591" s="8"/>
      <c r="B63591" s="8"/>
      <c r="C63591" s="99"/>
      <c r="D63591" s="8"/>
      <c r="E63591" s="8"/>
      <c r="F63591" s="8"/>
      <c r="G63591" s="8"/>
      <c r="H63591" s="8"/>
      <c r="I63591" s="102"/>
      <c r="J63591" s="8"/>
      <c r="K63591" s="8"/>
      <c r="L63591" s="8"/>
      <c r="M63591" s="8"/>
      <c r="N63591" s="8"/>
      <c r="O63591" s="8"/>
      <c r="P63591" s="8"/>
      <c r="Q63591" s="8"/>
      <c r="R63591" s="103"/>
      <c r="S63591" s="8"/>
      <c r="T63591" s="8"/>
      <c r="U63591" s="8"/>
      <c r="V63591" s="8"/>
      <c r="W63591" s="8"/>
      <c r="X63591" s="8"/>
      <c r="Y63591" s="8"/>
      <c r="Z63591" s="8"/>
      <c r="AA63591" s="8"/>
    </row>
    <row r="63592" spans="1:27" x14ac:dyDescent="0.25">
      <c r="A63592" s="8"/>
      <c r="B63592" s="8"/>
      <c r="C63592" s="99"/>
      <c r="D63592" s="8"/>
      <c r="E63592" s="8"/>
      <c r="F63592" s="8"/>
      <c r="G63592" s="8"/>
      <c r="H63592" s="8"/>
      <c r="I63592" s="102"/>
      <c r="J63592" s="8"/>
      <c r="K63592" s="8"/>
      <c r="L63592" s="8"/>
      <c r="M63592" s="8"/>
      <c r="N63592" s="8"/>
      <c r="O63592" s="8"/>
      <c r="P63592" s="8"/>
      <c r="Q63592" s="8"/>
      <c r="R63592" s="103"/>
      <c r="S63592" s="8"/>
      <c r="T63592" s="8"/>
      <c r="U63592" s="8"/>
      <c r="V63592" s="8"/>
      <c r="W63592" s="8"/>
      <c r="X63592" s="8"/>
      <c r="Y63592" s="8"/>
      <c r="Z63592" s="8"/>
      <c r="AA63592" s="8"/>
    </row>
    <row r="63593" spans="1:27" x14ac:dyDescent="0.25">
      <c r="A63593" s="8"/>
      <c r="B63593" s="8"/>
      <c r="C63593" s="99"/>
      <c r="D63593" s="8"/>
      <c r="E63593" s="8"/>
      <c r="F63593" s="8"/>
      <c r="G63593" s="8"/>
      <c r="H63593" s="8"/>
      <c r="I63593" s="102"/>
      <c r="J63593" s="8"/>
      <c r="K63593" s="8"/>
      <c r="L63593" s="8"/>
      <c r="M63593" s="8"/>
      <c r="N63593" s="8"/>
      <c r="O63593" s="8"/>
      <c r="P63593" s="8"/>
      <c r="Q63593" s="8"/>
      <c r="R63593" s="103"/>
      <c r="S63593" s="8"/>
      <c r="T63593" s="8"/>
      <c r="U63593" s="8"/>
      <c r="V63593" s="8"/>
      <c r="W63593" s="8"/>
      <c r="X63593" s="8"/>
      <c r="Y63593" s="8"/>
      <c r="Z63593" s="8"/>
      <c r="AA63593" s="8"/>
    </row>
    <row r="63594" spans="1:27" x14ac:dyDescent="0.25">
      <c r="A63594" s="8"/>
      <c r="B63594" s="8"/>
      <c r="C63594" s="99"/>
      <c r="D63594" s="8"/>
      <c r="E63594" s="8"/>
      <c r="F63594" s="8"/>
      <c r="G63594" s="8"/>
      <c r="H63594" s="8"/>
      <c r="I63594" s="102"/>
      <c r="J63594" s="8"/>
      <c r="K63594" s="8"/>
      <c r="L63594" s="8"/>
      <c r="M63594" s="8"/>
      <c r="N63594" s="8"/>
      <c r="O63594" s="8"/>
      <c r="P63594" s="8"/>
      <c r="Q63594" s="8"/>
      <c r="R63594" s="103"/>
      <c r="S63594" s="8"/>
      <c r="T63594" s="8"/>
      <c r="U63594" s="8"/>
      <c r="V63594" s="8"/>
      <c r="W63594" s="8"/>
      <c r="X63594" s="8"/>
      <c r="Y63594" s="8"/>
      <c r="Z63594" s="8"/>
      <c r="AA63594" s="8"/>
    </row>
    <row r="63595" spans="1:27" x14ac:dyDescent="0.25">
      <c r="A63595" s="8"/>
      <c r="B63595" s="8"/>
      <c r="C63595" s="99"/>
      <c r="D63595" s="8"/>
      <c r="E63595" s="8"/>
      <c r="F63595" s="8"/>
      <c r="G63595" s="8"/>
      <c r="H63595" s="8"/>
      <c r="I63595" s="102"/>
      <c r="J63595" s="8"/>
      <c r="K63595" s="8"/>
      <c r="L63595" s="8"/>
      <c r="M63595" s="8"/>
      <c r="N63595" s="8"/>
      <c r="O63595" s="8"/>
      <c r="P63595" s="8"/>
      <c r="Q63595" s="8"/>
      <c r="R63595" s="103"/>
      <c r="S63595" s="8"/>
      <c r="T63595" s="8"/>
      <c r="U63595" s="8"/>
      <c r="V63595" s="8"/>
      <c r="W63595" s="8"/>
      <c r="X63595" s="8"/>
      <c r="Y63595" s="8"/>
      <c r="Z63595" s="8"/>
      <c r="AA63595" s="8"/>
    </row>
    <row r="63596" spans="1:27" x14ac:dyDescent="0.25">
      <c r="A63596" s="8"/>
      <c r="B63596" s="8"/>
      <c r="C63596" s="99"/>
      <c r="D63596" s="8"/>
      <c r="E63596" s="8"/>
      <c r="F63596" s="8"/>
      <c r="G63596" s="8"/>
      <c r="H63596" s="8"/>
      <c r="I63596" s="102"/>
      <c r="J63596" s="8"/>
      <c r="K63596" s="8"/>
      <c r="L63596" s="8"/>
      <c r="M63596" s="8"/>
      <c r="N63596" s="8"/>
      <c r="O63596" s="8"/>
      <c r="P63596" s="8"/>
      <c r="Q63596" s="8"/>
      <c r="R63596" s="103"/>
      <c r="S63596" s="8"/>
      <c r="T63596" s="8"/>
      <c r="U63596" s="8"/>
      <c r="V63596" s="8"/>
      <c r="W63596" s="8"/>
      <c r="X63596" s="8"/>
      <c r="Y63596" s="8"/>
      <c r="Z63596" s="8"/>
      <c r="AA63596" s="8"/>
    </row>
    <row r="63597" spans="1:27" x14ac:dyDescent="0.25">
      <c r="A63597" s="8"/>
      <c r="B63597" s="8"/>
      <c r="C63597" s="99"/>
      <c r="D63597" s="8"/>
      <c r="E63597" s="8"/>
      <c r="F63597" s="8"/>
      <c r="G63597" s="8"/>
      <c r="H63597" s="8"/>
      <c r="I63597" s="102"/>
      <c r="J63597" s="8"/>
      <c r="K63597" s="8"/>
      <c r="L63597" s="8"/>
      <c r="M63597" s="8"/>
      <c r="N63597" s="8"/>
      <c r="O63597" s="8"/>
      <c r="P63597" s="8"/>
      <c r="Q63597" s="8"/>
      <c r="R63597" s="103"/>
      <c r="S63597" s="8"/>
      <c r="T63597" s="8"/>
      <c r="U63597" s="8"/>
      <c r="V63597" s="8"/>
      <c r="W63597" s="8"/>
      <c r="X63597" s="8"/>
      <c r="Y63597" s="8"/>
      <c r="Z63597" s="8"/>
      <c r="AA63597" s="8"/>
    </row>
    <row r="63598" spans="1:27" x14ac:dyDescent="0.25">
      <c r="A63598" s="8"/>
      <c r="B63598" s="8"/>
      <c r="C63598" s="99"/>
      <c r="D63598" s="8"/>
      <c r="E63598" s="8"/>
      <c r="F63598" s="8"/>
      <c r="G63598" s="8"/>
      <c r="H63598" s="8"/>
      <c r="I63598" s="102"/>
      <c r="J63598" s="8"/>
      <c r="K63598" s="8"/>
      <c r="L63598" s="8"/>
      <c r="M63598" s="8"/>
      <c r="N63598" s="8"/>
      <c r="O63598" s="8"/>
      <c r="P63598" s="8"/>
      <c r="Q63598" s="8"/>
      <c r="R63598" s="103"/>
      <c r="S63598" s="8"/>
      <c r="T63598" s="8"/>
      <c r="U63598" s="8"/>
      <c r="V63598" s="8"/>
      <c r="W63598" s="8"/>
      <c r="X63598" s="8"/>
      <c r="Y63598" s="8"/>
      <c r="Z63598" s="8"/>
      <c r="AA63598" s="8"/>
    </row>
    <row r="63599" spans="1:27" x14ac:dyDescent="0.25">
      <c r="A63599" s="8"/>
      <c r="B63599" s="8"/>
      <c r="C63599" s="99"/>
      <c r="D63599" s="8"/>
      <c r="E63599" s="8"/>
      <c r="F63599" s="8"/>
      <c r="G63599" s="8"/>
      <c r="H63599" s="8"/>
      <c r="I63599" s="102"/>
      <c r="J63599" s="8"/>
      <c r="K63599" s="8"/>
      <c r="L63599" s="8"/>
      <c r="M63599" s="8"/>
      <c r="N63599" s="8"/>
      <c r="O63599" s="8"/>
      <c r="P63599" s="8"/>
      <c r="Q63599" s="8"/>
      <c r="R63599" s="103"/>
      <c r="S63599" s="8"/>
      <c r="T63599" s="8"/>
      <c r="U63599" s="8"/>
      <c r="V63599" s="8"/>
      <c r="W63599" s="8"/>
      <c r="X63599" s="8"/>
      <c r="Y63599" s="8"/>
      <c r="Z63599" s="8"/>
      <c r="AA63599" s="8"/>
    </row>
    <row r="63600" spans="1:27" x14ac:dyDescent="0.25">
      <c r="A63600" s="8"/>
      <c r="B63600" s="8"/>
      <c r="C63600" s="99"/>
      <c r="D63600" s="8"/>
      <c r="E63600" s="8"/>
      <c r="F63600" s="8"/>
      <c r="G63600" s="8"/>
      <c r="H63600" s="8"/>
      <c r="I63600" s="102"/>
      <c r="J63600" s="8"/>
      <c r="K63600" s="8"/>
      <c r="L63600" s="8"/>
      <c r="M63600" s="8"/>
      <c r="N63600" s="8"/>
      <c r="O63600" s="8"/>
      <c r="P63600" s="8"/>
      <c r="Q63600" s="8"/>
      <c r="R63600" s="103"/>
      <c r="S63600" s="8"/>
      <c r="T63600" s="8"/>
      <c r="U63600" s="8"/>
      <c r="V63600" s="8"/>
      <c r="W63600" s="8"/>
      <c r="X63600" s="8"/>
      <c r="Y63600" s="8"/>
      <c r="Z63600" s="8"/>
      <c r="AA63600" s="8"/>
    </row>
    <row r="63601" spans="1:27" x14ac:dyDescent="0.25">
      <c r="A63601" s="8"/>
      <c r="B63601" s="8"/>
      <c r="C63601" s="99"/>
      <c r="D63601" s="8"/>
      <c r="E63601" s="8"/>
      <c r="F63601" s="8"/>
      <c r="G63601" s="8"/>
      <c r="H63601" s="8"/>
      <c r="I63601" s="102"/>
      <c r="J63601" s="8"/>
      <c r="K63601" s="8"/>
      <c r="L63601" s="8"/>
      <c r="M63601" s="8"/>
      <c r="N63601" s="8"/>
      <c r="O63601" s="8"/>
      <c r="P63601" s="8"/>
      <c r="Q63601" s="8"/>
      <c r="R63601" s="103"/>
      <c r="S63601" s="8"/>
      <c r="T63601" s="8"/>
      <c r="U63601" s="8"/>
      <c r="V63601" s="8"/>
      <c r="W63601" s="8"/>
      <c r="X63601" s="8"/>
      <c r="Y63601" s="8"/>
      <c r="Z63601" s="8"/>
      <c r="AA63601" s="8"/>
    </row>
    <row r="63602" spans="1:27" x14ac:dyDescent="0.25">
      <c r="A63602" s="8"/>
      <c r="B63602" s="8"/>
      <c r="C63602" s="99"/>
      <c r="D63602" s="8"/>
      <c r="E63602" s="8"/>
      <c r="F63602" s="8"/>
      <c r="G63602" s="8"/>
      <c r="H63602" s="8"/>
      <c r="I63602" s="102"/>
      <c r="J63602" s="8"/>
      <c r="K63602" s="8"/>
      <c r="L63602" s="8"/>
      <c r="M63602" s="8"/>
      <c r="N63602" s="8"/>
      <c r="O63602" s="8"/>
      <c r="P63602" s="8"/>
      <c r="Q63602" s="8"/>
      <c r="R63602" s="103"/>
      <c r="S63602" s="8"/>
      <c r="T63602" s="8"/>
      <c r="U63602" s="8"/>
      <c r="V63602" s="8"/>
      <c r="W63602" s="8"/>
      <c r="X63602" s="8"/>
      <c r="Y63602" s="8"/>
      <c r="Z63602" s="8"/>
      <c r="AA63602" s="8"/>
    </row>
    <row r="63603" spans="1:27" x14ac:dyDescent="0.25">
      <c r="A63603" s="8"/>
      <c r="B63603" s="8"/>
      <c r="C63603" s="99"/>
      <c r="D63603" s="8"/>
      <c r="E63603" s="8"/>
      <c r="F63603" s="8"/>
      <c r="G63603" s="8"/>
      <c r="H63603" s="8"/>
      <c r="I63603" s="102"/>
      <c r="J63603" s="8"/>
      <c r="K63603" s="8"/>
      <c r="L63603" s="8"/>
      <c r="M63603" s="8"/>
      <c r="N63603" s="8"/>
      <c r="O63603" s="8"/>
      <c r="P63603" s="8"/>
      <c r="Q63603" s="8"/>
      <c r="R63603" s="103"/>
      <c r="S63603" s="8"/>
      <c r="T63603" s="8"/>
      <c r="U63603" s="8"/>
      <c r="V63603" s="8"/>
      <c r="W63603" s="8"/>
      <c r="X63603" s="8"/>
      <c r="Y63603" s="8"/>
      <c r="Z63603" s="8"/>
      <c r="AA63603" s="8"/>
    </row>
    <row r="63604" spans="1:27" x14ac:dyDescent="0.25">
      <c r="A63604" s="8"/>
      <c r="B63604" s="8"/>
      <c r="C63604" s="99"/>
      <c r="D63604" s="8"/>
      <c r="E63604" s="8"/>
      <c r="F63604" s="8"/>
      <c r="G63604" s="8"/>
      <c r="H63604" s="8"/>
      <c r="I63604" s="102"/>
      <c r="J63604" s="8"/>
      <c r="K63604" s="8"/>
      <c r="L63604" s="8"/>
      <c r="M63604" s="8"/>
      <c r="N63604" s="8"/>
      <c r="O63604" s="8"/>
      <c r="P63604" s="8"/>
      <c r="Q63604" s="8"/>
      <c r="R63604" s="103"/>
      <c r="S63604" s="8"/>
      <c r="T63604" s="8"/>
      <c r="U63604" s="8"/>
      <c r="V63604" s="8"/>
      <c r="W63604" s="8"/>
      <c r="X63604" s="8"/>
      <c r="Y63604" s="8"/>
      <c r="Z63604" s="8"/>
      <c r="AA63604" s="8"/>
    </row>
    <row r="63605" spans="1:27" x14ac:dyDescent="0.25">
      <c r="A63605" s="8"/>
      <c r="B63605" s="8"/>
      <c r="C63605" s="99"/>
      <c r="D63605" s="8"/>
      <c r="E63605" s="8"/>
      <c r="F63605" s="8"/>
      <c r="G63605" s="8"/>
      <c r="H63605" s="8"/>
      <c r="I63605" s="102"/>
      <c r="J63605" s="8"/>
      <c r="K63605" s="8"/>
      <c r="L63605" s="8"/>
      <c r="M63605" s="8"/>
      <c r="N63605" s="8"/>
      <c r="O63605" s="8"/>
      <c r="P63605" s="8"/>
      <c r="Q63605" s="8"/>
      <c r="R63605" s="103"/>
      <c r="S63605" s="8"/>
      <c r="T63605" s="8"/>
      <c r="U63605" s="8"/>
      <c r="V63605" s="8"/>
      <c r="W63605" s="8"/>
      <c r="X63605" s="8"/>
      <c r="Y63605" s="8"/>
      <c r="Z63605" s="8"/>
      <c r="AA63605" s="8"/>
    </row>
    <row r="63606" spans="1:27" x14ac:dyDescent="0.25">
      <c r="A63606" s="8"/>
      <c r="B63606" s="8"/>
      <c r="C63606" s="99"/>
      <c r="D63606" s="8"/>
      <c r="E63606" s="8"/>
      <c r="F63606" s="8"/>
      <c r="G63606" s="8"/>
      <c r="H63606" s="8"/>
      <c r="I63606" s="102"/>
      <c r="J63606" s="8"/>
      <c r="K63606" s="8"/>
      <c r="L63606" s="8"/>
      <c r="M63606" s="8"/>
      <c r="N63606" s="8"/>
      <c r="O63606" s="8"/>
      <c r="P63606" s="8"/>
      <c r="Q63606" s="8"/>
      <c r="R63606" s="103"/>
      <c r="S63606" s="8"/>
      <c r="T63606" s="8"/>
      <c r="U63606" s="8"/>
      <c r="V63606" s="8"/>
      <c r="W63606" s="8"/>
      <c r="X63606" s="8"/>
      <c r="Y63606" s="8"/>
      <c r="Z63606" s="8"/>
      <c r="AA63606" s="8"/>
    </row>
    <row r="63607" spans="1:27" x14ac:dyDescent="0.25">
      <c r="A63607" s="8"/>
      <c r="B63607" s="8"/>
      <c r="C63607" s="99"/>
      <c r="D63607" s="8"/>
      <c r="E63607" s="8"/>
      <c r="F63607" s="8"/>
      <c r="G63607" s="8"/>
      <c r="H63607" s="8"/>
      <c r="I63607" s="102"/>
      <c r="J63607" s="8"/>
      <c r="K63607" s="8"/>
      <c r="L63607" s="8"/>
      <c r="M63607" s="8"/>
      <c r="N63607" s="8"/>
      <c r="O63607" s="8"/>
      <c r="P63607" s="8"/>
      <c r="Q63607" s="8"/>
      <c r="R63607" s="103"/>
      <c r="S63607" s="8"/>
      <c r="T63607" s="8"/>
      <c r="U63607" s="8"/>
      <c r="V63607" s="8"/>
      <c r="W63607" s="8"/>
      <c r="X63607" s="8"/>
      <c r="Y63607" s="8"/>
      <c r="Z63607" s="8"/>
      <c r="AA63607" s="8"/>
    </row>
    <row r="63608" spans="1:27" x14ac:dyDescent="0.25">
      <c r="A63608" s="8"/>
      <c r="B63608" s="8"/>
      <c r="C63608" s="99"/>
      <c r="D63608" s="8"/>
      <c r="E63608" s="8"/>
      <c r="F63608" s="8"/>
      <c r="G63608" s="8"/>
      <c r="H63608" s="8"/>
      <c r="I63608" s="102"/>
      <c r="J63608" s="8"/>
      <c r="K63608" s="8"/>
      <c r="L63608" s="8"/>
      <c r="M63608" s="8"/>
      <c r="N63608" s="8"/>
      <c r="O63608" s="8"/>
      <c r="P63608" s="8"/>
      <c r="Q63608" s="8"/>
      <c r="R63608" s="103"/>
      <c r="S63608" s="8"/>
      <c r="T63608" s="8"/>
      <c r="U63608" s="8"/>
      <c r="V63608" s="8"/>
      <c r="W63608" s="8"/>
      <c r="X63608" s="8"/>
      <c r="Y63608" s="8"/>
      <c r="Z63608" s="8"/>
      <c r="AA63608" s="8"/>
    </row>
    <row r="63609" spans="1:27" x14ac:dyDescent="0.25">
      <c r="A63609" s="8"/>
      <c r="B63609" s="8"/>
      <c r="C63609" s="99"/>
      <c r="D63609" s="8"/>
      <c r="E63609" s="8"/>
      <c r="F63609" s="8"/>
      <c r="G63609" s="8"/>
      <c r="H63609" s="8"/>
      <c r="I63609" s="102"/>
      <c r="J63609" s="8"/>
      <c r="K63609" s="8"/>
      <c r="L63609" s="8"/>
      <c r="M63609" s="8"/>
      <c r="N63609" s="8"/>
      <c r="O63609" s="8"/>
      <c r="P63609" s="8"/>
      <c r="Q63609" s="8"/>
      <c r="R63609" s="103"/>
      <c r="S63609" s="8"/>
      <c r="T63609" s="8"/>
      <c r="U63609" s="8"/>
      <c r="V63609" s="8"/>
      <c r="W63609" s="8"/>
      <c r="X63609" s="8"/>
      <c r="Y63609" s="8"/>
      <c r="Z63609" s="8"/>
      <c r="AA63609" s="8"/>
    </row>
    <row r="63610" spans="1:27" x14ac:dyDescent="0.25">
      <c r="A63610" s="8"/>
      <c r="B63610" s="8"/>
      <c r="C63610" s="99"/>
      <c r="D63610" s="8"/>
      <c r="E63610" s="8"/>
      <c r="F63610" s="8"/>
      <c r="G63610" s="8"/>
      <c r="H63610" s="8"/>
      <c r="I63610" s="102"/>
      <c r="J63610" s="8"/>
      <c r="K63610" s="8"/>
      <c r="L63610" s="8"/>
      <c r="M63610" s="8"/>
      <c r="N63610" s="8"/>
      <c r="O63610" s="8"/>
      <c r="P63610" s="8"/>
      <c r="Q63610" s="8"/>
      <c r="R63610" s="103"/>
      <c r="S63610" s="8"/>
      <c r="T63610" s="8"/>
      <c r="U63610" s="8"/>
      <c r="V63610" s="8"/>
      <c r="W63610" s="8"/>
      <c r="X63610" s="8"/>
      <c r="Y63610" s="8"/>
      <c r="Z63610" s="8"/>
      <c r="AA63610" s="8"/>
    </row>
    <row r="63611" spans="1:27" x14ac:dyDescent="0.25">
      <c r="A63611" s="8"/>
      <c r="B63611" s="8"/>
      <c r="C63611" s="99"/>
      <c r="D63611" s="8"/>
      <c r="E63611" s="8"/>
      <c r="F63611" s="8"/>
      <c r="G63611" s="8"/>
      <c r="H63611" s="8"/>
      <c r="I63611" s="102"/>
      <c r="J63611" s="8"/>
      <c r="K63611" s="8"/>
      <c r="L63611" s="8"/>
      <c r="M63611" s="8"/>
      <c r="N63611" s="8"/>
      <c r="O63611" s="8"/>
      <c r="P63611" s="8"/>
      <c r="Q63611" s="8"/>
      <c r="R63611" s="103"/>
      <c r="S63611" s="8"/>
      <c r="T63611" s="8"/>
      <c r="U63611" s="8"/>
      <c r="V63611" s="8"/>
      <c r="W63611" s="8"/>
      <c r="X63611" s="8"/>
      <c r="Y63611" s="8"/>
      <c r="Z63611" s="8"/>
      <c r="AA63611" s="8"/>
    </row>
    <row r="63612" spans="1:27" x14ac:dyDescent="0.25">
      <c r="A63612" s="8"/>
      <c r="B63612" s="8"/>
      <c r="C63612" s="99"/>
      <c r="D63612" s="8"/>
      <c r="E63612" s="8"/>
      <c r="F63612" s="8"/>
      <c r="G63612" s="8"/>
      <c r="H63612" s="8"/>
      <c r="I63612" s="102"/>
      <c r="J63612" s="8"/>
      <c r="K63612" s="8"/>
      <c r="L63612" s="8"/>
      <c r="M63612" s="8"/>
      <c r="N63612" s="8"/>
      <c r="O63612" s="8"/>
      <c r="P63612" s="8"/>
      <c r="Q63612" s="8"/>
      <c r="R63612" s="103"/>
      <c r="S63612" s="8"/>
      <c r="T63612" s="8"/>
      <c r="U63612" s="8"/>
      <c r="V63612" s="8"/>
      <c r="W63612" s="8"/>
      <c r="X63612" s="8"/>
      <c r="Y63612" s="8"/>
      <c r="Z63612" s="8"/>
      <c r="AA63612" s="8"/>
    </row>
    <row r="63613" spans="1:27" x14ac:dyDescent="0.25">
      <c r="A63613" s="8"/>
      <c r="B63613" s="8"/>
      <c r="C63613" s="99"/>
      <c r="D63613" s="8"/>
      <c r="E63613" s="8"/>
      <c r="F63613" s="8"/>
      <c r="G63613" s="8"/>
      <c r="H63613" s="8"/>
      <c r="I63613" s="102"/>
      <c r="J63613" s="8"/>
      <c r="K63613" s="8"/>
      <c r="L63613" s="8"/>
      <c r="M63613" s="8"/>
      <c r="N63613" s="8"/>
      <c r="O63613" s="8"/>
      <c r="P63613" s="8"/>
      <c r="Q63613" s="8"/>
      <c r="R63613" s="103"/>
      <c r="S63613" s="8"/>
      <c r="T63613" s="8"/>
      <c r="U63613" s="8"/>
      <c r="V63613" s="8"/>
      <c r="W63613" s="8"/>
      <c r="X63613" s="8"/>
      <c r="Y63613" s="8"/>
      <c r="Z63613" s="8"/>
      <c r="AA63613" s="8"/>
    </row>
    <row r="63614" spans="1:27" x14ac:dyDescent="0.25">
      <c r="A63614" s="8"/>
      <c r="B63614" s="8"/>
      <c r="C63614" s="99"/>
      <c r="D63614" s="8"/>
      <c r="E63614" s="8"/>
      <c r="F63614" s="8"/>
      <c r="G63614" s="8"/>
      <c r="H63614" s="8"/>
      <c r="I63614" s="102"/>
      <c r="J63614" s="8"/>
      <c r="K63614" s="8"/>
      <c r="L63614" s="8"/>
      <c r="M63614" s="8"/>
      <c r="N63614" s="8"/>
      <c r="O63614" s="8"/>
      <c r="P63614" s="8"/>
      <c r="Q63614" s="8"/>
      <c r="R63614" s="103"/>
      <c r="S63614" s="8"/>
      <c r="T63614" s="8"/>
      <c r="U63614" s="8"/>
      <c r="V63614" s="8"/>
      <c r="W63614" s="8"/>
      <c r="X63614" s="8"/>
      <c r="Y63614" s="8"/>
      <c r="Z63614" s="8"/>
      <c r="AA63614" s="8"/>
    </row>
    <row r="63615" spans="1:27" x14ac:dyDescent="0.25">
      <c r="A63615" s="8"/>
      <c r="B63615" s="8"/>
      <c r="C63615" s="99"/>
      <c r="D63615" s="8"/>
      <c r="E63615" s="8"/>
      <c r="F63615" s="8"/>
      <c r="G63615" s="8"/>
      <c r="H63615" s="8"/>
      <c r="I63615" s="102"/>
      <c r="J63615" s="8"/>
      <c r="K63615" s="8"/>
      <c r="L63615" s="8"/>
      <c r="M63615" s="8"/>
      <c r="N63615" s="8"/>
      <c r="O63615" s="8"/>
      <c r="P63615" s="8"/>
      <c r="Q63615" s="8"/>
      <c r="R63615" s="103"/>
      <c r="S63615" s="8"/>
      <c r="T63615" s="8"/>
      <c r="U63615" s="8"/>
      <c r="V63615" s="8"/>
      <c r="W63615" s="8"/>
      <c r="X63615" s="8"/>
      <c r="Y63615" s="8"/>
      <c r="Z63615" s="8"/>
      <c r="AA63615" s="8"/>
    </row>
    <row r="63616" spans="1:27" x14ac:dyDescent="0.25">
      <c r="A63616" s="8"/>
      <c r="B63616" s="8"/>
      <c r="C63616" s="99"/>
      <c r="D63616" s="8"/>
      <c r="E63616" s="8"/>
      <c r="F63616" s="8"/>
      <c r="G63616" s="8"/>
      <c r="H63616" s="8"/>
      <c r="I63616" s="102"/>
      <c r="J63616" s="8"/>
      <c r="K63616" s="8"/>
      <c r="L63616" s="8"/>
      <c r="M63616" s="8"/>
      <c r="N63616" s="8"/>
      <c r="O63616" s="8"/>
      <c r="P63616" s="8"/>
      <c r="Q63616" s="8"/>
      <c r="R63616" s="103"/>
      <c r="S63616" s="8"/>
      <c r="T63616" s="8"/>
      <c r="U63616" s="8"/>
      <c r="V63616" s="8"/>
      <c r="W63616" s="8"/>
      <c r="X63616" s="8"/>
      <c r="Y63616" s="8"/>
      <c r="Z63616" s="8"/>
      <c r="AA63616" s="8"/>
    </row>
    <row r="63617" spans="1:27" x14ac:dyDescent="0.25">
      <c r="A63617" s="8"/>
      <c r="B63617" s="8"/>
      <c r="C63617" s="99"/>
      <c r="D63617" s="8"/>
      <c r="E63617" s="8"/>
      <c r="F63617" s="8"/>
      <c r="G63617" s="8"/>
      <c r="H63617" s="8"/>
      <c r="I63617" s="102"/>
      <c r="J63617" s="8"/>
      <c r="K63617" s="8"/>
      <c r="L63617" s="8"/>
      <c r="M63617" s="8"/>
      <c r="N63617" s="8"/>
      <c r="O63617" s="8"/>
      <c r="P63617" s="8"/>
      <c r="Q63617" s="8"/>
      <c r="R63617" s="103"/>
      <c r="S63617" s="8"/>
      <c r="T63617" s="8"/>
      <c r="U63617" s="8"/>
      <c r="V63617" s="8"/>
      <c r="W63617" s="8"/>
      <c r="X63617" s="8"/>
      <c r="Y63617" s="8"/>
      <c r="Z63617" s="8"/>
      <c r="AA63617" s="8"/>
    </row>
    <row r="63618" spans="1:27" x14ac:dyDescent="0.25">
      <c r="A63618" s="8"/>
      <c r="B63618" s="8"/>
      <c r="C63618" s="99"/>
      <c r="D63618" s="8"/>
      <c r="E63618" s="8"/>
      <c r="F63618" s="8"/>
      <c r="G63618" s="8"/>
      <c r="H63618" s="8"/>
      <c r="I63618" s="102"/>
      <c r="J63618" s="8"/>
      <c r="K63618" s="8"/>
      <c r="L63618" s="8"/>
      <c r="M63618" s="8"/>
      <c r="N63618" s="8"/>
      <c r="O63618" s="8"/>
      <c r="P63618" s="8"/>
      <c r="Q63618" s="8"/>
      <c r="R63618" s="103"/>
      <c r="S63618" s="8"/>
      <c r="T63618" s="8"/>
      <c r="U63618" s="8"/>
      <c r="V63618" s="8"/>
      <c r="W63618" s="8"/>
      <c r="X63618" s="8"/>
      <c r="Y63618" s="8"/>
      <c r="Z63618" s="8"/>
      <c r="AA63618" s="8"/>
    </row>
    <row r="63619" spans="1:27" x14ac:dyDescent="0.25">
      <c r="A63619" s="8"/>
      <c r="B63619" s="8"/>
      <c r="C63619" s="99"/>
      <c r="D63619" s="8"/>
      <c r="E63619" s="8"/>
      <c r="F63619" s="8"/>
      <c r="G63619" s="8"/>
      <c r="H63619" s="8"/>
      <c r="I63619" s="102"/>
      <c r="J63619" s="8"/>
      <c r="K63619" s="8"/>
      <c r="L63619" s="8"/>
      <c r="M63619" s="8"/>
      <c r="N63619" s="8"/>
      <c r="O63619" s="8"/>
      <c r="P63619" s="8"/>
      <c r="Q63619" s="8"/>
      <c r="R63619" s="103"/>
      <c r="S63619" s="8"/>
      <c r="T63619" s="8"/>
      <c r="U63619" s="8"/>
      <c r="V63619" s="8"/>
      <c r="W63619" s="8"/>
      <c r="X63619" s="8"/>
      <c r="Y63619" s="8"/>
      <c r="Z63619" s="8"/>
      <c r="AA63619" s="8"/>
    </row>
    <row r="63620" spans="1:27" x14ac:dyDescent="0.25">
      <c r="A63620" s="8"/>
      <c r="B63620" s="8"/>
      <c r="C63620" s="99"/>
      <c r="D63620" s="8"/>
      <c r="E63620" s="8"/>
      <c r="F63620" s="8"/>
      <c r="G63620" s="8"/>
      <c r="H63620" s="8"/>
      <c r="I63620" s="102"/>
      <c r="J63620" s="8"/>
      <c r="K63620" s="8"/>
      <c r="L63620" s="8"/>
      <c r="M63620" s="8"/>
      <c r="N63620" s="8"/>
      <c r="O63620" s="8"/>
      <c r="P63620" s="8"/>
      <c r="Q63620" s="8"/>
      <c r="R63620" s="103"/>
      <c r="S63620" s="8"/>
      <c r="T63620" s="8"/>
      <c r="U63620" s="8"/>
      <c r="V63620" s="8"/>
      <c r="W63620" s="8"/>
      <c r="X63620" s="8"/>
      <c r="Y63620" s="8"/>
      <c r="Z63620" s="8"/>
      <c r="AA63620" s="8"/>
    </row>
    <row r="63621" spans="1:27" x14ac:dyDescent="0.25">
      <c r="A63621" s="8"/>
      <c r="B63621" s="8"/>
      <c r="C63621" s="99"/>
      <c r="D63621" s="8"/>
      <c r="E63621" s="8"/>
      <c r="F63621" s="8"/>
      <c r="G63621" s="8"/>
      <c r="H63621" s="8"/>
      <c r="I63621" s="102"/>
      <c r="J63621" s="8"/>
      <c r="K63621" s="8"/>
      <c r="L63621" s="8"/>
      <c r="M63621" s="8"/>
      <c r="N63621" s="8"/>
      <c r="O63621" s="8"/>
      <c r="P63621" s="8"/>
      <c r="Q63621" s="8"/>
      <c r="R63621" s="103"/>
      <c r="S63621" s="8"/>
      <c r="T63621" s="8"/>
      <c r="U63621" s="8"/>
      <c r="V63621" s="8"/>
      <c r="W63621" s="8"/>
      <c r="X63621" s="8"/>
      <c r="Y63621" s="8"/>
      <c r="Z63621" s="8"/>
      <c r="AA63621" s="8"/>
    </row>
    <row r="63622" spans="1:27" x14ac:dyDescent="0.25">
      <c r="A63622" s="8"/>
      <c r="B63622" s="8"/>
      <c r="C63622" s="99"/>
      <c r="D63622" s="8"/>
      <c r="E63622" s="8"/>
      <c r="F63622" s="8"/>
      <c r="G63622" s="8"/>
      <c r="H63622" s="8"/>
      <c r="I63622" s="102"/>
      <c r="J63622" s="8"/>
      <c r="K63622" s="8"/>
      <c r="L63622" s="8"/>
      <c r="M63622" s="8"/>
      <c r="N63622" s="8"/>
      <c r="O63622" s="8"/>
      <c r="P63622" s="8"/>
      <c r="Q63622" s="8"/>
      <c r="R63622" s="103"/>
      <c r="S63622" s="8"/>
      <c r="T63622" s="8"/>
      <c r="U63622" s="8"/>
      <c r="V63622" s="8"/>
      <c r="W63622" s="8"/>
      <c r="X63622" s="8"/>
      <c r="Y63622" s="8"/>
      <c r="Z63622" s="8"/>
      <c r="AA63622" s="8"/>
    </row>
    <row r="63623" spans="1:27" x14ac:dyDescent="0.25">
      <c r="A63623" s="8"/>
      <c r="B63623" s="8"/>
      <c r="C63623" s="99"/>
      <c r="D63623" s="8"/>
      <c r="E63623" s="8"/>
      <c r="F63623" s="8"/>
      <c r="G63623" s="8"/>
      <c r="H63623" s="8"/>
      <c r="I63623" s="102"/>
      <c r="J63623" s="8"/>
      <c r="K63623" s="8"/>
      <c r="L63623" s="8"/>
      <c r="M63623" s="8"/>
      <c r="N63623" s="8"/>
      <c r="O63623" s="8"/>
      <c r="P63623" s="8"/>
      <c r="Q63623" s="8"/>
      <c r="R63623" s="103"/>
      <c r="S63623" s="8"/>
      <c r="T63623" s="8"/>
      <c r="U63623" s="8"/>
      <c r="V63623" s="8"/>
      <c r="W63623" s="8"/>
      <c r="X63623" s="8"/>
      <c r="Y63623" s="8"/>
      <c r="Z63623" s="8"/>
      <c r="AA63623" s="8"/>
    </row>
    <row r="63624" spans="1:27" x14ac:dyDescent="0.25">
      <c r="A63624" s="8"/>
      <c r="B63624" s="8"/>
      <c r="C63624" s="99"/>
      <c r="D63624" s="8"/>
      <c r="E63624" s="8"/>
      <c r="F63624" s="8"/>
      <c r="G63624" s="8"/>
      <c r="H63624" s="8"/>
      <c r="I63624" s="102"/>
      <c r="J63624" s="8"/>
      <c r="K63624" s="8"/>
      <c r="L63624" s="8"/>
      <c r="M63624" s="8"/>
      <c r="N63624" s="8"/>
      <c r="O63624" s="8"/>
      <c r="P63624" s="8"/>
      <c r="Q63624" s="8"/>
      <c r="R63624" s="103"/>
      <c r="S63624" s="8"/>
      <c r="T63624" s="8"/>
      <c r="U63624" s="8"/>
      <c r="V63624" s="8"/>
      <c r="W63624" s="8"/>
      <c r="X63624" s="8"/>
      <c r="Y63624" s="8"/>
      <c r="Z63624" s="8"/>
      <c r="AA63624" s="8"/>
    </row>
    <row r="63625" spans="1:27" x14ac:dyDescent="0.25">
      <c r="A63625" s="8"/>
      <c r="B63625" s="8"/>
      <c r="C63625" s="99"/>
      <c r="D63625" s="8"/>
      <c r="E63625" s="8"/>
      <c r="F63625" s="8"/>
      <c r="G63625" s="8"/>
      <c r="H63625" s="8"/>
      <c r="I63625" s="102"/>
      <c r="J63625" s="8"/>
      <c r="K63625" s="8"/>
      <c r="L63625" s="8"/>
      <c r="M63625" s="8"/>
      <c r="N63625" s="8"/>
      <c r="O63625" s="8"/>
      <c r="P63625" s="8"/>
      <c r="Q63625" s="8"/>
      <c r="R63625" s="103"/>
      <c r="S63625" s="8"/>
      <c r="T63625" s="8"/>
      <c r="U63625" s="8"/>
      <c r="V63625" s="8"/>
      <c r="W63625" s="8"/>
      <c r="X63625" s="8"/>
      <c r="Y63625" s="8"/>
      <c r="Z63625" s="8"/>
      <c r="AA63625" s="8"/>
    </row>
    <row r="63626" spans="1:27" x14ac:dyDescent="0.25">
      <c r="A63626" s="8"/>
      <c r="B63626" s="8"/>
      <c r="C63626" s="99"/>
      <c r="D63626" s="8"/>
      <c r="E63626" s="8"/>
      <c r="F63626" s="8"/>
      <c r="G63626" s="8"/>
      <c r="H63626" s="8"/>
      <c r="I63626" s="102"/>
      <c r="J63626" s="8"/>
      <c r="K63626" s="8"/>
      <c r="L63626" s="8"/>
      <c r="M63626" s="8"/>
      <c r="N63626" s="8"/>
      <c r="O63626" s="8"/>
      <c r="P63626" s="8"/>
      <c r="Q63626" s="8"/>
      <c r="R63626" s="103"/>
      <c r="S63626" s="8"/>
      <c r="T63626" s="8"/>
      <c r="U63626" s="8"/>
      <c r="V63626" s="8"/>
      <c r="W63626" s="8"/>
      <c r="X63626" s="8"/>
      <c r="Y63626" s="8"/>
      <c r="Z63626" s="8"/>
      <c r="AA63626" s="8"/>
    </row>
    <row r="63627" spans="1:27" x14ac:dyDescent="0.25">
      <c r="A63627" s="8"/>
      <c r="B63627" s="8"/>
      <c r="C63627" s="99"/>
      <c r="D63627" s="8"/>
      <c r="E63627" s="8"/>
      <c r="F63627" s="8"/>
      <c r="G63627" s="8"/>
      <c r="H63627" s="8"/>
      <c r="I63627" s="102"/>
      <c r="J63627" s="8"/>
      <c r="K63627" s="8"/>
      <c r="L63627" s="8"/>
      <c r="M63627" s="8"/>
      <c r="N63627" s="8"/>
      <c r="O63627" s="8"/>
      <c r="P63627" s="8"/>
      <c r="Q63627" s="8"/>
      <c r="R63627" s="103"/>
      <c r="S63627" s="8"/>
      <c r="T63627" s="8"/>
      <c r="U63627" s="8"/>
      <c r="V63627" s="8"/>
      <c r="W63627" s="8"/>
      <c r="X63627" s="8"/>
      <c r="Y63627" s="8"/>
      <c r="Z63627" s="8"/>
      <c r="AA63627" s="8"/>
    </row>
    <row r="63628" spans="1:27" x14ac:dyDescent="0.25">
      <c r="A63628" s="8"/>
      <c r="B63628" s="8"/>
      <c r="C63628" s="99"/>
      <c r="D63628" s="8"/>
      <c r="E63628" s="8"/>
      <c r="F63628" s="8"/>
      <c r="G63628" s="8"/>
      <c r="H63628" s="8"/>
      <c r="I63628" s="102"/>
      <c r="J63628" s="8"/>
      <c r="K63628" s="8"/>
      <c r="L63628" s="8"/>
      <c r="M63628" s="8"/>
      <c r="N63628" s="8"/>
      <c r="O63628" s="8"/>
      <c r="P63628" s="8"/>
      <c r="Q63628" s="8"/>
      <c r="R63628" s="103"/>
      <c r="S63628" s="8"/>
      <c r="T63628" s="8"/>
      <c r="U63628" s="8"/>
      <c r="V63628" s="8"/>
      <c r="W63628" s="8"/>
      <c r="X63628" s="8"/>
      <c r="Y63628" s="8"/>
      <c r="Z63628" s="8"/>
      <c r="AA63628" s="8"/>
    </row>
    <row r="63629" spans="1:27" x14ac:dyDescent="0.25">
      <c r="A63629" s="8"/>
      <c r="B63629" s="8"/>
      <c r="C63629" s="99"/>
      <c r="D63629" s="8"/>
      <c r="E63629" s="8"/>
      <c r="F63629" s="8"/>
      <c r="G63629" s="8"/>
      <c r="H63629" s="8"/>
      <c r="I63629" s="102"/>
      <c r="J63629" s="8"/>
      <c r="K63629" s="8"/>
      <c r="L63629" s="8"/>
      <c r="M63629" s="8"/>
      <c r="N63629" s="8"/>
      <c r="O63629" s="8"/>
      <c r="P63629" s="8"/>
      <c r="Q63629" s="8"/>
      <c r="R63629" s="103"/>
      <c r="S63629" s="8"/>
      <c r="T63629" s="8"/>
      <c r="U63629" s="8"/>
      <c r="V63629" s="8"/>
      <c r="W63629" s="8"/>
      <c r="X63629" s="8"/>
      <c r="Y63629" s="8"/>
      <c r="Z63629" s="8"/>
      <c r="AA63629" s="8"/>
    </row>
    <row r="63630" spans="1:27" x14ac:dyDescent="0.25">
      <c r="A63630" s="8"/>
      <c r="B63630" s="8"/>
      <c r="C63630" s="99"/>
      <c r="D63630" s="8"/>
      <c r="E63630" s="8"/>
      <c r="F63630" s="8"/>
      <c r="G63630" s="8"/>
      <c r="H63630" s="8"/>
      <c r="I63630" s="102"/>
      <c r="J63630" s="8"/>
      <c r="K63630" s="8"/>
      <c r="L63630" s="8"/>
      <c r="M63630" s="8"/>
      <c r="N63630" s="8"/>
      <c r="O63630" s="8"/>
      <c r="P63630" s="8"/>
      <c r="Q63630" s="8"/>
      <c r="R63630" s="103"/>
      <c r="S63630" s="8"/>
      <c r="T63630" s="8"/>
      <c r="U63630" s="8"/>
      <c r="V63630" s="8"/>
      <c r="W63630" s="8"/>
      <c r="X63630" s="8"/>
      <c r="Y63630" s="8"/>
      <c r="Z63630" s="8"/>
      <c r="AA63630" s="8"/>
    </row>
    <row r="63631" spans="1:27" x14ac:dyDescent="0.25">
      <c r="A63631" s="8"/>
      <c r="B63631" s="8"/>
      <c r="C63631" s="99"/>
      <c r="D63631" s="8"/>
      <c r="E63631" s="8"/>
      <c r="F63631" s="8"/>
      <c r="G63631" s="8"/>
      <c r="H63631" s="8"/>
      <c r="I63631" s="102"/>
      <c r="J63631" s="8"/>
      <c r="K63631" s="8"/>
      <c r="L63631" s="8"/>
      <c r="M63631" s="8"/>
      <c r="N63631" s="8"/>
      <c r="O63631" s="8"/>
      <c r="P63631" s="8"/>
      <c r="Q63631" s="8"/>
      <c r="R63631" s="103"/>
      <c r="S63631" s="8"/>
      <c r="T63631" s="8"/>
      <c r="U63631" s="8"/>
      <c r="V63631" s="8"/>
      <c r="W63631" s="8"/>
      <c r="X63631" s="8"/>
      <c r="Y63631" s="8"/>
      <c r="Z63631" s="8"/>
      <c r="AA63631" s="8"/>
    </row>
    <row r="63632" spans="1:27" x14ac:dyDescent="0.25">
      <c r="A63632" s="8"/>
      <c r="B63632" s="8"/>
      <c r="C63632" s="99"/>
      <c r="D63632" s="8"/>
      <c r="E63632" s="8"/>
      <c r="F63632" s="8"/>
      <c r="G63632" s="8"/>
      <c r="H63632" s="8"/>
      <c r="I63632" s="102"/>
      <c r="J63632" s="8"/>
      <c r="K63632" s="8"/>
      <c r="L63632" s="8"/>
      <c r="M63632" s="8"/>
      <c r="N63632" s="8"/>
      <c r="O63632" s="8"/>
      <c r="P63632" s="8"/>
      <c r="Q63632" s="8"/>
      <c r="R63632" s="103"/>
      <c r="S63632" s="8"/>
      <c r="T63632" s="8"/>
      <c r="U63632" s="8"/>
      <c r="V63632" s="8"/>
      <c r="W63632" s="8"/>
      <c r="X63632" s="8"/>
      <c r="Y63632" s="8"/>
      <c r="Z63632" s="8"/>
      <c r="AA63632" s="8"/>
    </row>
    <row r="63633" spans="1:27" x14ac:dyDescent="0.25">
      <c r="A63633" s="8"/>
      <c r="B63633" s="8"/>
      <c r="C63633" s="99"/>
      <c r="D63633" s="8"/>
      <c r="E63633" s="8"/>
      <c r="F63633" s="8"/>
      <c r="G63633" s="8"/>
      <c r="H63633" s="8"/>
      <c r="I63633" s="102"/>
      <c r="J63633" s="8"/>
      <c r="K63633" s="8"/>
      <c r="L63633" s="8"/>
      <c r="M63633" s="8"/>
      <c r="N63633" s="8"/>
      <c r="O63633" s="8"/>
      <c r="P63633" s="8"/>
      <c r="Q63633" s="8"/>
      <c r="R63633" s="103"/>
      <c r="S63633" s="8"/>
      <c r="T63633" s="8"/>
      <c r="U63633" s="8"/>
      <c r="V63633" s="8"/>
      <c r="W63633" s="8"/>
      <c r="X63633" s="8"/>
      <c r="Y63633" s="8"/>
      <c r="Z63633" s="8"/>
      <c r="AA63633" s="8"/>
    </row>
    <row r="63634" spans="1:27" x14ac:dyDescent="0.25">
      <c r="A63634" s="8"/>
      <c r="B63634" s="8"/>
      <c r="C63634" s="99"/>
      <c r="D63634" s="8"/>
      <c r="E63634" s="8"/>
      <c r="F63634" s="8"/>
      <c r="G63634" s="8"/>
      <c r="H63634" s="8"/>
      <c r="I63634" s="102"/>
      <c r="J63634" s="8"/>
      <c r="K63634" s="8"/>
      <c r="L63634" s="8"/>
      <c r="M63634" s="8"/>
      <c r="N63634" s="8"/>
      <c r="O63634" s="8"/>
      <c r="P63634" s="8"/>
      <c r="Q63634" s="8"/>
      <c r="R63634" s="103"/>
      <c r="S63634" s="8"/>
      <c r="T63634" s="8"/>
      <c r="U63634" s="8"/>
      <c r="V63634" s="8"/>
      <c r="W63634" s="8"/>
      <c r="X63634" s="8"/>
      <c r="Y63634" s="8"/>
      <c r="Z63634" s="8"/>
      <c r="AA63634" s="8"/>
    </row>
    <row r="63635" spans="1:27" x14ac:dyDescent="0.25">
      <c r="A63635" s="8"/>
      <c r="B63635" s="8"/>
      <c r="C63635" s="99"/>
      <c r="D63635" s="8"/>
      <c r="E63635" s="8"/>
      <c r="F63635" s="8"/>
      <c r="G63635" s="8"/>
      <c r="H63635" s="8"/>
      <c r="I63635" s="102"/>
      <c r="J63635" s="8"/>
      <c r="K63635" s="8"/>
      <c r="L63635" s="8"/>
      <c r="M63635" s="8"/>
      <c r="N63635" s="8"/>
      <c r="O63635" s="8"/>
      <c r="P63635" s="8"/>
      <c r="Q63635" s="8"/>
      <c r="R63635" s="103"/>
      <c r="S63635" s="8"/>
      <c r="T63635" s="8"/>
      <c r="U63635" s="8"/>
      <c r="V63635" s="8"/>
      <c r="W63635" s="8"/>
      <c r="X63635" s="8"/>
      <c r="Y63635" s="8"/>
      <c r="Z63635" s="8"/>
      <c r="AA63635" s="8"/>
    </row>
    <row r="63636" spans="1:27" x14ac:dyDescent="0.25">
      <c r="A63636" s="8"/>
      <c r="B63636" s="8"/>
      <c r="C63636" s="99"/>
      <c r="D63636" s="8"/>
      <c r="E63636" s="8"/>
      <c r="F63636" s="8"/>
      <c r="G63636" s="8"/>
      <c r="H63636" s="8"/>
      <c r="I63636" s="102"/>
      <c r="J63636" s="8"/>
      <c r="K63636" s="8"/>
      <c r="L63636" s="8"/>
      <c r="M63636" s="8"/>
      <c r="N63636" s="8"/>
      <c r="O63636" s="8"/>
      <c r="P63636" s="8"/>
      <c r="Q63636" s="8"/>
      <c r="R63636" s="103"/>
      <c r="S63636" s="8"/>
      <c r="T63636" s="8"/>
      <c r="U63636" s="8"/>
      <c r="V63636" s="8"/>
      <c r="W63636" s="8"/>
      <c r="X63636" s="8"/>
      <c r="Y63636" s="8"/>
      <c r="Z63636" s="8"/>
      <c r="AA63636" s="8"/>
    </row>
    <row r="63637" spans="1:27" x14ac:dyDescent="0.25">
      <c r="A63637" s="8"/>
      <c r="B63637" s="8"/>
      <c r="C63637" s="99"/>
      <c r="D63637" s="8"/>
      <c r="E63637" s="8"/>
      <c r="F63637" s="8"/>
      <c r="G63637" s="8"/>
      <c r="H63637" s="8"/>
      <c r="I63637" s="102"/>
      <c r="J63637" s="8"/>
      <c r="K63637" s="8"/>
      <c r="L63637" s="8"/>
      <c r="M63637" s="8"/>
      <c r="N63637" s="8"/>
      <c r="O63637" s="8"/>
      <c r="P63637" s="8"/>
      <c r="Q63637" s="8"/>
      <c r="R63637" s="103"/>
      <c r="S63637" s="8"/>
      <c r="T63637" s="8"/>
      <c r="U63637" s="8"/>
      <c r="V63637" s="8"/>
      <c r="W63637" s="8"/>
      <c r="X63637" s="8"/>
      <c r="Y63637" s="8"/>
      <c r="Z63637" s="8"/>
      <c r="AA63637" s="8"/>
    </row>
    <row r="63638" spans="1:27" x14ac:dyDescent="0.25">
      <c r="A63638" s="8"/>
      <c r="B63638" s="8"/>
      <c r="C63638" s="99"/>
      <c r="D63638" s="8"/>
      <c r="E63638" s="8"/>
      <c r="F63638" s="8"/>
      <c r="G63638" s="8"/>
      <c r="H63638" s="8"/>
      <c r="I63638" s="102"/>
      <c r="J63638" s="8"/>
      <c r="K63638" s="8"/>
      <c r="L63638" s="8"/>
      <c r="M63638" s="8"/>
      <c r="N63638" s="8"/>
      <c r="O63638" s="8"/>
      <c r="P63638" s="8"/>
      <c r="Q63638" s="8"/>
      <c r="R63638" s="103"/>
      <c r="S63638" s="8"/>
      <c r="T63638" s="8"/>
      <c r="U63638" s="8"/>
      <c r="V63638" s="8"/>
      <c r="W63638" s="8"/>
      <c r="X63638" s="8"/>
      <c r="Y63638" s="8"/>
      <c r="Z63638" s="8"/>
      <c r="AA63638" s="8"/>
    </row>
    <row r="63639" spans="1:27" x14ac:dyDescent="0.25">
      <c r="A63639" s="8"/>
      <c r="B63639" s="8"/>
      <c r="C63639" s="99"/>
      <c r="D63639" s="8"/>
      <c r="E63639" s="8"/>
      <c r="F63639" s="8"/>
      <c r="G63639" s="8"/>
      <c r="H63639" s="8"/>
      <c r="I63639" s="102"/>
      <c r="J63639" s="8"/>
      <c r="K63639" s="8"/>
      <c r="L63639" s="8"/>
      <c r="M63639" s="8"/>
      <c r="N63639" s="8"/>
      <c r="O63639" s="8"/>
      <c r="P63639" s="8"/>
      <c r="Q63639" s="8"/>
      <c r="R63639" s="103"/>
      <c r="S63639" s="8"/>
      <c r="T63639" s="8"/>
      <c r="U63639" s="8"/>
      <c r="V63639" s="8"/>
      <c r="W63639" s="8"/>
      <c r="X63639" s="8"/>
      <c r="Y63639" s="8"/>
      <c r="Z63639" s="8"/>
      <c r="AA63639" s="8"/>
    </row>
    <row r="63640" spans="1:27" x14ac:dyDescent="0.25">
      <c r="A63640" s="8"/>
      <c r="B63640" s="8"/>
      <c r="C63640" s="99"/>
      <c r="D63640" s="8"/>
      <c r="E63640" s="8"/>
      <c r="F63640" s="8"/>
      <c r="G63640" s="8"/>
      <c r="H63640" s="8"/>
      <c r="I63640" s="102"/>
      <c r="J63640" s="8"/>
      <c r="K63640" s="8"/>
      <c r="L63640" s="8"/>
      <c r="M63640" s="8"/>
      <c r="N63640" s="8"/>
      <c r="O63640" s="8"/>
      <c r="P63640" s="8"/>
      <c r="Q63640" s="8"/>
      <c r="R63640" s="103"/>
      <c r="S63640" s="8"/>
      <c r="T63640" s="8"/>
      <c r="U63640" s="8"/>
      <c r="V63640" s="8"/>
      <c r="W63640" s="8"/>
      <c r="X63640" s="8"/>
      <c r="Y63640" s="8"/>
      <c r="Z63640" s="8"/>
      <c r="AA63640" s="8"/>
    </row>
    <row r="63641" spans="1:27" x14ac:dyDescent="0.25">
      <c r="A63641" s="8"/>
      <c r="B63641" s="8"/>
      <c r="C63641" s="99"/>
      <c r="D63641" s="8"/>
      <c r="E63641" s="8"/>
      <c r="F63641" s="8"/>
      <c r="G63641" s="8"/>
      <c r="H63641" s="8"/>
      <c r="I63641" s="102"/>
      <c r="J63641" s="8"/>
      <c r="K63641" s="8"/>
      <c r="L63641" s="8"/>
      <c r="M63641" s="8"/>
      <c r="N63641" s="8"/>
      <c r="O63641" s="8"/>
      <c r="P63641" s="8"/>
      <c r="Q63641" s="8"/>
      <c r="R63641" s="103"/>
      <c r="S63641" s="8"/>
      <c r="T63641" s="8"/>
      <c r="U63641" s="8"/>
      <c r="V63641" s="8"/>
      <c r="W63641" s="8"/>
      <c r="X63641" s="8"/>
      <c r="Y63641" s="8"/>
      <c r="Z63641" s="8"/>
      <c r="AA63641" s="8"/>
    </row>
    <row r="63642" spans="1:27" x14ac:dyDescent="0.25">
      <c r="A63642" s="8"/>
      <c r="B63642" s="8"/>
      <c r="C63642" s="99"/>
      <c r="D63642" s="8"/>
      <c r="E63642" s="8"/>
      <c r="F63642" s="8"/>
      <c r="G63642" s="8"/>
      <c r="H63642" s="8"/>
      <c r="I63642" s="102"/>
      <c r="J63642" s="8"/>
      <c r="K63642" s="8"/>
      <c r="L63642" s="8"/>
      <c r="M63642" s="8"/>
      <c r="N63642" s="8"/>
      <c r="O63642" s="8"/>
      <c r="P63642" s="8"/>
      <c r="Q63642" s="8"/>
      <c r="R63642" s="103"/>
      <c r="S63642" s="8"/>
      <c r="T63642" s="8"/>
      <c r="U63642" s="8"/>
      <c r="V63642" s="8"/>
      <c r="W63642" s="8"/>
      <c r="X63642" s="8"/>
      <c r="Y63642" s="8"/>
      <c r="Z63642" s="8"/>
      <c r="AA63642" s="8"/>
    </row>
    <row r="63643" spans="1:27" x14ac:dyDescent="0.25">
      <c r="A63643" s="8"/>
      <c r="B63643" s="8"/>
      <c r="C63643" s="99"/>
      <c r="D63643" s="8"/>
      <c r="E63643" s="8"/>
      <c r="F63643" s="8"/>
      <c r="G63643" s="8"/>
      <c r="H63643" s="8"/>
      <c r="I63643" s="102"/>
      <c r="J63643" s="8"/>
      <c r="K63643" s="8"/>
      <c r="L63643" s="8"/>
      <c r="M63643" s="8"/>
      <c r="N63643" s="8"/>
      <c r="O63643" s="8"/>
      <c r="P63643" s="8"/>
      <c r="Q63643" s="8"/>
      <c r="R63643" s="103"/>
      <c r="S63643" s="8"/>
      <c r="T63643" s="8"/>
      <c r="U63643" s="8"/>
      <c r="V63643" s="8"/>
      <c r="W63643" s="8"/>
      <c r="X63643" s="8"/>
      <c r="Y63643" s="8"/>
      <c r="Z63643" s="8"/>
      <c r="AA63643" s="8"/>
    </row>
    <row r="63644" spans="1:27" x14ac:dyDescent="0.25">
      <c r="A63644" s="8"/>
      <c r="B63644" s="8"/>
      <c r="C63644" s="99"/>
      <c r="D63644" s="8"/>
      <c r="E63644" s="8"/>
      <c r="F63644" s="8"/>
      <c r="G63644" s="8"/>
      <c r="H63644" s="8"/>
      <c r="I63644" s="102"/>
      <c r="J63644" s="8"/>
      <c r="K63644" s="8"/>
      <c r="L63644" s="8"/>
      <c r="M63644" s="8"/>
      <c r="N63644" s="8"/>
      <c r="O63644" s="8"/>
      <c r="P63644" s="8"/>
      <c r="Q63644" s="8"/>
      <c r="R63644" s="103"/>
      <c r="S63644" s="8"/>
      <c r="T63644" s="8"/>
      <c r="U63644" s="8"/>
      <c r="V63644" s="8"/>
      <c r="W63644" s="8"/>
      <c r="X63644" s="8"/>
      <c r="Y63644" s="8"/>
      <c r="Z63644" s="8"/>
      <c r="AA63644" s="8"/>
    </row>
    <row r="63645" spans="1:27" x14ac:dyDescent="0.25">
      <c r="A63645" s="8"/>
      <c r="B63645" s="8"/>
      <c r="C63645" s="99"/>
      <c r="D63645" s="8"/>
      <c r="E63645" s="8"/>
      <c r="F63645" s="8"/>
      <c r="G63645" s="8"/>
      <c r="H63645" s="8"/>
      <c r="I63645" s="102"/>
      <c r="J63645" s="8"/>
      <c r="K63645" s="8"/>
      <c r="L63645" s="8"/>
      <c r="M63645" s="8"/>
      <c r="N63645" s="8"/>
      <c r="O63645" s="8"/>
      <c r="P63645" s="8"/>
      <c r="Q63645" s="8"/>
      <c r="R63645" s="103"/>
      <c r="S63645" s="8"/>
      <c r="T63645" s="8"/>
      <c r="U63645" s="8"/>
      <c r="V63645" s="8"/>
      <c r="W63645" s="8"/>
      <c r="X63645" s="8"/>
      <c r="Y63645" s="8"/>
      <c r="Z63645" s="8"/>
      <c r="AA63645" s="8"/>
    </row>
    <row r="63646" spans="1:27" x14ac:dyDescent="0.25">
      <c r="A63646" s="8"/>
      <c r="B63646" s="8"/>
      <c r="C63646" s="99"/>
      <c r="D63646" s="8"/>
      <c r="E63646" s="8"/>
      <c r="F63646" s="8"/>
      <c r="G63646" s="8"/>
      <c r="H63646" s="8"/>
      <c r="I63646" s="102"/>
      <c r="J63646" s="8"/>
      <c r="K63646" s="8"/>
      <c r="L63646" s="8"/>
      <c r="M63646" s="8"/>
      <c r="N63646" s="8"/>
      <c r="O63646" s="8"/>
      <c r="P63646" s="8"/>
      <c r="Q63646" s="8"/>
      <c r="R63646" s="103"/>
      <c r="S63646" s="8"/>
      <c r="T63646" s="8"/>
      <c r="U63646" s="8"/>
      <c r="V63646" s="8"/>
      <c r="W63646" s="8"/>
      <c r="X63646" s="8"/>
      <c r="Y63646" s="8"/>
      <c r="Z63646" s="8"/>
      <c r="AA63646" s="8"/>
    </row>
    <row r="63647" spans="1:27" x14ac:dyDescent="0.25">
      <c r="A63647" s="8"/>
      <c r="B63647" s="8"/>
      <c r="C63647" s="99"/>
      <c r="D63647" s="8"/>
      <c r="E63647" s="8"/>
      <c r="F63647" s="8"/>
      <c r="G63647" s="8"/>
      <c r="H63647" s="8"/>
      <c r="I63647" s="102"/>
      <c r="J63647" s="8"/>
      <c r="K63647" s="8"/>
      <c r="L63647" s="8"/>
      <c r="M63647" s="8"/>
      <c r="N63647" s="8"/>
      <c r="O63647" s="8"/>
      <c r="P63647" s="8"/>
      <c r="Q63647" s="8"/>
      <c r="R63647" s="103"/>
      <c r="S63647" s="8"/>
      <c r="T63647" s="8"/>
      <c r="U63647" s="8"/>
      <c r="V63647" s="8"/>
      <c r="W63647" s="8"/>
      <c r="X63647" s="8"/>
      <c r="Y63647" s="8"/>
      <c r="Z63647" s="8"/>
      <c r="AA63647" s="8"/>
    </row>
    <row r="63648" spans="1:27" x14ac:dyDescent="0.25">
      <c r="A63648" s="8"/>
      <c r="B63648" s="8"/>
      <c r="C63648" s="99"/>
      <c r="D63648" s="8"/>
      <c r="E63648" s="8"/>
      <c r="F63648" s="8"/>
      <c r="G63648" s="8"/>
      <c r="H63648" s="8"/>
      <c r="I63648" s="102"/>
      <c r="J63648" s="8"/>
      <c r="K63648" s="8"/>
      <c r="L63648" s="8"/>
      <c r="M63648" s="8"/>
      <c r="N63648" s="8"/>
      <c r="O63648" s="8"/>
      <c r="P63648" s="8"/>
      <c r="Q63648" s="8"/>
      <c r="R63648" s="103"/>
      <c r="S63648" s="8"/>
      <c r="T63648" s="8"/>
      <c r="U63648" s="8"/>
      <c r="V63648" s="8"/>
      <c r="W63648" s="8"/>
      <c r="X63648" s="8"/>
      <c r="Y63648" s="8"/>
      <c r="Z63648" s="8"/>
      <c r="AA63648" s="8"/>
    </row>
    <row r="63649" spans="1:27" x14ac:dyDescent="0.25">
      <c r="A63649" s="8"/>
      <c r="B63649" s="8"/>
      <c r="C63649" s="99"/>
      <c r="D63649" s="8"/>
      <c r="E63649" s="8"/>
      <c r="F63649" s="8"/>
      <c r="G63649" s="8"/>
      <c r="H63649" s="8"/>
      <c r="I63649" s="102"/>
      <c r="J63649" s="8"/>
      <c r="K63649" s="8"/>
      <c r="L63649" s="8"/>
      <c r="M63649" s="8"/>
      <c r="N63649" s="8"/>
      <c r="O63649" s="8"/>
      <c r="P63649" s="8"/>
      <c r="Q63649" s="8"/>
      <c r="R63649" s="103"/>
      <c r="S63649" s="8"/>
      <c r="T63649" s="8"/>
      <c r="U63649" s="8"/>
      <c r="V63649" s="8"/>
      <c r="W63649" s="8"/>
      <c r="X63649" s="8"/>
      <c r="Y63649" s="8"/>
      <c r="Z63649" s="8"/>
      <c r="AA63649" s="8"/>
    </row>
    <row r="63650" spans="1:27" x14ac:dyDescent="0.25">
      <c r="A63650" s="8"/>
      <c r="B63650" s="8"/>
      <c r="C63650" s="99"/>
      <c r="D63650" s="8"/>
      <c r="E63650" s="8"/>
      <c r="F63650" s="8"/>
      <c r="G63650" s="8"/>
      <c r="H63650" s="8"/>
      <c r="I63650" s="102"/>
      <c r="J63650" s="8"/>
      <c r="K63650" s="8"/>
      <c r="L63650" s="8"/>
      <c r="M63650" s="8"/>
      <c r="N63650" s="8"/>
      <c r="O63650" s="8"/>
      <c r="P63650" s="8"/>
      <c r="Q63650" s="8"/>
      <c r="R63650" s="103"/>
      <c r="S63650" s="8"/>
      <c r="T63650" s="8"/>
      <c r="U63650" s="8"/>
      <c r="V63650" s="8"/>
      <c r="W63650" s="8"/>
      <c r="X63650" s="8"/>
      <c r="Y63650" s="8"/>
      <c r="Z63650" s="8"/>
      <c r="AA63650" s="8"/>
    </row>
    <row r="63651" spans="1:27" x14ac:dyDescent="0.25">
      <c r="A63651" s="8"/>
      <c r="B63651" s="8"/>
      <c r="C63651" s="99"/>
      <c r="D63651" s="8"/>
      <c r="E63651" s="8"/>
      <c r="F63651" s="8"/>
      <c r="G63651" s="8"/>
      <c r="H63651" s="8"/>
      <c r="I63651" s="102"/>
      <c r="J63651" s="8"/>
      <c r="K63651" s="8"/>
      <c r="L63651" s="8"/>
      <c r="M63651" s="8"/>
      <c r="N63651" s="8"/>
      <c r="O63651" s="8"/>
      <c r="P63651" s="8"/>
      <c r="Q63651" s="8"/>
      <c r="R63651" s="103"/>
      <c r="S63651" s="8"/>
      <c r="T63651" s="8"/>
      <c r="U63651" s="8"/>
      <c r="V63651" s="8"/>
      <c r="W63651" s="8"/>
      <c r="X63651" s="8"/>
      <c r="Y63651" s="8"/>
      <c r="Z63651" s="8"/>
      <c r="AA63651" s="8"/>
    </row>
    <row r="63652" spans="1:27" x14ac:dyDescent="0.25">
      <c r="A63652" s="8"/>
      <c r="B63652" s="8"/>
      <c r="C63652" s="99"/>
      <c r="D63652" s="8"/>
      <c r="E63652" s="8"/>
      <c r="F63652" s="8"/>
      <c r="G63652" s="8"/>
      <c r="H63652" s="8"/>
      <c r="I63652" s="102"/>
      <c r="J63652" s="8"/>
      <c r="K63652" s="8"/>
      <c r="L63652" s="8"/>
      <c r="M63652" s="8"/>
      <c r="N63652" s="8"/>
      <c r="O63652" s="8"/>
      <c r="P63652" s="8"/>
      <c r="Q63652" s="8"/>
      <c r="R63652" s="103"/>
      <c r="S63652" s="8"/>
      <c r="T63652" s="8"/>
      <c r="U63652" s="8"/>
      <c r="V63652" s="8"/>
      <c r="W63652" s="8"/>
      <c r="X63652" s="8"/>
      <c r="Y63652" s="8"/>
      <c r="Z63652" s="8"/>
      <c r="AA63652" s="8"/>
    </row>
    <row r="63653" spans="1:27" x14ac:dyDescent="0.25">
      <c r="A63653" s="8"/>
      <c r="B63653" s="8"/>
      <c r="C63653" s="99"/>
      <c r="D63653" s="8"/>
      <c r="E63653" s="8"/>
      <c r="F63653" s="8"/>
      <c r="G63653" s="8"/>
      <c r="H63653" s="8"/>
      <c r="I63653" s="102"/>
      <c r="J63653" s="8"/>
      <c r="K63653" s="8"/>
      <c r="L63653" s="8"/>
      <c r="M63653" s="8"/>
      <c r="N63653" s="8"/>
      <c r="O63653" s="8"/>
      <c r="P63653" s="8"/>
      <c r="Q63653" s="8"/>
      <c r="R63653" s="103"/>
      <c r="S63653" s="8"/>
      <c r="T63653" s="8"/>
      <c r="U63653" s="8"/>
      <c r="V63653" s="8"/>
      <c r="W63653" s="8"/>
      <c r="X63653" s="8"/>
      <c r="Y63653" s="8"/>
      <c r="Z63653" s="8"/>
      <c r="AA63653" s="8"/>
    </row>
    <row r="63654" spans="1:27" x14ac:dyDescent="0.25">
      <c r="A63654" s="8"/>
      <c r="B63654" s="8"/>
      <c r="C63654" s="99"/>
      <c r="D63654" s="8"/>
      <c r="E63654" s="8"/>
      <c r="F63654" s="8"/>
      <c r="G63654" s="8"/>
      <c r="H63654" s="8"/>
      <c r="I63654" s="102"/>
      <c r="J63654" s="8"/>
      <c r="K63654" s="8"/>
      <c r="L63654" s="8"/>
      <c r="M63654" s="8"/>
      <c r="N63654" s="8"/>
      <c r="O63654" s="8"/>
      <c r="P63654" s="8"/>
      <c r="Q63654" s="8"/>
      <c r="R63654" s="103"/>
      <c r="S63654" s="8"/>
      <c r="T63654" s="8"/>
      <c r="U63654" s="8"/>
      <c r="V63654" s="8"/>
      <c r="W63654" s="8"/>
      <c r="X63654" s="8"/>
      <c r="Y63654" s="8"/>
      <c r="Z63654" s="8"/>
      <c r="AA63654" s="8"/>
    </row>
    <row r="63655" spans="1:27" x14ac:dyDescent="0.25">
      <c r="A63655" s="8"/>
      <c r="B63655" s="8"/>
      <c r="C63655" s="99"/>
      <c r="D63655" s="8"/>
      <c r="E63655" s="8"/>
      <c r="F63655" s="8"/>
      <c r="G63655" s="8"/>
      <c r="H63655" s="8"/>
      <c r="I63655" s="102"/>
      <c r="J63655" s="8"/>
      <c r="K63655" s="8"/>
      <c r="L63655" s="8"/>
      <c r="M63655" s="8"/>
      <c r="N63655" s="8"/>
      <c r="O63655" s="8"/>
      <c r="P63655" s="8"/>
      <c r="Q63655" s="8"/>
      <c r="R63655" s="103"/>
      <c r="S63655" s="8"/>
      <c r="T63655" s="8"/>
      <c r="U63655" s="8"/>
      <c r="V63655" s="8"/>
      <c r="W63655" s="8"/>
      <c r="X63655" s="8"/>
      <c r="Y63655" s="8"/>
      <c r="Z63655" s="8"/>
      <c r="AA63655" s="8"/>
    </row>
    <row r="63656" spans="1:27" x14ac:dyDescent="0.25">
      <c r="A63656" s="8"/>
      <c r="B63656" s="8"/>
      <c r="C63656" s="99"/>
      <c r="D63656" s="8"/>
      <c r="E63656" s="8"/>
      <c r="F63656" s="8"/>
      <c r="G63656" s="8"/>
      <c r="H63656" s="8"/>
      <c r="I63656" s="102"/>
      <c r="J63656" s="8"/>
      <c r="K63656" s="8"/>
      <c r="L63656" s="8"/>
      <c r="M63656" s="8"/>
      <c r="N63656" s="8"/>
      <c r="O63656" s="8"/>
      <c r="P63656" s="8"/>
      <c r="Q63656" s="8"/>
      <c r="R63656" s="103"/>
      <c r="S63656" s="8"/>
      <c r="T63656" s="8"/>
      <c r="U63656" s="8"/>
      <c r="V63656" s="8"/>
      <c r="W63656" s="8"/>
      <c r="X63656" s="8"/>
      <c r="Y63656" s="8"/>
      <c r="Z63656" s="8"/>
      <c r="AA63656" s="8"/>
    </row>
    <row r="63657" spans="1:27" x14ac:dyDescent="0.25">
      <c r="A63657" s="8"/>
      <c r="B63657" s="8"/>
      <c r="C63657" s="99"/>
      <c r="D63657" s="8"/>
      <c r="E63657" s="8"/>
      <c r="F63657" s="8"/>
      <c r="G63657" s="8"/>
      <c r="H63657" s="8"/>
      <c r="I63657" s="102"/>
      <c r="J63657" s="8"/>
      <c r="K63657" s="8"/>
      <c r="L63657" s="8"/>
      <c r="M63657" s="8"/>
      <c r="N63657" s="8"/>
      <c r="O63657" s="8"/>
      <c r="P63657" s="8"/>
      <c r="Q63657" s="8"/>
      <c r="R63657" s="103"/>
      <c r="S63657" s="8"/>
      <c r="T63657" s="8"/>
      <c r="U63657" s="8"/>
      <c r="V63657" s="8"/>
      <c r="W63657" s="8"/>
      <c r="X63657" s="8"/>
      <c r="Y63657" s="8"/>
      <c r="Z63657" s="8"/>
      <c r="AA63657" s="8"/>
    </row>
    <row r="63658" spans="1:27" x14ac:dyDescent="0.25">
      <c r="A63658" s="8"/>
      <c r="B63658" s="8"/>
      <c r="C63658" s="99"/>
      <c r="D63658" s="8"/>
      <c r="E63658" s="8"/>
      <c r="F63658" s="8"/>
      <c r="G63658" s="8"/>
      <c r="H63658" s="8"/>
      <c r="I63658" s="102"/>
      <c r="J63658" s="8"/>
      <c r="K63658" s="8"/>
      <c r="L63658" s="8"/>
      <c r="M63658" s="8"/>
      <c r="N63658" s="8"/>
      <c r="O63658" s="8"/>
      <c r="P63658" s="8"/>
      <c r="Q63658" s="8"/>
      <c r="R63658" s="103"/>
      <c r="S63658" s="8"/>
      <c r="T63658" s="8"/>
      <c r="U63658" s="8"/>
      <c r="V63658" s="8"/>
      <c r="W63658" s="8"/>
      <c r="X63658" s="8"/>
      <c r="Y63658" s="8"/>
      <c r="Z63658" s="8"/>
      <c r="AA63658" s="8"/>
    </row>
    <row r="63659" spans="1:27" x14ac:dyDescent="0.25">
      <c r="A63659" s="8"/>
      <c r="B63659" s="8"/>
      <c r="C63659" s="99"/>
      <c r="D63659" s="8"/>
      <c r="E63659" s="8"/>
      <c r="F63659" s="8"/>
      <c r="G63659" s="8"/>
      <c r="H63659" s="8"/>
      <c r="I63659" s="102"/>
      <c r="J63659" s="8"/>
      <c r="K63659" s="8"/>
      <c r="L63659" s="8"/>
      <c r="M63659" s="8"/>
      <c r="N63659" s="8"/>
      <c r="O63659" s="8"/>
      <c r="P63659" s="8"/>
      <c r="Q63659" s="8"/>
      <c r="R63659" s="103"/>
      <c r="S63659" s="8"/>
      <c r="T63659" s="8"/>
      <c r="U63659" s="8"/>
      <c r="V63659" s="8"/>
      <c r="W63659" s="8"/>
      <c r="X63659" s="8"/>
      <c r="Y63659" s="8"/>
      <c r="Z63659" s="8"/>
      <c r="AA63659" s="8"/>
    </row>
    <row r="63660" spans="1:27" x14ac:dyDescent="0.25">
      <c r="A63660" s="8"/>
      <c r="B63660" s="8"/>
      <c r="C63660" s="99"/>
      <c r="D63660" s="8"/>
      <c r="E63660" s="8"/>
      <c r="F63660" s="8"/>
      <c r="G63660" s="8"/>
      <c r="H63660" s="8"/>
      <c r="I63660" s="102"/>
      <c r="J63660" s="8"/>
      <c r="K63660" s="8"/>
      <c r="L63660" s="8"/>
      <c r="M63660" s="8"/>
      <c r="N63660" s="8"/>
      <c r="O63660" s="8"/>
      <c r="P63660" s="8"/>
      <c r="Q63660" s="8"/>
      <c r="R63660" s="103"/>
      <c r="S63660" s="8"/>
      <c r="T63660" s="8"/>
      <c r="U63660" s="8"/>
      <c r="V63660" s="8"/>
      <c r="W63660" s="8"/>
      <c r="X63660" s="8"/>
      <c r="Y63660" s="8"/>
      <c r="Z63660" s="8"/>
      <c r="AA63660" s="8"/>
    </row>
    <row r="63661" spans="1:27" x14ac:dyDescent="0.25">
      <c r="A63661" s="8"/>
      <c r="B63661" s="8"/>
      <c r="C63661" s="99"/>
      <c r="D63661" s="8"/>
      <c r="E63661" s="8"/>
      <c r="F63661" s="8"/>
      <c r="G63661" s="8"/>
      <c r="H63661" s="8"/>
      <c r="I63661" s="102"/>
      <c r="J63661" s="8"/>
      <c r="K63661" s="8"/>
      <c r="L63661" s="8"/>
      <c r="M63661" s="8"/>
      <c r="N63661" s="8"/>
      <c r="O63661" s="8"/>
      <c r="P63661" s="8"/>
      <c r="Q63661" s="8"/>
      <c r="R63661" s="103"/>
      <c r="S63661" s="8"/>
      <c r="T63661" s="8"/>
      <c r="U63661" s="8"/>
      <c r="V63661" s="8"/>
      <c r="W63661" s="8"/>
      <c r="X63661" s="8"/>
      <c r="Y63661" s="8"/>
      <c r="Z63661" s="8"/>
      <c r="AA63661" s="8"/>
    </row>
    <row r="63662" spans="1:27" x14ac:dyDescent="0.25">
      <c r="A63662" s="8"/>
      <c r="B63662" s="8"/>
      <c r="C63662" s="99"/>
      <c r="D63662" s="8"/>
      <c r="E63662" s="8"/>
      <c r="F63662" s="8"/>
      <c r="G63662" s="8"/>
      <c r="H63662" s="8"/>
      <c r="I63662" s="102"/>
      <c r="J63662" s="8"/>
      <c r="K63662" s="8"/>
      <c r="L63662" s="8"/>
      <c r="M63662" s="8"/>
      <c r="N63662" s="8"/>
      <c r="O63662" s="8"/>
      <c r="P63662" s="8"/>
      <c r="Q63662" s="8"/>
      <c r="R63662" s="103"/>
      <c r="S63662" s="8"/>
      <c r="T63662" s="8"/>
      <c r="U63662" s="8"/>
      <c r="V63662" s="8"/>
      <c r="W63662" s="8"/>
      <c r="X63662" s="8"/>
      <c r="Y63662" s="8"/>
      <c r="Z63662" s="8"/>
      <c r="AA63662" s="8"/>
    </row>
    <row r="63663" spans="1:27" x14ac:dyDescent="0.25">
      <c r="A63663" s="8"/>
      <c r="B63663" s="8"/>
      <c r="C63663" s="99"/>
      <c r="D63663" s="8"/>
      <c r="E63663" s="8"/>
      <c r="F63663" s="8"/>
      <c r="G63663" s="8"/>
      <c r="H63663" s="8"/>
      <c r="I63663" s="102"/>
      <c r="J63663" s="8"/>
      <c r="K63663" s="8"/>
      <c r="L63663" s="8"/>
      <c r="M63663" s="8"/>
      <c r="N63663" s="8"/>
      <c r="O63663" s="8"/>
      <c r="P63663" s="8"/>
      <c r="Q63663" s="8"/>
      <c r="R63663" s="103"/>
      <c r="S63663" s="8"/>
      <c r="T63663" s="8"/>
      <c r="U63663" s="8"/>
      <c r="V63663" s="8"/>
      <c r="W63663" s="8"/>
      <c r="X63663" s="8"/>
      <c r="Y63663" s="8"/>
      <c r="Z63663" s="8"/>
      <c r="AA63663" s="8"/>
    </row>
    <row r="63664" spans="1:27" x14ac:dyDescent="0.25">
      <c r="A63664" s="8"/>
      <c r="B63664" s="8"/>
      <c r="C63664" s="99"/>
      <c r="D63664" s="8"/>
      <c r="E63664" s="8"/>
      <c r="F63664" s="8"/>
      <c r="G63664" s="8"/>
      <c r="H63664" s="8"/>
      <c r="I63664" s="102"/>
      <c r="J63664" s="8"/>
      <c r="K63664" s="8"/>
      <c r="L63664" s="8"/>
      <c r="M63664" s="8"/>
      <c r="N63664" s="8"/>
      <c r="O63664" s="8"/>
      <c r="P63664" s="8"/>
      <c r="Q63664" s="8"/>
      <c r="R63664" s="103"/>
      <c r="S63664" s="8"/>
      <c r="T63664" s="8"/>
      <c r="U63664" s="8"/>
      <c r="V63664" s="8"/>
      <c r="W63664" s="8"/>
      <c r="X63664" s="8"/>
      <c r="Y63664" s="8"/>
      <c r="Z63664" s="8"/>
      <c r="AA63664" s="8"/>
    </row>
    <row r="63665" spans="1:27" x14ac:dyDescent="0.25">
      <c r="A63665" s="8"/>
      <c r="B63665" s="8"/>
      <c r="C63665" s="99"/>
      <c r="D63665" s="8"/>
      <c r="E63665" s="8"/>
      <c r="F63665" s="8"/>
      <c r="G63665" s="8"/>
      <c r="H63665" s="8"/>
      <c r="I63665" s="102"/>
      <c r="J63665" s="8"/>
      <c r="K63665" s="8"/>
      <c r="L63665" s="8"/>
      <c r="M63665" s="8"/>
      <c r="N63665" s="8"/>
      <c r="O63665" s="8"/>
      <c r="P63665" s="8"/>
      <c r="Q63665" s="8"/>
      <c r="R63665" s="103"/>
      <c r="S63665" s="8"/>
      <c r="T63665" s="8"/>
      <c r="U63665" s="8"/>
      <c r="V63665" s="8"/>
      <c r="W63665" s="8"/>
      <c r="X63665" s="8"/>
      <c r="Y63665" s="8"/>
      <c r="Z63665" s="8"/>
      <c r="AA63665" s="8"/>
    </row>
    <row r="63666" spans="1:27" x14ac:dyDescent="0.25">
      <c r="A63666" s="8"/>
      <c r="B63666" s="8"/>
      <c r="C63666" s="99"/>
      <c r="D63666" s="8"/>
      <c r="E63666" s="8"/>
      <c r="F63666" s="8"/>
      <c r="G63666" s="8"/>
      <c r="H63666" s="8"/>
      <c r="I63666" s="102"/>
      <c r="J63666" s="8"/>
      <c r="K63666" s="8"/>
      <c r="L63666" s="8"/>
      <c r="M63666" s="8"/>
      <c r="N63666" s="8"/>
      <c r="O63666" s="8"/>
      <c r="P63666" s="8"/>
      <c r="Q63666" s="8"/>
      <c r="R63666" s="103"/>
      <c r="S63666" s="8"/>
      <c r="T63666" s="8"/>
      <c r="U63666" s="8"/>
      <c r="V63666" s="8"/>
      <c r="W63666" s="8"/>
      <c r="X63666" s="8"/>
      <c r="Y63666" s="8"/>
      <c r="Z63666" s="8"/>
      <c r="AA63666" s="8"/>
    </row>
    <row r="63667" spans="1:27" x14ac:dyDescent="0.25">
      <c r="A63667" s="8"/>
      <c r="B63667" s="8"/>
      <c r="C63667" s="99"/>
      <c r="D63667" s="8"/>
      <c r="E63667" s="8"/>
      <c r="F63667" s="8"/>
      <c r="G63667" s="8"/>
      <c r="H63667" s="8"/>
      <c r="I63667" s="102"/>
      <c r="J63667" s="8"/>
      <c r="K63667" s="8"/>
      <c r="L63667" s="8"/>
      <c r="M63667" s="8"/>
      <c r="N63667" s="8"/>
      <c r="O63667" s="8"/>
      <c r="P63667" s="8"/>
      <c r="Q63667" s="8"/>
      <c r="R63667" s="103"/>
      <c r="S63667" s="8"/>
      <c r="T63667" s="8"/>
      <c r="U63667" s="8"/>
      <c r="V63667" s="8"/>
      <c r="W63667" s="8"/>
      <c r="X63667" s="8"/>
      <c r="Y63667" s="8"/>
      <c r="Z63667" s="8"/>
      <c r="AA63667" s="8"/>
    </row>
    <row r="63668" spans="1:27" x14ac:dyDescent="0.25">
      <c r="A63668" s="8"/>
      <c r="B63668" s="8"/>
      <c r="C63668" s="99"/>
      <c r="D63668" s="8"/>
      <c r="E63668" s="8"/>
      <c r="F63668" s="8"/>
      <c r="G63668" s="8"/>
      <c r="H63668" s="8"/>
      <c r="I63668" s="102"/>
      <c r="J63668" s="8"/>
      <c r="K63668" s="8"/>
      <c r="L63668" s="8"/>
      <c r="M63668" s="8"/>
      <c r="N63668" s="8"/>
      <c r="O63668" s="8"/>
      <c r="P63668" s="8"/>
      <c r="Q63668" s="8"/>
      <c r="R63668" s="103"/>
      <c r="S63668" s="8"/>
      <c r="T63668" s="8"/>
      <c r="U63668" s="8"/>
      <c r="V63668" s="8"/>
      <c r="W63668" s="8"/>
      <c r="X63668" s="8"/>
      <c r="Y63668" s="8"/>
      <c r="Z63668" s="8"/>
      <c r="AA63668" s="8"/>
    </row>
    <row r="63669" spans="1:27" x14ac:dyDescent="0.25">
      <c r="A63669" s="8"/>
      <c r="B63669" s="8"/>
      <c r="C63669" s="99"/>
      <c r="D63669" s="8"/>
      <c r="E63669" s="8"/>
      <c r="F63669" s="8"/>
      <c r="G63669" s="8"/>
      <c r="H63669" s="8"/>
      <c r="I63669" s="102"/>
      <c r="J63669" s="8"/>
      <c r="K63669" s="8"/>
      <c r="L63669" s="8"/>
      <c r="M63669" s="8"/>
      <c r="N63669" s="8"/>
      <c r="O63669" s="8"/>
      <c r="P63669" s="8"/>
      <c r="Q63669" s="8"/>
      <c r="R63669" s="103"/>
      <c r="S63669" s="8"/>
      <c r="T63669" s="8"/>
      <c r="U63669" s="8"/>
      <c r="V63669" s="8"/>
      <c r="W63669" s="8"/>
      <c r="X63669" s="8"/>
      <c r="Y63669" s="8"/>
      <c r="Z63669" s="8"/>
      <c r="AA63669" s="8"/>
    </row>
    <row r="63670" spans="1:27" x14ac:dyDescent="0.25">
      <c r="A63670" s="8"/>
      <c r="B63670" s="8"/>
      <c r="C63670" s="99"/>
      <c r="D63670" s="8"/>
      <c r="E63670" s="8"/>
      <c r="F63670" s="8"/>
      <c r="G63670" s="8"/>
      <c r="H63670" s="8"/>
      <c r="I63670" s="102"/>
      <c r="J63670" s="8"/>
      <c r="K63670" s="8"/>
      <c r="L63670" s="8"/>
      <c r="M63670" s="8"/>
      <c r="N63670" s="8"/>
      <c r="O63670" s="8"/>
      <c r="P63670" s="8"/>
      <c r="Q63670" s="8"/>
      <c r="R63670" s="103"/>
      <c r="S63670" s="8"/>
      <c r="T63670" s="8"/>
      <c r="U63670" s="8"/>
      <c r="V63670" s="8"/>
      <c r="W63670" s="8"/>
      <c r="X63670" s="8"/>
      <c r="Y63670" s="8"/>
      <c r="Z63670" s="8"/>
      <c r="AA63670" s="8"/>
    </row>
    <row r="63671" spans="1:27" x14ac:dyDescent="0.25">
      <c r="A63671" s="8"/>
      <c r="B63671" s="8"/>
      <c r="C63671" s="99"/>
      <c r="D63671" s="8"/>
      <c r="E63671" s="8"/>
      <c r="F63671" s="8"/>
      <c r="G63671" s="8"/>
      <c r="H63671" s="8"/>
      <c r="I63671" s="102"/>
      <c r="J63671" s="8"/>
      <c r="K63671" s="8"/>
      <c r="L63671" s="8"/>
      <c r="M63671" s="8"/>
      <c r="N63671" s="8"/>
      <c r="O63671" s="8"/>
      <c r="P63671" s="8"/>
      <c r="Q63671" s="8"/>
      <c r="R63671" s="103"/>
      <c r="S63671" s="8"/>
      <c r="T63671" s="8"/>
      <c r="U63671" s="8"/>
      <c r="V63671" s="8"/>
      <c r="W63671" s="8"/>
      <c r="X63671" s="8"/>
      <c r="Y63671" s="8"/>
      <c r="Z63671" s="8"/>
      <c r="AA63671" s="8"/>
    </row>
    <row r="63672" spans="1:27" x14ac:dyDescent="0.25">
      <c r="A63672" s="8"/>
      <c r="B63672" s="8"/>
      <c r="C63672" s="99"/>
      <c r="D63672" s="8"/>
      <c r="E63672" s="8"/>
      <c r="F63672" s="8"/>
      <c r="G63672" s="8"/>
      <c r="H63672" s="8"/>
      <c r="I63672" s="102"/>
      <c r="J63672" s="8"/>
      <c r="K63672" s="8"/>
      <c r="L63672" s="8"/>
      <c r="M63672" s="8"/>
      <c r="N63672" s="8"/>
      <c r="O63672" s="8"/>
      <c r="P63672" s="8"/>
      <c r="Q63672" s="8"/>
      <c r="R63672" s="103"/>
      <c r="S63672" s="8"/>
      <c r="T63672" s="8"/>
      <c r="U63672" s="8"/>
      <c r="V63672" s="8"/>
      <c r="W63672" s="8"/>
      <c r="X63672" s="8"/>
      <c r="Y63672" s="8"/>
      <c r="Z63672" s="8"/>
      <c r="AA63672" s="8"/>
    </row>
    <row r="63673" spans="1:27" x14ac:dyDescent="0.25">
      <c r="A63673" s="8"/>
      <c r="B63673" s="8"/>
      <c r="C63673" s="99"/>
      <c r="D63673" s="8"/>
      <c r="E63673" s="8"/>
      <c r="F63673" s="8"/>
      <c r="G63673" s="8"/>
      <c r="H63673" s="8"/>
      <c r="I63673" s="102"/>
      <c r="J63673" s="8"/>
      <c r="K63673" s="8"/>
      <c r="L63673" s="8"/>
      <c r="M63673" s="8"/>
      <c r="N63673" s="8"/>
      <c r="O63673" s="8"/>
      <c r="P63673" s="8"/>
      <c r="Q63673" s="8"/>
      <c r="R63673" s="103"/>
      <c r="S63673" s="8"/>
      <c r="T63673" s="8"/>
      <c r="U63673" s="8"/>
      <c r="V63673" s="8"/>
      <c r="W63673" s="8"/>
      <c r="X63673" s="8"/>
      <c r="Y63673" s="8"/>
      <c r="Z63673" s="8"/>
      <c r="AA63673" s="8"/>
    </row>
    <row r="63674" spans="1:27" x14ac:dyDescent="0.25">
      <c r="A63674" s="8"/>
      <c r="B63674" s="8"/>
      <c r="C63674" s="99"/>
      <c r="D63674" s="8"/>
      <c r="E63674" s="8"/>
      <c r="F63674" s="8"/>
      <c r="G63674" s="8"/>
      <c r="H63674" s="8"/>
      <c r="I63674" s="102"/>
      <c r="J63674" s="8"/>
      <c r="K63674" s="8"/>
      <c r="L63674" s="8"/>
      <c r="M63674" s="8"/>
      <c r="N63674" s="8"/>
      <c r="O63674" s="8"/>
      <c r="P63674" s="8"/>
      <c r="Q63674" s="8"/>
      <c r="R63674" s="103"/>
      <c r="S63674" s="8"/>
      <c r="T63674" s="8"/>
      <c r="U63674" s="8"/>
      <c r="V63674" s="8"/>
      <c r="W63674" s="8"/>
      <c r="X63674" s="8"/>
      <c r="Y63674" s="8"/>
      <c r="Z63674" s="8"/>
      <c r="AA63674" s="8"/>
    </row>
    <row r="63675" spans="1:27" x14ac:dyDescent="0.25">
      <c r="A63675" s="8"/>
      <c r="B63675" s="8"/>
      <c r="C63675" s="99"/>
      <c r="D63675" s="8"/>
      <c r="E63675" s="8"/>
      <c r="F63675" s="8"/>
      <c r="G63675" s="8"/>
      <c r="H63675" s="8"/>
      <c r="I63675" s="102"/>
      <c r="J63675" s="8"/>
      <c r="K63675" s="8"/>
      <c r="L63675" s="8"/>
      <c r="M63675" s="8"/>
      <c r="N63675" s="8"/>
      <c r="O63675" s="8"/>
      <c r="P63675" s="8"/>
      <c r="Q63675" s="8"/>
      <c r="R63675" s="103"/>
      <c r="S63675" s="8"/>
      <c r="T63675" s="8"/>
      <c r="U63675" s="8"/>
      <c r="V63675" s="8"/>
      <c r="W63675" s="8"/>
      <c r="X63675" s="8"/>
      <c r="Y63675" s="8"/>
      <c r="Z63675" s="8"/>
      <c r="AA63675" s="8"/>
    </row>
    <row r="63676" spans="1:27" x14ac:dyDescent="0.25">
      <c r="A63676" s="8"/>
      <c r="B63676" s="8"/>
      <c r="C63676" s="99"/>
      <c r="D63676" s="8"/>
      <c r="E63676" s="8"/>
      <c r="F63676" s="8"/>
      <c r="G63676" s="8"/>
      <c r="H63676" s="8"/>
      <c r="I63676" s="102"/>
      <c r="J63676" s="8"/>
      <c r="K63676" s="8"/>
      <c r="L63676" s="8"/>
      <c r="M63676" s="8"/>
      <c r="N63676" s="8"/>
      <c r="O63676" s="8"/>
      <c r="P63676" s="8"/>
      <c r="Q63676" s="8"/>
      <c r="R63676" s="103"/>
      <c r="S63676" s="8"/>
      <c r="T63676" s="8"/>
      <c r="U63676" s="8"/>
      <c r="V63676" s="8"/>
      <c r="W63676" s="8"/>
      <c r="X63676" s="8"/>
      <c r="Y63676" s="8"/>
      <c r="Z63676" s="8"/>
      <c r="AA63676" s="8"/>
    </row>
    <row r="63677" spans="1:27" x14ac:dyDescent="0.25">
      <c r="A63677" s="8"/>
      <c r="B63677" s="8"/>
      <c r="C63677" s="99"/>
      <c r="D63677" s="8"/>
      <c r="E63677" s="8"/>
      <c r="F63677" s="8"/>
      <c r="G63677" s="8"/>
      <c r="H63677" s="8"/>
      <c r="I63677" s="102"/>
      <c r="J63677" s="8"/>
      <c r="K63677" s="8"/>
      <c r="L63677" s="8"/>
      <c r="M63677" s="8"/>
      <c r="N63677" s="8"/>
      <c r="O63677" s="8"/>
      <c r="P63677" s="8"/>
      <c r="Q63677" s="8"/>
      <c r="R63677" s="103"/>
      <c r="S63677" s="8"/>
      <c r="T63677" s="8"/>
      <c r="U63677" s="8"/>
      <c r="V63677" s="8"/>
      <c r="W63677" s="8"/>
      <c r="X63677" s="8"/>
      <c r="Y63677" s="8"/>
      <c r="Z63677" s="8"/>
      <c r="AA63677" s="8"/>
    </row>
    <row r="63678" spans="1:27" x14ac:dyDescent="0.25">
      <c r="A63678" s="8"/>
      <c r="B63678" s="8"/>
      <c r="C63678" s="99"/>
      <c r="D63678" s="8"/>
      <c r="E63678" s="8"/>
      <c r="F63678" s="8"/>
      <c r="G63678" s="8"/>
      <c r="H63678" s="8"/>
      <c r="I63678" s="102"/>
      <c r="J63678" s="8"/>
      <c r="K63678" s="8"/>
      <c r="L63678" s="8"/>
      <c r="M63678" s="8"/>
      <c r="N63678" s="8"/>
      <c r="O63678" s="8"/>
      <c r="P63678" s="8"/>
      <c r="Q63678" s="8"/>
      <c r="R63678" s="103"/>
      <c r="S63678" s="8"/>
      <c r="T63678" s="8"/>
      <c r="U63678" s="8"/>
      <c r="V63678" s="8"/>
      <c r="W63678" s="8"/>
      <c r="X63678" s="8"/>
      <c r="Y63678" s="8"/>
      <c r="Z63678" s="8"/>
      <c r="AA63678" s="8"/>
    </row>
    <row r="63679" spans="1:27" x14ac:dyDescent="0.25">
      <c r="A63679" s="8"/>
      <c r="B63679" s="8"/>
      <c r="C63679" s="99"/>
      <c r="D63679" s="8"/>
      <c r="E63679" s="8"/>
      <c r="F63679" s="8"/>
      <c r="G63679" s="8"/>
      <c r="H63679" s="8"/>
      <c r="I63679" s="102"/>
      <c r="J63679" s="8"/>
      <c r="K63679" s="8"/>
      <c r="L63679" s="8"/>
      <c r="M63679" s="8"/>
      <c r="N63679" s="8"/>
      <c r="O63679" s="8"/>
      <c r="P63679" s="8"/>
      <c r="Q63679" s="8"/>
      <c r="R63679" s="103"/>
      <c r="S63679" s="8"/>
      <c r="T63679" s="8"/>
      <c r="U63679" s="8"/>
      <c r="V63679" s="8"/>
      <c r="W63679" s="8"/>
      <c r="X63679" s="8"/>
      <c r="Y63679" s="8"/>
      <c r="Z63679" s="8"/>
      <c r="AA63679" s="8"/>
    </row>
    <row r="63680" spans="1:27" x14ac:dyDescent="0.25">
      <c r="A63680" s="8"/>
      <c r="B63680" s="8"/>
      <c r="C63680" s="99"/>
      <c r="D63680" s="8"/>
      <c r="E63680" s="8"/>
      <c r="F63680" s="8"/>
      <c r="G63680" s="8"/>
      <c r="H63680" s="8"/>
      <c r="I63680" s="102"/>
      <c r="J63680" s="8"/>
      <c r="K63680" s="8"/>
      <c r="L63680" s="8"/>
      <c r="M63680" s="8"/>
      <c r="N63680" s="8"/>
      <c r="O63680" s="8"/>
      <c r="P63680" s="8"/>
      <c r="Q63680" s="8"/>
      <c r="R63680" s="103"/>
      <c r="S63680" s="8"/>
      <c r="T63680" s="8"/>
      <c r="U63680" s="8"/>
      <c r="V63680" s="8"/>
      <c r="W63680" s="8"/>
      <c r="X63680" s="8"/>
      <c r="Y63680" s="8"/>
      <c r="Z63680" s="8"/>
      <c r="AA63680" s="8"/>
    </row>
    <row r="63681" spans="1:27" x14ac:dyDescent="0.25">
      <c r="A63681" s="8"/>
      <c r="B63681" s="8"/>
      <c r="C63681" s="99"/>
      <c r="D63681" s="8"/>
      <c r="E63681" s="8"/>
      <c r="F63681" s="8"/>
      <c r="G63681" s="8"/>
      <c r="H63681" s="8"/>
      <c r="I63681" s="102"/>
      <c r="J63681" s="8"/>
      <c r="K63681" s="8"/>
      <c r="L63681" s="8"/>
      <c r="M63681" s="8"/>
      <c r="N63681" s="8"/>
      <c r="O63681" s="8"/>
      <c r="P63681" s="8"/>
      <c r="Q63681" s="8"/>
      <c r="R63681" s="103"/>
      <c r="S63681" s="8"/>
      <c r="T63681" s="8"/>
      <c r="U63681" s="8"/>
      <c r="V63681" s="8"/>
      <c r="W63681" s="8"/>
      <c r="X63681" s="8"/>
      <c r="Y63681" s="8"/>
      <c r="Z63681" s="8"/>
      <c r="AA63681" s="8"/>
    </row>
    <row r="63682" spans="1:27" x14ac:dyDescent="0.25">
      <c r="A63682" s="8"/>
      <c r="B63682" s="8"/>
      <c r="C63682" s="99"/>
      <c r="D63682" s="8"/>
      <c r="E63682" s="8"/>
      <c r="F63682" s="8"/>
      <c r="G63682" s="8"/>
      <c r="H63682" s="8"/>
      <c r="I63682" s="102"/>
      <c r="J63682" s="8"/>
      <c r="K63682" s="8"/>
      <c r="L63682" s="8"/>
      <c r="M63682" s="8"/>
      <c r="N63682" s="8"/>
      <c r="O63682" s="8"/>
      <c r="P63682" s="8"/>
      <c r="Q63682" s="8"/>
      <c r="R63682" s="103"/>
      <c r="S63682" s="8"/>
      <c r="T63682" s="8"/>
      <c r="U63682" s="8"/>
      <c r="V63682" s="8"/>
      <c r="W63682" s="8"/>
      <c r="X63682" s="8"/>
      <c r="Y63682" s="8"/>
      <c r="Z63682" s="8"/>
      <c r="AA63682" s="8"/>
    </row>
    <row r="63683" spans="1:27" x14ac:dyDescent="0.25">
      <c r="A63683" s="8"/>
      <c r="B63683" s="8"/>
      <c r="C63683" s="99"/>
      <c r="D63683" s="8"/>
      <c r="E63683" s="8"/>
      <c r="F63683" s="8"/>
      <c r="G63683" s="8"/>
      <c r="H63683" s="8"/>
      <c r="I63683" s="102"/>
      <c r="J63683" s="8"/>
      <c r="K63683" s="8"/>
      <c r="L63683" s="8"/>
      <c r="M63683" s="8"/>
      <c r="N63683" s="8"/>
      <c r="O63683" s="8"/>
      <c r="P63683" s="8"/>
      <c r="Q63683" s="8"/>
      <c r="R63683" s="103"/>
      <c r="S63683" s="8"/>
      <c r="T63683" s="8"/>
      <c r="U63683" s="8"/>
      <c r="V63683" s="8"/>
      <c r="W63683" s="8"/>
      <c r="X63683" s="8"/>
      <c r="Y63683" s="8"/>
      <c r="Z63683" s="8"/>
      <c r="AA63683" s="8"/>
    </row>
    <row r="63684" spans="1:27" x14ac:dyDescent="0.25">
      <c r="A63684" s="8"/>
      <c r="B63684" s="8"/>
      <c r="C63684" s="99"/>
      <c r="D63684" s="8"/>
      <c r="E63684" s="8"/>
      <c r="F63684" s="8"/>
      <c r="G63684" s="8"/>
      <c r="H63684" s="8"/>
      <c r="I63684" s="102"/>
      <c r="J63684" s="8"/>
      <c r="K63684" s="8"/>
      <c r="L63684" s="8"/>
      <c r="M63684" s="8"/>
      <c r="N63684" s="8"/>
      <c r="O63684" s="8"/>
      <c r="P63684" s="8"/>
      <c r="Q63684" s="8"/>
      <c r="R63684" s="103"/>
      <c r="S63684" s="8"/>
      <c r="T63684" s="8"/>
      <c r="U63684" s="8"/>
      <c r="V63684" s="8"/>
      <c r="W63684" s="8"/>
      <c r="X63684" s="8"/>
      <c r="Y63684" s="8"/>
      <c r="Z63684" s="8"/>
      <c r="AA63684" s="8"/>
    </row>
    <row r="63685" spans="1:27" x14ac:dyDescent="0.25">
      <c r="A63685" s="8"/>
      <c r="B63685" s="8"/>
      <c r="C63685" s="99"/>
      <c r="D63685" s="8"/>
      <c r="E63685" s="8"/>
      <c r="F63685" s="8"/>
      <c r="G63685" s="8"/>
      <c r="H63685" s="8"/>
      <c r="I63685" s="102"/>
      <c r="J63685" s="8"/>
      <c r="K63685" s="8"/>
      <c r="L63685" s="8"/>
      <c r="M63685" s="8"/>
      <c r="N63685" s="8"/>
      <c r="O63685" s="8"/>
      <c r="P63685" s="8"/>
      <c r="Q63685" s="8"/>
      <c r="R63685" s="103"/>
      <c r="S63685" s="8"/>
      <c r="T63685" s="8"/>
      <c r="U63685" s="8"/>
      <c r="V63685" s="8"/>
      <c r="W63685" s="8"/>
      <c r="X63685" s="8"/>
      <c r="Y63685" s="8"/>
      <c r="Z63685" s="8"/>
      <c r="AA63685" s="8"/>
    </row>
    <row r="63686" spans="1:27" x14ac:dyDescent="0.25">
      <c r="A63686" s="8"/>
      <c r="B63686" s="8"/>
      <c r="C63686" s="99"/>
      <c r="D63686" s="8"/>
      <c r="E63686" s="8"/>
      <c r="F63686" s="8"/>
      <c r="G63686" s="8"/>
      <c r="H63686" s="8"/>
      <c r="I63686" s="102"/>
      <c r="J63686" s="8"/>
      <c r="K63686" s="8"/>
      <c r="L63686" s="8"/>
      <c r="M63686" s="8"/>
      <c r="N63686" s="8"/>
      <c r="O63686" s="8"/>
      <c r="P63686" s="8"/>
      <c r="Q63686" s="8"/>
      <c r="R63686" s="103"/>
      <c r="S63686" s="8"/>
      <c r="T63686" s="8"/>
      <c r="U63686" s="8"/>
      <c r="V63686" s="8"/>
      <c r="W63686" s="8"/>
      <c r="X63686" s="8"/>
      <c r="Y63686" s="8"/>
      <c r="Z63686" s="8"/>
      <c r="AA63686" s="8"/>
    </row>
    <row r="63687" spans="1:27" x14ac:dyDescent="0.25">
      <c r="A63687" s="8"/>
      <c r="B63687" s="8"/>
      <c r="C63687" s="99"/>
      <c r="D63687" s="8"/>
      <c r="E63687" s="8"/>
      <c r="F63687" s="8"/>
      <c r="G63687" s="8"/>
      <c r="H63687" s="8"/>
      <c r="I63687" s="102"/>
      <c r="J63687" s="8"/>
      <c r="K63687" s="8"/>
      <c r="L63687" s="8"/>
      <c r="M63687" s="8"/>
      <c r="N63687" s="8"/>
      <c r="O63687" s="8"/>
      <c r="P63687" s="8"/>
      <c r="Q63687" s="8"/>
      <c r="R63687" s="103"/>
      <c r="S63687" s="8"/>
      <c r="T63687" s="8"/>
      <c r="U63687" s="8"/>
      <c r="V63687" s="8"/>
      <c r="W63687" s="8"/>
      <c r="X63687" s="8"/>
      <c r="Y63687" s="8"/>
      <c r="Z63687" s="8"/>
      <c r="AA63687" s="8"/>
    </row>
    <row r="63688" spans="1:27" x14ac:dyDescent="0.25">
      <c r="A63688" s="8"/>
      <c r="B63688" s="8"/>
      <c r="C63688" s="99"/>
      <c r="D63688" s="8"/>
      <c r="E63688" s="8"/>
      <c r="F63688" s="8"/>
      <c r="G63688" s="8"/>
      <c r="H63688" s="8"/>
      <c r="I63688" s="102"/>
      <c r="J63688" s="8"/>
      <c r="K63688" s="8"/>
      <c r="L63688" s="8"/>
      <c r="M63688" s="8"/>
      <c r="N63688" s="8"/>
      <c r="O63688" s="8"/>
      <c r="P63688" s="8"/>
      <c r="Q63688" s="8"/>
      <c r="R63688" s="103"/>
      <c r="S63688" s="8"/>
      <c r="T63688" s="8"/>
      <c r="U63688" s="8"/>
      <c r="V63688" s="8"/>
      <c r="W63688" s="8"/>
      <c r="X63688" s="8"/>
      <c r="Y63688" s="8"/>
      <c r="Z63688" s="8"/>
      <c r="AA63688" s="8"/>
    </row>
    <row r="63689" spans="1:27" x14ac:dyDescent="0.25">
      <c r="A63689" s="8"/>
      <c r="B63689" s="8"/>
      <c r="C63689" s="99"/>
      <c r="D63689" s="8"/>
      <c r="E63689" s="8"/>
      <c r="F63689" s="8"/>
      <c r="G63689" s="8"/>
      <c r="H63689" s="8"/>
      <c r="I63689" s="102"/>
      <c r="J63689" s="8"/>
      <c r="K63689" s="8"/>
      <c r="L63689" s="8"/>
      <c r="M63689" s="8"/>
      <c r="N63689" s="8"/>
      <c r="O63689" s="8"/>
      <c r="P63689" s="8"/>
      <c r="Q63689" s="8"/>
      <c r="R63689" s="103"/>
      <c r="S63689" s="8"/>
      <c r="T63689" s="8"/>
      <c r="U63689" s="8"/>
      <c r="V63689" s="8"/>
      <c r="W63689" s="8"/>
      <c r="X63689" s="8"/>
      <c r="Y63689" s="8"/>
      <c r="Z63689" s="8"/>
      <c r="AA63689" s="8"/>
    </row>
    <row r="63690" spans="1:27" x14ac:dyDescent="0.25">
      <c r="A63690" s="8"/>
      <c r="B63690" s="8"/>
      <c r="C63690" s="99"/>
      <c r="D63690" s="8"/>
      <c r="E63690" s="8"/>
      <c r="F63690" s="8"/>
      <c r="G63690" s="8"/>
      <c r="H63690" s="8"/>
      <c r="I63690" s="102"/>
      <c r="J63690" s="8"/>
      <c r="K63690" s="8"/>
      <c r="L63690" s="8"/>
      <c r="M63690" s="8"/>
      <c r="N63690" s="8"/>
      <c r="O63690" s="8"/>
      <c r="P63690" s="8"/>
      <c r="Q63690" s="8"/>
      <c r="R63690" s="103"/>
      <c r="S63690" s="8"/>
      <c r="T63690" s="8"/>
      <c r="U63690" s="8"/>
      <c r="V63690" s="8"/>
      <c r="W63690" s="8"/>
      <c r="X63690" s="8"/>
      <c r="Y63690" s="8"/>
      <c r="Z63690" s="8"/>
      <c r="AA63690" s="8"/>
    </row>
    <row r="63691" spans="1:27" x14ac:dyDescent="0.25">
      <c r="A63691" s="8"/>
      <c r="B63691" s="8"/>
      <c r="C63691" s="99"/>
      <c r="D63691" s="8"/>
      <c r="E63691" s="8"/>
      <c r="F63691" s="8"/>
      <c r="G63691" s="8"/>
      <c r="H63691" s="8"/>
      <c r="I63691" s="102"/>
      <c r="J63691" s="8"/>
      <c r="K63691" s="8"/>
      <c r="L63691" s="8"/>
      <c r="M63691" s="8"/>
      <c r="N63691" s="8"/>
      <c r="O63691" s="8"/>
      <c r="P63691" s="8"/>
      <c r="Q63691" s="8"/>
      <c r="R63691" s="103"/>
      <c r="S63691" s="8"/>
      <c r="T63691" s="8"/>
      <c r="U63691" s="8"/>
      <c r="V63691" s="8"/>
      <c r="W63691" s="8"/>
      <c r="X63691" s="8"/>
      <c r="Y63691" s="8"/>
      <c r="Z63691" s="8"/>
      <c r="AA63691" s="8"/>
    </row>
    <row r="63692" spans="1:27" x14ac:dyDescent="0.25">
      <c r="A63692" s="8"/>
      <c r="B63692" s="8"/>
      <c r="C63692" s="99"/>
      <c r="D63692" s="8"/>
      <c r="E63692" s="8"/>
      <c r="F63692" s="8"/>
      <c r="G63692" s="8"/>
      <c r="H63692" s="8"/>
      <c r="I63692" s="102"/>
      <c r="J63692" s="8"/>
      <c r="K63692" s="8"/>
      <c r="L63692" s="8"/>
      <c r="M63692" s="8"/>
      <c r="N63692" s="8"/>
      <c r="O63692" s="8"/>
      <c r="P63692" s="8"/>
      <c r="Q63692" s="8"/>
      <c r="R63692" s="103"/>
      <c r="S63692" s="8"/>
      <c r="T63692" s="8"/>
      <c r="U63692" s="8"/>
      <c r="V63692" s="8"/>
      <c r="W63692" s="8"/>
      <c r="X63692" s="8"/>
      <c r="Y63692" s="8"/>
      <c r="Z63692" s="8"/>
      <c r="AA63692" s="8"/>
    </row>
    <row r="63693" spans="1:27" x14ac:dyDescent="0.25">
      <c r="A63693" s="8"/>
      <c r="B63693" s="8"/>
      <c r="C63693" s="99"/>
      <c r="D63693" s="8"/>
      <c r="E63693" s="8"/>
      <c r="F63693" s="8"/>
      <c r="G63693" s="8"/>
      <c r="H63693" s="8"/>
      <c r="I63693" s="102"/>
      <c r="J63693" s="8"/>
      <c r="K63693" s="8"/>
      <c r="L63693" s="8"/>
      <c r="M63693" s="8"/>
      <c r="N63693" s="8"/>
      <c r="O63693" s="8"/>
      <c r="P63693" s="8"/>
      <c r="Q63693" s="8"/>
      <c r="R63693" s="103"/>
      <c r="S63693" s="8"/>
      <c r="T63693" s="8"/>
      <c r="U63693" s="8"/>
      <c r="V63693" s="8"/>
      <c r="W63693" s="8"/>
      <c r="X63693" s="8"/>
      <c r="Y63693" s="8"/>
      <c r="Z63693" s="8"/>
      <c r="AA63693" s="8"/>
    </row>
    <row r="63694" spans="1:27" x14ac:dyDescent="0.25">
      <c r="A63694" s="8"/>
      <c r="B63694" s="8"/>
      <c r="C63694" s="99"/>
      <c r="D63694" s="8"/>
      <c r="E63694" s="8"/>
      <c r="F63694" s="8"/>
      <c r="G63694" s="8"/>
      <c r="H63694" s="8"/>
      <c r="I63694" s="102"/>
      <c r="J63694" s="8"/>
      <c r="K63694" s="8"/>
      <c r="L63694" s="8"/>
      <c r="M63694" s="8"/>
      <c r="N63694" s="8"/>
      <c r="O63694" s="8"/>
      <c r="P63694" s="8"/>
      <c r="Q63694" s="8"/>
      <c r="R63694" s="103"/>
      <c r="S63694" s="8"/>
      <c r="T63694" s="8"/>
      <c r="U63694" s="8"/>
      <c r="V63694" s="8"/>
      <c r="W63694" s="8"/>
      <c r="X63694" s="8"/>
      <c r="Y63694" s="8"/>
      <c r="Z63694" s="8"/>
      <c r="AA63694" s="8"/>
    </row>
    <row r="63695" spans="1:27" x14ac:dyDescent="0.25">
      <c r="A63695" s="8"/>
      <c r="B63695" s="8"/>
      <c r="C63695" s="99"/>
      <c r="D63695" s="8"/>
      <c r="E63695" s="8"/>
      <c r="F63695" s="8"/>
      <c r="G63695" s="8"/>
      <c r="H63695" s="8"/>
      <c r="I63695" s="102"/>
      <c r="J63695" s="8"/>
      <c r="K63695" s="8"/>
      <c r="L63695" s="8"/>
      <c r="M63695" s="8"/>
      <c r="N63695" s="8"/>
      <c r="O63695" s="8"/>
      <c r="P63695" s="8"/>
      <c r="Q63695" s="8"/>
      <c r="R63695" s="103"/>
      <c r="S63695" s="8"/>
      <c r="T63695" s="8"/>
      <c r="U63695" s="8"/>
      <c r="V63695" s="8"/>
      <c r="W63695" s="8"/>
      <c r="X63695" s="8"/>
      <c r="Y63695" s="8"/>
      <c r="Z63695" s="8"/>
      <c r="AA63695" s="8"/>
    </row>
    <row r="63696" spans="1:27" x14ac:dyDescent="0.25">
      <c r="A63696" s="8"/>
      <c r="B63696" s="8"/>
      <c r="C63696" s="99"/>
      <c r="D63696" s="8"/>
      <c r="E63696" s="8"/>
      <c r="F63696" s="8"/>
      <c r="G63696" s="8"/>
      <c r="H63696" s="8"/>
      <c r="I63696" s="102"/>
      <c r="J63696" s="8"/>
      <c r="K63696" s="8"/>
      <c r="L63696" s="8"/>
      <c r="M63696" s="8"/>
      <c r="N63696" s="8"/>
      <c r="O63696" s="8"/>
      <c r="P63696" s="8"/>
      <c r="Q63696" s="8"/>
      <c r="R63696" s="103"/>
      <c r="S63696" s="8"/>
      <c r="T63696" s="8"/>
      <c r="U63696" s="8"/>
      <c r="V63696" s="8"/>
      <c r="W63696" s="8"/>
      <c r="X63696" s="8"/>
      <c r="Y63696" s="8"/>
      <c r="Z63696" s="8"/>
      <c r="AA63696" s="8"/>
    </row>
    <row r="63697" spans="1:27" x14ac:dyDescent="0.25">
      <c r="A63697" s="8"/>
      <c r="B63697" s="8"/>
      <c r="C63697" s="99"/>
      <c r="D63697" s="8"/>
      <c r="E63697" s="8"/>
      <c r="F63697" s="8"/>
      <c r="G63697" s="8"/>
      <c r="H63697" s="8"/>
      <c r="I63697" s="102"/>
      <c r="J63697" s="8"/>
      <c r="K63697" s="8"/>
      <c r="L63697" s="8"/>
      <c r="M63697" s="8"/>
      <c r="N63697" s="8"/>
      <c r="O63697" s="8"/>
      <c r="P63697" s="8"/>
      <c r="Q63697" s="8"/>
      <c r="R63697" s="103"/>
      <c r="S63697" s="8"/>
      <c r="T63697" s="8"/>
      <c r="U63697" s="8"/>
      <c r="V63697" s="8"/>
      <c r="W63697" s="8"/>
      <c r="X63697" s="8"/>
      <c r="Y63697" s="8"/>
      <c r="Z63697" s="8"/>
      <c r="AA63697" s="8"/>
    </row>
    <row r="63698" spans="1:27" x14ac:dyDescent="0.25">
      <c r="A63698" s="8"/>
      <c r="B63698" s="8"/>
      <c r="C63698" s="99"/>
      <c r="D63698" s="8"/>
      <c r="E63698" s="8"/>
      <c r="F63698" s="8"/>
      <c r="G63698" s="8"/>
      <c r="H63698" s="8"/>
      <c r="I63698" s="102"/>
      <c r="J63698" s="8"/>
      <c r="K63698" s="8"/>
      <c r="L63698" s="8"/>
      <c r="M63698" s="8"/>
      <c r="N63698" s="8"/>
      <c r="O63698" s="8"/>
      <c r="P63698" s="8"/>
      <c r="Q63698" s="8"/>
      <c r="R63698" s="103"/>
      <c r="S63698" s="8"/>
      <c r="T63698" s="8"/>
      <c r="U63698" s="8"/>
      <c r="V63698" s="8"/>
      <c r="W63698" s="8"/>
      <c r="X63698" s="8"/>
      <c r="Y63698" s="8"/>
      <c r="Z63698" s="8"/>
      <c r="AA63698" s="8"/>
    </row>
    <row r="63699" spans="1:27" x14ac:dyDescent="0.25">
      <c r="A63699" s="8"/>
      <c r="B63699" s="8"/>
      <c r="C63699" s="99"/>
      <c r="D63699" s="8"/>
      <c r="E63699" s="8"/>
      <c r="F63699" s="8"/>
      <c r="G63699" s="8"/>
      <c r="H63699" s="8"/>
      <c r="I63699" s="102"/>
      <c r="J63699" s="8"/>
      <c r="K63699" s="8"/>
      <c r="L63699" s="8"/>
      <c r="M63699" s="8"/>
      <c r="N63699" s="8"/>
      <c r="O63699" s="8"/>
      <c r="P63699" s="8"/>
      <c r="Q63699" s="8"/>
      <c r="R63699" s="103"/>
      <c r="S63699" s="8"/>
      <c r="T63699" s="8"/>
      <c r="U63699" s="8"/>
      <c r="V63699" s="8"/>
      <c r="W63699" s="8"/>
      <c r="X63699" s="8"/>
      <c r="Y63699" s="8"/>
      <c r="Z63699" s="8"/>
      <c r="AA63699" s="8"/>
    </row>
    <row r="63700" spans="1:27" x14ac:dyDescent="0.25">
      <c r="A63700" s="8"/>
      <c r="B63700" s="8"/>
      <c r="C63700" s="99"/>
      <c r="D63700" s="8"/>
      <c r="E63700" s="8"/>
      <c r="F63700" s="8"/>
      <c r="G63700" s="8"/>
      <c r="H63700" s="8"/>
      <c r="I63700" s="102"/>
      <c r="J63700" s="8"/>
      <c r="K63700" s="8"/>
      <c r="L63700" s="8"/>
      <c r="M63700" s="8"/>
      <c r="N63700" s="8"/>
      <c r="O63700" s="8"/>
      <c r="P63700" s="8"/>
      <c r="Q63700" s="8"/>
      <c r="R63700" s="103"/>
      <c r="S63700" s="8"/>
      <c r="T63700" s="8"/>
      <c r="U63700" s="8"/>
      <c r="V63700" s="8"/>
      <c r="W63700" s="8"/>
      <c r="X63700" s="8"/>
      <c r="Y63700" s="8"/>
      <c r="Z63700" s="8"/>
      <c r="AA63700" s="8"/>
    </row>
    <row r="63701" spans="1:27" x14ac:dyDescent="0.25">
      <c r="A63701" s="8"/>
      <c r="B63701" s="8"/>
      <c r="C63701" s="99"/>
      <c r="D63701" s="8"/>
      <c r="E63701" s="8"/>
      <c r="F63701" s="8"/>
      <c r="G63701" s="8"/>
      <c r="H63701" s="8"/>
      <c r="I63701" s="102"/>
      <c r="J63701" s="8"/>
      <c r="K63701" s="8"/>
      <c r="L63701" s="8"/>
      <c r="M63701" s="8"/>
      <c r="N63701" s="8"/>
      <c r="O63701" s="8"/>
      <c r="P63701" s="8"/>
      <c r="Q63701" s="8"/>
      <c r="R63701" s="103"/>
      <c r="S63701" s="8"/>
      <c r="T63701" s="8"/>
      <c r="U63701" s="8"/>
      <c r="V63701" s="8"/>
      <c r="W63701" s="8"/>
      <c r="X63701" s="8"/>
      <c r="Y63701" s="8"/>
      <c r="Z63701" s="8"/>
      <c r="AA63701" s="8"/>
    </row>
    <row r="63702" spans="1:27" x14ac:dyDescent="0.25">
      <c r="A63702" s="8"/>
      <c r="B63702" s="8"/>
      <c r="C63702" s="99"/>
      <c r="D63702" s="8"/>
      <c r="E63702" s="8"/>
      <c r="F63702" s="8"/>
      <c r="G63702" s="8"/>
      <c r="H63702" s="8"/>
      <c r="I63702" s="102"/>
      <c r="J63702" s="8"/>
      <c r="K63702" s="8"/>
      <c r="L63702" s="8"/>
      <c r="M63702" s="8"/>
      <c r="N63702" s="8"/>
      <c r="O63702" s="8"/>
      <c r="P63702" s="8"/>
      <c r="Q63702" s="8"/>
      <c r="R63702" s="103"/>
      <c r="S63702" s="8"/>
      <c r="T63702" s="8"/>
      <c r="U63702" s="8"/>
      <c r="V63702" s="8"/>
      <c r="W63702" s="8"/>
      <c r="X63702" s="8"/>
      <c r="Y63702" s="8"/>
      <c r="Z63702" s="8"/>
      <c r="AA63702" s="8"/>
    </row>
    <row r="63703" spans="1:27" x14ac:dyDescent="0.25">
      <c r="A63703" s="8"/>
      <c r="B63703" s="8"/>
      <c r="C63703" s="99"/>
      <c r="D63703" s="8"/>
      <c r="E63703" s="8"/>
      <c r="F63703" s="8"/>
      <c r="G63703" s="8"/>
      <c r="H63703" s="8"/>
      <c r="I63703" s="102"/>
      <c r="J63703" s="8"/>
      <c r="K63703" s="8"/>
      <c r="L63703" s="8"/>
      <c r="M63703" s="8"/>
      <c r="N63703" s="8"/>
      <c r="O63703" s="8"/>
      <c r="P63703" s="8"/>
      <c r="Q63703" s="8"/>
      <c r="R63703" s="103"/>
      <c r="S63703" s="8"/>
      <c r="T63703" s="8"/>
      <c r="U63703" s="8"/>
      <c r="V63703" s="8"/>
      <c r="W63703" s="8"/>
      <c r="X63703" s="8"/>
      <c r="Y63703" s="8"/>
      <c r="Z63703" s="8"/>
      <c r="AA63703" s="8"/>
    </row>
    <row r="63704" spans="1:27" x14ac:dyDescent="0.25">
      <c r="A63704" s="8"/>
      <c r="B63704" s="8"/>
      <c r="C63704" s="99"/>
      <c r="D63704" s="8"/>
      <c r="E63704" s="8"/>
      <c r="F63704" s="8"/>
      <c r="G63704" s="8"/>
      <c r="H63704" s="8"/>
      <c r="I63704" s="102"/>
      <c r="J63704" s="8"/>
      <c r="K63704" s="8"/>
      <c r="L63704" s="8"/>
      <c r="M63704" s="8"/>
      <c r="N63704" s="8"/>
      <c r="O63704" s="8"/>
      <c r="P63704" s="8"/>
      <c r="Q63704" s="8"/>
      <c r="R63704" s="103"/>
      <c r="S63704" s="8"/>
      <c r="T63704" s="8"/>
      <c r="U63704" s="8"/>
      <c r="V63704" s="8"/>
      <c r="W63704" s="8"/>
      <c r="X63704" s="8"/>
      <c r="Y63704" s="8"/>
      <c r="Z63704" s="8"/>
      <c r="AA63704" s="8"/>
    </row>
    <row r="63705" spans="1:27" x14ac:dyDescent="0.25">
      <c r="A63705" s="8"/>
      <c r="B63705" s="8"/>
      <c r="C63705" s="99"/>
      <c r="D63705" s="8"/>
      <c r="E63705" s="8"/>
      <c r="F63705" s="8"/>
      <c r="G63705" s="8"/>
      <c r="H63705" s="8"/>
      <c r="I63705" s="102"/>
      <c r="J63705" s="8"/>
      <c r="K63705" s="8"/>
      <c r="L63705" s="8"/>
      <c r="M63705" s="8"/>
      <c r="N63705" s="8"/>
      <c r="O63705" s="8"/>
      <c r="P63705" s="8"/>
      <c r="Q63705" s="8"/>
      <c r="R63705" s="103"/>
      <c r="S63705" s="8"/>
      <c r="T63705" s="8"/>
      <c r="U63705" s="8"/>
      <c r="V63705" s="8"/>
      <c r="W63705" s="8"/>
      <c r="X63705" s="8"/>
      <c r="Y63705" s="8"/>
      <c r="Z63705" s="8"/>
      <c r="AA63705" s="8"/>
    </row>
    <row r="63706" spans="1:27" x14ac:dyDescent="0.25">
      <c r="A63706" s="8"/>
      <c r="B63706" s="8"/>
      <c r="C63706" s="99"/>
      <c r="D63706" s="8"/>
      <c r="E63706" s="8"/>
      <c r="F63706" s="8"/>
      <c r="G63706" s="8"/>
      <c r="H63706" s="8"/>
      <c r="I63706" s="102"/>
      <c r="J63706" s="8"/>
      <c r="K63706" s="8"/>
      <c r="L63706" s="8"/>
      <c r="M63706" s="8"/>
      <c r="N63706" s="8"/>
      <c r="O63706" s="8"/>
      <c r="P63706" s="8"/>
      <c r="Q63706" s="8"/>
      <c r="R63706" s="103"/>
      <c r="S63706" s="8"/>
      <c r="T63706" s="8"/>
      <c r="U63706" s="8"/>
      <c r="V63706" s="8"/>
      <c r="W63706" s="8"/>
      <c r="X63706" s="8"/>
      <c r="Y63706" s="8"/>
      <c r="Z63706" s="8"/>
      <c r="AA63706" s="8"/>
    </row>
    <row r="63707" spans="1:27" x14ac:dyDescent="0.25">
      <c r="A63707" s="8"/>
      <c r="B63707" s="8"/>
      <c r="C63707" s="99"/>
      <c r="D63707" s="8"/>
      <c r="E63707" s="8"/>
      <c r="F63707" s="8"/>
      <c r="G63707" s="8"/>
      <c r="H63707" s="8"/>
      <c r="I63707" s="102"/>
      <c r="J63707" s="8"/>
      <c r="K63707" s="8"/>
      <c r="L63707" s="8"/>
      <c r="M63707" s="8"/>
      <c r="N63707" s="8"/>
      <c r="O63707" s="8"/>
      <c r="P63707" s="8"/>
      <c r="Q63707" s="8"/>
      <c r="R63707" s="103"/>
      <c r="S63707" s="8"/>
      <c r="T63707" s="8"/>
      <c r="U63707" s="8"/>
      <c r="V63707" s="8"/>
      <c r="W63707" s="8"/>
      <c r="X63707" s="8"/>
      <c r="Y63707" s="8"/>
      <c r="Z63707" s="8"/>
      <c r="AA63707" s="8"/>
    </row>
    <row r="63708" spans="1:27" x14ac:dyDescent="0.25">
      <c r="A63708" s="8"/>
      <c r="B63708" s="8"/>
      <c r="C63708" s="99"/>
      <c r="D63708" s="8"/>
      <c r="E63708" s="8"/>
      <c r="F63708" s="8"/>
      <c r="G63708" s="8"/>
      <c r="H63708" s="8"/>
      <c r="I63708" s="102"/>
      <c r="J63708" s="8"/>
      <c r="K63708" s="8"/>
      <c r="L63708" s="8"/>
      <c r="M63708" s="8"/>
      <c r="N63708" s="8"/>
      <c r="O63708" s="8"/>
      <c r="P63708" s="8"/>
      <c r="Q63708" s="8"/>
      <c r="R63708" s="103"/>
      <c r="S63708" s="8"/>
      <c r="T63708" s="8"/>
      <c r="U63708" s="8"/>
      <c r="V63708" s="8"/>
      <c r="W63708" s="8"/>
      <c r="X63708" s="8"/>
      <c r="Y63708" s="8"/>
      <c r="Z63708" s="8"/>
      <c r="AA63708" s="8"/>
    </row>
    <row r="63709" spans="1:27" x14ac:dyDescent="0.25">
      <c r="A63709" s="8"/>
      <c r="B63709" s="8"/>
      <c r="C63709" s="99"/>
      <c r="D63709" s="8"/>
      <c r="E63709" s="8"/>
      <c r="F63709" s="8"/>
      <c r="G63709" s="8"/>
      <c r="H63709" s="8"/>
      <c r="I63709" s="102"/>
      <c r="J63709" s="8"/>
      <c r="K63709" s="8"/>
      <c r="L63709" s="8"/>
      <c r="M63709" s="8"/>
      <c r="N63709" s="8"/>
      <c r="O63709" s="8"/>
      <c r="P63709" s="8"/>
      <c r="Q63709" s="8"/>
      <c r="R63709" s="103"/>
      <c r="S63709" s="8"/>
      <c r="T63709" s="8"/>
      <c r="U63709" s="8"/>
      <c r="V63709" s="8"/>
      <c r="W63709" s="8"/>
      <c r="X63709" s="8"/>
      <c r="Y63709" s="8"/>
      <c r="Z63709" s="8"/>
      <c r="AA63709" s="8"/>
    </row>
    <row r="63710" spans="1:27" x14ac:dyDescent="0.25">
      <c r="A63710" s="8"/>
      <c r="B63710" s="8"/>
      <c r="C63710" s="99"/>
      <c r="D63710" s="8"/>
      <c r="E63710" s="8"/>
      <c r="F63710" s="8"/>
      <c r="G63710" s="8"/>
      <c r="H63710" s="8"/>
      <c r="I63710" s="102"/>
      <c r="J63710" s="8"/>
      <c r="K63710" s="8"/>
      <c r="L63710" s="8"/>
      <c r="M63710" s="8"/>
      <c r="N63710" s="8"/>
      <c r="O63710" s="8"/>
      <c r="P63710" s="8"/>
      <c r="Q63710" s="8"/>
      <c r="R63710" s="103"/>
      <c r="S63710" s="8"/>
      <c r="T63710" s="8"/>
      <c r="U63710" s="8"/>
      <c r="V63710" s="8"/>
      <c r="W63710" s="8"/>
      <c r="X63710" s="8"/>
      <c r="Y63710" s="8"/>
      <c r="Z63710" s="8"/>
      <c r="AA63710" s="8"/>
    </row>
    <row r="63711" spans="1:27" x14ac:dyDescent="0.25">
      <c r="A63711" s="8"/>
      <c r="B63711" s="8"/>
      <c r="C63711" s="99"/>
      <c r="D63711" s="8"/>
      <c r="E63711" s="8"/>
      <c r="F63711" s="8"/>
      <c r="G63711" s="8"/>
      <c r="H63711" s="8"/>
      <c r="I63711" s="102"/>
      <c r="J63711" s="8"/>
      <c r="K63711" s="8"/>
      <c r="L63711" s="8"/>
      <c r="M63711" s="8"/>
      <c r="N63711" s="8"/>
      <c r="O63711" s="8"/>
      <c r="P63711" s="8"/>
      <c r="Q63711" s="8"/>
      <c r="R63711" s="103"/>
      <c r="S63711" s="8"/>
      <c r="T63711" s="8"/>
      <c r="U63711" s="8"/>
      <c r="V63711" s="8"/>
      <c r="W63711" s="8"/>
      <c r="X63711" s="8"/>
      <c r="Y63711" s="8"/>
      <c r="Z63711" s="8"/>
      <c r="AA63711" s="8"/>
    </row>
    <row r="63712" spans="1:27" x14ac:dyDescent="0.25">
      <c r="A63712" s="8"/>
      <c r="B63712" s="8"/>
      <c r="C63712" s="99"/>
      <c r="D63712" s="8"/>
      <c r="E63712" s="8"/>
      <c r="F63712" s="8"/>
      <c r="G63712" s="8"/>
      <c r="H63712" s="8"/>
      <c r="I63712" s="102"/>
      <c r="J63712" s="8"/>
      <c r="K63712" s="8"/>
      <c r="L63712" s="8"/>
      <c r="M63712" s="8"/>
      <c r="N63712" s="8"/>
      <c r="O63712" s="8"/>
      <c r="P63712" s="8"/>
      <c r="Q63712" s="8"/>
      <c r="R63712" s="103"/>
      <c r="S63712" s="8"/>
      <c r="T63712" s="8"/>
      <c r="U63712" s="8"/>
      <c r="V63712" s="8"/>
      <c r="W63712" s="8"/>
      <c r="X63712" s="8"/>
      <c r="Y63712" s="8"/>
      <c r="Z63712" s="8"/>
      <c r="AA63712" s="8"/>
    </row>
    <row r="63713" spans="1:27" x14ac:dyDescent="0.25">
      <c r="A63713" s="8"/>
      <c r="B63713" s="8"/>
      <c r="C63713" s="99"/>
      <c r="D63713" s="8"/>
      <c r="E63713" s="8"/>
      <c r="F63713" s="8"/>
      <c r="G63713" s="8"/>
      <c r="H63713" s="8"/>
      <c r="I63713" s="102"/>
      <c r="J63713" s="8"/>
      <c r="K63713" s="8"/>
      <c r="L63713" s="8"/>
      <c r="M63713" s="8"/>
      <c r="N63713" s="8"/>
      <c r="O63713" s="8"/>
      <c r="P63713" s="8"/>
      <c r="Q63713" s="8"/>
      <c r="R63713" s="103"/>
      <c r="S63713" s="8"/>
      <c r="T63713" s="8"/>
      <c r="U63713" s="8"/>
      <c r="V63713" s="8"/>
      <c r="W63713" s="8"/>
      <c r="X63713" s="8"/>
      <c r="Y63713" s="8"/>
      <c r="Z63713" s="8"/>
      <c r="AA63713" s="8"/>
    </row>
    <row r="63714" spans="1:27" x14ac:dyDescent="0.25">
      <c r="A63714" s="8"/>
      <c r="B63714" s="8"/>
      <c r="C63714" s="99"/>
      <c r="D63714" s="8"/>
      <c r="E63714" s="8"/>
      <c r="F63714" s="8"/>
      <c r="G63714" s="8"/>
      <c r="H63714" s="8"/>
      <c r="I63714" s="102"/>
      <c r="J63714" s="8"/>
      <c r="K63714" s="8"/>
      <c r="L63714" s="8"/>
      <c r="M63714" s="8"/>
      <c r="N63714" s="8"/>
      <c r="O63714" s="8"/>
      <c r="P63714" s="8"/>
      <c r="Q63714" s="8"/>
      <c r="R63714" s="103"/>
      <c r="S63714" s="8"/>
      <c r="T63714" s="8"/>
      <c r="U63714" s="8"/>
      <c r="V63714" s="8"/>
      <c r="W63714" s="8"/>
      <c r="X63714" s="8"/>
      <c r="Y63714" s="8"/>
      <c r="Z63714" s="8"/>
      <c r="AA63714" s="8"/>
    </row>
    <row r="63715" spans="1:27" x14ac:dyDescent="0.25">
      <c r="A63715" s="8"/>
      <c r="B63715" s="8"/>
      <c r="C63715" s="99"/>
      <c r="D63715" s="8"/>
      <c r="E63715" s="8"/>
      <c r="F63715" s="8"/>
      <c r="G63715" s="8"/>
      <c r="H63715" s="8"/>
      <c r="I63715" s="102"/>
      <c r="J63715" s="8"/>
      <c r="K63715" s="8"/>
      <c r="L63715" s="8"/>
      <c r="M63715" s="8"/>
      <c r="N63715" s="8"/>
      <c r="O63715" s="8"/>
      <c r="P63715" s="8"/>
      <c r="Q63715" s="8"/>
      <c r="R63715" s="103"/>
      <c r="S63715" s="8"/>
      <c r="T63715" s="8"/>
      <c r="U63715" s="8"/>
      <c r="V63715" s="8"/>
      <c r="W63715" s="8"/>
      <c r="X63715" s="8"/>
      <c r="Y63715" s="8"/>
      <c r="Z63715" s="8"/>
      <c r="AA63715" s="8"/>
    </row>
    <row r="63716" spans="1:27" x14ac:dyDescent="0.25">
      <c r="A63716" s="8"/>
      <c r="B63716" s="8"/>
      <c r="C63716" s="99"/>
      <c r="D63716" s="8"/>
      <c r="E63716" s="8"/>
      <c r="F63716" s="8"/>
      <c r="G63716" s="8"/>
      <c r="H63716" s="8"/>
      <c r="I63716" s="102"/>
      <c r="J63716" s="8"/>
      <c r="K63716" s="8"/>
      <c r="L63716" s="8"/>
      <c r="M63716" s="8"/>
      <c r="N63716" s="8"/>
      <c r="O63716" s="8"/>
      <c r="P63716" s="8"/>
      <c r="Q63716" s="8"/>
      <c r="R63716" s="103"/>
      <c r="S63716" s="8"/>
      <c r="T63716" s="8"/>
      <c r="U63716" s="8"/>
      <c r="V63716" s="8"/>
      <c r="W63716" s="8"/>
      <c r="X63716" s="8"/>
      <c r="Y63716" s="8"/>
      <c r="Z63716" s="8"/>
      <c r="AA63716" s="8"/>
    </row>
    <row r="63717" spans="1:27" x14ac:dyDescent="0.25">
      <c r="A63717" s="8"/>
      <c r="B63717" s="8"/>
      <c r="C63717" s="99"/>
      <c r="D63717" s="8"/>
      <c r="E63717" s="8"/>
      <c r="F63717" s="8"/>
      <c r="G63717" s="8"/>
      <c r="H63717" s="8"/>
      <c r="I63717" s="102"/>
      <c r="J63717" s="8"/>
      <c r="K63717" s="8"/>
      <c r="L63717" s="8"/>
      <c r="M63717" s="8"/>
      <c r="N63717" s="8"/>
      <c r="O63717" s="8"/>
      <c r="P63717" s="8"/>
      <c r="Q63717" s="8"/>
      <c r="R63717" s="103"/>
      <c r="S63717" s="8"/>
      <c r="T63717" s="8"/>
      <c r="U63717" s="8"/>
      <c r="V63717" s="8"/>
      <c r="W63717" s="8"/>
      <c r="X63717" s="8"/>
      <c r="Y63717" s="8"/>
      <c r="Z63717" s="8"/>
      <c r="AA63717" s="8"/>
    </row>
    <row r="63718" spans="1:27" x14ac:dyDescent="0.25">
      <c r="A63718" s="8"/>
      <c r="B63718" s="8"/>
      <c r="C63718" s="99"/>
      <c r="D63718" s="8"/>
      <c r="E63718" s="8"/>
      <c r="F63718" s="8"/>
      <c r="G63718" s="8"/>
      <c r="H63718" s="8"/>
      <c r="I63718" s="102"/>
      <c r="J63718" s="8"/>
      <c r="K63718" s="8"/>
      <c r="L63718" s="8"/>
      <c r="M63718" s="8"/>
      <c r="N63718" s="8"/>
      <c r="O63718" s="8"/>
      <c r="P63718" s="8"/>
      <c r="Q63718" s="8"/>
      <c r="R63718" s="103"/>
      <c r="S63718" s="8"/>
      <c r="T63718" s="8"/>
      <c r="U63718" s="8"/>
      <c r="V63718" s="8"/>
      <c r="W63718" s="8"/>
      <c r="X63718" s="8"/>
      <c r="Y63718" s="8"/>
      <c r="Z63718" s="8"/>
      <c r="AA63718" s="8"/>
    </row>
    <row r="63719" spans="1:27" x14ac:dyDescent="0.25">
      <c r="A63719" s="8"/>
      <c r="B63719" s="8"/>
      <c r="C63719" s="99"/>
      <c r="D63719" s="8"/>
      <c r="E63719" s="8"/>
      <c r="F63719" s="8"/>
      <c r="G63719" s="8"/>
      <c r="H63719" s="8"/>
      <c r="I63719" s="102"/>
      <c r="J63719" s="8"/>
      <c r="K63719" s="8"/>
      <c r="L63719" s="8"/>
      <c r="M63719" s="8"/>
      <c r="N63719" s="8"/>
      <c r="O63719" s="8"/>
      <c r="P63719" s="8"/>
      <c r="Q63719" s="8"/>
      <c r="R63719" s="103"/>
      <c r="S63719" s="8"/>
      <c r="T63719" s="8"/>
      <c r="U63719" s="8"/>
      <c r="V63719" s="8"/>
      <c r="W63719" s="8"/>
      <c r="X63719" s="8"/>
      <c r="Y63719" s="8"/>
      <c r="Z63719" s="8"/>
      <c r="AA63719" s="8"/>
    </row>
    <row r="63720" spans="1:27" x14ac:dyDescent="0.25">
      <c r="A63720" s="8"/>
      <c r="B63720" s="8"/>
      <c r="C63720" s="99"/>
      <c r="D63720" s="8"/>
      <c r="E63720" s="8"/>
      <c r="F63720" s="8"/>
      <c r="G63720" s="8"/>
      <c r="H63720" s="8"/>
      <c r="I63720" s="102"/>
      <c r="J63720" s="8"/>
      <c r="K63720" s="8"/>
      <c r="L63720" s="8"/>
      <c r="M63720" s="8"/>
      <c r="N63720" s="8"/>
      <c r="O63720" s="8"/>
      <c r="P63720" s="8"/>
      <c r="Q63720" s="8"/>
      <c r="R63720" s="103"/>
      <c r="S63720" s="8"/>
      <c r="T63720" s="8"/>
      <c r="U63720" s="8"/>
      <c r="V63720" s="8"/>
      <c r="W63720" s="8"/>
      <c r="X63720" s="8"/>
      <c r="Y63720" s="8"/>
      <c r="Z63720" s="8"/>
      <c r="AA63720" s="8"/>
    </row>
    <row r="63721" spans="1:27" x14ac:dyDescent="0.25">
      <c r="A63721" s="8"/>
      <c r="B63721" s="8"/>
      <c r="C63721" s="99"/>
      <c r="D63721" s="8"/>
      <c r="E63721" s="8"/>
      <c r="F63721" s="8"/>
      <c r="G63721" s="8"/>
      <c r="H63721" s="8"/>
      <c r="I63721" s="102"/>
      <c r="J63721" s="8"/>
      <c r="K63721" s="8"/>
      <c r="L63721" s="8"/>
      <c r="M63721" s="8"/>
      <c r="N63721" s="8"/>
      <c r="O63721" s="8"/>
      <c r="P63721" s="8"/>
      <c r="Q63721" s="8"/>
      <c r="R63721" s="103"/>
      <c r="S63721" s="8"/>
      <c r="T63721" s="8"/>
      <c r="U63721" s="8"/>
      <c r="V63721" s="8"/>
      <c r="W63721" s="8"/>
      <c r="X63721" s="8"/>
      <c r="Y63721" s="8"/>
      <c r="Z63721" s="8"/>
      <c r="AA63721" s="8"/>
    </row>
    <row r="63722" spans="1:27" x14ac:dyDescent="0.25">
      <c r="A63722" s="8"/>
      <c r="B63722" s="8"/>
      <c r="C63722" s="99"/>
      <c r="D63722" s="8"/>
      <c r="E63722" s="8"/>
      <c r="F63722" s="8"/>
      <c r="G63722" s="8"/>
      <c r="H63722" s="8"/>
      <c r="I63722" s="102"/>
      <c r="J63722" s="8"/>
      <c r="K63722" s="8"/>
      <c r="L63722" s="8"/>
      <c r="M63722" s="8"/>
      <c r="N63722" s="8"/>
      <c r="O63722" s="8"/>
      <c r="P63722" s="8"/>
      <c r="Q63722" s="8"/>
      <c r="R63722" s="103"/>
      <c r="S63722" s="8"/>
      <c r="T63722" s="8"/>
      <c r="U63722" s="8"/>
      <c r="V63722" s="8"/>
      <c r="W63722" s="8"/>
      <c r="X63722" s="8"/>
      <c r="Y63722" s="8"/>
      <c r="Z63722" s="8"/>
      <c r="AA63722" s="8"/>
    </row>
    <row r="63723" spans="1:27" x14ac:dyDescent="0.25">
      <c r="A63723" s="8"/>
      <c r="B63723" s="8"/>
      <c r="C63723" s="99"/>
      <c r="D63723" s="8"/>
      <c r="E63723" s="8"/>
      <c r="F63723" s="8"/>
      <c r="G63723" s="8"/>
      <c r="H63723" s="8"/>
      <c r="I63723" s="102"/>
      <c r="J63723" s="8"/>
      <c r="K63723" s="8"/>
      <c r="L63723" s="8"/>
      <c r="M63723" s="8"/>
      <c r="N63723" s="8"/>
      <c r="O63723" s="8"/>
      <c r="P63723" s="8"/>
      <c r="Q63723" s="8"/>
      <c r="R63723" s="103"/>
      <c r="S63723" s="8"/>
      <c r="T63723" s="8"/>
      <c r="U63723" s="8"/>
      <c r="V63723" s="8"/>
      <c r="W63723" s="8"/>
      <c r="X63723" s="8"/>
      <c r="Y63723" s="8"/>
      <c r="Z63723" s="8"/>
      <c r="AA63723" s="8"/>
    </row>
    <row r="63724" spans="1:27" x14ac:dyDescent="0.25">
      <c r="A63724" s="8"/>
      <c r="B63724" s="8"/>
      <c r="C63724" s="99"/>
      <c r="D63724" s="8"/>
      <c r="E63724" s="8"/>
      <c r="F63724" s="8"/>
      <c r="G63724" s="8"/>
      <c r="H63724" s="8"/>
      <c r="I63724" s="102"/>
      <c r="J63724" s="8"/>
      <c r="K63724" s="8"/>
      <c r="L63724" s="8"/>
      <c r="M63724" s="8"/>
      <c r="N63724" s="8"/>
      <c r="O63724" s="8"/>
      <c r="P63724" s="8"/>
      <c r="Q63724" s="8"/>
      <c r="R63724" s="103"/>
      <c r="S63724" s="8"/>
      <c r="T63724" s="8"/>
      <c r="U63724" s="8"/>
      <c r="V63724" s="8"/>
      <c r="W63724" s="8"/>
      <c r="X63724" s="8"/>
      <c r="Y63724" s="8"/>
      <c r="Z63724" s="8"/>
      <c r="AA63724" s="8"/>
    </row>
    <row r="63725" spans="1:27" x14ac:dyDescent="0.25">
      <c r="A63725" s="8"/>
      <c r="B63725" s="8"/>
      <c r="C63725" s="99"/>
      <c r="D63725" s="8"/>
      <c r="E63725" s="8"/>
      <c r="F63725" s="8"/>
      <c r="G63725" s="8"/>
      <c r="H63725" s="8"/>
      <c r="I63725" s="102"/>
      <c r="J63725" s="8"/>
      <c r="K63725" s="8"/>
      <c r="L63725" s="8"/>
      <c r="M63725" s="8"/>
      <c r="N63725" s="8"/>
      <c r="O63725" s="8"/>
      <c r="P63725" s="8"/>
      <c r="Q63725" s="8"/>
      <c r="R63725" s="103"/>
      <c r="S63725" s="8"/>
      <c r="T63725" s="8"/>
      <c r="U63725" s="8"/>
      <c r="V63725" s="8"/>
      <c r="W63725" s="8"/>
      <c r="X63725" s="8"/>
      <c r="Y63725" s="8"/>
      <c r="Z63725" s="8"/>
      <c r="AA63725" s="8"/>
    </row>
    <row r="63726" spans="1:27" x14ac:dyDescent="0.25">
      <c r="A63726" s="8"/>
      <c r="B63726" s="8"/>
      <c r="C63726" s="99"/>
      <c r="D63726" s="8"/>
      <c r="E63726" s="8"/>
      <c r="F63726" s="8"/>
      <c r="G63726" s="8"/>
      <c r="H63726" s="8"/>
      <c r="I63726" s="102"/>
      <c r="J63726" s="8"/>
      <c r="K63726" s="8"/>
      <c r="L63726" s="8"/>
      <c r="M63726" s="8"/>
      <c r="N63726" s="8"/>
      <c r="O63726" s="8"/>
      <c r="P63726" s="8"/>
      <c r="Q63726" s="8"/>
      <c r="R63726" s="103"/>
      <c r="S63726" s="8"/>
      <c r="T63726" s="8"/>
      <c r="U63726" s="8"/>
      <c r="V63726" s="8"/>
      <c r="W63726" s="8"/>
      <c r="X63726" s="8"/>
      <c r="Y63726" s="8"/>
      <c r="Z63726" s="8"/>
      <c r="AA63726" s="8"/>
    </row>
    <row r="63727" spans="1:27" x14ac:dyDescent="0.25">
      <c r="A63727" s="8"/>
      <c r="B63727" s="8"/>
      <c r="C63727" s="99"/>
      <c r="D63727" s="8"/>
      <c r="E63727" s="8"/>
      <c r="F63727" s="8"/>
      <c r="G63727" s="8"/>
      <c r="H63727" s="8"/>
      <c r="I63727" s="102"/>
      <c r="J63727" s="8"/>
      <c r="K63727" s="8"/>
      <c r="L63727" s="8"/>
      <c r="M63727" s="8"/>
      <c r="N63727" s="8"/>
      <c r="O63727" s="8"/>
      <c r="P63727" s="8"/>
      <c r="Q63727" s="8"/>
      <c r="R63727" s="103"/>
      <c r="S63727" s="8"/>
      <c r="T63727" s="8"/>
      <c r="U63727" s="8"/>
      <c r="V63727" s="8"/>
      <c r="W63727" s="8"/>
      <c r="X63727" s="8"/>
      <c r="Y63727" s="8"/>
      <c r="Z63727" s="8"/>
      <c r="AA63727" s="8"/>
    </row>
    <row r="63728" spans="1:27" x14ac:dyDescent="0.25">
      <c r="A63728" s="8"/>
      <c r="B63728" s="8"/>
      <c r="C63728" s="99"/>
      <c r="D63728" s="8"/>
      <c r="E63728" s="8"/>
      <c r="F63728" s="8"/>
      <c r="G63728" s="8"/>
      <c r="H63728" s="8"/>
      <c r="I63728" s="102"/>
      <c r="J63728" s="8"/>
      <c r="K63728" s="8"/>
      <c r="L63728" s="8"/>
      <c r="M63728" s="8"/>
      <c r="N63728" s="8"/>
      <c r="O63728" s="8"/>
      <c r="P63728" s="8"/>
      <c r="Q63728" s="8"/>
      <c r="R63728" s="103"/>
      <c r="S63728" s="8"/>
      <c r="T63728" s="8"/>
      <c r="U63728" s="8"/>
      <c r="V63728" s="8"/>
      <c r="W63728" s="8"/>
      <c r="X63728" s="8"/>
      <c r="Y63728" s="8"/>
      <c r="Z63728" s="8"/>
      <c r="AA63728" s="8"/>
    </row>
    <row r="63729" spans="1:27" x14ac:dyDescent="0.25">
      <c r="A63729" s="8"/>
      <c r="B63729" s="8"/>
      <c r="C63729" s="99"/>
      <c r="D63729" s="8"/>
      <c r="E63729" s="8"/>
      <c r="F63729" s="8"/>
      <c r="G63729" s="8"/>
      <c r="H63729" s="8"/>
      <c r="I63729" s="102"/>
      <c r="J63729" s="8"/>
      <c r="K63729" s="8"/>
      <c r="L63729" s="8"/>
      <c r="M63729" s="8"/>
      <c r="N63729" s="8"/>
      <c r="O63729" s="8"/>
      <c r="P63729" s="8"/>
      <c r="Q63729" s="8"/>
      <c r="R63729" s="103"/>
      <c r="S63729" s="8"/>
      <c r="T63729" s="8"/>
      <c r="U63729" s="8"/>
      <c r="V63729" s="8"/>
      <c r="W63729" s="8"/>
      <c r="X63729" s="8"/>
      <c r="Y63729" s="8"/>
      <c r="Z63729" s="8"/>
      <c r="AA63729" s="8"/>
    </row>
    <row r="63730" spans="1:27" x14ac:dyDescent="0.25">
      <c r="A63730" s="8"/>
      <c r="B63730" s="8"/>
      <c r="C63730" s="99"/>
      <c r="D63730" s="8"/>
      <c r="E63730" s="8"/>
      <c r="F63730" s="8"/>
      <c r="G63730" s="8"/>
      <c r="H63730" s="8"/>
      <c r="I63730" s="102"/>
      <c r="J63730" s="8"/>
      <c r="K63730" s="8"/>
      <c r="L63730" s="8"/>
      <c r="M63730" s="8"/>
      <c r="N63730" s="8"/>
      <c r="O63730" s="8"/>
      <c r="P63730" s="8"/>
      <c r="Q63730" s="8"/>
      <c r="R63730" s="103"/>
      <c r="S63730" s="8"/>
      <c r="T63730" s="8"/>
      <c r="U63730" s="8"/>
      <c r="V63730" s="8"/>
      <c r="W63730" s="8"/>
      <c r="X63730" s="8"/>
      <c r="Y63730" s="8"/>
      <c r="Z63730" s="8"/>
      <c r="AA63730" s="8"/>
    </row>
    <row r="63731" spans="1:27" x14ac:dyDescent="0.25">
      <c r="A63731" s="8"/>
      <c r="B63731" s="8"/>
      <c r="C63731" s="99"/>
      <c r="D63731" s="8"/>
      <c r="E63731" s="8"/>
      <c r="F63731" s="8"/>
      <c r="G63731" s="8"/>
      <c r="H63731" s="8"/>
      <c r="I63731" s="102"/>
      <c r="J63731" s="8"/>
      <c r="K63731" s="8"/>
      <c r="L63731" s="8"/>
      <c r="M63731" s="8"/>
      <c r="N63731" s="8"/>
      <c r="O63731" s="8"/>
      <c r="P63731" s="8"/>
      <c r="Q63731" s="8"/>
      <c r="R63731" s="103"/>
      <c r="S63731" s="8"/>
      <c r="T63731" s="8"/>
      <c r="U63731" s="8"/>
      <c r="V63731" s="8"/>
      <c r="W63731" s="8"/>
      <c r="X63731" s="8"/>
      <c r="Y63731" s="8"/>
      <c r="Z63731" s="8"/>
      <c r="AA63731" s="8"/>
    </row>
    <row r="63732" spans="1:27" x14ac:dyDescent="0.25">
      <c r="A63732" s="8"/>
      <c r="B63732" s="8"/>
      <c r="C63732" s="99"/>
      <c r="D63732" s="8"/>
      <c r="E63732" s="8"/>
      <c r="F63732" s="8"/>
      <c r="G63732" s="8"/>
      <c r="H63732" s="8"/>
      <c r="I63732" s="102"/>
      <c r="J63732" s="8"/>
      <c r="K63732" s="8"/>
      <c r="L63732" s="8"/>
      <c r="M63732" s="8"/>
      <c r="N63732" s="8"/>
      <c r="O63732" s="8"/>
      <c r="P63732" s="8"/>
      <c r="Q63732" s="8"/>
      <c r="R63732" s="103"/>
      <c r="S63732" s="8"/>
      <c r="T63732" s="8"/>
      <c r="U63732" s="8"/>
      <c r="V63732" s="8"/>
      <c r="W63732" s="8"/>
      <c r="X63732" s="8"/>
      <c r="Y63732" s="8"/>
      <c r="Z63732" s="8"/>
      <c r="AA63732" s="8"/>
    </row>
    <row r="63733" spans="1:27" x14ac:dyDescent="0.25">
      <c r="A63733" s="8"/>
      <c r="B63733" s="8"/>
      <c r="C63733" s="99"/>
      <c r="D63733" s="8"/>
      <c r="E63733" s="8"/>
      <c r="F63733" s="8"/>
      <c r="G63733" s="8"/>
      <c r="H63733" s="8"/>
      <c r="I63733" s="102"/>
      <c r="J63733" s="8"/>
      <c r="K63733" s="8"/>
      <c r="L63733" s="8"/>
      <c r="M63733" s="8"/>
      <c r="N63733" s="8"/>
      <c r="O63733" s="8"/>
      <c r="P63733" s="8"/>
      <c r="Q63733" s="8"/>
      <c r="R63733" s="103"/>
      <c r="S63733" s="8"/>
      <c r="T63733" s="8"/>
      <c r="U63733" s="8"/>
      <c r="V63733" s="8"/>
      <c r="W63733" s="8"/>
      <c r="X63733" s="8"/>
      <c r="Y63733" s="8"/>
      <c r="Z63733" s="8"/>
      <c r="AA63733" s="8"/>
    </row>
    <row r="63734" spans="1:27" x14ac:dyDescent="0.25">
      <c r="A63734" s="8"/>
      <c r="B63734" s="8"/>
      <c r="C63734" s="99"/>
      <c r="D63734" s="8"/>
      <c r="E63734" s="8"/>
      <c r="F63734" s="8"/>
      <c r="G63734" s="8"/>
      <c r="H63734" s="8"/>
      <c r="I63734" s="102"/>
      <c r="J63734" s="8"/>
      <c r="K63734" s="8"/>
      <c r="L63734" s="8"/>
      <c r="M63734" s="8"/>
      <c r="N63734" s="8"/>
      <c r="O63734" s="8"/>
      <c r="P63734" s="8"/>
      <c r="Q63734" s="8"/>
      <c r="R63734" s="103"/>
      <c r="S63734" s="8"/>
      <c r="T63734" s="8"/>
      <c r="U63734" s="8"/>
      <c r="V63734" s="8"/>
      <c r="W63734" s="8"/>
      <c r="X63734" s="8"/>
      <c r="Y63734" s="8"/>
      <c r="Z63734" s="8"/>
      <c r="AA63734" s="8"/>
    </row>
    <row r="63735" spans="1:27" x14ac:dyDescent="0.25">
      <c r="A63735" s="8"/>
      <c r="B63735" s="8"/>
      <c r="C63735" s="99"/>
      <c r="D63735" s="8"/>
      <c r="E63735" s="8"/>
      <c r="F63735" s="8"/>
      <c r="G63735" s="8"/>
      <c r="H63735" s="8"/>
      <c r="I63735" s="102"/>
      <c r="J63735" s="8"/>
      <c r="K63735" s="8"/>
      <c r="L63735" s="8"/>
      <c r="M63735" s="8"/>
      <c r="N63735" s="8"/>
      <c r="O63735" s="8"/>
      <c r="P63735" s="8"/>
      <c r="Q63735" s="8"/>
      <c r="R63735" s="103"/>
      <c r="S63735" s="8"/>
      <c r="T63735" s="8"/>
      <c r="U63735" s="8"/>
      <c r="V63735" s="8"/>
      <c r="W63735" s="8"/>
      <c r="X63735" s="8"/>
      <c r="Y63735" s="8"/>
      <c r="Z63735" s="8"/>
      <c r="AA63735" s="8"/>
    </row>
    <row r="63736" spans="1:27" x14ac:dyDescent="0.25">
      <c r="A63736" s="8"/>
      <c r="B63736" s="8"/>
      <c r="C63736" s="99"/>
      <c r="D63736" s="8"/>
      <c r="E63736" s="8"/>
      <c r="F63736" s="8"/>
      <c r="G63736" s="8"/>
      <c r="H63736" s="8"/>
      <c r="I63736" s="102"/>
      <c r="J63736" s="8"/>
      <c r="K63736" s="8"/>
      <c r="L63736" s="8"/>
      <c r="M63736" s="8"/>
      <c r="N63736" s="8"/>
      <c r="O63736" s="8"/>
      <c r="P63736" s="8"/>
      <c r="Q63736" s="8"/>
      <c r="R63736" s="103"/>
      <c r="S63736" s="8"/>
      <c r="T63736" s="8"/>
      <c r="U63736" s="8"/>
      <c r="V63736" s="8"/>
      <c r="W63736" s="8"/>
      <c r="X63736" s="8"/>
      <c r="Y63736" s="8"/>
      <c r="Z63736" s="8"/>
      <c r="AA63736" s="8"/>
    </row>
    <row r="63737" spans="1:27" x14ac:dyDescent="0.25">
      <c r="A63737" s="8"/>
      <c r="B63737" s="8"/>
      <c r="C63737" s="99"/>
      <c r="D63737" s="8"/>
      <c r="E63737" s="8"/>
      <c r="F63737" s="8"/>
      <c r="G63737" s="8"/>
      <c r="H63737" s="8"/>
      <c r="I63737" s="102"/>
      <c r="J63737" s="8"/>
      <c r="K63737" s="8"/>
      <c r="L63737" s="8"/>
      <c r="M63737" s="8"/>
      <c r="N63737" s="8"/>
      <c r="O63737" s="8"/>
      <c r="P63737" s="8"/>
      <c r="Q63737" s="8"/>
      <c r="R63737" s="103"/>
      <c r="S63737" s="8"/>
      <c r="T63737" s="8"/>
      <c r="U63737" s="8"/>
      <c r="V63737" s="8"/>
      <c r="W63737" s="8"/>
      <c r="X63737" s="8"/>
      <c r="Y63737" s="8"/>
      <c r="Z63737" s="8"/>
      <c r="AA63737" s="8"/>
    </row>
    <row r="63738" spans="1:27" x14ac:dyDescent="0.25">
      <c r="A63738" s="8"/>
      <c r="B63738" s="8"/>
      <c r="C63738" s="99"/>
      <c r="D63738" s="8"/>
      <c r="E63738" s="8"/>
      <c r="F63738" s="8"/>
      <c r="G63738" s="8"/>
      <c r="H63738" s="8"/>
      <c r="I63738" s="102"/>
      <c r="J63738" s="8"/>
      <c r="K63738" s="8"/>
      <c r="L63738" s="8"/>
      <c r="M63738" s="8"/>
      <c r="N63738" s="8"/>
      <c r="O63738" s="8"/>
      <c r="P63738" s="8"/>
      <c r="Q63738" s="8"/>
      <c r="R63738" s="103"/>
      <c r="S63738" s="8"/>
      <c r="T63738" s="8"/>
      <c r="U63738" s="8"/>
      <c r="V63738" s="8"/>
      <c r="W63738" s="8"/>
      <c r="X63738" s="8"/>
      <c r="Y63738" s="8"/>
      <c r="Z63738" s="8"/>
      <c r="AA63738" s="8"/>
    </row>
    <row r="63739" spans="1:27" x14ac:dyDescent="0.25">
      <c r="A63739" s="8"/>
      <c r="B63739" s="8"/>
      <c r="C63739" s="99"/>
      <c r="D63739" s="8"/>
      <c r="E63739" s="8"/>
      <c r="F63739" s="8"/>
      <c r="G63739" s="8"/>
      <c r="H63739" s="8"/>
      <c r="I63739" s="102"/>
      <c r="J63739" s="8"/>
      <c r="K63739" s="8"/>
      <c r="L63739" s="8"/>
      <c r="M63739" s="8"/>
      <c r="N63739" s="8"/>
      <c r="O63739" s="8"/>
      <c r="P63739" s="8"/>
      <c r="Q63739" s="8"/>
      <c r="R63739" s="103"/>
      <c r="S63739" s="8"/>
      <c r="T63739" s="8"/>
      <c r="U63739" s="8"/>
      <c r="V63739" s="8"/>
      <c r="W63739" s="8"/>
      <c r="X63739" s="8"/>
      <c r="Y63739" s="8"/>
      <c r="Z63739" s="8"/>
      <c r="AA63739" s="8"/>
    </row>
    <row r="63740" spans="1:27" x14ac:dyDescent="0.25">
      <c r="A63740" s="8"/>
      <c r="B63740" s="8"/>
      <c r="C63740" s="99"/>
      <c r="D63740" s="8"/>
      <c r="E63740" s="8"/>
      <c r="F63740" s="8"/>
      <c r="G63740" s="8"/>
      <c r="H63740" s="8"/>
      <c r="I63740" s="102"/>
      <c r="J63740" s="8"/>
      <c r="K63740" s="8"/>
      <c r="L63740" s="8"/>
      <c r="M63740" s="8"/>
      <c r="N63740" s="8"/>
      <c r="O63740" s="8"/>
      <c r="P63740" s="8"/>
      <c r="Q63740" s="8"/>
      <c r="R63740" s="103"/>
      <c r="S63740" s="8"/>
      <c r="T63740" s="8"/>
      <c r="U63740" s="8"/>
      <c r="V63740" s="8"/>
      <c r="W63740" s="8"/>
      <c r="X63740" s="8"/>
      <c r="Y63740" s="8"/>
      <c r="Z63740" s="8"/>
      <c r="AA63740" s="8"/>
    </row>
    <row r="63741" spans="1:27" x14ac:dyDescent="0.25">
      <c r="A63741" s="8"/>
      <c r="B63741" s="8"/>
      <c r="C63741" s="99"/>
      <c r="D63741" s="8"/>
      <c r="E63741" s="8"/>
      <c r="F63741" s="8"/>
      <c r="G63741" s="8"/>
      <c r="H63741" s="8"/>
      <c r="I63741" s="102"/>
      <c r="J63741" s="8"/>
      <c r="K63741" s="8"/>
      <c r="L63741" s="8"/>
      <c r="M63741" s="8"/>
      <c r="N63741" s="8"/>
      <c r="O63741" s="8"/>
      <c r="P63741" s="8"/>
      <c r="Q63741" s="8"/>
      <c r="R63741" s="103"/>
      <c r="S63741" s="8"/>
      <c r="T63741" s="8"/>
      <c r="U63741" s="8"/>
      <c r="V63741" s="8"/>
      <c r="W63741" s="8"/>
      <c r="X63741" s="8"/>
      <c r="Y63741" s="8"/>
      <c r="Z63741" s="8"/>
      <c r="AA63741" s="8"/>
    </row>
    <row r="63742" spans="1:27" x14ac:dyDescent="0.25">
      <c r="A63742" s="8"/>
      <c r="B63742" s="8"/>
      <c r="C63742" s="99"/>
      <c r="D63742" s="8"/>
      <c r="E63742" s="8"/>
      <c r="F63742" s="8"/>
      <c r="G63742" s="8"/>
      <c r="H63742" s="8"/>
      <c r="I63742" s="102"/>
      <c r="J63742" s="8"/>
      <c r="K63742" s="8"/>
      <c r="L63742" s="8"/>
      <c r="M63742" s="8"/>
      <c r="N63742" s="8"/>
      <c r="O63742" s="8"/>
      <c r="P63742" s="8"/>
      <c r="Q63742" s="8"/>
      <c r="R63742" s="103"/>
      <c r="S63742" s="8"/>
      <c r="T63742" s="8"/>
      <c r="U63742" s="8"/>
      <c r="V63742" s="8"/>
      <c r="W63742" s="8"/>
      <c r="X63742" s="8"/>
      <c r="Y63742" s="8"/>
      <c r="Z63742" s="8"/>
      <c r="AA63742" s="8"/>
    </row>
    <row r="63743" spans="1:27" x14ac:dyDescent="0.25">
      <c r="A63743" s="8"/>
      <c r="B63743" s="8"/>
      <c r="C63743" s="99"/>
      <c r="D63743" s="8"/>
      <c r="E63743" s="8"/>
      <c r="F63743" s="8"/>
      <c r="G63743" s="8"/>
      <c r="H63743" s="8"/>
      <c r="I63743" s="102"/>
      <c r="J63743" s="8"/>
      <c r="K63743" s="8"/>
      <c r="L63743" s="8"/>
      <c r="M63743" s="8"/>
      <c r="N63743" s="8"/>
      <c r="O63743" s="8"/>
      <c r="P63743" s="8"/>
      <c r="Q63743" s="8"/>
      <c r="R63743" s="103"/>
      <c r="S63743" s="8"/>
      <c r="T63743" s="8"/>
      <c r="U63743" s="8"/>
      <c r="V63743" s="8"/>
      <c r="W63743" s="8"/>
      <c r="X63743" s="8"/>
      <c r="Y63743" s="8"/>
      <c r="Z63743" s="8"/>
      <c r="AA63743" s="8"/>
    </row>
    <row r="63744" spans="1:27" x14ac:dyDescent="0.25">
      <c r="A63744" s="8"/>
      <c r="B63744" s="8"/>
      <c r="C63744" s="99"/>
      <c r="D63744" s="8"/>
      <c r="E63744" s="8"/>
      <c r="F63744" s="8"/>
      <c r="G63744" s="8"/>
      <c r="H63744" s="8"/>
      <c r="I63744" s="102"/>
      <c r="J63744" s="8"/>
      <c r="K63744" s="8"/>
      <c r="L63744" s="8"/>
      <c r="M63744" s="8"/>
      <c r="N63744" s="8"/>
      <c r="O63744" s="8"/>
      <c r="P63744" s="8"/>
      <c r="Q63744" s="8"/>
      <c r="R63744" s="103"/>
      <c r="S63744" s="8"/>
      <c r="T63744" s="8"/>
      <c r="U63744" s="8"/>
      <c r="V63744" s="8"/>
      <c r="W63744" s="8"/>
      <c r="X63744" s="8"/>
      <c r="Y63744" s="8"/>
      <c r="Z63744" s="8"/>
      <c r="AA63744" s="8"/>
    </row>
    <row r="63745" spans="1:27" x14ac:dyDescent="0.25">
      <c r="A63745" s="8"/>
      <c r="B63745" s="8"/>
      <c r="C63745" s="99"/>
      <c r="D63745" s="8"/>
      <c r="E63745" s="8"/>
      <c r="F63745" s="8"/>
      <c r="G63745" s="8"/>
      <c r="H63745" s="8"/>
      <c r="I63745" s="102"/>
      <c r="J63745" s="8"/>
      <c r="K63745" s="8"/>
      <c r="L63745" s="8"/>
      <c r="M63745" s="8"/>
      <c r="N63745" s="8"/>
      <c r="O63745" s="8"/>
      <c r="P63745" s="8"/>
      <c r="Q63745" s="8"/>
      <c r="R63745" s="103"/>
      <c r="S63745" s="8"/>
      <c r="T63745" s="8"/>
      <c r="U63745" s="8"/>
      <c r="V63745" s="8"/>
      <c r="W63745" s="8"/>
      <c r="X63745" s="8"/>
      <c r="Y63745" s="8"/>
      <c r="Z63745" s="8"/>
      <c r="AA63745" s="8"/>
    </row>
    <row r="63746" spans="1:27" x14ac:dyDescent="0.25">
      <c r="A63746" s="8"/>
      <c r="B63746" s="8"/>
      <c r="C63746" s="99"/>
      <c r="D63746" s="8"/>
      <c r="E63746" s="8"/>
      <c r="F63746" s="8"/>
      <c r="G63746" s="8"/>
      <c r="H63746" s="8"/>
      <c r="I63746" s="102"/>
      <c r="J63746" s="8"/>
      <c r="K63746" s="8"/>
      <c r="L63746" s="8"/>
      <c r="M63746" s="8"/>
      <c r="N63746" s="8"/>
      <c r="O63746" s="8"/>
      <c r="P63746" s="8"/>
      <c r="Q63746" s="8"/>
      <c r="R63746" s="103"/>
      <c r="S63746" s="8"/>
      <c r="T63746" s="8"/>
      <c r="U63746" s="8"/>
      <c r="V63746" s="8"/>
      <c r="W63746" s="8"/>
      <c r="X63746" s="8"/>
      <c r="Y63746" s="8"/>
      <c r="Z63746" s="8"/>
      <c r="AA63746" s="8"/>
    </row>
    <row r="63747" spans="1:27" x14ac:dyDescent="0.25">
      <c r="A63747" s="8"/>
      <c r="B63747" s="8"/>
      <c r="C63747" s="99"/>
      <c r="D63747" s="8"/>
      <c r="E63747" s="8"/>
      <c r="F63747" s="8"/>
      <c r="G63747" s="8"/>
      <c r="H63747" s="8"/>
      <c r="I63747" s="102"/>
      <c r="J63747" s="8"/>
      <c r="K63747" s="8"/>
      <c r="L63747" s="8"/>
      <c r="M63747" s="8"/>
      <c r="N63747" s="8"/>
      <c r="O63747" s="8"/>
      <c r="P63747" s="8"/>
      <c r="Q63747" s="8"/>
      <c r="R63747" s="103"/>
      <c r="S63747" s="8"/>
      <c r="T63747" s="8"/>
      <c r="U63747" s="8"/>
      <c r="V63747" s="8"/>
      <c r="W63747" s="8"/>
      <c r="X63747" s="8"/>
      <c r="Y63747" s="8"/>
      <c r="Z63747" s="8"/>
      <c r="AA63747" s="8"/>
    </row>
    <row r="63748" spans="1:27" x14ac:dyDescent="0.25">
      <c r="A63748" s="8"/>
      <c r="B63748" s="8"/>
      <c r="C63748" s="99"/>
      <c r="D63748" s="8"/>
      <c r="E63748" s="8"/>
      <c r="F63748" s="8"/>
      <c r="G63748" s="8"/>
      <c r="H63748" s="8"/>
      <c r="I63748" s="102"/>
      <c r="J63748" s="8"/>
      <c r="K63748" s="8"/>
      <c r="L63748" s="8"/>
      <c r="M63748" s="8"/>
      <c r="N63748" s="8"/>
      <c r="O63748" s="8"/>
      <c r="P63748" s="8"/>
      <c r="Q63748" s="8"/>
      <c r="R63748" s="103"/>
      <c r="S63748" s="8"/>
      <c r="T63748" s="8"/>
      <c r="U63748" s="8"/>
      <c r="V63748" s="8"/>
      <c r="W63748" s="8"/>
      <c r="X63748" s="8"/>
      <c r="Y63748" s="8"/>
      <c r="Z63748" s="8"/>
      <c r="AA63748" s="8"/>
    </row>
    <row r="63749" spans="1:27" x14ac:dyDescent="0.25">
      <c r="A63749" s="8"/>
      <c r="B63749" s="8"/>
      <c r="C63749" s="99"/>
      <c r="D63749" s="8"/>
      <c r="E63749" s="8"/>
      <c r="F63749" s="8"/>
      <c r="G63749" s="8"/>
      <c r="H63749" s="8"/>
      <c r="I63749" s="102"/>
      <c r="J63749" s="8"/>
      <c r="K63749" s="8"/>
      <c r="L63749" s="8"/>
      <c r="M63749" s="8"/>
      <c r="N63749" s="8"/>
      <c r="O63749" s="8"/>
      <c r="P63749" s="8"/>
      <c r="Q63749" s="8"/>
      <c r="R63749" s="103"/>
      <c r="S63749" s="8"/>
      <c r="T63749" s="8"/>
      <c r="U63749" s="8"/>
      <c r="V63749" s="8"/>
      <c r="W63749" s="8"/>
      <c r="X63749" s="8"/>
      <c r="Y63749" s="8"/>
      <c r="Z63749" s="8"/>
      <c r="AA63749" s="8"/>
    </row>
    <row r="63750" spans="1:27" x14ac:dyDescent="0.25">
      <c r="A63750" s="8"/>
      <c r="B63750" s="8"/>
      <c r="C63750" s="99"/>
      <c r="D63750" s="8"/>
      <c r="E63750" s="8"/>
      <c r="F63750" s="8"/>
      <c r="G63750" s="8"/>
      <c r="H63750" s="8"/>
      <c r="I63750" s="102"/>
      <c r="J63750" s="8"/>
      <c r="K63750" s="8"/>
      <c r="L63750" s="8"/>
      <c r="M63750" s="8"/>
      <c r="N63750" s="8"/>
      <c r="O63750" s="8"/>
      <c r="P63750" s="8"/>
      <c r="Q63750" s="8"/>
      <c r="R63750" s="103"/>
      <c r="S63750" s="8"/>
      <c r="T63750" s="8"/>
      <c r="U63750" s="8"/>
      <c r="V63750" s="8"/>
      <c r="W63750" s="8"/>
      <c r="X63750" s="8"/>
      <c r="Y63750" s="8"/>
      <c r="Z63750" s="8"/>
      <c r="AA63750" s="8"/>
    </row>
    <row r="63751" spans="1:27" x14ac:dyDescent="0.25">
      <c r="A63751" s="8"/>
      <c r="B63751" s="8"/>
      <c r="C63751" s="99"/>
      <c r="D63751" s="8"/>
      <c r="E63751" s="8"/>
      <c r="F63751" s="8"/>
      <c r="G63751" s="8"/>
      <c r="H63751" s="8"/>
      <c r="I63751" s="102"/>
      <c r="J63751" s="8"/>
      <c r="K63751" s="8"/>
      <c r="L63751" s="8"/>
      <c r="M63751" s="8"/>
      <c r="N63751" s="8"/>
      <c r="O63751" s="8"/>
      <c r="P63751" s="8"/>
      <c r="Q63751" s="8"/>
      <c r="R63751" s="103"/>
      <c r="S63751" s="8"/>
      <c r="T63751" s="8"/>
      <c r="U63751" s="8"/>
      <c r="V63751" s="8"/>
      <c r="W63751" s="8"/>
      <c r="X63751" s="8"/>
      <c r="Y63751" s="8"/>
      <c r="Z63751" s="8"/>
      <c r="AA63751" s="8"/>
    </row>
    <row r="63752" spans="1:27" x14ac:dyDescent="0.25">
      <c r="A63752" s="8"/>
      <c r="B63752" s="8"/>
      <c r="C63752" s="99"/>
      <c r="D63752" s="8"/>
      <c r="E63752" s="8"/>
      <c r="F63752" s="8"/>
      <c r="G63752" s="8"/>
      <c r="H63752" s="8"/>
      <c r="I63752" s="102"/>
      <c r="J63752" s="8"/>
      <c r="K63752" s="8"/>
      <c r="L63752" s="8"/>
      <c r="M63752" s="8"/>
      <c r="N63752" s="8"/>
      <c r="O63752" s="8"/>
      <c r="P63752" s="8"/>
      <c r="Q63752" s="8"/>
      <c r="R63752" s="103"/>
      <c r="S63752" s="8"/>
      <c r="T63752" s="8"/>
      <c r="U63752" s="8"/>
      <c r="V63752" s="8"/>
      <c r="W63752" s="8"/>
      <c r="X63752" s="8"/>
      <c r="Y63752" s="8"/>
      <c r="Z63752" s="8"/>
      <c r="AA63752" s="8"/>
    </row>
    <row r="63753" spans="1:27" x14ac:dyDescent="0.25">
      <c r="A63753" s="8"/>
      <c r="B63753" s="8"/>
      <c r="C63753" s="99"/>
      <c r="D63753" s="8"/>
      <c r="E63753" s="8"/>
      <c r="F63753" s="8"/>
      <c r="G63753" s="8"/>
      <c r="H63753" s="8"/>
      <c r="I63753" s="102"/>
      <c r="J63753" s="8"/>
      <c r="K63753" s="8"/>
      <c r="L63753" s="8"/>
      <c r="M63753" s="8"/>
      <c r="N63753" s="8"/>
      <c r="O63753" s="8"/>
      <c r="P63753" s="8"/>
      <c r="Q63753" s="8"/>
      <c r="R63753" s="103"/>
      <c r="S63753" s="8"/>
      <c r="T63753" s="8"/>
      <c r="U63753" s="8"/>
      <c r="V63753" s="8"/>
      <c r="W63753" s="8"/>
      <c r="X63753" s="8"/>
      <c r="Y63753" s="8"/>
      <c r="Z63753" s="8"/>
      <c r="AA63753" s="8"/>
    </row>
    <row r="63754" spans="1:27" x14ac:dyDescent="0.25">
      <c r="A63754" s="8"/>
      <c r="B63754" s="8"/>
      <c r="C63754" s="99"/>
      <c r="D63754" s="8"/>
      <c r="E63754" s="8"/>
      <c r="F63754" s="8"/>
      <c r="G63754" s="8"/>
      <c r="H63754" s="8"/>
      <c r="I63754" s="102"/>
      <c r="J63754" s="8"/>
      <c r="K63754" s="8"/>
      <c r="L63754" s="8"/>
      <c r="M63754" s="8"/>
      <c r="N63754" s="8"/>
      <c r="O63754" s="8"/>
      <c r="P63754" s="8"/>
      <c r="Q63754" s="8"/>
      <c r="R63754" s="103"/>
      <c r="S63754" s="8"/>
      <c r="T63754" s="8"/>
      <c r="U63754" s="8"/>
      <c r="V63754" s="8"/>
      <c r="W63754" s="8"/>
      <c r="X63754" s="8"/>
      <c r="Y63754" s="8"/>
      <c r="Z63754" s="8"/>
      <c r="AA63754" s="8"/>
    </row>
    <row r="63755" spans="1:27" x14ac:dyDescent="0.25">
      <c r="A63755" s="8"/>
      <c r="B63755" s="8"/>
      <c r="C63755" s="99"/>
      <c r="D63755" s="8"/>
      <c r="E63755" s="8"/>
      <c r="F63755" s="8"/>
      <c r="G63755" s="8"/>
      <c r="H63755" s="8"/>
      <c r="I63755" s="102"/>
      <c r="J63755" s="8"/>
      <c r="K63755" s="8"/>
      <c r="L63755" s="8"/>
      <c r="M63755" s="8"/>
      <c r="N63755" s="8"/>
      <c r="O63755" s="8"/>
      <c r="P63755" s="8"/>
      <c r="Q63755" s="8"/>
      <c r="R63755" s="103"/>
      <c r="S63755" s="8"/>
      <c r="T63755" s="8"/>
      <c r="U63755" s="8"/>
      <c r="V63755" s="8"/>
      <c r="W63755" s="8"/>
      <c r="X63755" s="8"/>
      <c r="Y63755" s="8"/>
      <c r="Z63755" s="8"/>
      <c r="AA63755" s="8"/>
    </row>
    <row r="63756" spans="1:27" x14ac:dyDescent="0.25">
      <c r="A63756" s="8"/>
      <c r="B63756" s="8"/>
      <c r="C63756" s="99"/>
      <c r="D63756" s="8"/>
      <c r="E63756" s="8"/>
      <c r="F63756" s="8"/>
      <c r="G63756" s="8"/>
      <c r="H63756" s="8"/>
      <c r="I63756" s="102"/>
      <c r="J63756" s="8"/>
      <c r="K63756" s="8"/>
      <c r="L63756" s="8"/>
      <c r="M63756" s="8"/>
      <c r="N63756" s="8"/>
      <c r="O63756" s="8"/>
      <c r="P63756" s="8"/>
      <c r="Q63756" s="8"/>
      <c r="R63756" s="103"/>
      <c r="S63756" s="8"/>
      <c r="T63756" s="8"/>
      <c r="U63756" s="8"/>
      <c r="V63756" s="8"/>
      <c r="W63756" s="8"/>
      <c r="X63756" s="8"/>
      <c r="Y63756" s="8"/>
      <c r="Z63756" s="8"/>
      <c r="AA63756" s="8"/>
    </row>
    <row r="63757" spans="1:27" x14ac:dyDescent="0.25">
      <c r="A63757" s="8"/>
      <c r="B63757" s="8"/>
      <c r="C63757" s="99"/>
      <c r="D63757" s="8"/>
      <c r="E63757" s="8"/>
      <c r="F63757" s="8"/>
      <c r="G63757" s="8"/>
      <c r="H63757" s="8"/>
      <c r="I63757" s="102"/>
      <c r="J63757" s="8"/>
      <c r="K63757" s="8"/>
      <c r="L63757" s="8"/>
      <c r="M63757" s="8"/>
      <c r="N63757" s="8"/>
      <c r="O63757" s="8"/>
      <c r="P63757" s="8"/>
      <c r="Q63757" s="8"/>
      <c r="R63757" s="103"/>
      <c r="S63757" s="8"/>
      <c r="T63757" s="8"/>
      <c r="U63757" s="8"/>
      <c r="V63757" s="8"/>
      <c r="W63757" s="8"/>
      <c r="X63757" s="8"/>
      <c r="Y63757" s="8"/>
      <c r="Z63757" s="8"/>
      <c r="AA63757" s="8"/>
    </row>
    <row r="63758" spans="1:27" x14ac:dyDescent="0.25">
      <c r="A63758" s="8"/>
      <c r="B63758" s="8"/>
      <c r="C63758" s="99"/>
      <c r="D63758" s="8"/>
      <c r="E63758" s="8"/>
      <c r="F63758" s="8"/>
      <c r="G63758" s="8"/>
      <c r="H63758" s="8"/>
      <c r="I63758" s="102"/>
      <c r="J63758" s="8"/>
      <c r="K63758" s="8"/>
      <c r="L63758" s="8"/>
      <c r="M63758" s="8"/>
      <c r="N63758" s="8"/>
      <c r="O63758" s="8"/>
      <c r="P63758" s="8"/>
      <c r="Q63758" s="8"/>
      <c r="R63758" s="103"/>
      <c r="S63758" s="8"/>
      <c r="T63758" s="8"/>
      <c r="U63758" s="8"/>
      <c r="V63758" s="8"/>
      <c r="W63758" s="8"/>
      <c r="X63758" s="8"/>
      <c r="Y63758" s="8"/>
      <c r="Z63758" s="8"/>
      <c r="AA63758" s="8"/>
    </row>
    <row r="63759" spans="1:27" x14ac:dyDescent="0.25">
      <c r="A63759" s="8"/>
      <c r="B63759" s="8"/>
      <c r="C63759" s="99"/>
      <c r="D63759" s="8"/>
      <c r="E63759" s="8"/>
      <c r="F63759" s="8"/>
      <c r="G63759" s="8"/>
      <c r="H63759" s="8"/>
      <c r="I63759" s="102"/>
      <c r="J63759" s="8"/>
      <c r="K63759" s="8"/>
      <c r="L63759" s="8"/>
      <c r="M63759" s="8"/>
      <c r="N63759" s="8"/>
      <c r="O63759" s="8"/>
      <c r="P63759" s="8"/>
      <c r="Q63759" s="8"/>
      <c r="R63759" s="103"/>
      <c r="S63759" s="8"/>
      <c r="T63759" s="8"/>
      <c r="U63759" s="8"/>
      <c r="V63759" s="8"/>
      <c r="W63759" s="8"/>
      <c r="X63759" s="8"/>
      <c r="Y63759" s="8"/>
      <c r="Z63759" s="8"/>
      <c r="AA63759" s="8"/>
    </row>
    <row r="63760" spans="1:27" x14ac:dyDescent="0.25">
      <c r="A63760" s="8"/>
      <c r="B63760" s="8"/>
      <c r="C63760" s="99"/>
      <c r="D63760" s="8"/>
      <c r="E63760" s="8"/>
      <c r="F63760" s="8"/>
      <c r="G63760" s="8"/>
      <c r="H63760" s="8"/>
      <c r="I63760" s="102"/>
      <c r="J63760" s="8"/>
      <c r="K63760" s="8"/>
      <c r="L63760" s="8"/>
      <c r="M63760" s="8"/>
      <c r="N63760" s="8"/>
      <c r="O63760" s="8"/>
      <c r="P63760" s="8"/>
      <c r="Q63760" s="8"/>
      <c r="R63760" s="103"/>
      <c r="S63760" s="8"/>
      <c r="T63760" s="8"/>
      <c r="U63760" s="8"/>
      <c r="V63760" s="8"/>
      <c r="W63760" s="8"/>
      <c r="X63760" s="8"/>
      <c r="Y63760" s="8"/>
      <c r="Z63760" s="8"/>
      <c r="AA63760" s="8"/>
    </row>
    <row r="63761" spans="1:27" x14ac:dyDescent="0.25">
      <c r="A63761" s="8"/>
      <c r="B63761" s="8"/>
      <c r="C63761" s="99"/>
      <c r="D63761" s="8"/>
      <c r="E63761" s="8"/>
      <c r="F63761" s="8"/>
      <c r="G63761" s="8"/>
      <c r="H63761" s="8"/>
      <c r="I63761" s="102"/>
      <c r="J63761" s="8"/>
      <c r="K63761" s="8"/>
      <c r="L63761" s="8"/>
      <c r="M63761" s="8"/>
      <c r="N63761" s="8"/>
      <c r="O63761" s="8"/>
      <c r="P63761" s="8"/>
      <c r="Q63761" s="8"/>
      <c r="R63761" s="103"/>
      <c r="S63761" s="8"/>
      <c r="T63761" s="8"/>
      <c r="U63761" s="8"/>
      <c r="V63761" s="8"/>
      <c r="W63761" s="8"/>
      <c r="X63761" s="8"/>
      <c r="Y63761" s="8"/>
      <c r="Z63761" s="8"/>
      <c r="AA63761" s="8"/>
    </row>
    <row r="63762" spans="1:27" x14ac:dyDescent="0.25">
      <c r="A63762" s="8"/>
      <c r="B63762" s="8"/>
      <c r="C63762" s="99"/>
      <c r="D63762" s="8"/>
      <c r="E63762" s="8"/>
      <c r="F63762" s="8"/>
      <c r="G63762" s="8"/>
      <c r="H63762" s="8"/>
      <c r="I63762" s="102"/>
      <c r="J63762" s="8"/>
      <c r="K63762" s="8"/>
      <c r="L63762" s="8"/>
      <c r="M63762" s="8"/>
      <c r="N63762" s="8"/>
      <c r="O63762" s="8"/>
      <c r="P63762" s="8"/>
      <c r="Q63762" s="8"/>
      <c r="R63762" s="103"/>
      <c r="S63762" s="8"/>
      <c r="T63762" s="8"/>
      <c r="U63762" s="8"/>
      <c r="V63762" s="8"/>
      <c r="W63762" s="8"/>
      <c r="X63762" s="8"/>
      <c r="Y63762" s="8"/>
      <c r="Z63762" s="8"/>
      <c r="AA63762" s="8"/>
    </row>
    <row r="63763" spans="1:27" x14ac:dyDescent="0.25">
      <c r="A63763" s="8"/>
      <c r="B63763" s="8"/>
      <c r="C63763" s="99"/>
      <c r="D63763" s="8"/>
      <c r="E63763" s="8"/>
      <c r="F63763" s="8"/>
      <c r="G63763" s="8"/>
      <c r="H63763" s="8"/>
      <c r="I63763" s="102"/>
      <c r="J63763" s="8"/>
      <c r="K63763" s="8"/>
      <c r="L63763" s="8"/>
      <c r="M63763" s="8"/>
      <c r="N63763" s="8"/>
      <c r="O63763" s="8"/>
      <c r="P63763" s="8"/>
      <c r="Q63763" s="8"/>
      <c r="R63763" s="103"/>
      <c r="S63763" s="8"/>
      <c r="T63763" s="8"/>
      <c r="U63763" s="8"/>
      <c r="V63763" s="8"/>
      <c r="W63763" s="8"/>
      <c r="X63763" s="8"/>
      <c r="Y63763" s="8"/>
      <c r="Z63763" s="8"/>
      <c r="AA63763" s="8"/>
    </row>
    <row r="63764" spans="1:27" x14ac:dyDescent="0.25">
      <c r="A63764" s="8"/>
      <c r="B63764" s="8"/>
      <c r="C63764" s="99"/>
      <c r="D63764" s="8"/>
      <c r="E63764" s="8"/>
      <c r="F63764" s="8"/>
      <c r="G63764" s="8"/>
      <c r="H63764" s="8"/>
      <c r="I63764" s="102"/>
      <c r="J63764" s="8"/>
      <c r="K63764" s="8"/>
      <c r="L63764" s="8"/>
      <c r="M63764" s="8"/>
      <c r="N63764" s="8"/>
      <c r="O63764" s="8"/>
      <c r="P63764" s="8"/>
      <c r="Q63764" s="8"/>
      <c r="R63764" s="103"/>
      <c r="S63764" s="8"/>
      <c r="T63764" s="8"/>
      <c r="U63764" s="8"/>
      <c r="V63764" s="8"/>
      <c r="W63764" s="8"/>
      <c r="X63764" s="8"/>
      <c r="Y63764" s="8"/>
      <c r="Z63764" s="8"/>
      <c r="AA63764" s="8"/>
    </row>
    <row r="63765" spans="1:27" x14ac:dyDescent="0.25">
      <c r="A63765" s="8"/>
      <c r="B63765" s="8"/>
      <c r="C63765" s="99"/>
      <c r="D63765" s="8"/>
      <c r="E63765" s="8"/>
      <c r="F63765" s="8"/>
      <c r="G63765" s="8"/>
      <c r="H63765" s="8"/>
      <c r="I63765" s="102"/>
      <c r="J63765" s="8"/>
      <c r="K63765" s="8"/>
      <c r="L63765" s="8"/>
      <c r="M63765" s="8"/>
      <c r="N63765" s="8"/>
      <c r="O63765" s="8"/>
      <c r="P63765" s="8"/>
      <c r="Q63765" s="8"/>
      <c r="R63765" s="103"/>
      <c r="S63765" s="8"/>
      <c r="T63765" s="8"/>
      <c r="U63765" s="8"/>
      <c r="V63765" s="8"/>
      <c r="W63765" s="8"/>
      <c r="X63765" s="8"/>
      <c r="Y63765" s="8"/>
      <c r="Z63765" s="8"/>
      <c r="AA63765" s="8"/>
    </row>
    <row r="63766" spans="1:27" x14ac:dyDescent="0.25">
      <c r="A63766" s="8"/>
      <c r="B63766" s="8"/>
      <c r="C63766" s="99"/>
      <c r="D63766" s="8"/>
      <c r="E63766" s="8"/>
      <c r="F63766" s="8"/>
      <c r="G63766" s="8"/>
      <c r="H63766" s="8"/>
      <c r="I63766" s="102"/>
      <c r="J63766" s="8"/>
      <c r="K63766" s="8"/>
      <c r="L63766" s="8"/>
      <c r="M63766" s="8"/>
      <c r="N63766" s="8"/>
      <c r="O63766" s="8"/>
      <c r="P63766" s="8"/>
      <c r="Q63766" s="8"/>
      <c r="R63766" s="103"/>
      <c r="S63766" s="8"/>
      <c r="T63766" s="8"/>
      <c r="U63766" s="8"/>
      <c r="V63766" s="8"/>
      <c r="W63766" s="8"/>
      <c r="X63766" s="8"/>
      <c r="Y63766" s="8"/>
      <c r="Z63766" s="8"/>
      <c r="AA63766" s="8"/>
    </row>
    <row r="63767" spans="1:27" x14ac:dyDescent="0.25">
      <c r="A63767" s="8"/>
      <c r="B63767" s="8"/>
      <c r="C63767" s="99"/>
      <c r="D63767" s="8"/>
      <c r="E63767" s="8"/>
      <c r="F63767" s="8"/>
      <c r="G63767" s="8"/>
      <c r="H63767" s="8"/>
      <c r="I63767" s="102"/>
      <c r="J63767" s="8"/>
      <c r="K63767" s="8"/>
      <c r="L63767" s="8"/>
      <c r="M63767" s="8"/>
      <c r="N63767" s="8"/>
      <c r="O63767" s="8"/>
      <c r="P63767" s="8"/>
      <c r="Q63767" s="8"/>
      <c r="R63767" s="103"/>
      <c r="S63767" s="8"/>
      <c r="T63767" s="8"/>
      <c r="U63767" s="8"/>
      <c r="V63767" s="8"/>
      <c r="W63767" s="8"/>
      <c r="X63767" s="8"/>
      <c r="Y63767" s="8"/>
      <c r="Z63767" s="8"/>
      <c r="AA63767" s="8"/>
    </row>
    <row r="63768" spans="1:27" x14ac:dyDescent="0.25">
      <c r="A63768" s="8"/>
      <c r="B63768" s="8"/>
      <c r="C63768" s="99"/>
      <c r="D63768" s="8"/>
      <c r="E63768" s="8"/>
      <c r="F63768" s="8"/>
      <c r="G63768" s="8"/>
      <c r="H63768" s="8"/>
      <c r="I63768" s="102"/>
      <c r="J63768" s="8"/>
      <c r="K63768" s="8"/>
      <c r="L63768" s="8"/>
      <c r="M63768" s="8"/>
      <c r="N63768" s="8"/>
      <c r="O63768" s="8"/>
      <c r="P63768" s="8"/>
      <c r="Q63768" s="8"/>
      <c r="R63768" s="103"/>
      <c r="S63768" s="8"/>
      <c r="T63768" s="8"/>
      <c r="U63768" s="8"/>
      <c r="V63768" s="8"/>
      <c r="W63768" s="8"/>
      <c r="X63768" s="8"/>
      <c r="Y63768" s="8"/>
      <c r="Z63768" s="8"/>
      <c r="AA63768" s="8"/>
    </row>
    <row r="63769" spans="1:27" x14ac:dyDescent="0.25">
      <c r="A63769" s="8"/>
      <c r="B63769" s="8"/>
      <c r="C63769" s="99"/>
      <c r="D63769" s="8"/>
      <c r="E63769" s="8"/>
      <c r="F63769" s="8"/>
      <c r="G63769" s="8"/>
      <c r="H63769" s="8"/>
      <c r="I63769" s="102"/>
      <c r="J63769" s="8"/>
      <c r="K63769" s="8"/>
      <c r="L63769" s="8"/>
      <c r="M63769" s="8"/>
      <c r="N63769" s="8"/>
      <c r="O63769" s="8"/>
      <c r="P63769" s="8"/>
      <c r="Q63769" s="8"/>
      <c r="R63769" s="103"/>
      <c r="S63769" s="8"/>
      <c r="T63769" s="8"/>
      <c r="U63769" s="8"/>
      <c r="V63769" s="8"/>
      <c r="W63769" s="8"/>
      <c r="X63769" s="8"/>
      <c r="Y63769" s="8"/>
      <c r="Z63769" s="8"/>
      <c r="AA63769" s="8"/>
    </row>
    <row r="63770" spans="1:27" x14ac:dyDescent="0.25">
      <c r="A63770" s="8"/>
      <c r="B63770" s="8"/>
      <c r="C63770" s="99"/>
      <c r="D63770" s="8"/>
      <c r="E63770" s="8"/>
      <c r="F63770" s="8"/>
      <c r="G63770" s="8"/>
      <c r="H63770" s="8"/>
      <c r="I63770" s="102"/>
      <c r="J63770" s="8"/>
      <c r="K63770" s="8"/>
      <c r="L63770" s="8"/>
      <c r="M63770" s="8"/>
      <c r="N63770" s="8"/>
      <c r="O63770" s="8"/>
      <c r="P63770" s="8"/>
      <c r="Q63770" s="8"/>
      <c r="R63770" s="103"/>
      <c r="S63770" s="8"/>
      <c r="T63770" s="8"/>
      <c r="U63770" s="8"/>
      <c r="V63770" s="8"/>
      <c r="W63770" s="8"/>
      <c r="X63770" s="8"/>
      <c r="Y63770" s="8"/>
      <c r="Z63770" s="8"/>
      <c r="AA63770" s="8"/>
    </row>
    <row r="63771" spans="1:27" x14ac:dyDescent="0.25">
      <c r="A63771" s="8"/>
      <c r="B63771" s="8"/>
      <c r="C63771" s="99"/>
      <c r="D63771" s="8"/>
      <c r="E63771" s="8"/>
      <c r="F63771" s="8"/>
      <c r="G63771" s="8"/>
      <c r="H63771" s="8"/>
      <c r="I63771" s="102"/>
      <c r="J63771" s="8"/>
      <c r="K63771" s="8"/>
      <c r="L63771" s="8"/>
      <c r="M63771" s="8"/>
      <c r="N63771" s="8"/>
      <c r="O63771" s="8"/>
      <c r="P63771" s="8"/>
      <c r="Q63771" s="8"/>
      <c r="R63771" s="103"/>
      <c r="S63771" s="8"/>
      <c r="T63771" s="8"/>
      <c r="U63771" s="8"/>
      <c r="V63771" s="8"/>
      <c r="W63771" s="8"/>
      <c r="X63771" s="8"/>
      <c r="Y63771" s="8"/>
      <c r="Z63771" s="8"/>
      <c r="AA63771" s="8"/>
    </row>
    <row r="63772" spans="1:27" x14ac:dyDescent="0.25">
      <c r="A63772" s="8"/>
      <c r="B63772" s="8"/>
      <c r="C63772" s="99"/>
      <c r="D63772" s="8"/>
      <c r="E63772" s="8"/>
      <c r="F63772" s="8"/>
      <c r="G63772" s="8"/>
      <c r="H63772" s="8"/>
      <c r="I63772" s="102"/>
      <c r="J63772" s="8"/>
      <c r="K63772" s="8"/>
      <c r="L63772" s="8"/>
      <c r="M63772" s="8"/>
      <c r="N63772" s="8"/>
      <c r="O63772" s="8"/>
      <c r="P63772" s="8"/>
      <c r="Q63772" s="8"/>
      <c r="R63772" s="103"/>
      <c r="S63772" s="8"/>
      <c r="T63772" s="8"/>
      <c r="U63772" s="8"/>
      <c r="V63772" s="8"/>
      <c r="W63772" s="8"/>
      <c r="X63772" s="8"/>
      <c r="Y63772" s="8"/>
      <c r="Z63772" s="8"/>
      <c r="AA63772" s="8"/>
    </row>
    <row r="63773" spans="1:27" x14ac:dyDescent="0.25">
      <c r="A63773" s="8"/>
      <c r="B63773" s="8"/>
      <c r="C63773" s="99"/>
      <c r="D63773" s="8"/>
      <c r="E63773" s="8"/>
      <c r="F63773" s="8"/>
      <c r="G63773" s="8"/>
      <c r="H63773" s="8"/>
      <c r="I63773" s="102"/>
      <c r="J63773" s="8"/>
      <c r="K63773" s="8"/>
      <c r="L63773" s="8"/>
      <c r="M63773" s="8"/>
      <c r="N63773" s="8"/>
      <c r="O63773" s="8"/>
      <c r="P63773" s="8"/>
      <c r="Q63773" s="8"/>
      <c r="R63773" s="103"/>
      <c r="S63773" s="8"/>
      <c r="T63773" s="8"/>
      <c r="U63773" s="8"/>
      <c r="V63773" s="8"/>
      <c r="W63773" s="8"/>
      <c r="X63773" s="8"/>
      <c r="Y63773" s="8"/>
      <c r="Z63773" s="8"/>
      <c r="AA63773" s="8"/>
    </row>
    <row r="63774" spans="1:27" x14ac:dyDescent="0.25">
      <c r="A63774" s="8"/>
      <c r="B63774" s="8"/>
      <c r="C63774" s="99"/>
      <c r="D63774" s="8"/>
      <c r="E63774" s="8"/>
      <c r="F63774" s="8"/>
      <c r="G63774" s="8"/>
      <c r="H63774" s="8"/>
      <c r="I63774" s="102"/>
      <c r="J63774" s="8"/>
      <c r="K63774" s="8"/>
      <c r="L63774" s="8"/>
      <c r="M63774" s="8"/>
      <c r="N63774" s="8"/>
      <c r="O63774" s="8"/>
      <c r="P63774" s="8"/>
      <c r="Q63774" s="8"/>
      <c r="R63774" s="103"/>
      <c r="S63774" s="8"/>
      <c r="T63774" s="8"/>
      <c r="U63774" s="8"/>
      <c r="V63774" s="8"/>
      <c r="W63774" s="8"/>
      <c r="X63774" s="8"/>
      <c r="Y63774" s="8"/>
      <c r="Z63774" s="8"/>
      <c r="AA63774" s="8"/>
    </row>
    <row r="63775" spans="1:27" x14ac:dyDescent="0.25">
      <c r="A63775" s="8"/>
      <c r="B63775" s="8"/>
      <c r="C63775" s="99"/>
      <c r="D63775" s="8"/>
      <c r="E63775" s="8"/>
      <c r="F63775" s="8"/>
      <c r="G63775" s="8"/>
      <c r="H63775" s="8"/>
      <c r="I63775" s="102"/>
      <c r="J63775" s="8"/>
      <c r="K63775" s="8"/>
      <c r="L63775" s="8"/>
      <c r="M63775" s="8"/>
      <c r="N63775" s="8"/>
      <c r="O63775" s="8"/>
      <c r="P63775" s="8"/>
      <c r="Q63775" s="8"/>
      <c r="R63775" s="103"/>
      <c r="S63775" s="8"/>
      <c r="T63775" s="8"/>
      <c r="U63775" s="8"/>
      <c r="V63775" s="8"/>
      <c r="W63775" s="8"/>
      <c r="X63775" s="8"/>
      <c r="Y63775" s="8"/>
      <c r="Z63775" s="8"/>
      <c r="AA63775" s="8"/>
    </row>
    <row r="63776" spans="1:27" x14ac:dyDescent="0.25">
      <c r="A63776" s="8"/>
      <c r="B63776" s="8"/>
      <c r="C63776" s="99"/>
      <c r="D63776" s="8"/>
      <c r="E63776" s="8"/>
      <c r="F63776" s="8"/>
      <c r="G63776" s="8"/>
      <c r="H63776" s="8"/>
      <c r="I63776" s="102"/>
      <c r="J63776" s="8"/>
      <c r="K63776" s="8"/>
      <c r="L63776" s="8"/>
      <c r="M63776" s="8"/>
      <c r="N63776" s="8"/>
      <c r="O63776" s="8"/>
      <c r="P63776" s="8"/>
      <c r="Q63776" s="8"/>
      <c r="R63776" s="103"/>
      <c r="S63776" s="8"/>
      <c r="T63776" s="8"/>
      <c r="U63776" s="8"/>
      <c r="V63776" s="8"/>
      <c r="W63776" s="8"/>
      <c r="X63776" s="8"/>
      <c r="Y63776" s="8"/>
      <c r="Z63776" s="8"/>
      <c r="AA63776" s="8"/>
    </row>
    <row r="63777" spans="1:27" x14ac:dyDescent="0.25">
      <c r="A63777" s="8"/>
      <c r="B63777" s="8"/>
      <c r="C63777" s="99"/>
      <c r="D63777" s="8"/>
      <c r="E63777" s="8"/>
      <c r="F63777" s="8"/>
      <c r="G63777" s="8"/>
      <c r="H63777" s="8"/>
      <c r="I63777" s="102"/>
      <c r="J63777" s="8"/>
      <c r="K63777" s="8"/>
      <c r="L63777" s="8"/>
      <c r="M63777" s="8"/>
      <c r="N63777" s="8"/>
      <c r="O63777" s="8"/>
      <c r="P63777" s="8"/>
      <c r="Q63777" s="8"/>
      <c r="R63777" s="103"/>
      <c r="S63777" s="8"/>
      <c r="T63777" s="8"/>
      <c r="U63777" s="8"/>
      <c r="V63777" s="8"/>
      <c r="W63777" s="8"/>
      <c r="X63777" s="8"/>
      <c r="Y63777" s="8"/>
      <c r="Z63777" s="8"/>
      <c r="AA63777" s="8"/>
    </row>
    <row r="63778" spans="1:27" x14ac:dyDescent="0.25">
      <c r="A63778" s="8"/>
      <c r="B63778" s="8"/>
      <c r="C63778" s="99"/>
      <c r="D63778" s="8"/>
      <c r="E63778" s="8"/>
      <c r="F63778" s="8"/>
      <c r="G63778" s="8"/>
      <c r="H63778" s="8"/>
      <c r="I63778" s="102"/>
      <c r="J63778" s="8"/>
      <c r="K63778" s="8"/>
      <c r="L63778" s="8"/>
      <c r="M63778" s="8"/>
      <c r="N63778" s="8"/>
      <c r="O63778" s="8"/>
      <c r="P63778" s="8"/>
      <c r="Q63778" s="8"/>
      <c r="R63778" s="103"/>
      <c r="S63778" s="8"/>
      <c r="T63778" s="8"/>
      <c r="U63778" s="8"/>
      <c r="V63778" s="8"/>
      <c r="W63778" s="8"/>
      <c r="X63778" s="8"/>
      <c r="Y63778" s="8"/>
      <c r="Z63778" s="8"/>
      <c r="AA63778" s="8"/>
    </row>
    <row r="63779" spans="1:27" x14ac:dyDescent="0.25">
      <c r="A63779" s="8"/>
      <c r="B63779" s="8"/>
      <c r="C63779" s="99"/>
      <c r="D63779" s="8"/>
      <c r="E63779" s="8"/>
      <c r="F63779" s="8"/>
      <c r="G63779" s="8"/>
      <c r="H63779" s="8"/>
      <c r="I63779" s="102"/>
      <c r="J63779" s="8"/>
      <c r="K63779" s="8"/>
      <c r="L63779" s="8"/>
      <c r="M63779" s="8"/>
      <c r="N63779" s="8"/>
      <c r="O63779" s="8"/>
      <c r="P63779" s="8"/>
      <c r="Q63779" s="8"/>
      <c r="R63779" s="103"/>
      <c r="S63779" s="8"/>
      <c r="T63779" s="8"/>
      <c r="U63779" s="8"/>
      <c r="V63779" s="8"/>
      <c r="W63779" s="8"/>
      <c r="X63779" s="8"/>
      <c r="Y63779" s="8"/>
      <c r="Z63779" s="8"/>
      <c r="AA63779" s="8"/>
    </row>
    <row r="63780" spans="1:27" x14ac:dyDescent="0.25">
      <c r="A63780" s="8"/>
      <c r="B63780" s="8"/>
      <c r="C63780" s="99"/>
      <c r="D63780" s="8"/>
      <c r="E63780" s="8"/>
      <c r="F63780" s="8"/>
      <c r="G63780" s="8"/>
      <c r="H63780" s="8"/>
      <c r="I63780" s="102"/>
      <c r="J63780" s="8"/>
      <c r="K63780" s="8"/>
      <c r="L63780" s="8"/>
      <c r="M63780" s="8"/>
      <c r="N63780" s="8"/>
      <c r="O63780" s="8"/>
      <c r="P63780" s="8"/>
      <c r="Q63780" s="8"/>
      <c r="R63780" s="103"/>
      <c r="S63780" s="8"/>
      <c r="T63780" s="8"/>
      <c r="U63780" s="8"/>
      <c r="V63780" s="8"/>
      <c r="W63780" s="8"/>
      <c r="X63780" s="8"/>
      <c r="Y63780" s="8"/>
      <c r="Z63780" s="8"/>
      <c r="AA63780" s="8"/>
    </row>
    <row r="63781" spans="1:27" x14ac:dyDescent="0.25">
      <c r="A63781" s="8"/>
      <c r="B63781" s="8"/>
      <c r="C63781" s="99"/>
      <c r="D63781" s="8"/>
      <c r="E63781" s="8"/>
      <c r="F63781" s="8"/>
      <c r="G63781" s="8"/>
      <c r="H63781" s="8"/>
      <c r="I63781" s="102"/>
      <c r="J63781" s="8"/>
      <c r="K63781" s="8"/>
      <c r="L63781" s="8"/>
      <c r="M63781" s="8"/>
      <c r="N63781" s="8"/>
      <c r="O63781" s="8"/>
      <c r="P63781" s="8"/>
      <c r="Q63781" s="8"/>
      <c r="R63781" s="103"/>
      <c r="S63781" s="8"/>
      <c r="T63781" s="8"/>
      <c r="U63781" s="8"/>
      <c r="V63781" s="8"/>
      <c r="W63781" s="8"/>
      <c r="X63781" s="8"/>
      <c r="Y63781" s="8"/>
      <c r="Z63781" s="8"/>
      <c r="AA63781" s="8"/>
    </row>
    <row r="63782" spans="1:27" x14ac:dyDescent="0.25">
      <c r="A63782" s="8"/>
      <c r="B63782" s="8"/>
      <c r="C63782" s="99"/>
      <c r="D63782" s="8"/>
      <c r="E63782" s="8"/>
      <c r="F63782" s="8"/>
      <c r="G63782" s="8"/>
      <c r="H63782" s="8"/>
      <c r="I63782" s="102"/>
      <c r="J63782" s="8"/>
      <c r="K63782" s="8"/>
      <c r="L63782" s="8"/>
      <c r="M63782" s="8"/>
      <c r="N63782" s="8"/>
      <c r="O63782" s="8"/>
      <c r="P63782" s="8"/>
      <c r="Q63782" s="8"/>
      <c r="R63782" s="103"/>
      <c r="S63782" s="8"/>
      <c r="T63782" s="8"/>
      <c r="U63782" s="8"/>
      <c r="V63782" s="8"/>
      <c r="W63782" s="8"/>
      <c r="X63782" s="8"/>
      <c r="Y63782" s="8"/>
      <c r="Z63782" s="8"/>
      <c r="AA63782" s="8"/>
    </row>
    <row r="63783" spans="1:27" x14ac:dyDescent="0.25">
      <c r="A63783" s="8"/>
      <c r="B63783" s="8"/>
      <c r="C63783" s="99"/>
      <c r="D63783" s="8"/>
      <c r="E63783" s="8"/>
      <c r="F63783" s="8"/>
      <c r="G63783" s="8"/>
      <c r="H63783" s="8"/>
      <c r="I63783" s="102"/>
      <c r="J63783" s="8"/>
      <c r="K63783" s="8"/>
      <c r="L63783" s="8"/>
      <c r="M63783" s="8"/>
      <c r="N63783" s="8"/>
      <c r="O63783" s="8"/>
      <c r="P63783" s="8"/>
      <c r="Q63783" s="8"/>
      <c r="R63783" s="103"/>
      <c r="S63783" s="8"/>
      <c r="T63783" s="8"/>
      <c r="U63783" s="8"/>
      <c r="V63783" s="8"/>
      <c r="W63783" s="8"/>
      <c r="X63783" s="8"/>
      <c r="Y63783" s="8"/>
      <c r="Z63783" s="8"/>
      <c r="AA63783" s="8"/>
    </row>
    <row r="63784" spans="1:27" x14ac:dyDescent="0.25">
      <c r="A63784" s="8"/>
      <c r="B63784" s="8"/>
      <c r="C63784" s="99"/>
      <c r="D63784" s="8"/>
      <c r="E63784" s="8"/>
      <c r="F63784" s="8"/>
      <c r="G63784" s="8"/>
      <c r="H63784" s="8"/>
      <c r="I63784" s="102"/>
      <c r="J63784" s="8"/>
      <c r="K63784" s="8"/>
      <c r="L63784" s="8"/>
      <c r="M63784" s="8"/>
      <c r="N63784" s="8"/>
      <c r="O63784" s="8"/>
      <c r="P63784" s="8"/>
      <c r="Q63784" s="8"/>
      <c r="R63784" s="103"/>
      <c r="S63784" s="8"/>
      <c r="T63784" s="8"/>
      <c r="U63784" s="8"/>
      <c r="V63784" s="8"/>
      <c r="W63784" s="8"/>
      <c r="X63784" s="8"/>
      <c r="Y63784" s="8"/>
      <c r="Z63784" s="8"/>
      <c r="AA63784" s="8"/>
    </row>
    <row r="63785" spans="1:27" x14ac:dyDescent="0.25">
      <c r="A63785" s="8"/>
      <c r="B63785" s="8"/>
      <c r="C63785" s="99"/>
      <c r="D63785" s="8"/>
      <c r="E63785" s="8"/>
      <c r="F63785" s="8"/>
      <c r="G63785" s="8"/>
      <c r="H63785" s="8"/>
      <c r="I63785" s="102"/>
      <c r="J63785" s="8"/>
      <c r="K63785" s="8"/>
      <c r="L63785" s="8"/>
      <c r="M63785" s="8"/>
      <c r="N63785" s="8"/>
      <c r="O63785" s="8"/>
      <c r="P63785" s="8"/>
      <c r="Q63785" s="8"/>
      <c r="R63785" s="103"/>
      <c r="S63785" s="8"/>
      <c r="T63785" s="8"/>
      <c r="U63785" s="8"/>
      <c r="V63785" s="8"/>
      <c r="W63785" s="8"/>
      <c r="X63785" s="8"/>
      <c r="Y63785" s="8"/>
      <c r="Z63785" s="8"/>
      <c r="AA63785" s="8"/>
    </row>
    <row r="63786" spans="1:27" x14ac:dyDescent="0.25">
      <c r="A63786" s="8"/>
      <c r="B63786" s="8"/>
      <c r="C63786" s="99"/>
      <c r="D63786" s="8"/>
      <c r="E63786" s="8"/>
      <c r="F63786" s="8"/>
      <c r="G63786" s="8"/>
      <c r="H63786" s="8"/>
      <c r="I63786" s="102"/>
      <c r="J63786" s="8"/>
      <c r="K63786" s="8"/>
      <c r="L63786" s="8"/>
      <c r="M63786" s="8"/>
      <c r="N63786" s="8"/>
      <c r="O63786" s="8"/>
      <c r="P63786" s="8"/>
      <c r="Q63786" s="8"/>
      <c r="R63786" s="103"/>
      <c r="S63786" s="8"/>
      <c r="T63786" s="8"/>
      <c r="U63786" s="8"/>
      <c r="V63786" s="8"/>
      <c r="W63786" s="8"/>
      <c r="X63786" s="8"/>
      <c r="Y63786" s="8"/>
      <c r="Z63786" s="8"/>
      <c r="AA63786" s="8"/>
    </row>
    <row r="63787" spans="1:27" x14ac:dyDescent="0.25">
      <c r="A63787" s="8"/>
      <c r="B63787" s="8"/>
      <c r="C63787" s="99"/>
      <c r="D63787" s="8"/>
      <c r="E63787" s="8"/>
      <c r="F63787" s="8"/>
      <c r="G63787" s="8"/>
      <c r="H63787" s="8"/>
      <c r="I63787" s="102"/>
      <c r="J63787" s="8"/>
      <c r="K63787" s="8"/>
      <c r="L63787" s="8"/>
      <c r="M63787" s="8"/>
      <c r="N63787" s="8"/>
      <c r="O63787" s="8"/>
      <c r="P63787" s="8"/>
      <c r="Q63787" s="8"/>
      <c r="R63787" s="103"/>
      <c r="S63787" s="8"/>
      <c r="T63787" s="8"/>
      <c r="U63787" s="8"/>
      <c r="V63787" s="8"/>
      <c r="W63787" s="8"/>
      <c r="X63787" s="8"/>
      <c r="Y63787" s="8"/>
      <c r="Z63787" s="8"/>
      <c r="AA63787" s="8"/>
    </row>
    <row r="63788" spans="1:27" x14ac:dyDescent="0.25">
      <c r="A63788" s="8"/>
      <c r="B63788" s="8"/>
      <c r="C63788" s="99"/>
      <c r="D63788" s="8"/>
      <c r="E63788" s="8"/>
      <c r="F63788" s="8"/>
      <c r="G63788" s="8"/>
      <c r="H63788" s="8"/>
      <c r="I63788" s="102"/>
      <c r="J63788" s="8"/>
      <c r="K63788" s="8"/>
      <c r="L63788" s="8"/>
      <c r="M63788" s="8"/>
      <c r="N63788" s="8"/>
      <c r="O63788" s="8"/>
      <c r="P63788" s="8"/>
      <c r="Q63788" s="8"/>
      <c r="R63788" s="103"/>
      <c r="S63788" s="8"/>
      <c r="T63788" s="8"/>
      <c r="U63788" s="8"/>
      <c r="V63788" s="8"/>
      <c r="W63788" s="8"/>
      <c r="X63788" s="8"/>
      <c r="Y63788" s="8"/>
      <c r="Z63788" s="8"/>
      <c r="AA63788" s="8"/>
    </row>
    <row r="63789" spans="1:27" x14ac:dyDescent="0.25">
      <c r="A63789" s="8"/>
      <c r="B63789" s="8"/>
      <c r="C63789" s="99"/>
      <c r="D63789" s="8"/>
      <c r="E63789" s="8"/>
      <c r="F63789" s="8"/>
      <c r="G63789" s="8"/>
      <c r="H63789" s="8"/>
      <c r="I63789" s="102"/>
      <c r="J63789" s="8"/>
      <c r="K63789" s="8"/>
      <c r="L63789" s="8"/>
      <c r="M63789" s="8"/>
      <c r="N63789" s="8"/>
      <c r="O63789" s="8"/>
      <c r="P63789" s="8"/>
      <c r="Q63789" s="8"/>
      <c r="R63789" s="103"/>
      <c r="S63789" s="8"/>
      <c r="T63789" s="8"/>
      <c r="U63789" s="8"/>
      <c r="V63789" s="8"/>
      <c r="W63789" s="8"/>
      <c r="X63789" s="8"/>
      <c r="Y63789" s="8"/>
      <c r="Z63789" s="8"/>
      <c r="AA63789" s="8"/>
    </row>
    <row r="63790" spans="1:27" x14ac:dyDescent="0.25">
      <c r="A63790" s="8"/>
      <c r="B63790" s="8"/>
      <c r="C63790" s="99"/>
      <c r="D63790" s="8"/>
      <c r="E63790" s="8"/>
      <c r="F63790" s="8"/>
      <c r="G63790" s="8"/>
      <c r="H63790" s="8"/>
      <c r="I63790" s="102"/>
      <c r="J63790" s="8"/>
      <c r="K63790" s="8"/>
      <c r="L63790" s="8"/>
      <c r="M63790" s="8"/>
      <c r="N63790" s="8"/>
      <c r="O63790" s="8"/>
      <c r="P63790" s="8"/>
      <c r="Q63790" s="8"/>
      <c r="R63790" s="103"/>
      <c r="S63790" s="8"/>
      <c r="T63790" s="8"/>
      <c r="U63790" s="8"/>
      <c r="V63790" s="8"/>
      <c r="W63790" s="8"/>
      <c r="X63790" s="8"/>
      <c r="Y63790" s="8"/>
      <c r="Z63790" s="8"/>
      <c r="AA63790" s="8"/>
    </row>
    <row r="63791" spans="1:27" x14ac:dyDescent="0.25">
      <c r="A63791" s="8"/>
      <c r="B63791" s="8"/>
      <c r="C63791" s="99"/>
      <c r="D63791" s="8"/>
      <c r="E63791" s="8"/>
      <c r="F63791" s="8"/>
      <c r="G63791" s="8"/>
      <c r="H63791" s="8"/>
      <c r="I63791" s="102"/>
      <c r="J63791" s="8"/>
      <c r="K63791" s="8"/>
      <c r="L63791" s="8"/>
      <c r="M63791" s="8"/>
      <c r="N63791" s="8"/>
      <c r="O63791" s="8"/>
      <c r="P63791" s="8"/>
      <c r="Q63791" s="8"/>
      <c r="R63791" s="103"/>
      <c r="S63791" s="8"/>
      <c r="T63791" s="8"/>
      <c r="U63791" s="8"/>
      <c r="V63791" s="8"/>
      <c r="W63791" s="8"/>
      <c r="X63791" s="8"/>
      <c r="Y63791" s="8"/>
      <c r="Z63791" s="8"/>
      <c r="AA63791" s="8"/>
    </row>
    <row r="63792" spans="1:27" x14ac:dyDescent="0.25">
      <c r="A63792" s="8"/>
      <c r="B63792" s="8"/>
      <c r="C63792" s="99"/>
      <c r="D63792" s="8"/>
      <c r="E63792" s="8"/>
      <c r="F63792" s="8"/>
      <c r="G63792" s="8"/>
      <c r="H63792" s="8"/>
      <c r="I63792" s="102"/>
      <c r="J63792" s="8"/>
      <c r="K63792" s="8"/>
      <c r="L63792" s="8"/>
      <c r="M63792" s="8"/>
      <c r="N63792" s="8"/>
      <c r="O63792" s="8"/>
      <c r="P63792" s="8"/>
      <c r="Q63792" s="8"/>
      <c r="R63792" s="103"/>
      <c r="S63792" s="8"/>
      <c r="T63792" s="8"/>
      <c r="U63792" s="8"/>
      <c r="V63792" s="8"/>
      <c r="W63792" s="8"/>
      <c r="X63792" s="8"/>
      <c r="Y63792" s="8"/>
      <c r="Z63792" s="8"/>
      <c r="AA63792" s="8"/>
    </row>
    <row r="63793" spans="1:27" x14ac:dyDescent="0.25">
      <c r="A63793" s="8"/>
      <c r="B63793" s="8"/>
      <c r="C63793" s="99"/>
      <c r="D63793" s="8"/>
      <c r="E63793" s="8"/>
      <c r="F63793" s="8"/>
      <c r="G63793" s="8"/>
      <c r="H63793" s="8"/>
      <c r="I63793" s="102"/>
      <c r="J63793" s="8"/>
      <c r="K63793" s="8"/>
      <c r="L63793" s="8"/>
      <c r="M63793" s="8"/>
      <c r="N63793" s="8"/>
      <c r="O63793" s="8"/>
      <c r="P63793" s="8"/>
      <c r="Q63793" s="8"/>
      <c r="R63793" s="103"/>
      <c r="S63793" s="8"/>
      <c r="T63793" s="8"/>
      <c r="U63793" s="8"/>
      <c r="V63793" s="8"/>
      <c r="W63793" s="8"/>
      <c r="X63793" s="8"/>
      <c r="Y63793" s="8"/>
      <c r="Z63793" s="8"/>
      <c r="AA63793" s="8"/>
    </row>
    <row r="63794" spans="1:27" x14ac:dyDescent="0.25">
      <c r="A63794" s="8"/>
      <c r="B63794" s="8"/>
      <c r="C63794" s="99"/>
      <c r="D63794" s="8"/>
      <c r="E63794" s="8"/>
      <c r="F63794" s="8"/>
      <c r="G63794" s="8"/>
      <c r="H63794" s="8"/>
      <c r="I63794" s="102"/>
      <c r="J63794" s="8"/>
      <c r="K63794" s="8"/>
      <c r="L63794" s="8"/>
      <c r="M63794" s="8"/>
      <c r="N63794" s="8"/>
      <c r="O63794" s="8"/>
      <c r="P63794" s="8"/>
      <c r="Q63794" s="8"/>
      <c r="R63794" s="103"/>
      <c r="S63794" s="8"/>
      <c r="T63794" s="8"/>
      <c r="U63794" s="8"/>
      <c r="V63794" s="8"/>
      <c r="W63794" s="8"/>
      <c r="X63794" s="8"/>
      <c r="Y63794" s="8"/>
      <c r="Z63794" s="8"/>
      <c r="AA63794" s="8"/>
    </row>
    <row r="63795" spans="1:27" x14ac:dyDescent="0.25">
      <c r="A63795" s="8"/>
      <c r="B63795" s="8"/>
      <c r="C63795" s="99"/>
      <c r="D63795" s="8"/>
      <c r="E63795" s="8"/>
      <c r="F63795" s="8"/>
      <c r="G63795" s="8"/>
      <c r="H63795" s="8"/>
      <c r="I63795" s="102"/>
      <c r="J63795" s="8"/>
      <c r="K63795" s="8"/>
      <c r="L63795" s="8"/>
      <c r="M63795" s="8"/>
      <c r="N63795" s="8"/>
      <c r="O63795" s="8"/>
      <c r="P63795" s="8"/>
      <c r="Q63795" s="8"/>
      <c r="R63795" s="103"/>
      <c r="S63795" s="8"/>
      <c r="T63795" s="8"/>
      <c r="U63795" s="8"/>
      <c r="V63795" s="8"/>
      <c r="W63795" s="8"/>
      <c r="X63795" s="8"/>
      <c r="Y63795" s="8"/>
      <c r="Z63795" s="8"/>
      <c r="AA63795" s="8"/>
    </row>
    <row r="63796" spans="1:27" x14ac:dyDescent="0.25">
      <c r="A63796" s="8"/>
      <c r="B63796" s="8"/>
      <c r="C63796" s="99"/>
      <c r="D63796" s="8"/>
      <c r="E63796" s="8"/>
      <c r="F63796" s="8"/>
      <c r="G63796" s="8"/>
      <c r="H63796" s="8"/>
      <c r="I63796" s="102"/>
      <c r="J63796" s="8"/>
      <c r="K63796" s="8"/>
      <c r="L63796" s="8"/>
      <c r="M63796" s="8"/>
      <c r="N63796" s="8"/>
      <c r="O63796" s="8"/>
      <c r="P63796" s="8"/>
      <c r="Q63796" s="8"/>
      <c r="R63796" s="103"/>
      <c r="S63796" s="8"/>
      <c r="T63796" s="8"/>
      <c r="U63796" s="8"/>
      <c r="V63796" s="8"/>
      <c r="W63796" s="8"/>
      <c r="X63796" s="8"/>
      <c r="Y63796" s="8"/>
      <c r="Z63796" s="8"/>
      <c r="AA63796" s="8"/>
    </row>
    <row r="63797" spans="1:27" x14ac:dyDescent="0.25">
      <c r="A63797" s="8"/>
      <c r="B63797" s="8"/>
      <c r="C63797" s="99"/>
      <c r="D63797" s="8"/>
      <c r="E63797" s="8"/>
      <c r="F63797" s="8"/>
      <c r="G63797" s="8"/>
      <c r="H63797" s="8"/>
      <c r="I63797" s="102"/>
      <c r="J63797" s="8"/>
      <c r="K63797" s="8"/>
      <c r="L63797" s="8"/>
      <c r="M63797" s="8"/>
      <c r="N63797" s="8"/>
      <c r="O63797" s="8"/>
      <c r="P63797" s="8"/>
      <c r="Q63797" s="8"/>
      <c r="R63797" s="103"/>
      <c r="S63797" s="8"/>
      <c r="T63797" s="8"/>
      <c r="U63797" s="8"/>
      <c r="V63797" s="8"/>
      <c r="W63797" s="8"/>
      <c r="X63797" s="8"/>
      <c r="Y63797" s="8"/>
      <c r="Z63797" s="8"/>
      <c r="AA63797" s="8"/>
    </row>
    <row r="63798" spans="1:27" x14ac:dyDescent="0.25">
      <c r="A63798" s="8"/>
      <c r="B63798" s="8"/>
      <c r="C63798" s="99"/>
      <c r="D63798" s="8"/>
      <c r="E63798" s="8"/>
      <c r="F63798" s="8"/>
      <c r="G63798" s="8"/>
      <c r="H63798" s="8"/>
      <c r="I63798" s="102"/>
      <c r="J63798" s="8"/>
      <c r="K63798" s="8"/>
      <c r="L63798" s="8"/>
      <c r="M63798" s="8"/>
      <c r="N63798" s="8"/>
      <c r="O63798" s="8"/>
      <c r="P63798" s="8"/>
      <c r="Q63798" s="8"/>
      <c r="R63798" s="103"/>
      <c r="S63798" s="8"/>
      <c r="T63798" s="8"/>
      <c r="U63798" s="8"/>
      <c r="V63798" s="8"/>
      <c r="W63798" s="8"/>
      <c r="X63798" s="8"/>
      <c r="Y63798" s="8"/>
      <c r="Z63798" s="8"/>
      <c r="AA63798" s="8"/>
    </row>
    <row r="63799" spans="1:27" x14ac:dyDescent="0.25">
      <c r="A63799" s="8"/>
      <c r="B63799" s="8"/>
      <c r="C63799" s="99"/>
      <c r="D63799" s="8"/>
      <c r="E63799" s="8"/>
      <c r="F63799" s="8"/>
      <c r="G63799" s="8"/>
      <c r="H63799" s="8"/>
      <c r="I63799" s="102"/>
      <c r="J63799" s="8"/>
      <c r="K63799" s="8"/>
      <c r="L63799" s="8"/>
      <c r="M63799" s="8"/>
      <c r="N63799" s="8"/>
      <c r="O63799" s="8"/>
      <c r="P63799" s="8"/>
      <c r="Q63799" s="8"/>
      <c r="R63799" s="103"/>
      <c r="S63799" s="8"/>
      <c r="T63799" s="8"/>
      <c r="U63799" s="8"/>
      <c r="V63799" s="8"/>
      <c r="W63799" s="8"/>
      <c r="X63799" s="8"/>
      <c r="Y63799" s="8"/>
      <c r="Z63799" s="8"/>
      <c r="AA63799" s="8"/>
    </row>
    <row r="63800" spans="1:27" x14ac:dyDescent="0.25">
      <c r="A63800" s="8"/>
      <c r="B63800" s="8"/>
      <c r="C63800" s="99"/>
      <c r="D63800" s="8"/>
      <c r="E63800" s="8"/>
      <c r="F63800" s="8"/>
      <c r="G63800" s="8"/>
      <c r="H63800" s="8"/>
      <c r="I63800" s="102"/>
      <c r="J63800" s="8"/>
      <c r="K63800" s="8"/>
      <c r="L63800" s="8"/>
      <c r="M63800" s="8"/>
      <c r="N63800" s="8"/>
      <c r="O63800" s="8"/>
      <c r="P63800" s="8"/>
      <c r="Q63800" s="8"/>
      <c r="R63800" s="103"/>
      <c r="S63800" s="8"/>
      <c r="T63800" s="8"/>
      <c r="U63800" s="8"/>
      <c r="V63800" s="8"/>
      <c r="W63800" s="8"/>
      <c r="X63800" s="8"/>
      <c r="Y63800" s="8"/>
      <c r="Z63800" s="8"/>
      <c r="AA63800" s="8"/>
    </row>
    <row r="63801" spans="1:27" x14ac:dyDescent="0.25">
      <c r="A63801" s="8"/>
      <c r="B63801" s="8"/>
      <c r="C63801" s="99"/>
      <c r="D63801" s="8"/>
      <c r="E63801" s="8"/>
      <c r="F63801" s="8"/>
      <c r="G63801" s="8"/>
      <c r="H63801" s="8"/>
      <c r="I63801" s="102"/>
      <c r="J63801" s="8"/>
      <c r="K63801" s="8"/>
      <c r="L63801" s="8"/>
      <c r="M63801" s="8"/>
      <c r="N63801" s="8"/>
      <c r="O63801" s="8"/>
      <c r="P63801" s="8"/>
      <c r="Q63801" s="8"/>
      <c r="R63801" s="103"/>
      <c r="S63801" s="8"/>
      <c r="T63801" s="8"/>
      <c r="U63801" s="8"/>
      <c r="V63801" s="8"/>
      <c r="W63801" s="8"/>
      <c r="X63801" s="8"/>
      <c r="Y63801" s="8"/>
      <c r="Z63801" s="8"/>
      <c r="AA63801" s="8"/>
    </row>
    <row r="63802" spans="1:27" x14ac:dyDescent="0.25">
      <c r="A63802" s="8"/>
      <c r="B63802" s="8"/>
      <c r="C63802" s="99"/>
      <c r="D63802" s="8"/>
      <c r="E63802" s="8"/>
      <c r="F63802" s="8"/>
      <c r="G63802" s="8"/>
      <c r="H63802" s="8"/>
      <c r="I63802" s="102"/>
      <c r="J63802" s="8"/>
      <c r="K63802" s="8"/>
      <c r="L63802" s="8"/>
      <c r="M63802" s="8"/>
      <c r="N63802" s="8"/>
      <c r="O63802" s="8"/>
      <c r="P63802" s="8"/>
      <c r="Q63802" s="8"/>
      <c r="R63802" s="103"/>
      <c r="S63802" s="8"/>
      <c r="T63802" s="8"/>
      <c r="U63802" s="8"/>
      <c r="V63802" s="8"/>
      <c r="W63802" s="8"/>
      <c r="X63802" s="8"/>
      <c r="Y63802" s="8"/>
      <c r="Z63802" s="8"/>
      <c r="AA63802" s="8"/>
    </row>
    <row r="63803" spans="1:27" x14ac:dyDescent="0.25">
      <c r="A63803" s="8"/>
      <c r="B63803" s="8"/>
      <c r="C63803" s="99"/>
      <c r="D63803" s="8"/>
      <c r="E63803" s="8"/>
      <c r="F63803" s="8"/>
      <c r="G63803" s="8"/>
      <c r="H63803" s="8"/>
      <c r="I63803" s="102"/>
      <c r="J63803" s="8"/>
      <c r="K63803" s="8"/>
      <c r="L63803" s="8"/>
      <c r="M63803" s="8"/>
      <c r="N63803" s="8"/>
      <c r="O63803" s="8"/>
      <c r="P63803" s="8"/>
      <c r="Q63803" s="8"/>
      <c r="R63803" s="103"/>
      <c r="S63803" s="8"/>
      <c r="T63803" s="8"/>
      <c r="U63803" s="8"/>
      <c r="V63803" s="8"/>
      <c r="W63803" s="8"/>
      <c r="X63803" s="8"/>
      <c r="Y63803" s="8"/>
      <c r="Z63803" s="8"/>
      <c r="AA63803" s="8"/>
    </row>
    <row r="63804" spans="1:27" x14ac:dyDescent="0.25">
      <c r="A63804" s="8"/>
      <c r="B63804" s="8"/>
      <c r="C63804" s="99"/>
      <c r="D63804" s="8"/>
      <c r="E63804" s="8"/>
      <c r="F63804" s="8"/>
      <c r="G63804" s="8"/>
      <c r="H63804" s="8"/>
      <c r="I63804" s="102"/>
      <c r="J63804" s="8"/>
      <c r="K63804" s="8"/>
      <c r="L63804" s="8"/>
      <c r="M63804" s="8"/>
      <c r="N63804" s="8"/>
      <c r="O63804" s="8"/>
      <c r="P63804" s="8"/>
      <c r="Q63804" s="8"/>
      <c r="R63804" s="103"/>
      <c r="S63804" s="8"/>
      <c r="T63804" s="8"/>
      <c r="U63804" s="8"/>
      <c r="V63804" s="8"/>
      <c r="W63804" s="8"/>
      <c r="X63804" s="8"/>
      <c r="Y63804" s="8"/>
      <c r="Z63804" s="8"/>
      <c r="AA63804" s="8"/>
    </row>
    <row r="63805" spans="1:27" x14ac:dyDescent="0.25">
      <c r="A63805" s="8"/>
      <c r="B63805" s="8"/>
      <c r="C63805" s="99"/>
      <c r="D63805" s="8"/>
      <c r="E63805" s="8"/>
      <c r="F63805" s="8"/>
      <c r="G63805" s="8"/>
      <c r="H63805" s="8"/>
      <c r="I63805" s="102"/>
      <c r="J63805" s="8"/>
      <c r="K63805" s="8"/>
      <c r="L63805" s="8"/>
      <c r="M63805" s="8"/>
      <c r="N63805" s="8"/>
      <c r="O63805" s="8"/>
      <c r="P63805" s="8"/>
      <c r="Q63805" s="8"/>
      <c r="R63805" s="103"/>
      <c r="S63805" s="8"/>
      <c r="T63805" s="8"/>
      <c r="U63805" s="8"/>
      <c r="V63805" s="8"/>
      <c r="W63805" s="8"/>
      <c r="X63805" s="8"/>
      <c r="Y63805" s="8"/>
      <c r="Z63805" s="8"/>
      <c r="AA63805" s="8"/>
    </row>
    <row r="63806" spans="1:27" x14ac:dyDescent="0.25">
      <c r="A63806" s="8"/>
      <c r="B63806" s="8"/>
      <c r="C63806" s="99"/>
      <c r="D63806" s="8"/>
      <c r="E63806" s="8"/>
      <c r="F63806" s="8"/>
      <c r="G63806" s="8"/>
      <c r="H63806" s="8"/>
      <c r="I63806" s="102"/>
      <c r="J63806" s="8"/>
      <c r="K63806" s="8"/>
      <c r="L63806" s="8"/>
      <c r="M63806" s="8"/>
      <c r="N63806" s="8"/>
      <c r="O63806" s="8"/>
      <c r="P63806" s="8"/>
      <c r="Q63806" s="8"/>
      <c r="R63806" s="103"/>
      <c r="S63806" s="8"/>
      <c r="T63806" s="8"/>
      <c r="U63806" s="8"/>
      <c r="V63806" s="8"/>
      <c r="W63806" s="8"/>
      <c r="X63806" s="8"/>
      <c r="Y63806" s="8"/>
      <c r="Z63806" s="8"/>
      <c r="AA63806" s="8"/>
    </row>
    <row r="63807" spans="1:27" x14ac:dyDescent="0.25">
      <c r="A63807" s="8"/>
      <c r="B63807" s="8"/>
      <c r="C63807" s="99"/>
      <c r="D63807" s="8"/>
      <c r="E63807" s="8"/>
      <c r="F63807" s="8"/>
      <c r="G63807" s="8"/>
      <c r="H63807" s="8"/>
      <c r="I63807" s="102"/>
      <c r="J63807" s="8"/>
      <c r="K63807" s="8"/>
      <c r="L63807" s="8"/>
      <c r="M63807" s="8"/>
      <c r="N63807" s="8"/>
      <c r="O63807" s="8"/>
      <c r="P63807" s="8"/>
      <c r="Q63807" s="8"/>
      <c r="R63807" s="103"/>
      <c r="S63807" s="8"/>
      <c r="T63807" s="8"/>
      <c r="U63807" s="8"/>
      <c r="V63807" s="8"/>
      <c r="W63807" s="8"/>
      <c r="X63807" s="8"/>
      <c r="Y63807" s="8"/>
      <c r="Z63807" s="8"/>
      <c r="AA63807" s="8"/>
    </row>
    <row r="63808" spans="1:27" x14ac:dyDescent="0.25">
      <c r="A63808" s="8"/>
      <c r="B63808" s="8"/>
      <c r="C63808" s="99"/>
      <c r="D63808" s="8"/>
      <c r="E63808" s="8"/>
      <c r="F63808" s="8"/>
      <c r="G63808" s="8"/>
      <c r="H63808" s="8"/>
      <c r="I63808" s="102"/>
      <c r="J63808" s="8"/>
      <c r="K63808" s="8"/>
      <c r="L63808" s="8"/>
      <c r="M63808" s="8"/>
      <c r="N63808" s="8"/>
      <c r="O63808" s="8"/>
      <c r="P63808" s="8"/>
      <c r="Q63808" s="8"/>
      <c r="R63808" s="103"/>
      <c r="S63808" s="8"/>
      <c r="T63808" s="8"/>
      <c r="U63808" s="8"/>
      <c r="V63808" s="8"/>
      <c r="W63808" s="8"/>
      <c r="X63808" s="8"/>
      <c r="Y63808" s="8"/>
      <c r="Z63808" s="8"/>
      <c r="AA63808" s="8"/>
    </row>
    <row r="63809" spans="1:27" x14ac:dyDescent="0.25">
      <c r="A63809" s="8"/>
      <c r="B63809" s="8"/>
      <c r="C63809" s="99"/>
      <c r="D63809" s="8"/>
      <c r="E63809" s="8"/>
      <c r="F63809" s="8"/>
      <c r="G63809" s="8"/>
      <c r="H63809" s="8"/>
      <c r="I63809" s="102"/>
      <c r="J63809" s="8"/>
      <c r="K63809" s="8"/>
      <c r="L63809" s="8"/>
      <c r="M63809" s="8"/>
      <c r="N63809" s="8"/>
      <c r="O63809" s="8"/>
      <c r="P63809" s="8"/>
      <c r="Q63809" s="8"/>
      <c r="R63809" s="103"/>
      <c r="S63809" s="8"/>
      <c r="T63809" s="8"/>
      <c r="U63809" s="8"/>
      <c r="V63809" s="8"/>
      <c r="W63809" s="8"/>
      <c r="X63809" s="8"/>
      <c r="Y63809" s="8"/>
      <c r="Z63809" s="8"/>
      <c r="AA63809" s="8"/>
    </row>
    <row r="63810" spans="1:27" x14ac:dyDescent="0.25">
      <c r="A63810" s="8"/>
      <c r="B63810" s="8"/>
      <c r="C63810" s="99"/>
      <c r="D63810" s="8"/>
      <c r="E63810" s="8"/>
      <c r="F63810" s="8"/>
      <c r="G63810" s="8"/>
      <c r="H63810" s="8"/>
      <c r="I63810" s="102"/>
      <c r="J63810" s="8"/>
      <c r="K63810" s="8"/>
      <c r="L63810" s="8"/>
      <c r="M63810" s="8"/>
      <c r="N63810" s="8"/>
      <c r="O63810" s="8"/>
      <c r="P63810" s="8"/>
      <c r="Q63810" s="8"/>
      <c r="R63810" s="103"/>
      <c r="S63810" s="8"/>
      <c r="T63810" s="8"/>
      <c r="U63810" s="8"/>
      <c r="V63810" s="8"/>
      <c r="W63810" s="8"/>
      <c r="X63810" s="8"/>
      <c r="Y63810" s="8"/>
      <c r="Z63810" s="8"/>
      <c r="AA63810" s="8"/>
    </row>
    <row r="63811" spans="1:27" x14ac:dyDescent="0.25">
      <c r="A63811" s="8"/>
      <c r="B63811" s="8"/>
      <c r="C63811" s="99"/>
      <c r="D63811" s="8"/>
      <c r="E63811" s="8"/>
      <c r="F63811" s="8"/>
      <c r="G63811" s="8"/>
      <c r="H63811" s="8"/>
      <c r="I63811" s="102"/>
      <c r="J63811" s="8"/>
      <c r="K63811" s="8"/>
      <c r="L63811" s="8"/>
      <c r="M63811" s="8"/>
      <c r="N63811" s="8"/>
      <c r="O63811" s="8"/>
      <c r="P63811" s="8"/>
      <c r="Q63811" s="8"/>
      <c r="R63811" s="103"/>
      <c r="S63811" s="8"/>
      <c r="T63811" s="8"/>
      <c r="U63811" s="8"/>
      <c r="V63811" s="8"/>
      <c r="W63811" s="8"/>
      <c r="X63811" s="8"/>
      <c r="Y63811" s="8"/>
      <c r="Z63811" s="8"/>
      <c r="AA63811" s="8"/>
    </row>
    <row r="63812" spans="1:27" x14ac:dyDescent="0.25">
      <c r="A63812" s="8"/>
      <c r="B63812" s="8"/>
      <c r="C63812" s="99"/>
      <c r="D63812" s="8"/>
      <c r="E63812" s="8"/>
      <c r="F63812" s="8"/>
      <c r="G63812" s="8"/>
      <c r="H63812" s="8"/>
      <c r="I63812" s="102"/>
      <c r="J63812" s="8"/>
      <c r="K63812" s="8"/>
      <c r="L63812" s="8"/>
      <c r="M63812" s="8"/>
      <c r="N63812" s="8"/>
      <c r="O63812" s="8"/>
      <c r="P63812" s="8"/>
      <c r="Q63812" s="8"/>
      <c r="R63812" s="103"/>
      <c r="S63812" s="8"/>
      <c r="T63812" s="8"/>
      <c r="U63812" s="8"/>
      <c r="V63812" s="8"/>
      <c r="W63812" s="8"/>
      <c r="X63812" s="8"/>
      <c r="Y63812" s="8"/>
      <c r="Z63812" s="8"/>
      <c r="AA63812" s="8"/>
    </row>
    <row r="63813" spans="1:27" x14ac:dyDescent="0.25">
      <c r="A63813" s="8"/>
      <c r="B63813" s="8"/>
      <c r="C63813" s="99"/>
      <c r="D63813" s="8"/>
      <c r="E63813" s="8"/>
      <c r="F63813" s="8"/>
      <c r="G63813" s="8"/>
      <c r="H63813" s="8"/>
      <c r="I63813" s="102"/>
      <c r="J63813" s="8"/>
      <c r="K63813" s="8"/>
      <c r="L63813" s="8"/>
      <c r="M63813" s="8"/>
      <c r="N63813" s="8"/>
      <c r="O63813" s="8"/>
      <c r="P63813" s="8"/>
      <c r="Q63813" s="8"/>
      <c r="R63813" s="103"/>
      <c r="S63813" s="8"/>
      <c r="T63813" s="8"/>
      <c r="U63813" s="8"/>
      <c r="V63813" s="8"/>
      <c r="W63813" s="8"/>
      <c r="X63813" s="8"/>
      <c r="Y63813" s="8"/>
      <c r="Z63813" s="8"/>
      <c r="AA63813" s="8"/>
    </row>
    <row r="63814" spans="1:27" x14ac:dyDescent="0.25">
      <c r="A63814" s="8"/>
      <c r="B63814" s="8"/>
      <c r="C63814" s="99"/>
      <c r="D63814" s="8"/>
      <c r="E63814" s="8"/>
      <c r="F63814" s="8"/>
      <c r="G63814" s="8"/>
      <c r="H63814" s="8"/>
      <c r="I63814" s="102"/>
      <c r="J63814" s="8"/>
      <c r="K63814" s="8"/>
      <c r="L63814" s="8"/>
      <c r="M63814" s="8"/>
      <c r="N63814" s="8"/>
      <c r="O63814" s="8"/>
      <c r="P63814" s="8"/>
      <c r="Q63814" s="8"/>
      <c r="R63814" s="103"/>
      <c r="S63814" s="8"/>
      <c r="T63814" s="8"/>
      <c r="U63814" s="8"/>
      <c r="V63814" s="8"/>
      <c r="W63814" s="8"/>
      <c r="X63814" s="8"/>
      <c r="Y63814" s="8"/>
      <c r="Z63814" s="8"/>
      <c r="AA63814" s="8"/>
    </row>
    <row r="63815" spans="1:27" x14ac:dyDescent="0.25">
      <c r="A63815" s="8"/>
      <c r="B63815" s="8"/>
      <c r="C63815" s="99"/>
      <c r="D63815" s="8"/>
      <c r="E63815" s="8"/>
      <c r="F63815" s="8"/>
      <c r="G63815" s="8"/>
      <c r="H63815" s="8"/>
      <c r="I63815" s="102"/>
      <c r="J63815" s="8"/>
      <c r="K63815" s="8"/>
      <c r="L63815" s="8"/>
      <c r="M63815" s="8"/>
      <c r="N63815" s="8"/>
      <c r="O63815" s="8"/>
      <c r="P63815" s="8"/>
      <c r="Q63815" s="8"/>
      <c r="R63815" s="103"/>
      <c r="S63815" s="8"/>
      <c r="T63815" s="8"/>
      <c r="U63815" s="8"/>
      <c r="V63815" s="8"/>
      <c r="W63815" s="8"/>
      <c r="X63815" s="8"/>
      <c r="Y63815" s="8"/>
      <c r="Z63815" s="8"/>
      <c r="AA63815" s="8"/>
    </row>
    <row r="63816" spans="1:27" x14ac:dyDescent="0.25">
      <c r="A63816" s="8"/>
      <c r="B63816" s="8"/>
      <c r="C63816" s="99"/>
      <c r="D63816" s="8"/>
      <c r="E63816" s="8"/>
      <c r="F63816" s="8"/>
      <c r="G63816" s="8"/>
      <c r="H63816" s="8"/>
      <c r="I63816" s="102"/>
      <c r="J63816" s="8"/>
      <c r="K63816" s="8"/>
      <c r="L63816" s="8"/>
      <c r="M63816" s="8"/>
      <c r="N63816" s="8"/>
      <c r="O63816" s="8"/>
      <c r="P63816" s="8"/>
      <c r="Q63816" s="8"/>
      <c r="R63816" s="103"/>
      <c r="S63816" s="8"/>
      <c r="T63816" s="8"/>
      <c r="U63816" s="8"/>
      <c r="V63816" s="8"/>
      <c r="W63816" s="8"/>
      <c r="X63816" s="8"/>
      <c r="Y63816" s="8"/>
      <c r="Z63816" s="8"/>
      <c r="AA63816" s="8"/>
    </row>
    <row r="63817" spans="1:27" x14ac:dyDescent="0.25">
      <c r="A63817" s="8"/>
      <c r="B63817" s="8"/>
      <c r="C63817" s="99"/>
      <c r="D63817" s="8"/>
      <c r="E63817" s="8"/>
      <c r="F63817" s="8"/>
      <c r="G63817" s="8"/>
      <c r="H63817" s="8"/>
      <c r="I63817" s="102"/>
      <c r="J63817" s="8"/>
      <c r="K63817" s="8"/>
      <c r="L63817" s="8"/>
      <c r="M63817" s="8"/>
      <c r="N63817" s="8"/>
      <c r="O63817" s="8"/>
      <c r="P63817" s="8"/>
      <c r="Q63817" s="8"/>
      <c r="R63817" s="103"/>
      <c r="S63817" s="8"/>
      <c r="T63817" s="8"/>
      <c r="U63817" s="8"/>
      <c r="V63817" s="8"/>
      <c r="W63817" s="8"/>
      <c r="X63817" s="8"/>
      <c r="Y63817" s="8"/>
      <c r="Z63817" s="8"/>
      <c r="AA63817" s="8"/>
    </row>
    <row r="63818" spans="1:27" x14ac:dyDescent="0.25">
      <c r="A63818" s="8"/>
      <c r="B63818" s="8"/>
      <c r="C63818" s="99"/>
      <c r="D63818" s="8"/>
      <c r="E63818" s="8"/>
      <c r="F63818" s="8"/>
      <c r="G63818" s="8"/>
      <c r="H63818" s="8"/>
      <c r="I63818" s="102"/>
      <c r="J63818" s="8"/>
      <c r="K63818" s="8"/>
      <c r="L63818" s="8"/>
      <c r="M63818" s="8"/>
      <c r="N63818" s="8"/>
      <c r="O63818" s="8"/>
      <c r="P63818" s="8"/>
      <c r="Q63818" s="8"/>
      <c r="R63818" s="103"/>
      <c r="S63818" s="8"/>
      <c r="T63818" s="8"/>
      <c r="U63818" s="8"/>
      <c r="V63818" s="8"/>
      <c r="W63818" s="8"/>
      <c r="X63818" s="8"/>
      <c r="Y63818" s="8"/>
      <c r="Z63818" s="8"/>
      <c r="AA63818" s="8"/>
    </row>
    <row r="63819" spans="1:27" x14ac:dyDescent="0.25">
      <c r="A63819" s="8"/>
      <c r="B63819" s="8"/>
      <c r="C63819" s="99"/>
      <c r="D63819" s="8"/>
      <c r="E63819" s="8"/>
      <c r="F63819" s="8"/>
      <c r="G63819" s="8"/>
      <c r="H63819" s="8"/>
      <c r="I63819" s="102"/>
      <c r="J63819" s="8"/>
      <c r="K63819" s="8"/>
      <c r="L63819" s="8"/>
      <c r="M63819" s="8"/>
      <c r="N63819" s="8"/>
      <c r="O63819" s="8"/>
      <c r="P63819" s="8"/>
      <c r="Q63819" s="8"/>
      <c r="R63819" s="103"/>
      <c r="S63819" s="8"/>
      <c r="T63819" s="8"/>
      <c r="U63819" s="8"/>
      <c r="V63819" s="8"/>
      <c r="W63819" s="8"/>
      <c r="X63819" s="8"/>
      <c r="Y63819" s="8"/>
      <c r="Z63819" s="8"/>
      <c r="AA63819" s="8"/>
    </row>
    <row r="63820" spans="1:27" x14ac:dyDescent="0.25">
      <c r="A63820" s="8"/>
      <c r="B63820" s="8"/>
      <c r="C63820" s="99"/>
      <c r="D63820" s="8"/>
      <c r="E63820" s="8"/>
      <c r="F63820" s="8"/>
      <c r="G63820" s="8"/>
      <c r="H63820" s="8"/>
      <c r="I63820" s="102"/>
      <c r="J63820" s="8"/>
      <c r="K63820" s="8"/>
      <c r="L63820" s="8"/>
      <c r="M63820" s="8"/>
      <c r="N63820" s="8"/>
      <c r="O63820" s="8"/>
      <c r="P63820" s="8"/>
      <c r="Q63820" s="8"/>
      <c r="R63820" s="103"/>
      <c r="S63820" s="8"/>
      <c r="T63820" s="8"/>
      <c r="U63820" s="8"/>
      <c r="V63820" s="8"/>
      <c r="W63820" s="8"/>
      <c r="X63820" s="8"/>
      <c r="Y63820" s="8"/>
      <c r="Z63820" s="8"/>
      <c r="AA63820" s="8"/>
    </row>
    <row r="63821" spans="1:27" x14ac:dyDescent="0.25">
      <c r="A63821" s="8"/>
      <c r="B63821" s="8"/>
      <c r="C63821" s="99"/>
      <c r="D63821" s="8"/>
      <c r="E63821" s="8"/>
      <c r="F63821" s="8"/>
      <c r="G63821" s="8"/>
      <c r="H63821" s="8"/>
      <c r="I63821" s="102"/>
      <c r="J63821" s="8"/>
      <c r="K63821" s="8"/>
      <c r="L63821" s="8"/>
      <c r="M63821" s="8"/>
      <c r="N63821" s="8"/>
      <c r="O63821" s="8"/>
      <c r="P63821" s="8"/>
      <c r="Q63821" s="8"/>
      <c r="R63821" s="103"/>
      <c r="S63821" s="8"/>
      <c r="T63821" s="8"/>
      <c r="U63821" s="8"/>
      <c r="V63821" s="8"/>
      <c r="W63821" s="8"/>
      <c r="X63821" s="8"/>
      <c r="Y63821" s="8"/>
      <c r="Z63821" s="8"/>
      <c r="AA63821" s="8"/>
    </row>
    <row r="63822" spans="1:27" x14ac:dyDescent="0.25">
      <c r="A63822" s="8"/>
      <c r="B63822" s="8"/>
      <c r="C63822" s="99"/>
      <c r="D63822" s="8"/>
      <c r="E63822" s="8"/>
      <c r="F63822" s="8"/>
      <c r="G63822" s="8"/>
      <c r="H63822" s="8"/>
      <c r="I63822" s="102"/>
      <c r="J63822" s="8"/>
      <c r="K63822" s="8"/>
      <c r="L63822" s="8"/>
      <c r="M63822" s="8"/>
      <c r="N63822" s="8"/>
      <c r="O63822" s="8"/>
      <c r="P63822" s="8"/>
      <c r="Q63822" s="8"/>
      <c r="R63822" s="103"/>
      <c r="S63822" s="8"/>
      <c r="T63822" s="8"/>
      <c r="U63822" s="8"/>
      <c r="V63822" s="8"/>
      <c r="W63822" s="8"/>
      <c r="X63822" s="8"/>
      <c r="Y63822" s="8"/>
      <c r="Z63822" s="8"/>
      <c r="AA63822" s="8"/>
    </row>
    <row r="63823" spans="1:27" x14ac:dyDescent="0.25">
      <c r="A63823" s="8"/>
      <c r="B63823" s="8"/>
      <c r="C63823" s="99"/>
      <c r="D63823" s="8"/>
      <c r="E63823" s="8"/>
      <c r="F63823" s="8"/>
      <c r="G63823" s="8"/>
      <c r="H63823" s="8"/>
      <c r="I63823" s="102"/>
      <c r="J63823" s="8"/>
      <c r="K63823" s="8"/>
      <c r="L63823" s="8"/>
      <c r="M63823" s="8"/>
      <c r="N63823" s="8"/>
      <c r="O63823" s="8"/>
      <c r="P63823" s="8"/>
      <c r="Q63823" s="8"/>
      <c r="R63823" s="103"/>
      <c r="S63823" s="8"/>
      <c r="T63823" s="8"/>
      <c r="U63823" s="8"/>
      <c r="V63823" s="8"/>
      <c r="W63823" s="8"/>
      <c r="X63823" s="8"/>
      <c r="Y63823" s="8"/>
      <c r="Z63823" s="8"/>
      <c r="AA63823" s="8"/>
    </row>
    <row r="63824" spans="1:27" x14ac:dyDescent="0.25">
      <c r="A63824" s="8"/>
      <c r="B63824" s="8"/>
      <c r="C63824" s="99"/>
      <c r="D63824" s="8"/>
      <c r="E63824" s="8"/>
      <c r="F63824" s="8"/>
      <c r="G63824" s="8"/>
      <c r="H63824" s="8"/>
      <c r="I63824" s="102"/>
      <c r="J63824" s="8"/>
      <c r="K63824" s="8"/>
      <c r="L63824" s="8"/>
      <c r="M63824" s="8"/>
      <c r="N63824" s="8"/>
      <c r="O63824" s="8"/>
      <c r="P63824" s="8"/>
      <c r="Q63824" s="8"/>
      <c r="R63824" s="103"/>
      <c r="S63824" s="8"/>
      <c r="T63824" s="8"/>
      <c r="U63824" s="8"/>
      <c r="V63824" s="8"/>
      <c r="W63824" s="8"/>
      <c r="X63824" s="8"/>
      <c r="Y63824" s="8"/>
      <c r="Z63824" s="8"/>
      <c r="AA63824" s="8"/>
    </row>
    <row r="63825" spans="1:27" x14ac:dyDescent="0.25">
      <c r="A63825" s="8"/>
      <c r="B63825" s="8"/>
      <c r="C63825" s="99"/>
      <c r="D63825" s="8"/>
      <c r="E63825" s="8"/>
      <c r="F63825" s="8"/>
      <c r="G63825" s="8"/>
      <c r="H63825" s="8"/>
      <c r="I63825" s="102"/>
      <c r="J63825" s="8"/>
      <c r="K63825" s="8"/>
      <c r="L63825" s="8"/>
      <c r="M63825" s="8"/>
      <c r="N63825" s="8"/>
      <c r="O63825" s="8"/>
      <c r="P63825" s="8"/>
      <c r="Q63825" s="8"/>
      <c r="R63825" s="103"/>
      <c r="S63825" s="8"/>
      <c r="T63825" s="8"/>
      <c r="U63825" s="8"/>
      <c r="V63825" s="8"/>
      <c r="W63825" s="8"/>
      <c r="X63825" s="8"/>
      <c r="Y63825" s="8"/>
      <c r="Z63825" s="8"/>
      <c r="AA63825" s="8"/>
    </row>
    <row r="63826" spans="1:27" x14ac:dyDescent="0.25">
      <c r="A63826" s="8"/>
      <c r="B63826" s="8"/>
      <c r="C63826" s="99"/>
      <c r="D63826" s="8"/>
      <c r="E63826" s="8"/>
      <c r="F63826" s="8"/>
      <c r="G63826" s="8"/>
      <c r="H63826" s="8"/>
      <c r="I63826" s="102"/>
      <c r="J63826" s="8"/>
      <c r="K63826" s="8"/>
      <c r="L63826" s="8"/>
      <c r="M63826" s="8"/>
      <c r="N63826" s="8"/>
      <c r="O63826" s="8"/>
      <c r="P63826" s="8"/>
      <c r="Q63826" s="8"/>
      <c r="R63826" s="103"/>
      <c r="S63826" s="8"/>
      <c r="T63826" s="8"/>
      <c r="U63826" s="8"/>
      <c r="V63826" s="8"/>
      <c r="W63826" s="8"/>
      <c r="X63826" s="8"/>
      <c r="Y63826" s="8"/>
      <c r="Z63826" s="8"/>
      <c r="AA63826" s="8"/>
    </row>
    <row r="63827" spans="1:27" x14ac:dyDescent="0.25">
      <c r="A63827" s="8"/>
      <c r="B63827" s="8"/>
      <c r="C63827" s="99"/>
      <c r="D63827" s="8"/>
      <c r="E63827" s="8"/>
      <c r="F63827" s="8"/>
      <c r="G63827" s="8"/>
      <c r="H63827" s="8"/>
      <c r="I63827" s="102"/>
      <c r="J63827" s="8"/>
      <c r="K63827" s="8"/>
      <c r="L63827" s="8"/>
      <c r="M63827" s="8"/>
      <c r="N63827" s="8"/>
      <c r="O63827" s="8"/>
      <c r="P63827" s="8"/>
      <c r="Q63827" s="8"/>
      <c r="R63827" s="103"/>
      <c r="S63827" s="8"/>
      <c r="T63827" s="8"/>
      <c r="U63827" s="8"/>
      <c r="V63827" s="8"/>
      <c r="W63827" s="8"/>
      <c r="X63827" s="8"/>
      <c r="Y63827" s="8"/>
      <c r="Z63827" s="8"/>
      <c r="AA63827" s="8"/>
    </row>
    <row r="63828" spans="1:27" x14ac:dyDescent="0.25">
      <c r="A63828" s="8"/>
      <c r="B63828" s="8"/>
      <c r="C63828" s="99"/>
      <c r="D63828" s="8"/>
      <c r="E63828" s="8"/>
      <c r="F63828" s="8"/>
      <c r="G63828" s="8"/>
      <c r="H63828" s="8"/>
      <c r="I63828" s="102"/>
      <c r="J63828" s="8"/>
      <c r="K63828" s="8"/>
      <c r="L63828" s="8"/>
      <c r="M63828" s="8"/>
      <c r="N63828" s="8"/>
      <c r="O63828" s="8"/>
      <c r="P63828" s="8"/>
      <c r="Q63828" s="8"/>
      <c r="R63828" s="103"/>
      <c r="S63828" s="8"/>
      <c r="T63828" s="8"/>
      <c r="U63828" s="8"/>
      <c r="V63828" s="8"/>
      <c r="W63828" s="8"/>
      <c r="X63828" s="8"/>
      <c r="Y63828" s="8"/>
      <c r="Z63828" s="8"/>
      <c r="AA63828" s="8"/>
    </row>
    <row r="63829" spans="1:27" x14ac:dyDescent="0.25">
      <c r="A63829" s="8"/>
      <c r="B63829" s="8"/>
      <c r="C63829" s="99"/>
      <c r="D63829" s="8"/>
      <c r="E63829" s="8"/>
      <c r="F63829" s="8"/>
      <c r="G63829" s="8"/>
      <c r="H63829" s="8"/>
      <c r="I63829" s="102"/>
      <c r="J63829" s="8"/>
      <c r="K63829" s="8"/>
      <c r="L63829" s="8"/>
      <c r="M63829" s="8"/>
      <c r="N63829" s="8"/>
      <c r="O63829" s="8"/>
      <c r="P63829" s="8"/>
      <c r="Q63829" s="8"/>
      <c r="R63829" s="103"/>
      <c r="S63829" s="8"/>
      <c r="T63829" s="8"/>
      <c r="U63829" s="8"/>
      <c r="V63829" s="8"/>
      <c r="W63829" s="8"/>
      <c r="X63829" s="8"/>
      <c r="Y63829" s="8"/>
      <c r="Z63829" s="8"/>
      <c r="AA63829" s="8"/>
    </row>
    <row r="63830" spans="1:27" x14ac:dyDescent="0.25">
      <c r="A63830" s="8"/>
      <c r="B63830" s="8"/>
      <c r="C63830" s="99"/>
      <c r="D63830" s="8"/>
      <c r="E63830" s="8"/>
      <c r="F63830" s="8"/>
      <c r="G63830" s="8"/>
      <c r="H63830" s="8"/>
      <c r="I63830" s="102"/>
      <c r="J63830" s="8"/>
      <c r="K63830" s="8"/>
      <c r="L63830" s="8"/>
      <c r="M63830" s="8"/>
      <c r="N63830" s="8"/>
      <c r="O63830" s="8"/>
      <c r="P63830" s="8"/>
      <c r="Q63830" s="8"/>
      <c r="R63830" s="103"/>
      <c r="S63830" s="8"/>
      <c r="T63830" s="8"/>
      <c r="U63830" s="8"/>
      <c r="V63830" s="8"/>
      <c r="W63830" s="8"/>
      <c r="X63830" s="8"/>
      <c r="Y63830" s="8"/>
      <c r="Z63830" s="8"/>
      <c r="AA63830" s="8"/>
    </row>
    <row r="63831" spans="1:27" x14ac:dyDescent="0.25">
      <c r="A63831" s="8"/>
      <c r="B63831" s="8"/>
      <c r="C63831" s="99"/>
      <c r="D63831" s="8"/>
      <c r="E63831" s="8"/>
      <c r="F63831" s="8"/>
      <c r="G63831" s="8"/>
      <c r="H63831" s="8"/>
      <c r="I63831" s="102"/>
      <c r="J63831" s="8"/>
      <c r="K63831" s="8"/>
      <c r="L63831" s="8"/>
      <c r="M63831" s="8"/>
      <c r="N63831" s="8"/>
      <c r="O63831" s="8"/>
      <c r="P63831" s="8"/>
      <c r="Q63831" s="8"/>
      <c r="R63831" s="103"/>
      <c r="S63831" s="8"/>
      <c r="T63831" s="8"/>
      <c r="U63831" s="8"/>
      <c r="V63831" s="8"/>
      <c r="W63831" s="8"/>
      <c r="X63831" s="8"/>
      <c r="Y63831" s="8"/>
      <c r="Z63831" s="8"/>
      <c r="AA63831" s="8"/>
    </row>
    <row r="63832" spans="1:27" x14ac:dyDescent="0.25">
      <c r="A63832" s="8"/>
      <c r="B63832" s="8"/>
      <c r="C63832" s="99"/>
      <c r="D63832" s="8"/>
      <c r="E63832" s="8"/>
      <c r="F63832" s="8"/>
      <c r="G63832" s="8"/>
      <c r="H63832" s="8"/>
      <c r="I63832" s="102"/>
      <c r="J63832" s="8"/>
      <c r="K63832" s="8"/>
      <c r="L63832" s="8"/>
      <c r="M63832" s="8"/>
      <c r="N63832" s="8"/>
      <c r="O63832" s="8"/>
      <c r="P63832" s="8"/>
      <c r="Q63832" s="8"/>
      <c r="R63832" s="103"/>
      <c r="S63832" s="8"/>
      <c r="T63832" s="8"/>
      <c r="U63832" s="8"/>
      <c r="V63832" s="8"/>
      <c r="W63832" s="8"/>
      <c r="X63832" s="8"/>
      <c r="Y63832" s="8"/>
      <c r="Z63832" s="8"/>
      <c r="AA63832" s="8"/>
    </row>
    <row r="63833" spans="1:27" x14ac:dyDescent="0.25">
      <c r="A63833" s="8"/>
      <c r="B63833" s="8"/>
      <c r="C63833" s="99"/>
      <c r="D63833" s="8"/>
      <c r="E63833" s="8"/>
      <c r="F63833" s="8"/>
      <c r="G63833" s="8"/>
      <c r="H63833" s="8"/>
      <c r="I63833" s="102"/>
      <c r="J63833" s="8"/>
      <c r="K63833" s="8"/>
      <c r="L63833" s="8"/>
      <c r="M63833" s="8"/>
      <c r="N63833" s="8"/>
      <c r="O63833" s="8"/>
      <c r="P63833" s="8"/>
      <c r="Q63833" s="8"/>
      <c r="R63833" s="103"/>
      <c r="S63833" s="8"/>
      <c r="T63833" s="8"/>
      <c r="U63833" s="8"/>
      <c r="V63833" s="8"/>
      <c r="W63833" s="8"/>
      <c r="X63833" s="8"/>
      <c r="Y63833" s="8"/>
      <c r="Z63833" s="8"/>
      <c r="AA63833" s="8"/>
    </row>
    <row r="63834" spans="1:27" x14ac:dyDescent="0.25">
      <c r="A63834" s="8"/>
      <c r="B63834" s="8"/>
      <c r="C63834" s="99"/>
      <c r="D63834" s="8"/>
      <c r="E63834" s="8"/>
      <c r="F63834" s="8"/>
      <c r="G63834" s="8"/>
      <c r="H63834" s="8"/>
      <c r="I63834" s="102"/>
      <c r="J63834" s="8"/>
      <c r="K63834" s="8"/>
      <c r="L63834" s="8"/>
      <c r="M63834" s="8"/>
      <c r="N63834" s="8"/>
      <c r="O63834" s="8"/>
      <c r="P63834" s="8"/>
      <c r="Q63834" s="8"/>
      <c r="R63834" s="103"/>
      <c r="S63834" s="8"/>
      <c r="T63834" s="8"/>
      <c r="U63834" s="8"/>
      <c r="V63834" s="8"/>
      <c r="W63834" s="8"/>
      <c r="X63834" s="8"/>
      <c r="Y63834" s="8"/>
      <c r="Z63834" s="8"/>
      <c r="AA63834" s="8"/>
    </row>
    <row r="63835" spans="1:27" x14ac:dyDescent="0.25">
      <c r="A63835" s="8"/>
      <c r="B63835" s="8"/>
      <c r="C63835" s="99"/>
      <c r="D63835" s="8"/>
      <c r="E63835" s="8"/>
      <c r="F63835" s="8"/>
      <c r="G63835" s="8"/>
      <c r="H63835" s="8"/>
      <c r="I63835" s="102"/>
      <c r="J63835" s="8"/>
      <c r="K63835" s="8"/>
      <c r="L63835" s="8"/>
      <c r="M63835" s="8"/>
      <c r="N63835" s="8"/>
      <c r="O63835" s="8"/>
      <c r="P63835" s="8"/>
      <c r="Q63835" s="8"/>
      <c r="R63835" s="103"/>
      <c r="S63835" s="8"/>
      <c r="T63835" s="8"/>
      <c r="U63835" s="8"/>
      <c r="V63835" s="8"/>
      <c r="W63835" s="8"/>
      <c r="X63835" s="8"/>
      <c r="Y63835" s="8"/>
      <c r="Z63835" s="8"/>
      <c r="AA63835" s="8"/>
    </row>
    <row r="63836" spans="1:27" x14ac:dyDescent="0.25">
      <c r="A63836" s="8"/>
      <c r="B63836" s="8"/>
      <c r="C63836" s="99"/>
      <c r="D63836" s="8"/>
      <c r="E63836" s="8"/>
      <c r="F63836" s="8"/>
      <c r="G63836" s="8"/>
      <c r="H63836" s="8"/>
      <c r="I63836" s="102"/>
      <c r="J63836" s="8"/>
      <c r="K63836" s="8"/>
      <c r="L63836" s="8"/>
      <c r="M63836" s="8"/>
      <c r="N63836" s="8"/>
      <c r="O63836" s="8"/>
      <c r="P63836" s="8"/>
      <c r="Q63836" s="8"/>
      <c r="R63836" s="103"/>
      <c r="S63836" s="8"/>
      <c r="T63836" s="8"/>
      <c r="U63836" s="8"/>
      <c r="V63836" s="8"/>
      <c r="W63836" s="8"/>
      <c r="X63836" s="8"/>
      <c r="Y63836" s="8"/>
      <c r="Z63836" s="8"/>
      <c r="AA63836" s="8"/>
    </row>
    <row r="63837" spans="1:27" x14ac:dyDescent="0.25">
      <c r="A63837" s="8"/>
      <c r="B63837" s="8"/>
      <c r="C63837" s="99"/>
      <c r="D63837" s="8"/>
      <c r="E63837" s="8"/>
      <c r="F63837" s="8"/>
      <c r="G63837" s="8"/>
      <c r="H63837" s="8"/>
      <c r="I63837" s="102"/>
      <c r="J63837" s="8"/>
      <c r="K63837" s="8"/>
      <c r="L63837" s="8"/>
      <c r="M63837" s="8"/>
      <c r="N63837" s="8"/>
      <c r="O63837" s="8"/>
      <c r="P63837" s="8"/>
      <c r="Q63837" s="8"/>
      <c r="R63837" s="103"/>
      <c r="S63837" s="8"/>
      <c r="T63837" s="8"/>
      <c r="U63837" s="8"/>
      <c r="V63837" s="8"/>
      <c r="W63837" s="8"/>
      <c r="X63837" s="8"/>
      <c r="Y63837" s="8"/>
      <c r="Z63837" s="8"/>
      <c r="AA63837" s="8"/>
    </row>
    <row r="63838" spans="1:27" x14ac:dyDescent="0.25">
      <c r="A63838" s="8"/>
      <c r="B63838" s="8"/>
      <c r="C63838" s="99"/>
      <c r="D63838" s="8"/>
      <c r="E63838" s="8"/>
      <c r="F63838" s="8"/>
      <c r="G63838" s="8"/>
      <c r="H63838" s="8"/>
      <c r="I63838" s="102"/>
      <c r="J63838" s="8"/>
      <c r="K63838" s="8"/>
      <c r="L63838" s="8"/>
      <c r="M63838" s="8"/>
      <c r="N63838" s="8"/>
      <c r="O63838" s="8"/>
      <c r="P63838" s="8"/>
      <c r="Q63838" s="8"/>
      <c r="R63838" s="103"/>
      <c r="S63838" s="8"/>
      <c r="T63838" s="8"/>
      <c r="U63838" s="8"/>
      <c r="V63838" s="8"/>
      <c r="W63838" s="8"/>
      <c r="X63838" s="8"/>
      <c r="Y63838" s="8"/>
      <c r="Z63838" s="8"/>
      <c r="AA63838" s="8"/>
    </row>
    <row r="63839" spans="1:27" x14ac:dyDescent="0.25">
      <c r="A63839" s="8"/>
      <c r="B63839" s="8"/>
      <c r="C63839" s="99"/>
      <c r="D63839" s="8"/>
      <c r="E63839" s="8"/>
      <c r="F63839" s="8"/>
      <c r="G63839" s="8"/>
      <c r="H63839" s="8"/>
      <c r="I63839" s="102"/>
      <c r="J63839" s="8"/>
      <c r="K63839" s="8"/>
      <c r="L63839" s="8"/>
      <c r="M63839" s="8"/>
      <c r="N63839" s="8"/>
      <c r="O63839" s="8"/>
      <c r="P63839" s="8"/>
      <c r="Q63839" s="8"/>
      <c r="R63839" s="103"/>
      <c r="S63839" s="8"/>
      <c r="T63839" s="8"/>
      <c r="U63839" s="8"/>
      <c r="V63839" s="8"/>
      <c r="W63839" s="8"/>
      <c r="X63839" s="8"/>
      <c r="Y63839" s="8"/>
      <c r="Z63839" s="8"/>
      <c r="AA63839" s="8"/>
    </row>
    <row r="63840" spans="1:27" x14ac:dyDescent="0.25">
      <c r="A63840" s="8"/>
      <c r="B63840" s="8"/>
      <c r="C63840" s="99"/>
      <c r="D63840" s="8"/>
      <c r="E63840" s="8"/>
      <c r="F63840" s="8"/>
      <c r="G63840" s="8"/>
      <c r="H63840" s="8"/>
      <c r="I63840" s="102"/>
      <c r="J63840" s="8"/>
      <c r="K63840" s="8"/>
      <c r="L63840" s="8"/>
      <c r="M63840" s="8"/>
      <c r="N63840" s="8"/>
      <c r="O63840" s="8"/>
      <c r="P63840" s="8"/>
      <c r="Q63840" s="8"/>
      <c r="R63840" s="103"/>
      <c r="S63840" s="8"/>
      <c r="T63840" s="8"/>
      <c r="U63840" s="8"/>
      <c r="V63840" s="8"/>
      <c r="W63840" s="8"/>
      <c r="X63840" s="8"/>
      <c r="Y63840" s="8"/>
      <c r="Z63840" s="8"/>
      <c r="AA63840" s="8"/>
    </row>
    <row r="63841" spans="1:27" x14ac:dyDescent="0.25">
      <c r="A63841" s="8"/>
      <c r="B63841" s="8"/>
      <c r="C63841" s="99"/>
      <c r="D63841" s="8"/>
      <c r="E63841" s="8"/>
      <c r="F63841" s="8"/>
      <c r="G63841" s="8"/>
      <c r="H63841" s="8"/>
      <c r="I63841" s="102"/>
      <c r="J63841" s="8"/>
      <c r="K63841" s="8"/>
      <c r="L63841" s="8"/>
      <c r="M63841" s="8"/>
      <c r="N63841" s="8"/>
      <c r="O63841" s="8"/>
      <c r="P63841" s="8"/>
      <c r="Q63841" s="8"/>
      <c r="R63841" s="103"/>
      <c r="S63841" s="8"/>
      <c r="T63841" s="8"/>
      <c r="U63841" s="8"/>
      <c r="V63841" s="8"/>
      <c r="W63841" s="8"/>
      <c r="X63841" s="8"/>
      <c r="Y63841" s="8"/>
      <c r="Z63841" s="8"/>
      <c r="AA63841" s="8"/>
    </row>
    <row r="63842" spans="1:27" x14ac:dyDescent="0.25">
      <c r="A63842" s="8"/>
      <c r="B63842" s="8"/>
      <c r="C63842" s="99"/>
      <c r="D63842" s="8"/>
      <c r="E63842" s="8"/>
      <c r="F63842" s="8"/>
      <c r="G63842" s="8"/>
      <c r="H63842" s="8"/>
      <c r="I63842" s="102"/>
      <c r="J63842" s="8"/>
      <c r="K63842" s="8"/>
      <c r="L63842" s="8"/>
      <c r="M63842" s="8"/>
      <c r="N63842" s="8"/>
      <c r="O63842" s="8"/>
      <c r="P63842" s="8"/>
      <c r="Q63842" s="8"/>
      <c r="R63842" s="103"/>
      <c r="S63842" s="8"/>
      <c r="T63842" s="8"/>
      <c r="U63842" s="8"/>
      <c r="V63842" s="8"/>
      <c r="W63842" s="8"/>
      <c r="X63842" s="8"/>
      <c r="Y63842" s="8"/>
      <c r="Z63842" s="8"/>
      <c r="AA63842" s="8"/>
    </row>
    <row r="63843" spans="1:27" x14ac:dyDescent="0.25">
      <c r="A63843" s="8"/>
      <c r="B63843" s="8"/>
      <c r="C63843" s="99"/>
      <c r="D63843" s="8"/>
      <c r="E63843" s="8"/>
      <c r="F63843" s="8"/>
      <c r="G63843" s="8"/>
      <c r="H63843" s="8"/>
      <c r="I63843" s="102"/>
      <c r="J63843" s="8"/>
      <c r="K63843" s="8"/>
      <c r="L63843" s="8"/>
      <c r="M63843" s="8"/>
      <c r="N63843" s="8"/>
      <c r="O63843" s="8"/>
      <c r="P63843" s="8"/>
      <c r="Q63843" s="8"/>
      <c r="R63843" s="103"/>
      <c r="S63843" s="8"/>
      <c r="T63843" s="8"/>
      <c r="U63843" s="8"/>
      <c r="V63843" s="8"/>
      <c r="W63843" s="8"/>
      <c r="X63843" s="8"/>
      <c r="Y63843" s="8"/>
      <c r="Z63843" s="8"/>
      <c r="AA63843" s="8"/>
    </row>
    <row r="63844" spans="1:27" x14ac:dyDescent="0.25">
      <c r="A63844" s="8"/>
      <c r="B63844" s="8"/>
      <c r="C63844" s="99"/>
      <c r="D63844" s="8"/>
      <c r="E63844" s="8"/>
      <c r="F63844" s="8"/>
      <c r="G63844" s="8"/>
      <c r="H63844" s="8"/>
      <c r="I63844" s="102"/>
      <c r="J63844" s="8"/>
      <c r="K63844" s="8"/>
      <c r="L63844" s="8"/>
      <c r="M63844" s="8"/>
      <c r="N63844" s="8"/>
      <c r="O63844" s="8"/>
      <c r="P63844" s="8"/>
      <c r="Q63844" s="8"/>
      <c r="R63844" s="103"/>
      <c r="S63844" s="8"/>
      <c r="T63844" s="8"/>
      <c r="U63844" s="8"/>
      <c r="V63844" s="8"/>
      <c r="W63844" s="8"/>
      <c r="X63844" s="8"/>
      <c r="Y63844" s="8"/>
      <c r="Z63844" s="8"/>
      <c r="AA63844" s="8"/>
    </row>
    <row r="63845" spans="1:27" x14ac:dyDescent="0.25">
      <c r="A63845" s="8"/>
      <c r="B63845" s="8"/>
      <c r="C63845" s="99"/>
      <c r="D63845" s="8"/>
      <c r="E63845" s="8"/>
      <c r="F63845" s="8"/>
      <c r="G63845" s="8"/>
      <c r="H63845" s="8"/>
      <c r="I63845" s="102"/>
      <c r="J63845" s="8"/>
      <c r="K63845" s="8"/>
      <c r="L63845" s="8"/>
      <c r="M63845" s="8"/>
      <c r="N63845" s="8"/>
      <c r="O63845" s="8"/>
      <c r="P63845" s="8"/>
      <c r="Q63845" s="8"/>
      <c r="R63845" s="103"/>
      <c r="S63845" s="8"/>
      <c r="T63845" s="8"/>
      <c r="U63845" s="8"/>
      <c r="V63845" s="8"/>
      <c r="W63845" s="8"/>
      <c r="X63845" s="8"/>
      <c r="Y63845" s="8"/>
      <c r="Z63845" s="8"/>
      <c r="AA63845" s="8"/>
    </row>
    <row r="63846" spans="1:27" x14ac:dyDescent="0.25">
      <c r="A63846" s="8"/>
      <c r="B63846" s="8"/>
      <c r="C63846" s="99"/>
      <c r="D63846" s="8"/>
      <c r="E63846" s="8"/>
      <c r="F63846" s="8"/>
      <c r="G63846" s="8"/>
      <c r="H63846" s="8"/>
      <c r="I63846" s="102"/>
      <c r="J63846" s="8"/>
      <c r="K63846" s="8"/>
      <c r="L63846" s="8"/>
      <c r="M63846" s="8"/>
      <c r="N63846" s="8"/>
      <c r="O63846" s="8"/>
      <c r="P63846" s="8"/>
      <c r="Q63846" s="8"/>
      <c r="R63846" s="103"/>
      <c r="S63846" s="8"/>
      <c r="T63846" s="8"/>
      <c r="U63846" s="8"/>
      <c r="V63846" s="8"/>
      <c r="W63846" s="8"/>
      <c r="X63846" s="8"/>
      <c r="Y63846" s="8"/>
      <c r="Z63846" s="8"/>
      <c r="AA63846" s="8"/>
    </row>
    <row r="63847" spans="1:27" x14ac:dyDescent="0.25">
      <c r="A63847" s="8"/>
      <c r="B63847" s="8"/>
      <c r="C63847" s="99"/>
      <c r="D63847" s="8"/>
      <c r="E63847" s="8"/>
      <c r="F63847" s="8"/>
      <c r="G63847" s="8"/>
      <c r="H63847" s="8"/>
      <c r="I63847" s="102"/>
      <c r="J63847" s="8"/>
      <c r="K63847" s="8"/>
      <c r="L63847" s="8"/>
      <c r="M63847" s="8"/>
      <c r="N63847" s="8"/>
      <c r="O63847" s="8"/>
      <c r="P63847" s="8"/>
      <c r="Q63847" s="8"/>
      <c r="R63847" s="103"/>
      <c r="S63847" s="8"/>
      <c r="T63847" s="8"/>
      <c r="U63847" s="8"/>
      <c r="V63847" s="8"/>
      <c r="W63847" s="8"/>
      <c r="X63847" s="8"/>
      <c r="Y63847" s="8"/>
      <c r="Z63847" s="8"/>
      <c r="AA63847" s="8"/>
    </row>
    <row r="63848" spans="1:27" x14ac:dyDescent="0.25">
      <c r="A63848" s="8"/>
      <c r="B63848" s="8"/>
      <c r="C63848" s="99"/>
      <c r="D63848" s="8"/>
      <c r="E63848" s="8"/>
      <c r="F63848" s="8"/>
      <c r="G63848" s="8"/>
      <c r="H63848" s="8"/>
      <c r="I63848" s="102"/>
      <c r="J63848" s="8"/>
      <c r="K63848" s="8"/>
      <c r="L63848" s="8"/>
      <c r="M63848" s="8"/>
      <c r="N63848" s="8"/>
      <c r="O63848" s="8"/>
      <c r="P63848" s="8"/>
      <c r="Q63848" s="8"/>
      <c r="R63848" s="103"/>
      <c r="S63848" s="8"/>
      <c r="T63848" s="8"/>
      <c r="U63848" s="8"/>
      <c r="V63848" s="8"/>
      <c r="W63848" s="8"/>
      <c r="X63848" s="8"/>
      <c r="Y63848" s="8"/>
      <c r="Z63848" s="8"/>
      <c r="AA63848" s="8"/>
    </row>
    <row r="63849" spans="1:27" x14ac:dyDescent="0.25">
      <c r="A63849" s="8"/>
      <c r="B63849" s="8"/>
      <c r="C63849" s="99"/>
      <c r="D63849" s="8"/>
      <c r="E63849" s="8"/>
      <c r="F63849" s="8"/>
      <c r="G63849" s="8"/>
      <c r="H63849" s="8"/>
      <c r="I63849" s="102"/>
      <c r="J63849" s="8"/>
      <c r="K63849" s="8"/>
      <c r="L63849" s="8"/>
      <c r="M63849" s="8"/>
      <c r="N63849" s="8"/>
      <c r="O63849" s="8"/>
      <c r="P63849" s="8"/>
      <c r="Q63849" s="8"/>
      <c r="R63849" s="103"/>
      <c r="S63849" s="8"/>
      <c r="T63849" s="8"/>
      <c r="U63849" s="8"/>
      <c r="V63849" s="8"/>
      <c r="W63849" s="8"/>
      <c r="X63849" s="8"/>
      <c r="Y63849" s="8"/>
      <c r="Z63849" s="8"/>
      <c r="AA63849" s="8"/>
    </row>
    <row r="63850" spans="1:27" x14ac:dyDescent="0.25">
      <c r="A63850" s="8"/>
      <c r="B63850" s="8"/>
      <c r="C63850" s="99"/>
      <c r="D63850" s="8"/>
      <c r="E63850" s="8"/>
      <c r="F63850" s="8"/>
      <c r="G63850" s="8"/>
      <c r="H63850" s="8"/>
      <c r="I63850" s="102"/>
      <c r="J63850" s="8"/>
      <c r="K63850" s="8"/>
      <c r="L63850" s="8"/>
      <c r="M63850" s="8"/>
      <c r="N63850" s="8"/>
      <c r="O63850" s="8"/>
      <c r="P63850" s="8"/>
      <c r="Q63850" s="8"/>
      <c r="R63850" s="103"/>
      <c r="S63850" s="8"/>
      <c r="T63850" s="8"/>
      <c r="U63850" s="8"/>
      <c r="V63850" s="8"/>
      <c r="W63850" s="8"/>
      <c r="X63850" s="8"/>
      <c r="Y63850" s="8"/>
      <c r="Z63850" s="8"/>
      <c r="AA63850" s="8"/>
    </row>
    <row r="63851" spans="1:27" x14ac:dyDescent="0.25">
      <c r="A63851" s="8"/>
      <c r="B63851" s="8"/>
      <c r="C63851" s="99"/>
      <c r="D63851" s="8"/>
      <c r="E63851" s="8"/>
      <c r="F63851" s="8"/>
      <c r="G63851" s="8"/>
      <c r="H63851" s="8"/>
      <c r="I63851" s="102"/>
      <c r="J63851" s="8"/>
      <c r="K63851" s="8"/>
      <c r="L63851" s="8"/>
      <c r="M63851" s="8"/>
      <c r="N63851" s="8"/>
      <c r="O63851" s="8"/>
      <c r="P63851" s="8"/>
      <c r="Q63851" s="8"/>
      <c r="R63851" s="103"/>
      <c r="S63851" s="8"/>
      <c r="T63851" s="8"/>
      <c r="U63851" s="8"/>
      <c r="V63851" s="8"/>
      <c r="W63851" s="8"/>
      <c r="X63851" s="8"/>
      <c r="Y63851" s="8"/>
      <c r="Z63851" s="8"/>
      <c r="AA63851" s="8"/>
    </row>
    <row r="63852" spans="1:27" x14ac:dyDescent="0.25">
      <c r="A63852" s="8"/>
      <c r="B63852" s="8"/>
      <c r="C63852" s="99"/>
      <c r="D63852" s="8"/>
      <c r="E63852" s="8"/>
      <c r="F63852" s="8"/>
      <c r="G63852" s="8"/>
      <c r="H63852" s="8"/>
      <c r="I63852" s="102"/>
      <c r="J63852" s="8"/>
      <c r="K63852" s="8"/>
      <c r="L63852" s="8"/>
      <c r="M63852" s="8"/>
      <c r="N63852" s="8"/>
      <c r="O63852" s="8"/>
      <c r="P63852" s="8"/>
      <c r="Q63852" s="8"/>
      <c r="R63852" s="103"/>
      <c r="S63852" s="8"/>
      <c r="T63852" s="8"/>
      <c r="U63852" s="8"/>
      <c r="V63852" s="8"/>
      <c r="W63852" s="8"/>
      <c r="X63852" s="8"/>
      <c r="Y63852" s="8"/>
      <c r="Z63852" s="8"/>
      <c r="AA63852" s="8"/>
    </row>
    <row r="63853" spans="1:27" x14ac:dyDescent="0.25">
      <c r="A63853" s="8"/>
      <c r="B63853" s="8"/>
      <c r="C63853" s="99"/>
      <c r="D63853" s="8"/>
      <c r="E63853" s="8"/>
      <c r="F63853" s="8"/>
      <c r="G63853" s="8"/>
      <c r="H63853" s="8"/>
      <c r="I63853" s="102"/>
      <c r="J63853" s="8"/>
      <c r="K63853" s="8"/>
      <c r="L63853" s="8"/>
      <c r="M63853" s="8"/>
      <c r="N63853" s="8"/>
      <c r="O63853" s="8"/>
      <c r="P63853" s="8"/>
      <c r="Q63853" s="8"/>
      <c r="R63853" s="103"/>
      <c r="S63853" s="8"/>
      <c r="T63853" s="8"/>
      <c r="U63853" s="8"/>
      <c r="V63853" s="8"/>
      <c r="W63853" s="8"/>
      <c r="X63853" s="8"/>
      <c r="Y63853" s="8"/>
      <c r="Z63853" s="8"/>
      <c r="AA63853" s="8"/>
    </row>
    <row r="63854" spans="1:27" x14ac:dyDescent="0.25">
      <c r="A63854" s="8"/>
      <c r="B63854" s="8"/>
      <c r="C63854" s="99"/>
      <c r="D63854" s="8"/>
      <c r="E63854" s="8"/>
      <c r="F63854" s="8"/>
      <c r="G63854" s="8"/>
      <c r="H63854" s="8"/>
      <c r="I63854" s="102"/>
      <c r="J63854" s="8"/>
      <c r="K63854" s="8"/>
      <c r="L63854" s="8"/>
      <c r="M63854" s="8"/>
      <c r="N63854" s="8"/>
      <c r="O63854" s="8"/>
      <c r="P63854" s="8"/>
      <c r="Q63854" s="8"/>
      <c r="R63854" s="103"/>
      <c r="S63854" s="8"/>
      <c r="T63854" s="8"/>
      <c r="U63854" s="8"/>
      <c r="V63854" s="8"/>
      <c r="W63854" s="8"/>
      <c r="X63854" s="8"/>
      <c r="Y63854" s="8"/>
      <c r="Z63854" s="8"/>
      <c r="AA63854" s="8"/>
    </row>
    <row r="63855" spans="1:27" x14ac:dyDescent="0.25">
      <c r="A63855" s="8"/>
      <c r="B63855" s="8"/>
      <c r="C63855" s="99"/>
      <c r="D63855" s="8"/>
      <c r="E63855" s="8"/>
      <c r="F63855" s="8"/>
      <c r="G63855" s="8"/>
      <c r="H63855" s="8"/>
      <c r="I63855" s="102"/>
      <c r="J63855" s="8"/>
      <c r="K63855" s="8"/>
      <c r="L63855" s="8"/>
      <c r="M63855" s="8"/>
      <c r="N63855" s="8"/>
      <c r="O63855" s="8"/>
      <c r="P63855" s="8"/>
      <c r="Q63855" s="8"/>
      <c r="R63855" s="103"/>
      <c r="S63855" s="8"/>
      <c r="T63855" s="8"/>
      <c r="U63855" s="8"/>
      <c r="V63855" s="8"/>
      <c r="W63855" s="8"/>
      <c r="X63855" s="8"/>
      <c r="Y63855" s="8"/>
      <c r="Z63855" s="8"/>
      <c r="AA63855" s="8"/>
    </row>
    <row r="63856" spans="1:27" x14ac:dyDescent="0.25">
      <c r="A63856" s="8"/>
      <c r="B63856" s="8"/>
      <c r="C63856" s="99"/>
      <c r="D63856" s="8"/>
      <c r="E63856" s="8"/>
      <c r="F63856" s="8"/>
      <c r="G63856" s="8"/>
      <c r="H63856" s="8"/>
      <c r="I63856" s="102"/>
      <c r="J63856" s="8"/>
      <c r="K63856" s="8"/>
      <c r="L63856" s="8"/>
      <c r="M63856" s="8"/>
      <c r="N63856" s="8"/>
      <c r="O63856" s="8"/>
      <c r="P63856" s="8"/>
      <c r="Q63856" s="8"/>
      <c r="R63856" s="103"/>
      <c r="S63856" s="8"/>
      <c r="T63856" s="8"/>
      <c r="U63856" s="8"/>
      <c r="V63856" s="8"/>
      <c r="W63856" s="8"/>
      <c r="X63856" s="8"/>
      <c r="Y63856" s="8"/>
      <c r="Z63856" s="8"/>
      <c r="AA63856" s="8"/>
    </row>
    <row r="63857" spans="1:27" x14ac:dyDescent="0.25">
      <c r="A63857" s="8"/>
      <c r="B63857" s="8"/>
      <c r="C63857" s="99"/>
      <c r="D63857" s="8"/>
      <c r="E63857" s="8"/>
      <c r="F63857" s="8"/>
      <c r="G63857" s="8"/>
      <c r="H63857" s="8"/>
      <c r="I63857" s="102"/>
      <c r="J63857" s="8"/>
      <c r="K63857" s="8"/>
      <c r="L63857" s="8"/>
      <c r="M63857" s="8"/>
      <c r="N63857" s="8"/>
      <c r="O63857" s="8"/>
      <c r="P63857" s="8"/>
      <c r="Q63857" s="8"/>
      <c r="R63857" s="103"/>
      <c r="S63857" s="8"/>
      <c r="T63857" s="8"/>
      <c r="U63857" s="8"/>
      <c r="V63857" s="8"/>
      <c r="W63857" s="8"/>
      <c r="X63857" s="8"/>
      <c r="Y63857" s="8"/>
      <c r="Z63857" s="8"/>
      <c r="AA63857" s="8"/>
    </row>
    <row r="63858" spans="1:27" x14ac:dyDescent="0.25">
      <c r="A63858" s="8"/>
      <c r="B63858" s="8"/>
      <c r="C63858" s="99"/>
      <c r="D63858" s="8"/>
      <c r="E63858" s="8"/>
      <c r="F63858" s="8"/>
      <c r="G63858" s="8"/>
      <c r="H63858" s="8"/>
      <c r="I63858" s="102"/>
      <c r="J63858" s="8"/>
      <c r="K63858" s="8"/>
      <c r="L63858" s="8"/>
      <c r="M63858" s="8"/>
      <c r="N63858" s="8"/>
      <c r="O63858" s="8"/>
      <c r="P63858" s="8"/>
      <c r="Q63858" s="8"/>
      <c r="R63858" s="103"/>
      <c r="S63858" s="8"/>
      <c r="T63858" s="8"/>
      <c r="U63858" s="8"/>
      <c r="V63858" s="8"/>
      <c r="W63858" s="8"/>
      <c r="X63858" s="8"/>
      <c r="Y63858" s="8"/>
      <c r="Z63858" s="8"/>
      <c r="AA63858" s="8"/>
    </row>
    <row r="63859" spans="1:27" x14ac:dyDescent="0.25">
      <c r="A63859" s="8"/>
      <c r="B63859" s="8"/>
      <c r="C63859" s="99"/>
      <c r="D63859" s="8"/>
      <c r="E63859" s="8"/>
      <c r="F63859" s="8"/>
      <c r="G63859" s="8"/>
      <c r="H63859" s="8"/>
      <c r="I63859" s="102"/>
      <c r="J63859" s="8"/>
      <c r="K63859" s="8"/>
      <c r="L63859" s="8"/>
      <c r="M63859" s="8"/>
      <c r="N63859" s="8"/>
      <c r="O63859" s="8"/>
      <c r="P63859" s="8"/>
      <c r="Q63859" s="8"/>
      <c r="R63859" s="103"/>
      <c r="S63859" s="8"/>
      <c r="T63859" s="8"/>
      <c r="U63859" s="8"/>
      <c r="V63859" s="8"/>
      <c r="W63859" s="8"/>
      <c r="X63859" s="8"/>
      <c r="Y63859" s="8"/>
      <c r="Z63859" s="8"/>
      <c r="AA63859" s="8"/>
    </row>
    <row r="63860" spans="1:27" x14ac:dyDescent="0.25">
      <c r="A63860" s="8"/>
      <c r="B63860" s="8"/>
      <c r="C63860" s="99"/>
      <c r="D63860" s="8"/>
      <c r="E63860" s="8"/>
      <c r="F63860" s="8"/>
      <c r="G63860" s="8"/>
      <c r="H63860" s="8"/>
      <c r="I63860" s="102"/>
      <c r="J63860" s="8"/>
      <c r="K63860" s="8"/>
      <c r="L63860" s="8"/>
      <c r="M63860" s="8"/>
      <c r="N63860" s="8"/>
      <c r="O63860" s="8"/>
      <c r="P63860" s="8"/>
      <c r="Q63860" s="8"/>
      <c r="R63860" s="103"/>
      <c r="S63860" s="8"/>
      <c r="T63860" s="8"/>
      <c r="U63860" s="8"/>
      <c r="V63860" s="8"/>
      <c r="W63860" s="8"/>
      <c r="X63860" s="8"/>
      <c r="Y63860" s="8"/>
      <c r="Z63860" s="8"/>
      <c r="AA63860" s="8"/>
    </row>
    <row r="63861" spans="1:27" x14ac:dyDescent="0.25">
      <c r="A63861" s="8"/>
      <c r="B63861" s="8"/>
      <c r="C63861" s="99"/>
      <c r="D63861" s="8"/>
      <c r="E63861" s="8"/>
      <c r="F63861" s="8"/>
      <c r="G63861" s="8"/>
      <c r="H63861" s="8"/>
      <c r="I63861" s="102"/>
      <c r="J63861" s="8"/>
      <c r="K63861" s="8"/>
      <c r="L63861" s="8"/>
      <c r="M63861" s="8"/>
      <c r="N63861" s="8"/>
      <c r="O63861" s="8"/>
      <c r="P63861" s="8"/>
      <c r="Q63861" s="8"/>
      <c r="R63861" s="103"/>
      <c r="S63861" s="8"/>
      <c r="T63861" s="8"/>
      <c r="U63861" s="8"/>
      <c r="V63861" s="8"/>
      <c r="W63861" s="8"/>
      <c r="X63861" s="8"/>
      <c r="Y63861" s="8"/>
      <c r="Z63861" s="8"/>
      <c r="AA63861" s="8"/>
    </row>
    <row r="63862" spans="1:27" x14ac:dyDescent="0.25">
      <c r="A63862" s="8"/>
      <c r="B63862" s="8"/>
      <c r="C63862" s="99"/>
      <c r="D63862" s="8"/>
      <c r="E63862" s="8"/>
      <c r="F63862" s="8"/>
      <c r="G63862" s="8"/>
      <c r="H63862" s="8"/>
      <c r="I63862" s="102"/>
      <c r="J63862" s="8"/>
      <c r="K63862" s="8"/>
      <c r="L63862" s="8"/>
      <c r="M63862" s="8"/>
      <c r="N63862" s="8"/>
      <c r="O63862" s="8"/>
      <c r="P63862" s="8"/>
      <c r="Q63862" s="8"/>
      <c r="R63862" s="103"/>
      <c r="S63862" s="8"/>
      <c r="T63862" s="8"/>
      <c r="U63862" s="8"/>
      <c r="V63862" s="8"/>
      <c r="W63862" s="8"/>
      <c r="X63862" s="8"/>
      <c r="Y63862" s="8"/>
      <c r="Z63862" s="8"/>
      <c r="AA63862" s="8"/>
    </row>
    <row r="63863" spans="1:27" x14ac:dyDescent="0.25">
      <c r="A63863" s="8"/>
      <c r="B63863" s="8"/>
      <c r="C63863" s="99"/>
      <c r="D63863" s="8"/>
      <c r="E63863" s="8"/>
      <c r="F63863" s="8"/>
      <c r="G63863" s="8"/>
      <c r="H63863" s="8"/>
      <c r="I63863" s="102"/>
      <c r="J63863" s="8"/>
      <c r="K63863" s="8"/>
      <c r="L63863" s="8"/>
      <c r="M63863" s="8"/>
      <c r="N63863" s="8"/>
      <c r="O63863" s="8"/>
      <c r="P63863" s="8"/>
      <c r="Q63863" s="8"/>
      <c r="R63863" s="103"/>
      <c r="S63863" s="8"/>
      <c r="T63863" s="8"/>
      <c r="U63863" s="8"/>
      <c r="V63863" s="8"/>
      <c r="W63863" s="8"/>
      <c r="X63863" s="8"/>
      <c r="Y63863" s="8"/>
      <c r="Z63863" s="8"/>
      <c r="AA63863" s="8"/>
    </row>
    <row r="63864" spans="1:27" x14ac:dyDescent="0.25">
      <c r="A63864" s="8"/>
      <c r="B63864" s="8"/>
      <c r="C63864" s="99"/>
      <c r="D63864" s="8"/>
      <c r="E63864" s="8"/>
      <c r="F63864" s="8"/>
      <c r="G63864" s="8"/>
      <c r="H63864" s="8"/>
      <c r="I63864" s="102"/>
      <c r="J63864" s="8"/>
      <c r="K63864" s="8"/>
      <c r="L63864" s="8"/>
      <c r="M63864" s="8"/>
      <c r="N63864" s="8"/>
      <c r="O63864" s="8"/>
      <c r="P63864" s="8"/>
      <c r="Q63864" s="8"/>
      <c r="R63864" s="103"/>
      <c r="S63864" s="8"/>
      <c r="T63864" s="8"/>
      <c r="U63864" s="8"/>
      <c r="V63864" s="8"/>
      <c r="W63864" s="8"/>
      <c r="X63864" s="8"/>
      <c r="Y63864" s="8"/>
      <c r="Z63864" s="8"/>
      <c r="AA63864" s="8"/>
    </row>
    <row r="63865" spans="1:27" x14ac:dyDescent="0.25">
      <c r="A63865" s="8"/>
      <c r="B63865" s="8"/>
      <c r="C63865" s="99"/>
      <c r="D63865" s="8"/>
      <c r="E63865" s="8"/>
      <c r="F63865" s="8"/>
      <c r="G63865" s="8"/>
      <c r="H63865" s="8"/>
      <c r="I63865" s="102"/>
      <c r="J63865" s="8"/>
      <c r="K63865" s="8"/>
      <c r="L63865" s="8"/>
      <c r="M63865" s="8"/>
      <c r="N63865" s="8"/>
      <c r="O63865" s="8"/>
      <c r="P63865" s="8"/>
      <c r="Q63865" s="8"/>
      <c r="R63865" s="103"/>
      <c r="S63865" s="8"/>
      <c r="T63865" s="8"/>
      <c r="U63865" s="8"/>
      <c r="V63865" s="8"/>
      <c r="W63865" s="8"/>
      <c r="X63865" s="8"/>
      <c r="Y63865" s="8"/>
      <c r="Z63865" s="8"/>
      <c r="AA63865" s="8"/>
    </row>
    <row r="63866" spans="1:27" x14ac:dyDescent="0.25">
      <c r="A63866" s="8"/>
      <c r="B63866" s="8"/>
      <c r="C63866" s="99"/>
      <c r="D63866" s="8"/>
      <c r="E63866" s="8"/>
      <c r="F63866" s="8"/>
      <c r="G63866" s="8"/>
      <c r="H63866" s="8"/>
      <c r="I63866" s="102"/>
      <c r="J63866" s="8"/>
      <c r="K63866" s="8"/>
      <c r="L63866" s="8"/>
      <c r="M63866" s="8"/>
      <c r="N63866" s="8"/>
      <c r="O63866" s="8"/>
      <c r="P63866" s="8"/>
      <c r="Q63866" s="8"/>
      <c r="R63866" s="103"/>
      <c r="S63866" s="8"/>
      <c r="T63866" s="8"/>
      <c r="U63866" s="8"/>
      <c r="V63866" s="8"/>
      <c r="W63866" s="8"/>
      <c r="X63866" s="8"/>
      <c r="Y63866" s="8"/>
      <c r="Z63866" s="8"/>
      <c r="AA63866" s="8"/>
    </row>
    <row r="63867" spans="1:27" x14ac:dyDescent="0.25">
      <c r="A63867" s="8"/>
      <c r="B63867" s="8"/>
      <c r="C63867" s="99"/>
      <c r="D63867" s="8"/>
      <c r="E63867" s="8"/>
      <c r="F63867" s="8"/>
      <c r="G63867" s="8"/>
      <c r="H63867" s="8"/>
      <c r="I63867" s="102"/>
      <c r="J63867" s="8"/>
      <c r="K63867" s="8"/>
      <c r="L63867" s="8"/>
      <c r="M63867" s="8"/>
      <c r="N63867" s="8"/>
      <c r="O63867" s="8"/>
      <c r="P63867" s="8"/>
      <c r="Q63867" s="8"/>
      <c r="R63867" s="103"/>
      <c r="S63867" s="8"/>
      <c r="T63867" s="8"/>
      <c r="U63867" s="8"/>
      <c r="V63867" s="8"/>
      <c r="W63867" s="8"/>
      <c r="X63867" s="8"/>
      <c r="Y63867" s="8"/>
      <c r="Z63867" s="8"/>
      <c r="AA63867" s="8"/>
    </row>
    <row r="63868" spans="1:27" x14ac:dyDescent="0.25">
      <c r="A63868" s="8"/>
      <c r="B63868" s="8"/>
      <c r="C63868" s="99"/>
      <c r="D63868" s="8"/>
      <c r="E63868" s="8"/>
      <c r="F63868" s="8"/>
      <c r="G63868" s="8"/>
      <c r="H63868" s="8"/>
      <c r="I63868" s="102"/>
      <c r="J63868" s="8"/>
      <c r="K63868" s="8"/>
      <c r="L63868" s="8"/>
      <c r="M63868" s="8"/>
      <c r="N63868" s="8"/>
      <c r="O63868" s="8"/>
      <c r="P63868" s="8"/>
      <c r="Q63868" s="8"/>
      <c r="R63868" s="103"/>
      <c r="S63868" s="8"/>
      <c r="T63868" s="8"/>
      <c r="U63868" s="8"/>
      <c r="V63868" s="8"/>
      <c r="W63868" s="8"/>
      <c r="X63868" s="8"/>
      <c r="Y63868" s="8"/>
      <c r="Z63868" s="8"/>
      <c r="AA63868" s="8"/>
    </row>
    <row r="63869" spans="1:27" x14ac:dyDescent="0.25">
      <c r="A63869" s="8"/>
      <c r="B63869" s="8"/>
      <c r="C63869" s="99"/>
      <c r="D63869" s="8"/>
      <c r="E63869" s="8"/>
      <c r="F63869" s="8"/>
      <c r="G63869" s="8"/>
      <c r="H63869" s="8"/>
      <c r="I63869" s="102"/>
      <c r="J63869" s="8"/>
      <c r="K63869" s="8"/>
      <c r="L63869" s="8"/>
      <c r="M63869" s="8"/>
      <c r="N63869" s="8"/>
      <c r="O63869" s="8"/>
      <c r="P63869" s="8"/>
      <c r="Q63869" s="8"/>
      <c r="R63869" s="103"/>
      <c r="S63869" s="8"/>
      <c r="T63869" s="8"/>
      <c r="U63869" s="8"/>
      <c r="V63869" s="8"/>
      <c r="W63869" s="8"/>
      <c r="X63869" s="8"/>
      <c r="Y63869" s="8"/>
      <c r="Z63869" s="8"/>
      <c r="AA63869" s="8"/>
    </row>
    <row r="63870" spans="1:27" x14ac:dyDescent="0.25">
      <c r="A63870" s="8"/>
      <c r="B63870" s="8"/>
      <c r="C63870" s="99"/>
      <c r="D63870" s="8"/>
      <c r="E63870" s="8"/>
      <c r="F63870" s="8"/>
      <c r="G63870" s="8"/>
      <c r="H63870" s="8"/>
      <c r="I63870" s="102"/>
      <c r="J63870" s="8"/>
      <c r="K63870" s="8"/>
      <c r="L63870" s="8"/>
      <c r="M63870" s="8"/>
      <c r="N63870" s="8"/>
      <c r="O63870" s="8"/>
      <c r="P63870" s="8"/>
      <c r="Q63870" s="8"/>
      <c r="R63870" s="103"/>
      <c r="S63870" s="8"/>
      <c r="T63870" s="8"/>
      <c r="U63870" s="8"/>
      <c r="V63870" s="8"/>
      <c r="W63870" s="8"/>
      <c r="X63870" s="8"/>
      <c r="Y63870" s="8"/>
      <c r="Z63870" s="8"/>
      <c r="AA63870" s="8"/>
    </row>
    <row r="63871" spans="1:27" x14ac:dyDescent="0.25">
      <c r="A63871" s="8"/>
      <c r="B63871" s="8"/>
      <c r="C63871" s="99"/>
      <c r="D63871" s="8"/>
      <c r="E63871" s="8"/>
      <c r="F63871" s="8"/>
      <c r="G63871" s="8"/>
      <c r="H63871" s="8"/>
      <c r="I63871" s="102"/>
      <c r="J63871" s="8"/>
      <c r="K63871" s="8"/>
      <c r="L63871" s="8"/>
      <c r="M63871" s="8"/>
      <c r="N63871" s="8"/>
      <c r="O63871" s="8"/>
      <c r="P63871" s="8"/>
      <c r="Q63871" s="8"/>
      <c r="R63871" s="103"/>
      <c r="S63871" s="8"/>
      <c r="T63871" s="8"/>
      <c r="U63871" s="8"/>
      <c r="V63871" s="8"/>
      <c r="W63871" s="8"/>
      <c r="X63871" s="8"/>
      <c r="Y63871" s="8"/>
      <c r="Z63871" s="8"/>
      <c r="AA63871" s="8"/>
    </row>
    <row r="63872" spans="1:27" x14ac:dyDescent="0.25">
      <c r="A63872" s="8"/>
      <c r="B63872" s="8"/>
      <c r="C63872" s="99"/>
      <c r="D63872" s="8"/>
      <c r="E63872" s="8"/>
      <c r="F63872" s="8"/>
      <c r="G63872" s="8"/>
      <c r="H63872" s="8"/>
      <c r="I63872" s="102"/>
      <c r="J63872" s="8"/>
      <c r="K63872" s="8"/>
      <c r="L63872" s="8"/>
      <c r="M63872" s="8"/>
      <c r="N63872" s="8"/>
      <c r="O63872" s="8"/>
      <c r="P63872" s="8"/>
      <c r="Q63872" s="8"/>
      <c r="R63872" s="103"/>
      <c r="S63872" s="8"/>
      <c r="T63872" s="8"/>
      <c r="U63872" s="8"/>
      <c r="V63872" s="8"/>
      <c r="W63872" s="8"/>
      <c r="X63872" s="8"/>
      <c r="Y63872" s="8"/>
      <c r="Z63872" s="8"/>
      <c r="AA63872" s="8"/>
    </row>
    <row r="63873" spans="1:27" x14ac:dyDescent="0.25">
      <c r="A63873" s="8"/>
      <c r="B63873" s="8"/>
      <c r="C63873" s="99"/>
      <c r="D63873" s="8"/>
      <c r="E63873" s="8"/>
      <c r="F63873" s="8"/>
      <c r="G63873" s="8"/>
      <c r="H63873" s="8"/>
      <c r="I63873" s="102"/>
      <c r="J63873" s="8"/>
      <c r="K63873" s="8"/>
      <c r="L63873" s="8"/>
      <c r="M63873" s="8"/>
      <c r="N63873" s="8"/>
      <c r="O63873" s="8"/>
      <c r="P63873" s="8"/>
      <c r="Q63873" s="8"/>
      <c r="R63873" s="103"/>
      <c r="S63873" s="8"/>
      <c r="T63873" s="8"/>
      <c r="U63873" s="8"/>
      <c r="V63873" s="8"/>
      <c r="W63873" s="8"/>
      <c r="X63873" s="8"/>
      <c r="Y63873" s="8"/>
      <c r="Z63873" s="8"/>
      <c r="AA63873" s="8"/>
    </row>
    <row r="63874" spans="1:27" x14ac:dyDescent="0.25">
      <c r="A63874" s="8"/>
      <c r="B63874" s="8"/>
      <c r="C63874" s="99"/>
      <c r="D63874" s="8"/>
      <c r="E63874" s="8"/>
      <c r="F63874" s="8"/>
      <c r="G63874" s="8"/>
      <c r="H63874" s="8"/>
      <c r="I63874" s="102"/>
      <c r="J63874" s="8"/>
      <c r="K63874" s="8"/>
      <c r="L63874" s="8"/>
      <c r="M63874" s="8"/>
      <c r="N63874" s="8"/>
      <c r="O63874" s="8"/>
      <c r="P63874" s="8"/>
      <c r="Q63874" s="8"/>
      <c r="R63874" s="103"/>
      <c r="S63874" s="8"/>
      <c r="T63874" s="8"/>
      <c r="U63874" s="8"/>
      <c r="V63874" s="8"/>
      <c r="W63874" s="8"/>
      <c r="X63874" s="8"/>
      <c r="Y63874" s="8"/>
      <c r="Z63874" s="8"/>
      <c r="AA63874" s="8"/>
    </row>
    <row r="63875" spans="1:27" x14ac:dyDescent="0.25">
      <c r="A63875" s="8"/>
      <c r="B63875" s="8"/>
      <c r="C63875" s="99"/>
      <c r="D63875" s="8"/>
      <c r="E63875" s="8"/>
      <c r="F63875" s="8"/>
      <c r="G63875" s="8"/>
      <c r="H63875" s="8"/>
      <c r="I63875" s="102"/>
      <c r="J63875" s="8"/>
      <c r="K63875" s="8"/>
      <c r="L63875" s="8"/>
      <c r="M63875" s="8"/>
      <c r="N63875" s="8"/>
      <c r="O63875" s="8"/>
      <c r="P63875" s="8"/>
      <c r="Q63875" s="8"/>
      <c r="R63875" s="103"/>
      <c r="S63875" s="8"/>
      <c r="T63875" s="8"/>
      <c r="U63875" s="8"/>
      <c r="V63875" s="8"/>
      <c r="W63875" s="8"/>
      <c r="X63875" s="8"/>
      <c r="Y63875" s="8"/>
      <c r="Z63875" s="8"/>
      <c r="AA63875" s="8"/>
    </row>
    <row r="63876" spans="1:27" x14ac:dyDescent="0.25">
      <c r="A63876" s="8"/>
      <c r="B63876" s="8"/>
      <c r="C63876" s="99"/>
      <c r="D63876" s="8"/>
      <c r="E63876" s="8"/>
      <c r="F63876" s="8"/>
      <c r="G63876" s="8"/>
      <c r="H63876" s="8"/>
      <c r="I63876" s="102"/>
      <c r="J63876" s="8"/>
      <c r="K63876" s="8"/>
      <c r="L63876" s="8"/>
      <c r="M63876" s="8"/>
      <c r="N63876" s="8"/>
      <c r="O63876" s="8"/>
      <c r="P63876" s="8"/>
      <c r="Q63876" s="8"/>
      <c r="R63876" s="103"/>
      <c r="S63876" s="8"/>
      <c r="T63876" s="8"/>
      <c r="U63876" s="8"/>
      <c r="V63876" s="8"/>
      <c r="W63876" s="8"/>
      <c r="X63876" s="8"/>
      <c r="Y63876" s="8"/>
      <c r="Z63876" s="8"/>
      <c r="AA63876" s="8"/>
    </row>
    <row r="63877" spans="1:27" x14ac:dyDescent="0.25">
      <c r="A63877" s="8"/>
      <c r="B63877" s="8"/>
      <c r="C63877" s="99"/>
      <c r="D63877" s="8"/>
      <c r="E63877" s="8"/>
      <c r="F63877" s="8"/>
      <c r="G63877" s="8"/>
      <c r="H63877" s="8"/>
      <c r="I63877" s="102"/>
      <c r="J63877" s="8"/>
      <c r="K63877" s="8"/>
      <c r="L63877" s="8"/>
      <c r="M63877" s="8"/>
      <c r="N63877" s="8"/>
      <c r="O63877" s="8"/>
      <c r="P63877" s="8"/>
      <c r="Q63877" s="8"/>
      <c r="R63877" s="103"/>
      <c r="S63877" s="8"/>
      <c r="T63877" s="8"/>
      <c r="U63877" s="8"/>
      <c r="V63877" s="8"/>
      <c r="W63877" s="8"/>
      <c r="X63877" s="8"/>
      <c r="Y63877" s="8"/>
      <c r="Z63877" s="8"/>
      <c r="AA63877" s="8"/>
    </row>
    <row r="63878" spans="1:27" x14ac:dyDescent="0.25">
      <c r="A63878" s="8"/>
      <c r="B63878" s="8"/>
      <c r="C63878" s="99"/>
      <c r="D63878" s="8"/>
      <c r="E63878" s="8"/>
      <c r="F63878" s="8"/>
      <c r="G63878" s="8"/>
      <c r="H63878" s="8"/>
      <c r="I63878" s="102"/>
      <c r="J63878" s="8"/>
      <c r="K63878" s="8"/>
      <c r="L63878" s="8"/>
      <c r="M63878" s="8"/>
      <c r="N63878" s="8"/>
      <c r="O63878" s="8"/>
      <c r="P63878" s="8"/>
      <c r="Q63878" s="8"/>
      <c r="R63878" s="103"/>
      <c r="S63878" s="8"/>
      <c r="T63878" s="8"/>
      <c r="U63878" s="8"/>
      <c r="V63878" s="8"/>
      <c r="W63878" s="8"/>
      <c r="X63878" s="8"/>
      <c r="Y63878" s="8"/>
      <c r="Z63878" s="8"/>
      <c r="AA63878" s="8"/>
    </row>
    <row r="63879" spans="1:27" x14ac:dyDescent="0.25">
      <c r="A63879" s="8"/>
      <c r="B63879" s="8"/>
      <c r="C63879" s="99"/>
      <c r="D63879" s="8"/>
      <c r="E63879" s="8"/>
      <c r="F63879" s="8"/>
      <c r="G63879" s="8"/>
      <c r="H63879" s="8"/>
      <c r="I63879" s="102"/>
      <c r="J63879" s="8"/>
      <c r="K63879" s="8"/>
      <c r="L63879" s="8"/>
      <c r="M63879" s="8"/>
      <c r="N63879" s="8"/>
      <c r="O63879" s="8"/>
      <c r="P63879" s="8"/>
      <c r="Q63879" s="8"/>
      <c r="R63879" s="103"/>
      <c r="S63879" s="8"/>
      <c r="T63879" s="8"/>
      <c r="U63879" s="8"/>
      <c r="V63879" s="8"/>
      <c r="W63879" s="8"/>
      <c r="X63879" s="8"/>
      <c r="Y63879" s="8"/>
      <c r="Z63879" s="8"/>
      <c r="AA63879" s="8"/>
    </row>
    <row r="63880" spans="1:27" x14ac:dyDescent="0.25">
      <c r="A63880" s="8"/>
      <c r="B63880" s="8"/>
      <c r="C63880" s="99"/>
      <c r="D63880" s="8"/>
      <c r="E63880" s="8"/>
      <c r="F63880" s="8"/>
      <c r="G63880" s="8"/>
      <c r="H63880" s="8"/>
      <c r="I63880" s="102"/>
      <c r="J63880" s="8"/>
      <c r="K63880" s="8"/>
      <c r="L63880" s="8"/>
      <c r="M63880" s="8"/>
      <c r="N63880" s="8"/>
      <c r="O63880" s="8"/>
      <c r="P63880" s="8"/>
      <c r="Q63880" s="8"/>
      <c r="R63880" s="103"/>
      <c r="S63880" s="8"/>
      <c r="T63880" s="8"/>
      <c r="U63880" s="8"/>
      <c r="V63880" s="8"/>
      <c r="W63880" s="8"/>
      <c r="X63880" s="8"/>
      <c r="Y63880" s="8"/>
      <c r="Z63880" s="8"/>
      <c r="AA63880" s="8"/>
    </row>
    <row r="63881" spans="1:27" x14ac:dyDescent="0.25">
      <c r="A63881" s="8"/>
      <c r="B63881" s="8"/>
      <c r="C63881" s="99"/>
      <c r="D63881" s="8"/>
      <c r="E63881" s="8"/>
      <c r="F63881" s="8"/>
      <c r="G63881" s="8"/>
      <c r="H63881" s="8"/>
      <c r="I63881" s="102"/>
      <c r="J63881" s="8"/>
      <c r="K63881" s="8"/>
      <c r="L63881" s="8"/>
      <c r="M63881" s="8"/>
      <c r="N63881" s="8"/>
      <c r="O63881" s="8"/>
      <c r="P63881" s="8"/>
      <c r="Q63881" s="8"/>
      <c r="R63881" s="103"/>
      <c r="S63881" s="8"/>
      <c r="T63881" s="8"/>
      <c r="U63881" s="8"/>
      <c r="V63881" s="8"/>
      <c r="W63881" s="8"/>
      <c r="X63881" s="8"/>
      <c r="Y63881" s="8"/>
      <c r="Z63881" s="8"/>
      <c r="AA63881" s="8"/>
    </row>
    <row r="63882" spans="1:27" x14ac:dyDescent="0.25">
      <c r="A63882" s="8"/>
      <c r="B63882" s="8"/>
      <c r="C63882" s="99"/>
      <c r="D63882" s="8"/>
      <c r="E63882" s="8"/>
      <c r="F63882" s="8"/>
      <c r="G63882" s="8"/>
      <c r="H63882" s="8"/>
      <c r="I63882" s="102"/>
      <c r="J63882" s="8"/>
      <c r="K63882" s="8"/>
      <c r="L63882" s="8"/>
      <c r="M63882" s="8"/>
      <c r="N63882" s="8"/>
      <c r="O63882" s="8"/>
      <c r="P63882" s="8"/>
      <c r="Q63882" s="8"/>
      <c r="R63882" s="103"/>
      <c r="S63882" s="8"/>
      <c r="T63882" s="8"/>
      <c r="U63882" s="8"/>
      <c r="V63882" s="8"/>
      <c r="W63882" s="8"/>
      <c r="X63882" s="8"/>
      <c r="Y63882" s="8"/>
      <c r="Z63882" s="8"/>
      <c r="AA63882" s="8"/>
    </row>
    <row r="63883" spans="1:27" x14ac:dyDescent="0.25">
      <c r="A63883" s="8"/>
      <c r="B63883" s="8"/>
      <c r="C63883" s="99"/>
      <c r="D63883" s="8"/>
      <c r="E63883" s="8"/>
      <c r="F63883" s="8"/>
      <c r="G63883" s="8"/>
      <c r="H63883" s="8"/>
      <c r="I63883" s="102"/>
      <c r="J63883" s="8"/>
      <c r="K63883" s="8"/>
      <c r="L63883" s="8"/>
      <c r="M63883" s="8"/>
      <c r="N63883" s="8"/>
      <c r="O63883" s="8"/>
      <c r="P63883" s="8"/>
      <c r="Q63883" s="8"/>
      <c r="R63883" s="103"/>
      <c r="S63883" s="8"/>
      <c r="T63883" s="8"/>
      <c r="U63883" s="8"/>
      <c r="V63883" s="8"/>
      <c r="W63883" s="8"/>
      <c r="X63883" s="8"/>
      <c r="Y63883" s="8"/>
      <c r="Z63883" s="8"/>
      <c r="AA63883" s="8"/>
    </row>
    <row r="63884" spans="1:27" x14ac:dyDescent="0.25">
      <c r="A63884" s="8"/>
      <c r="B63884" s="8"/>
      <c r="C63884" s="99"/>
      <c r="D63884" s="8"/>
      <c r="E63884" s="8"/>
      <c r="F63884" s="8"/>
      <c r="G63884" s="8"/>
      <c r="H63884" s="8"/>
      <c r="I63884" s="102"/>
      <c r="J63884" s="8"/>
      <c r="K63884" s="8"/>
      <c r="L63884" s="8"/>
      <c r="M63884" s="8"/>
      <c r="N63884" s="8"/>
      <c r="O63884" s="8"/>
      <c r="P63884" s="8"/>
      <c r="Q63884" s="8"/>
      <c r="R63884" s="103"/>
      <c r="S63884" s="8"/>
      <c r="T63884" s="8"/>
      <c r="U63884" s="8"/>
      <c r="V63884" s="8"/>
      <c r="W63884" s="8"/>
      <c r="X63884" s="8"/>
      <c r="Y63884" s="8"/>
      <c r="Z63884" s="8"/>
      <c r="AA63884" s="8"/>
    </row>
    <row r="63885" spans="1:27" x14ac:dyDescent="0.25">
      <c r="A63885" s="8"/>
      <c r="B63885" s="8"/>
      <c r="C63885" s="99"/>
      <c r="D63885" s="8"/>
      <c r="E63885" s="8"/>
      <c r="F63885" s="8"/>
      <c r="G63885" s="8"/>
      <c r="H63885" s="8"/>
      <c r="I63885" s="102"/>
      <c r="J63885" s="8"/>
      <c r="K63885" s="8"/>
      <c r="L63885" s="8"/>
      <c r="M63885" s="8"/>
      <c r="N63885" s="8"/>
      <c r="O63885" s="8"/>
      <c r="P63885" s="8"/>
      <c r="Q63885" s="8"/>
      <c r="R63885" s="103"/>
      <c r="S63885" s="8"/>
      <c r="T63885" s="8"/>
      <c r="U63885" s="8"/>
      <c r="V63885" s="8"/>
      <c r="W63885" s="8"/>
      <c r="X63885" s="8"/>
      <c r="Y63885" s="8"/>
      <c r="Z63885" s="8"/>
      <c r="AA63885" s="8"/>
    </row>
    <row r="63886" spans="1:27" x14ac:dyDescent="0.25">
      <c r="A63886" s="8"/>
      <c r="B63886" s="8"/>
      <c r="C63886" s="99"/>
      <c r="D63886" s="8"/>
      <c r="E63886" s="8"/>
      <c r="F63886" s="8"/>
      <c r="G63886" s="8"/>
      <c r="H63886" s="8"/>
      <c r="I63886" s="102"/>
      <c r="J63886" s="8"/>
      <c r="K63886" s="8"/>
      <c r="L63886" s="8"/>
      <c r="M63886" s="8"/>
      <c r="N63886" s="8"/>
      <c r="O63886" s="8"/>
      <c r="P63886" s="8"/>
      <c r="Q63886" s="8"/>
      <c r="R63886" s="103"/>
      <c r="S63886" s="8"/>
      <c r="T63886" s="8"/>
      <c r="U63886" s="8"/>
      <c r="V63886" s="8"/>
      <c r="W63886" s="8"/>
      <c r="X63886" s="8"/>
      <c r="Y63886" s="8"/>
      <c r="Z63886" s="8"/>
      <c r="AA63886" s="8"/>
    </row>
    <row r="63887" spans="1:27" x14ac:dyDescent="0.25">
      <c r="A63887" s="8"/>
      <c r="B63887" s="8"/>
      <c r="C63887" s="99"/>
      <c r="D63887" s="8"/>
      <c r="E63887" s="8"/>
      <c r="F63887" s="8"/>
      <c r="G63887" s="8"/>
      <c r="H63887" s="8"/>
      <c r="I63887" s="102"/>
      <c r="J63887" s="8"/>
      <c r="K63887" s="8"/>
      <c r="L63887" s="8"/>
      <c r="M63887" s="8"/>
      <c r="N63887" s="8"/>
      <c r="O63887" s="8"/>
      <c r="P63887" s="8"/>
      <c r="Q63887" s="8"/>
      <c r="R63887" s="103"/>
      <c r="S63887" s="8"/>
      <c r="T63887" s="8"/>
      <c r="U63887" s="8"/>
      <c r="V63887" s="8"/>
      <c r="W63887" s="8"/>
      <c r="X63887" s="8"/>
      <c r="Y63887" s="8"/>
      <c r="Z63887" s="8"/>
      <c r="AA63887" s="8"/>
    </row>
    <row r="63888" spans="1:27" x14ac:dyDescent="0.25">
      <c r="A63888" s="8"/>
      <c r="B63888" s="8"/>
      <c r="C63888" s="99"/>
      <c r="D63888" s="8"/>
      <c r="E63888" s="8"/>
      <c r="F63888" s="8"/>
      <c r="G63888" s="8"/>
      <c r="H63888" s="8"/>
      <c r="I63888" s="102"/>
      <c r="J63888" s="8"/>
      <c r="K63888" s="8"/>
      <c r="L63888" s="8"/>
      <c r="M63888" s="8"/>
      <c r="N63888" s="8"/>
      <c r="O63888" s="8"/>
      <c r="P63888" s="8"/>
      <c r="Q63888" s="8"/>
      <c r="R63888" s="103"/>
      <c r="S63888" s="8"/>
      <c r="T63888" s="8"/>
      <c r="U63888" s="8"/>
      <c r="V63888" s="8"/>
      <c r="W63888" s="8"/>
      <c r="X63888" s="8"/>
      <c r="Y63888" s="8"/>
      <c r="Z63888" s="8"/>
      <c r="AA63888" s="8"/>
    </row>
    <row r="63889" spans="1:27" x14ac:dyDescent="0.25">
      <c r="A63889" s="8"/>
      <c r="B63889" s="8"/>
      <c r="C63889" s="99"/>
      <c r="D63889" s="8"/>
      <c r="E63889" s="8"/>
      <c r="F63889" s="8"/>
      <c r="G63889" s="8"/>
      <c r="H63889" s="8"/>
      <c r="I63889" s="102"/>
      <c r="J63889" s="8"/>
      <c r="K63889" s="8"/>
      <c r="L63889" s="8"/>
      <c r="M63889" s="8"/>
      <c r="N63889" s="8"/>
      <c r="O63889" s="8"/>
      <c r="P63889" s="8"/>
      <c r="Q63889" s="8"/>
      <c r="R63889" s="103"/>
      <c r="S63889" s="8"/>
      <c r="T63889" s="8"/>
      <c r="U63889" s="8"/>
      <c r="V63889" s="8"/>
      <c r="W63889" s="8"/>
      <c r="X63889" s="8"/>
      <c r="Y63889" s="8"/>
      <c r="Z63889" s="8"/>
      <c r="AA63889" s="8"/>
    </row>
    <row r="63890" spans="1:27" x14ac:dyDescent="0.25">
      <c r="A63890" s="8"/>
      <c r="B63890" s="8"/>
      <c r="C63890" s="99"/>
      <c r="D63890" s="8"/>
      <c r="E63890" s="8"/>
      <c r="F63890" s="8"/>
      <c r="G63890" s="8"/>
      <c r="H63890" s="8"/>
      <c r="I63890" s="102"/>
      <c r="J63890" s="8"/>
      <c r="K63890" s="8"/>
      <c r="L63890" s="8"/>
      <c r="M63890" s="8"/>
      <c r="N63890" s="8"/>
      <c r="O63890" s="8"/>
      <c r="P63890" s="8"/>
      <c r="Q63890" s="8"/>
      <c r="R63890" s="103"/>
      <c r="S63890" s="8"/>
      <c r="T63890" s="8"/>
      <c r="U63890" s="8"/>
      <c r="V63890" s="8"/>
      <c r="W63890" s="8"/>
      <c r="X63890" s="8"/>
      <c r="Y63890" s="8"/>
      <c r="Z63890" s="8"/>
      <c r="AA63890" s="8"/>
    </row>
    <row r="63891" spans="1:27" x14ac:dyDescent="0.25">
      <c r="A63891" s="8"/>
      <c r="B63891" s="8"/>
      <c r="C63891" s="99"/>
      <c r="D63891" s="8"/>
      <c r="E63891" s="8"/>
      <c r="F63891" s="8"/>
      <c r="G63891" s="8"/>
      <c r="H63891" s="8"/>
      <c r="I63891" s="102"/>
      <c r="J63891" s="8"/>
      <c r="K63891" s="8"/>
      <c r="L63891" s="8"/>
      <c r="M63891" s="8"/>
      <c r="N63891" s="8"/>
      <c r="O63891" s="8"/>
      <c r="P63891" s="8"/>
      <c r="Q63891" s="8"/>
      <c r="R63891" s="103"/>
      <c r="S63891" s="8"/>
      <c r="T63891" s="8"/>
      <c r="U63891" s="8"/>
      <c r="V63891" s="8"/>
      <c r="W63891" s="8"/>
      <c r="X63891" s="8"/>
      <c r="Y63891" s="8"/>
      <c r="Z63891" s="8"/>
      <c r="AA63891" s="8"/>
    </row>
    <row r="63892" spans="1:27" x14ac:dyDescent="0.25">
      <c r="A63892" s="8"/>
      <c r="B63892" s="8"/>
      <c r="C63892" s="99"/>
      <c r="D63892" s="8"/>
      <c r="E63892" s="8"/>
      <c r="F63892" s="8"/>
      <c r="G63892" s="8"/>
      <c r="H63892" s="8"/>
      <c r="I63892" s="102"/>
      <c r="J63892" s="8"/>
      <c r="K63892" s="8"/>
      <c r="L63892" s="8"/>
      <c r="M63892" s="8"/>
      <c r="N63892" s="8"/>
      <c r="O63892" s="8"/>
      <c r="P63892" s="8"/>
      <c r="Q63892" s="8"/>
      <c r="R63892" s="103"/>
      <c r="S63892" s="8"/>
      <c r="T63892" s="8"/>
      <c r="U63892" s="8"/>
      <c r="V63892" s="8"/>
      <c r="W63892" s="8"/>
      <c r="X63892" s="8"/>
      <c r="Y63892" s="8"/>
      <c r="Z63892" s="8"/>
      <c r="AA63892" s="8"/>
    </row>
    <row r="63893" spans="1:27" x14ac:dyDescent="0.25">
      <c r="A63893" s="8"/>
      <c r="B63893" s="8"/>
      <c r="C63893" s="99"/>
      <c r="D63893" s="8"/>
      <c r="E63893" s="8"/>
      <c r="F63893" s="8"/>
      <c r="G63893" s="8"/>
      <c r="H63893" s="8"/>
      <c r="I63893" s="102"/>
      <c r="J63893" s="8"/>
      <c r="K63893" s="8"/>
      <c r="L63893" s="8"/>
      <c r="M63893" s="8"/>
      <c r="N63893" s="8"/>
      <c r="O63893" s="8"/>
      <c r="P63893" s="8"/>
      <c r="Q63893" s="8"/>
      <c r="R63893" s="103"/>
      <c r="S63893" s="8"/>
      <c r="T63893" s="8"/>
      <c r="U63893" s="8"/>
      <c r="V63893" s="8"/>
      <c r="W63893" s="8"/>
      <c r="X63893" s="8"/>
      <c r="Y63893" s="8"/>
      <c r="Z63893" s="8"/>
      <c r="AA63893" s="8"/>
    </row>
    <row r="63894" spans="1:27" x14ac:dyDescent="0.25">
      <c r="A63894" s="8"/>
      <c r="B63894" s="8"/>
      <c r="C63894" s="99"/>
      <c r="D63894" s="8"/>
      <c r="E63894" s="8"/>
      <c r="F63894" s="8"/>
      <c r="G63894" s="8"/>
      <c r="H63894" s="8"/>
      <c r="I63894" s="102"/>
      <c r="J63894" s="8"/>
      <c r="K63894" s="8"/>
      <c r="L63894" s="8"/>
      <c r="M63894" s="8"/>
      <c r="N63894" s="8"/>
      <c r="O63894" s="8"/>
      <c r="P63894" s="8"/>
      <c r="Q63894" s="8"/>
      <c r="R63894" s="103"/>
      <c r="S63894" s="8"/>
      <c r="T63894" s="8"/>
      <c r="U63894" s="8"/>
      <c r="V63894" s="8"/>
      <c r="W63894" s="8"/>
      <c r="X63894" s="8"/>
      <c r="Y63894" s="8"/>
      <c r="Z63894" s="8"/>
      <c r="AA63894" s="8"/>
    </row>
    <row r="63895" spans="1:27" x14ac:dyDescent="0.25">
      <c r="A63895" s="8"/>
      <c r="B63895" s="8"/>
      <c r="C63895" s="99"/>
      <c r="D63895" s="8"/>
      <c r="E63895" s="8"/>
      <c r="F63895" s="8"/>
      <c r="G63895" s="8"/>
      <c r="H63895" s="8"/>
      <c r="I63895" s="102"/>
      <c r="J63895" s="8"/>
      <c r="K63895" s="8"/>
      <c r="L63895" s="8"/>
      <c r="M63895" s="8"/>
      <c r="N63895" s="8"/>
      <c r="O63895" s="8"/>
      <c r="P63895" s="8"/>
      <c r="Q63895" s="8"/>
      <c r="R63895" s="103"/>
      <c r="S63895" s="8"/>
      <c r="T63895" s="8"/>
      <c r="U63895" s="8"/>
      <c r="V63895" s="8"/>
      <c r="W63895" s="8"/>
      <c r="X63895" s="8"/>
      <c r="Y63895" s="8"/>
      <c r="Z63895" s="8"/>
      <c r="AA63895" s="8"/>
    </row>
    <row r="63896" spans="1:27" x14ac:dyDescent="0.25">
      <c r="A63896" s="8"/>
      <c r="B63896" s="8"/>
      <c r="C63896" s="99"/>
      <c r="D63896" s="8"/>
      <c r="E63896" s="8"/>
      <c r="F63896" s="8"/>
      <c r="G63896" s="8"/>
      <c r="H63896" s="8"/>
      <c r="I63896" s="102"/>
      <c r="J63896" s="8"/>
      <c r="K63896" s="8"/>
      <c r="L63896" s="8"/>
      <c r="M63896" s="8"/>
      <c r="N63896" s="8"/>
      <c r="O63896" s="8"/>
      <c r="P63896" s="8"/>
      <c r="Q63896" s="8"/>
      <c r="R63896" s="103"/>
      <c r="S63896" s="8"/>
      <c r="T63896" s="8"/>
      <c r="U63896" s="8"/>
      <c r="V63896" s="8"/>
      <c r="W63896" s="8"/>
      <c r="X63896" s="8"/>
      <c r="Y63896" s="8"/>
      <c r="Z63896" s="8"/>
      <c r="AA63896" s="8"/>
    </row>
    <row r="63897" spans="1:27" x14ac:dyDescent="0.25">
      <c r="A63897" s="8"/>
      <c r="B63897" s="8"/>
      <c r="C63897" s="99"/>
      <c r="D63897" s="8"/>
      <c r="E63897" s="8"/>
      <c r="F63897" s="8"/>
      <c r="G63897" s="8"/>
      <c r="H63897" s="8"/>
      <c r="I63897" s="102"/>
      <c r="J63897" s="8"/>
      <c r="K63897" s="8"/>
      <c r="L63897" s="8"/>
      <c r="M63897" s="8"/>
      <c r="N63897" s="8"/>
      <c r="O63897" s="8"/>
      <c r="P63897" s="8"/>
      <c r="Q63897" s="8"/>
      <c r="R63897" s="103"/>
      <c r="S63897" s="8"/>
      <c r="T63897" s="8"/>
      <c r="U63897" s="8"/>
      <c r="V63897" s="8"/>
      <c r="W63897" s="8"/>
      <c r="X63897" s="8"/>
      <c r="Y63897" s="8"/>
      <c r="Z63897" s="8"/>
      <c r="AA63897" s="8"/>
    </row>
    <row r="63898" spans="1:27" x14ac:dyDescent="0.25">
      <c r="A63898" s="8"/>
      <c r="B63898" s="8"/>
      <c r="C63898" s="99"/>
      <c r="D63898" s="8"/>
      <c r="E63898" s="8"/>
      <c r="F63898" s="8"/>
      <c r="G63898" s="8"/>
      <c r="H63898" s="8"/>
      <c r="I63898" s="102"/>
      <c r="J63898" s="8"/>
      <c r="K63898" s="8"/>
      <c r="L63898" s="8"/>
      <c r="M63898" s="8"/>
      <c r="N63898" s="8"/>
      <c r="O63898" s="8"/>
      <c r="P63898" s="8"/>
      <c r="Q63898" s="8"/>
      <c r="R63898" s="103"/>
      <c r="S63898" s="8"/>
      <c r="T63898" s="8"/>
      <c r="U63898" s="8"/>
      <c r="V63898" s="8"/>
      <c r="W63898" s="8"/>
      <c r="X63898" s="8"/>
      <c r="Y63898" s="8"/>
      <c r="Z63898" s="8"/>
      <c r="AA63898" s="8"/>
    </row>
    <row r="63899" spans="1:27" x14ac:dyDescent="0.25">
      <c r="A63899" s="8"/>
      <c r="B63899" s="8"/>
      <c r="C63899" s="99"/>
      <c r="D63899" s="8"/>
      <c r="E63899" s="8"/>
      <c r="F63899" s="8"/>
      <c r="G63899" s="8"/>
      <c r="H63899" s="8"/>
      <c r="I63899" s="102"/>
      <c r="J63899" s="8"/>
      <c r="K63899" s="8"/>
      <c r="L63899" s="8"/>
      <c r="M63899" s="8"/>
      <c r="N63899" s="8"/>
      <c r="O63899" s="8"/>
      <c r="P63899" s="8"/>
      <c r="Q63899" s="8"/>
      <c r="R63899" s="103"/>
      <c r="S63899" s="8"/>
      <c r="T63899" s="8"/>
      <c r="U63899" s="8"/>
      <c r="V63899" s="8"/>
      <c r="W63899" s="8"/>
      <c r="X63899" s="8"/>
      <c r="Y63899" s="8"/>
      <c r="Z63899" s="8"/>
      <c r="AA63899" s="8"/>
    </row>
    <row r="63900" spans="1:27" x14ac:dyDescent="0.25">
      <c r="A63900" s="8"/>
      <c r="B63900" s="8"/>
      <c r="C63900" s="99"/>
      <c r="D63900" s="8"/>
      <c r="E63900" s="8"/>
      <c r="F63900" s="8"/>
      <c r="G63900" s="8"/>
      <c r="H63900" s="8"/>
      <c r="I63900" s="102"/>
      <c r="J63900" s="8"/>
      <c r="K63900" s="8"/>
      <c r="L63900" s="8"/>
      <c r="M63900" s="8"/>
      <c r="N63900" s="8"/>
      <c r="O63900" s="8"/>
      <c r="P63900" s="8"/>
      <c r="Q63900" s="8"/>
      <c r="R63900" s="103"/>
      <c r="S63900" s="8"/>
      <c r="T63900" s="8"/>
      <c r="U63900" s="8"/>
      <c r="V63900" s="8"/>
      <c r="W63900" s="8"/>
      <c r="X63900" s="8"/>
      <c r="Y63900" s="8"/>
      <c r="Z63900" s="8"/>
      <c r="AA63900" s="8"/>
    </row>
    <row r="63901" spans="1:27" x14ac:dyDescent="0.25">
      <c r="A63901" s="8"/>
      <c r="B63901" s="8"/>
      <c r="C63901" s="99"/>
      <c r="D63901" s="8"/>
      <c r="E63901" s="8"/>
      <c r="F63901" s="8"/>
      <c r="G63901" s="8"/>
      <c r="H63901" s="8"/>
      <c r="I63901" s="102"/>
      <c r="J63901" s="8"/>
      <c r="K63901" s="8"/>
      <c r="L63901" s="8"/>
      <c r="M63901" s="8"/>
      <c r="N63901" s="8"/>
      <c r="O63901" s="8"/>
      <c r="P63901" s="8"/>
      <c r="Q63901" s="8"/>
      <c r="R63901" s="103"/>
      <c r="S63901" s="8"/>
      <c r="T63901" s="8"/>
      <c r="U63901" s="8"/>
      <c r="V63901" s="8"/>
      <c r="W63901" s="8"/>
      <c r="X63901" s="8"/>
      <c r="Y63901" s="8"/>
      <c r="Z63901" s="8"/>
      <c r="AA63901" s="8"/>
    </row>
    <row r="63902" spans="1:27" x14ac:dyDescent="0.25">
      <c r="A63902" s="8"/>
      <c r="B63902" s="8"/>
      <c r="C63902" s="99"/>
      <c r="D63902" s="8"/>
      <c r="E63902" s="8"/>
      <c r="F63902" s="8"/>
      <c r="G63902" s="8"/>
      <c r="H63902" s="8"/>
      <c r="I63902" s="102"/>
      <c r="J63902" s="8"/>
      <c r="K63902" s="8"/>
      <c r="L63902" s="8"/>
      <c r="M63902" s="8"/>
      <c r="N63902" s="8"/>
      <c r="O63902" s="8"/>
      <c r="P63902" s="8"/>
      <c r="Q63902" s="8"/>
      <c r="R63902" s="103"/>
      <c r="S63902" s="8"/>
      <c r="T63902" s="8"/>
      <c r="U63902" s="8"/>
      <c r="V63902" s="8"/>
      <c r="W63902" s="8"/>
      <c r="X63902" s="8"/>
      <c r="Y63902" s="8"/>
      <c r="Z63902" s="8"/>
      <c r="AA63902" s="8"/>
    </row>
    <row r="63903" spans="1:27" x14ac:dyDescent="0.25">
      <c r="A63903" s="8"/>
      <c r="B63903" s="8"/>
      <c r="C63903" s="99"/>
      <c r="D63903" s="8"/>
      <c r="E63903" s="8"/>
      <c r="F63903" s="8"/>
      <c r="G63903" s="8"/>
      <c r="H63903" s="8"/>
      <c r="I63903" s="102"/>
      <c r="J63903" s="8"/>
      <c r="K63903" s="8"/>
      <c r="L63903" s="8"/>
      <c r="M63903" s="8"/>
      <c r="N63903" s="8"/>
      <c r="O63903" s="8"/>
      <c r="P63903" s="8"/>
      <c r="Q63903" s="8"/>
      <c r="R63903" s="103"/>
      <c r="S63903" s="8"/>
      <c r="T63903" s="8"/>
      <c r="U63903" s="8"/>
      <c r="V63903" s="8"/>
      <c r="W63903" s="8"/>
      <c r="X63903" s="8"/>
      <c r="Y63903" s="8"/>
      <c r="Z63903" s="8"/>
      <c r="AA63903" s="8"/>
    </row>
    <row r="63904" spans="1:27" x14ac:dyDescent="0.25">
      <c r="A63904" s="8"/>
      <c r="B63904" s="8"/>
      <c r="C63904" s="99"/>
      <c r="D63904" s="8"/>
      <c r="E63904" s="8"/>
      <c r="F63904" s="8"/>
      <c r="G63904" s="8"/>
      <c r="H63904" s="8"/>
      <c r="I63904" s="102"/>
      <c r="J63904" s="8"/>
      <c r="K63904" s="8"/>
      <c r="L63904" s="8"/>
      <c r="M63904" s="8"/>
      <c r="N63904" s="8"/>
      <c r="O63904" s="8"/>
      <c r="P63904" s="8"/>
      <c r="Q63904" s="8"/>
      <c r="R63904" s="103"/>
      <c r="S63904" s="8"/>
      <c r="T63904" s="8"/>
      <c r="U63904" s="8"/>
      <c r="V63904" s="8"/>
      <c r="W63904" s="8"/>
      <c r="X63904" s="8"/>
      <c r="Y63904" s="8"/>
      <c r="Z63904" s="8"/>
      <c r="AA63904" s="8"/>
    </row>
    <row r="63905" spans="1:27" x14ac:dyDescent="0.25">
      <c r="A63905" s="8"/>
      <c r="B63905" s="8"/>
      <c r="C63905" s="99"/>
      <c r="D63905" s="8"/>
      <c r="E63905" s="8"/>
      <c r="F63905" s="8"/>
      <c r="G63905" s="8"/>
      <c r="H63905" s="8"/>
      <c r="I63905" s="102"/>
      <c r="J63905" s="8"/>
      <c r="K63905" s="8"/>
      <c r="L63905" s="8"/>
      <c r="M63905" s="8"/>
      <c r="N63905" s="8"/>
      <c r="O63905" s="8"/>
      <c r="P63905" s="8"/>
      <c r="Q63905" s="8"/>
      <c r="R63905" s="103"/>
      <c r="S63905" s="8"/>
      <c r="T63905" s="8"/>
      <c r="U63905" s="8"/>
      <c r="V63905" s="8"/>
      <c r="W63905" s="8"/>
      <c r="X63905" s="8"/>
      <c r="Y63905" s="8"/>
      <c r="Z63905" s="8"/>
      <c r="AA63905" s="8"/>
    </row>
    <row r="63906" spans="1:27" x14ac:dyDescent="0.25">
      <c r="A63906" s="8"/>
      <c r="B63906" s="8"/>
      <c r="C63906" s="99"/>
      <c r="D63906" s="8"/>
      <c r="E63906" s="8"/>
      <c r="F63906" s="8"/>
      <c r="G63906" s="8"/>
      <c r="H63906" s="8"/>
      <c r="I63906" s="102"/>
      <c r="J63906" s="8"/>
      <c r="K63906" s="8"/>
      <c r="L63906" s="8"/>
      <c r="M63906" s="8"/>
      <c r="N63906" s="8"/>
      <c r="O63906" s="8"/>
      <c r="P63906" s="8"/>
      <c r="Q63906" s="8"/>
      <c r="R63906" s="103"/>
      <c r="S63906" s="8"/>
      <c r="T63906" s="8"/>
      <c r="U63906" s="8"/>
      <c r="V63906" s="8"/>
      <c r="W63906" s="8"/>
      <c r="X63906" s="8"/>
      <c r="Y63906" s="8"/>
      <c r="Z63906" s="8"/>
      <c r="AA63906" s="8"/>
    </row>
    <row r="63907" spans="1:27" x14ac:dyDescent="0.25">
      <c r="A63907" s="8"/>
      <c r="B63907" s="8"/>
      <c r="C63907" s="99"/>
      <c r="D63907" s="8"/>
      <c r="E63907" s="8"/>
      <c r="F63907" s="8"/>
      <c r="G63907" s="8"/>
      <c r="H63907" s="8"/>
      <c r="I63907" s="102"/>
      <c r="J63907" s="8"/>
      <c r="K63907" s="8"/>
      <c r="L63907" s="8"/>
      <c r="M63907" s="8"/>
      <c r="N63907" s="8"/>
      <c r="O63907" s="8"/>
      <c r="P63907" s="8"/>
      <c r="Q63907" s="8"/>
      <c r="R63907" s="103"/>
      <c r="S63907" s="8"/>
      <c r="T63907" s="8"/>
      <c r="U63907" s="8"/>
      <c r="V63907" s="8"/>
      <c r="W63907" s="8"/>
      <c r="X63907" s="8"/>
      <c r="Y63907" s="8"/>
      <c r="Z63907" s="8"/>
      <c r="AA63907" s="8"/>
    </row>
    <row r="63908" spans="1:27" x14ac:dyDescent="0.25">
      <c r="A63908" s="8"/>
      <c r="B63908" s="8"/>
      <c r="C63908" s="99"/>
      <c r="D63908" s="8"/>
      <c r="E63908" s="8"/>
      <c r="F63908" s="8"/>
      <c r="G63908" s="8"/>
      <c r="H63908" s="8"/>
      <c r="I63908" s="102"/>
      <c r="J63908" s="8"/>
      <c r="K63908" s="8"/>
      <c r="L63908" s="8"/>
      <c r="M63908" s="8"/>
      <c r="N63908" s="8"/>
      <c r="O63908" s="8"/>
      <c r="P63908" s="8"/>
      <c r="Q63908" s="8"/>
      <c r="R63908" s="103"/>
      <c r="S63908" s="8"/>
      <c r="T63908" s="8"/>
      <c r="U63908" s="8"/>
      <c r="V63908" s="8"/>
      <c r="W63908" s="8"/>
      <c r="X63908" s="8"/>
      <c r="Y63908" s="8"/>
      <c r="Z63908" s="8"/>
      <c r="AA63908" s="8"/>
    </row>
    <row r="63909" spans="1:27" x14ac:dyDescent="0.25">
      <c r="A63909" s="8"/>
      <c r="B63909" s="8"/>
      <c r="C63909" s="99"/>
      <c r="D63909" s="8"/>
      <c r="E63909" s="8"/>
      <c r="F63909" s="8"/>
      <c r="G63909" s="8"/>
      <c r="H63909" s="8"/>
      <c r="I63909" s="102"/>
      <c r="J63909" s="8"/>
      <c r="K63909" s="8"/>
      <c r="L63909" s="8"/>
      <c r="M63909" s="8"/>
      <c r="N63909" s="8"/>
      <c r="O63909" s="8"/>
      <c r="P63909" s="8"/>
      <c r="Q63909" s="8"/>
      <c r="R63909" s="103"/>
      <c r="S63909" s="8"/>
      <c r="T63909" s="8"/>
      <c r="U63909" s="8"/>
      <c r="V63909" s="8"/>
      <c r="W63909" s="8"/>
      <c r="X63909" s="8"/>
      <c r="Y63909" s="8"/>
      <c r="Z63909" s="8"/>
      <c r="AA63909" s="8"/>
    </row>
    <row r="63910" spans="1:27" x14ac:dyDescent="0.25">
      <c r="A63910" s="8"/>
      <c r="B63910" s="8"/>
      <c r="C63910" s="99"/>
      <c r="D63910" s="8"/>
      <c r="E63910" s="8"/>
      <c r="F63910" s="8"/>
      <c r="G63910" s="8"/>
      <c r="H63910" s="8"/>
      <c r="I63910" s="102"/>
      <c r="J63910" s="8"/>
      <c r="K63910" s="8"/>
      <c r="L63910" s="8"/>
      <c r="M63910" s="8"/>
      <c r="N63910" s="8"/>
      <c r="O63910" s="8"/>
      <c r="P63910" s="8"/>
      <c r="Q63910" s="8"/>
      <c r="R63910" s="103"/>
      <c r="S63910" s="8"/>
      <c r="T63910" s="8"/>
      <c r="U63910" s="8"/>
      <c r="V63910" s="8"/>
      <c r="W63910" s="8"/>
      <c r="X63910" s="8"/>
      <c r="Y63910" s="8"/>
      <c r="Z63910" s="8"/>
      <c r="AA63910" s="8"/>
    </row>
    <row r="63911" spans="1:27" x14ac:dyDescent="0.25">
      <c r="A63911" s="8"/>
      <c r="B63911" s="8"/>
      <c r="C63911" s="99"/>
      <c r="D63911" s="8"/>
      <c r="E63911" s="8"/>
      <c r="F63911" s="8"/>
      <c r="G63911" s="8"/>
      <c r="H63911" s="8"/>
      <c r="I63911" s="102"/>
      <c r="J63911" s="8"/>
      <c r="K63911" s="8"/>
      <c r="L63911" s="8"/>
      <c r="M63911" s="8"/>
      <c r="N63911" s="8"/>
      <c r="O63911" s="8"/>
      <c r="P63911" s="8"/>
      <c r="Q63911" s="8"/>
      <c r="R63911" s="103"/>
      <c r="S63911" s="8"/>
      <c r="T63911" s="8"/>
      <c r="U63911" s="8"/>
      <c r="V63911" s="8"/>
      <c r="W63911" s="8"/>
      <c r="X63911" s="8"/>
      <c r="Y63911" s="8"/>
      <c r="Z63911" s="8"/>
      <c r="AA63911" s="8"/>
    </row>
    <row r="63912" spans="1:27" x14ac:dyDescent="0.25">
      <c r="A63912" s="8"/>
      <c r="B63912" s="8"/>
      <c r="C63912" s="99"/>
      <c r="D63912" s="8"/>
      <c r="E63912" s="8"/>
      <c r="F63912" s="8"/>
      <c r="G63912" s="8"/>
      <c r="H63912" s="8"/>
      <c r="I63912" s="102"/>
      <c r="J63912" s="8"/>
      <c r="K63912" s="8"/>
      <c r="L63912" s="8"/>
      <c r="M63912" s="8"/>
      <c r="N63912" s="8"/>
      <c r="O63912" s="8"/>
      <c r="P63912" s="8"/>
      <c r="Q63912" s="8"/>
      <c r="R63912" s="103"/>
      <c r="S63912" s="8"/>
      <c r="T63912" s="8"/>
      <c r="U63912" s="8"/>
      <c r="V63912" s="8"/>
      <c r="W63912" s="8"/>
      <c r="X63912" s="8"/>
      <c r="Y63912" s="8"/>
      <c r="Z63912" s="8"/>
      <c r="AA63912" s="8"/>
    </row>
    <row r="63913" spans="1:27" x14ac:dyDescent="0.25">
      <c r="A63913" s="8"/>
      <c r="B63913" s="8"/>
      <c r="C63913" s="99"/>
      <c r="D63913" s="8"/>
      <c r="E63913" s="8"/>
      <c r="F63913" s="8"/>
      <c r="G63913" s="8"/>
      <c r="H63913" s="8"/>
      <c r="I63913" s="102"/>
      <c r="J63913" s="8"/>
      <c r="K63913" s="8"/>
      <c r="L63913" s="8"/>
      <c r="M63913" s="8"/>
      <c r="N63913" s="8"/>
      <c r="O63913" s="8"/>
      <c r="P63913" s="8"/>
      <c r="Q63913" s="8"/>
      <c r="R63913" s="103"/>
      <c r="S63913" s="8"/>
      <c r="T63913" s="8"/>
      <c r="U63913" s="8"/>
      <c r="V63913" s="8"/>
      <c r="W63913" s="8"/>
      <c r="X63913" s="8"/>
      <c r="Y63913" s="8"/>
      <c r="Z63913" s="8"/>
      <c r="AA63913" s="8"/>
    </row>
    <row r="63914" spans="1:27" x14ac:dyDescent="0.25">
      <c r="A63914" s="8"/>
      <c r="B63914" s="8"/>
      <c r="C63914" s="99"/>
      <c r="D63914" s="8"/>
      <c r="E63914" s="8"/>
      <c r="F63914" s="8"/>
      <c r="G63914" s="8"/>
      <c r="H63914" s="8"/>
      <c r="I63914" s="102"/>
      <c r="J63914" s="8"/>
      <c r="K63914" s="8"/>
      <c r="L63914" s="8"/>
      <c r="M63914" s="8"/>
      <c r="N63914" s="8"/>
      <c r="O63914" s="8"/>
      <c r="P63914" s="8"/>
      <c r="Q63914" s="8"/>
      <c r="R63914" s="103"/>
      <c r="S63914" s="8"/>
      <c r="T63914" s="8"/>
      <c r="U63914" s="8"/>
      <c r="V63914" s="8"/>
      <c r="W63914" s="8"/>
      <c r="X63914" s="8"/>
      <c r="Y63914" s="8"/>
      <c r="Z63914" s="8"/>
      <c r="AA63914" s="8"/>
    </row>
    <row r="63915" spans="1:27" x14ac:dyDescent="0.25">
      <c r="A63915" s="8"/>
      <c r="B63915" s="8"/>
      <c r="C63915" s="99"/>
      <c r="D63915" s="8"/>
      <c r="E63915" s="8"/>
      <c r="F63915" s="8"/>
      <c r="G63915" s="8"/>
      <c r="H63915" s="8"/>
      <c r="I63915" s="102"/>
      <c r="J63915" s="8"/>
      <c r="K63915" s="8"/>
      <c r="L63915" s="8"/>
      <c r="M63915" s="8"/>
      <c r="N63915" s="8"/>
      <c r="O63915" s="8"/>
      <c r="P63915" s="8"/>
      <c r="Q63915" s="8"/>
      <c r="R63915" s="103"/>
      <c r="S63915" s="8"/>
      <c r="T63915" s="8"/>
      <c r="U63915" s="8"/>
      <c r="V63915" s="8"/>
      <c r="W63915" s="8"/>
      <c r="X63915" s="8"/>
      <c r="Y63915" s="8"/>
      <c r="Z63915" s="8"/>
      <c r="AA63915" s="8"/>
    </row>
    <row r="63916" spans="1:27" x14ac:dyDescent="0.25">
      <c r="A63916" s="8"/>
      <c r="B63916" s="8"/>
      <c r="C63916" s="99"/>
      <c r="D63916" s="8"/>
      <c r="E63916" s="8"/>
      <c r="F63916" s="8"/>
      <c r="G63916" s="8"/>
      <c r="H63916" s="8"/>
      <c r="I63916" s="102"/>
      <c r="J63916" s="8"/>
      <c r="K63916" s="8"/>
      <c r="L63916" s="8"/>
      <c r="M63916" s="8"/>
      <c r="N63916" s="8"/>
      <c r="O63916" s="8"/>
      <c r="P63916" s="8"/>
      <c r="Q63916" s="8"/>
      <c r="R63916" s="103"/>
      <c r="S63916" s="8"/>
      <c r="T63916" s="8"/>
      <c r="U63916" s="8"/>
      <c r="V63916" s="8"/>
      <c r="W63916" s="8"/>
      <c r="X63916" s="8"/>
      <c r="Y63916" s="8"/>
      <c r="Z63916" s="8"/>
      <c r="AA63916" s="8"/>
    </row>
    <row r="63917" spans="1:27" x14ac:dyDescent="0.25">
      <c r="A63917" s="8"/>
      <c r="B63917" s="8"/>
      <c r="C63917" s="99"/>
      <c r="D63917" s="8"/>
      <c r="E63917" s="8"/>
      <c r="F63917" s="8"/>
      <c r="G63917" s="8"/>
      <c r="H63917" s="8"/>
      <c r="I63917" s="102"/>
      <c r="J63917" s="8"/>
      <c r="K63917" s="8"/>
      <c r="L63917" s="8"/>
      <c r="M63917" s="8"/>
      <c r="N63917" s="8"/>
      <c r="O63917" s="8"/>
      <c r="P63917" s="8"/>
      <c r="Q63917" s="8"/>
      <c r="R63917" s="103"/>
      <c r="S63917" s="8"/>
      <c r="T63917" s="8"/>
      <c r="U63917" s="8"/>
      <c r="V63917" s="8"/>
      <c r="W63917" s="8"/>
      <c r="X63917" s="8"/>
      <c r="Y63917" s="8"/>
      <c r="Z63917" s="8"/>
      <c r="AA63917" s="8"/>
    </row>
    <row r="63918" spans="1:27" x14ac:dyDescent="0.25">
      <c r="A63918" s="8"/>
      <c r="B63918" s="8"/>
      <c r="C63918" s="99"/>
      <c r="D63918" s="8"/>
      <c r="E63918" s="8"/>
      <c r="F63918" s="8"/>
      <c r="G63918" s="8"/>
      <c r="H63918" s="8"/>
      <c r="I63918" s="102"/>
      <c r="J63918" s="8"/>
      <c r="K63918" s="8"/>
      <c r="L63918" s="8"/>
      <c r="M63918" s="8"/>
      <c r="N63918" s="8"/>
      <c r="O63918" s="8"/>
      <c r="P63918" s="8"/>
      <c r="Q63918" s="8"/>
      <c r="R63918" s="103"/>
      <c r="S63918" s="8"/>
      <c r="T63918" s="8"/>
      <c r="U63918" s="8"/>
      <c r="V63918" s="8"/>
      <c r="W63918" s="8"/>
      <c r="X63918" s="8"/>
      <c r="Y63918" s="8"/>
      <c r="Z63918" s="8"/>
      <c r="AA63918" s="8"/>
    </row>
    <row r="63919" spans="1:27" x14ac:dyDescent="0.25">
      <c r="A63919" s="8"/>
      <c r="B63919" s="8"/>
      <c r="C63919" s="99"/>
      <c r="D63919" s="8"/>
      <c r="E63919" s="8"/>
      <c r="F63919" s="8"/>
      <c r="G63919" s="8"/>
      <c r="H63919" s="8"/>
      <c r="I63919" s="102"/>
      <c r="J63919" s="8"/>
      <c r="K63919" s="8"/>
      <c r="L63919" s="8"/>
      <c r="M63919" s="8"/>
      <c r="N63919" s="8"/>
      <c r="O63919" s="8"/>
      <c r="P63919" s="8"/>
      <c r="Q63919" s="8"/>
      <c r="R63919" s="103"/>
      <c r="S63919" s="8"/>
      <c r="T63919" s="8"/>
      <c r="U63919" s="8"/>
      <c r="V63919" s="8"/>
      <c r="W63919" s="8"/>
      <c r="X63919" s="8"/>
      <c r="Y63919" s="8"/>
      <c r="Z63919" s="8"/>
      <c r="AA63919" s="8"/>
    </row>
    <row r="63920" spans="1:27" x14ac:dyDescent="0.25">
      <c r="A63920" s="8"/>
      <c r="B63920" s="8"/>
      <c r="C63920" s="99"/>
      <c r="D63920" s="8"/>
      <c r="E63920" s="8"/>
      <c r="F63920" s="8"/>
      <c r="G63920" s="8"/>
      <c r="H63920" s="8"/>
      <c r="I63920" s="102"/>
      <c r="J63920" s="8"/>
      <c r="K63920" s="8"/>
      <c r="L63920" s="8"/>
      <c r="M63920" s="8"/>
      <c r="N63920" s="8"/>
      <c r="O63920" s="8"/>
      <c r="P63920" s="8"/>
      <c r="Q63920" s="8"/>
      <c r="R63920" s="103"/>
      <c r="S63920" s="8"/>
      <c r="T63920" s="8"/>
      <c r="U63920" s="8"/>
      <c r="V63920" s="8"/>
      <c r="W63920" s="8"/>
      <c r="X63920" s="8"/>
      <c r="Y63920" s="8"/>
      <c r="Z63920" s="8"/>
      <c r="AA63920" s="8"/>
    </row>
    <row r="63921" spans="1:27" x14ac:dyDescent="0.25">
      <c r="A63921" s="8"/>
      <c r="B63921" s="8"/>
      <c r="C63921" s="99"/>
      <c r="D63921" s="8"/>
      <c r="E63921" s="8"/>
      <c r="F63921" s="8"/>
      <c r="G63921" s="8"/>
      <c r="H63921" s="8"/>
      <c r="I63921" s="102"/>
      <c r="J63921" s="8"/>
      <c r="K63921" s="8"/>
      <c r="L63921" s="8"/>
      <c r="M63921" s="8"/>
      <c r="N63921" s="8"/>
      <c r="O63921" s="8"/>
      <c r="P63921" s="8"/>
      <c r="Q63921" s="8"/>
      <c r="R63921" s="103"/>
      <c r="S63921" s="8"/>
      <c r="T63921" s="8"/>
      <c r="U63921" s="8"/>
      <c r="V63921" s="8"/>
      <c r="W63921" s="8"/>
      <c r="X63921" s="8"/>
      <c r="Y63921" s="8"/>
      <c r="Z63921" s="8"/>
      <c r="AA63921" s="8"/>
    </row>
    <row r="63922" spans="1:27" x14ac:dyDescent="0.25">
      <c r="A63922" s="8"/>
      <c r="B63922" s="8"/>
      <c r="C63922" s="99"/>
      <c r="D63922" s="8"/>
      <c r="E63922" s="8"/>
      <c r="F63922" s="8"/>
      <c r="G63922" s="8"/>
      <c r="H63922" s="8"/>
      <c r="I63922" s="102"/>
      <c r="J63922" s="8"/>
      <c r="K63922" s="8"/>
      <c r="L63922" s="8"/>
      <c r="M63922" s="8"/>
      <c r="N63922" s="8"/>
      <c r="O63922" s="8"/>
      <c r="P63922" s="8"/>
      <c r="Q63922" s="8"/>
      <c r="R63922" s="103"/>
      <c r="S63922" s="8"/>
      <c r="T63922" s="8"/>
      <c r="U63922" s="8"/>
      <c r="V63922" s="8"/>
      <c r="W63922" s="8"/>
      <c r="X63922" s="8"/>
      <c r="Y63922" s="8"/>
      <c r="Z63922" s="8"/>
      <c r="AA63922" s="8"/>
    </row>
    <row r="63923" spans="1:27" x14ac:dyDescent="0.25">
      <c r="A63923" s="8"/>
      <c r="B63923" s="8"/>
      <c r="C63923" s="99"/>
      <c r="D63923" s="8"/>
      <c r="E63923" s="8"/>
      <c r="F63923" s="8"/>
      <c r="G63923" s="8"/>
      <c r="H63923" s="8"/>
      <c r="I63923" s="102"/>
      <c r="J63923" s="8"/>
      <c r="K63923" s="8"/>
      <c r="L63923" s="8"/>
      <c r="M63923" s="8"/>
      <c r="N63923" s="8"/>
      <c r="O63923" s="8"/>
      <c r="P63923" s="8"/>
      <c r="Q63923" s="8"/>
      <c r="R63923" s="103"/>
      <c r="S63923" s="8"/>
      <c r="T63923" s="8"/>
      <c r="U63923" s="8"/>
      <c r="V63923" s="8"/>
      <c r="W63923" s="8"/>
      <c r="X63923" s="8"/>
      <c r="Y63923" s="8"/>
      <c r="Z63923" s="8"/>
      <c r="AA63923" s="8"/>
    </row>
    <row r="63924" spans="1:27" x14ac:dyDescent="0.25">
      <c r="A63924" s="8"/>
      <c r="B63924" s="8"/>
      <c r="C63924" s="99"/>
      <c r="D63924" s="8"/>
      <c r="E63924" s="8"/>
      <c r="F63924" s="8"/>
      <c r="G63924" s="8"/>
      <c r="H63924" s="8"/>
      <c r="I63924" s="102"/>
      <c r="J63924" s="8"/>
      <c r="K63924" s="8"/>
      <c r="L63924" s="8"/>
      <c r="M63924" s="8"/>
      <c r="N63924" s="8"/>
      <c r="O63924" s="8"/>
      <c r="P63924" s="8"/>
      <c r="Q63924" s="8"/>
      <c r="R63924" s="103"/>
      <c r="S63924" s="8"/>
      <c r="T63924" s="8"/>
      <c r="U63924" s="8"/>
      <c r="V63924" s="8"/>
      <c r="W63924" s="8"/>
      <c r="X63924" s="8"/>
      <c r="Y63924" s="8"/>
      <c r="Z63924" s="8"/>
      <c r="AA63924" s="8"/>
    </row>
    <row r="63925" spans="1:27" x14ac:dyDescent="0.25">
      <c r="A63925" s="8"/>
      <c r="B63925" s="8"/>
      <c r="C63925" s="99"/>
      <c r="D63925" s="8"/>
      <c r="E63925" s="8"/>
      <c r="F63925" s="8"/>
      <c r="G63925" s="8"/>
      <c r="H63925" s="8"/>
      <c r="I63925" s="102"/>
      <c r="J63925" s="8"/>
      <c r="K63925" s="8"/>
      <c r="L63925" s="8"/>
      <c r="M63925" s="8"/>
      <c r="N63925" s="8"/>
      <c r="O63925" s="8"/>
      <c r="P63925" s="8"/>
      <c r="Q63925" s="8"/>
      <c r="R63925" s="103"/>
      <c r="S63925" s="8"/>
      <c r="T63925" s="8"/>
      <c r="U63925" s="8"/>
      <c r="V63925" s="8"/>
      <c r="W63925" s="8"/>
      <c r="X63925" s="8"/>
      <c r="Y63925" s="8"/>
      <c r="Z63925" s="8"/>
      <c r="AA63925" s="8"/>
    </row>
    <row r="63926" spans="1:27" x14ac:dyDescent="0.25">
      <c r="A63926" s="8"/>
      <c r="B63926" s="8"/>
      <c r="C63926" s="99"/>
      <c r="D63926" s="8"/>
      <c r="E63926" s="8"/>
      <c r="F63926" s="8"/>
      <c r="G63926" s="8"/>
      <c r="H63926" s="8"/>
      <c r="I63926" s="102"/>
      <c r="J63926" s="8"/>
      <c r="K63926" s="8"/>
      <c r="L63926" s="8"/>
      <c r="M63926" s="8"/>
      <c r="N63926" s="8"/>
      <c r="O63926" s="8"/>
      <c r="P63926" s="8"/>
      <c r="Q63926" s="8"/>
      <c r="R63926" s="103"/>
      <c r="S63926" s="8"/>
      <c r="T63926" s="8"/>
      <c r="U63926" s="8"/>
      <c r="V63926" s="8"/>
      <c r="W63926" s="8"/>
      <c r="X63926" s="8"/>
      <c r="Y63926" s="8"/>
      <c r="Z63926" s="8"/>
      <c r="AA63926" s="8"/>
    </row>
    <row r="63927" spans="1:27" x14ac:dyDescent="0.25">
      <c r="A63927" s="8"/>
      <c r="B63927" s="8"/>
      <c r="C63927" s="99"/>
      <c r="D63927" s="8"/>
      <c r="E63927" s="8"/>
      <c r="F63927" s="8"/>
      <c r="G63927" s="8"/>
      <c r="H63927" s="8"/>
      <c r="I63927" s="102"/>
      <c r="J63927" s="8"/>
      <c r="K63927" s="8"/>
      <c r="L63927" s="8"/>
      <c r="M63927" s="8"/>
      <c r="N63927" s="8"/>
      <c r="O63927" s="8"/>
      <c r="P63927" s="8"/>
      <c r="Q63927" s="8"/>
      <c r="R63927" s="103"/>
      <c r="S63927" s="8"/>
      <c r="T63927" s="8"/>
      <c r="U63927" s="8"/>
      <c r="V63927" s="8"/>
      <c r="W63927" s="8"/>
      <c r="X63927" s="8"/>
      <c r="Y63927" s="8"/>
      <c r="Z63927" s="8"/>
      <c r="AA63927" s="8"/>
    </row>
    <row r="63928" spans="1:27" x14ac:dyDescent="0.25">
      <c r="A63928" s="8"/>
      <c r="B63928" s="8"/>
      <c r="C63928" s="99"/>
      <c r="D63928" s="8"/>
      <c r="E63928" s="8"/>
      <c r="F63928" s="8"/>
      <c r="G63928" s="8"/>
      <c r="H63928" s="8"/>
      <c r="I63928" s="102"/>
      <c r="J63928" s="8"/>
      <c r="K63928" s="8"/>
      <c r="L63928" s="8"/>
      <c r="M63928" s="8"/>
      <c r="N63928" s="8"/>
      <c r="O63928" s="8"/>
      <c r="P63928" s="8"/>
      <c r="Q63928" s="8"/>
      <c r="R63928" s="103"/>
      <c r="S63928" s="8"/>
      <c r="T63928" s="8"/>
      <c r="U63928" s="8"/>
      <c r="V63928" s="8"/>
      <c r="W63928" s="8"/>
      <c r="X63928" s="8"/>
      <c r="Y63928" s="8"/>
      <c r="Z63928" s="8"/>
      <c r="AA63928" s="8"/>
    </row>
    <row r="63929" spans="1:27" x14ac:dyDescent="0.25">
      <c r="A63929" s="8"/>
      <c r="B63929" s="8"/>
      <c r="C63929" s="99"/>
      <c r="D63929" s="8"/>
      <c r="E63929" s="8"/>
      <c r="F63929" s="8"/>
      <c r="G63929" s="8"/>
      <c r="H63929" s="8"/>
      <c r="I63929" s="102"/>
      <c r="J63929" s="8"/>
      <c r="K63929" s="8"/>
      <c r="L63929" s="8"/>
      <c r="M63929" s="8"/>
      <c r="N63929" s="8"/>
      <c r="O63929" s="8"/>
      <c r="P63929" s="8"/>
      <c r="Q63929" s="8"/>
      <c r="R63929" s="103"/>
      <c r="S63929" s="8"/>
      <c r="T63929" s="8"/>
      <c r="U63929" s="8"/>
      <c r="V63929" s="8"/>
      <c r="W63929" s="8"/>
      <c r="X63929" s="8"/>
      <c r="Y63929" s="8"/>
      <c r="Z63929" s="8"/>
      <c r="AA63929" s="8"/>
    </row>
    <row r="63930" spans="1:27" x14ac:dyDescent="0.25">
      <c r="A63930" s="8"/>
      <c r="B63930" s="8"/>
      <c r="C63930" s="99"/>
      <c r="D63930" s="8"/>
      <c r="E63930" s="8"/>
      <c r="F63930" s="8"/>
      <c r="G63930" s="8"/>
      <c r="H63930" s="8"/>
      <c r="I63930" s="102"/>
      <c r="J63930" s="8"/>
      <c r="K63930" s="8"/>
      <c r="L63930" s="8"/>
      <c r="M63930" s="8"/>
      <c r="N63930" s="8"/>
      <c r="O63930" s="8"/>
      <c r="P63930" s="8"/>
      <c r="Q63930" s="8"/>
      <c r="R63930" s="103"/>
      <c r="S63930" s="8"/>
      <c r="T63930" s="8"/>
      <c r="U63930" s="8"/>
      <c r="V63930" s="8"/>
      <c r="W63930" s="8"/>
      <c r="X63930" s="8"/>
      <c r="Y63930" s="8"/>
      <c r="Z63930" s="8"/>
      <c r="AA63930" s="8"/>
    </row>
    <row r="63931" spans="1:27" x14ac:dyDescent="0.25">
      <c r="A63931" s="8"/>
      <c r="B63931" s="8"/>
      <c r="C63931" s="99"/>
      <c r="D63931" s="8"/>
      <c r="E63931" s="8"/>
      <c r="F63931" s="8"/>
      <c r="G63931" s="8"/>
      <c r="H63931" s="8"/>
      <c r="I63931" s="102"/>
      <c r="J63931" s="8"/>
      <c r="K63931" s="8"/>
      <c r="L63931" s="8"/>
      <c r="M63931" s="8"/>
      <c r="N63931" s="8"/>
      <c r="O63931" s="8"/>
      <c r="P63931" s="8"/>
      <c r="Q63931" s="8"/>
      <c r="R63931" s="103"/>
      <c r="S63931" s="8"/>
      <c r="T63931" s="8"/>
      <c r="U63931" s="8"/>
      <c r="V63931" s="8"/>
      <c r="W63931" s="8"/>
      <c r="X63931" s="8"/>
      <c r="Y63931" s="8"/>
      <c r="Z63931" s="8"/>
      <c r="AA63931" s="8"/>
    </row>
    <row r="63932" spans="1:27" x14ac:dyDescent="0.25">
      <c r="A63932" s="8"/>
      <c r="B63932" s="8"/>
      <c r="C63932" s="99"/>
      <c r="D63932" s="8"/>
      <c r="E63932" s="8"/>
      <c r="F63932" s="8"/>
      <c r="G63932" s="8"/>
      <c r="H63932" s="8"/>
      <c r="I63932" s="102"/>
      <c r="J63932" s="8"/>
      <c r="K63932" s="8"/>
      <c r="L63932" s="8"/>
      <c r="M63932" s="8"/>
      <c r="N63932" s="8"/>
      <c r="O63932" s="8"/>
      <c r="P63932" s="8"/>
      <c r="Q63932" s="8"/>
      <c r="R63932" s="103"/>
      <c r="S63932" s="8"/>
      <c r="T63932" s="8"/>
      <c r="U63932" s="8"/>
      <c r="V63932" s="8"/>
      <c r="W63932" s="8"/>
      <c r="X63932" s="8"/>
      <c r="Y63932" s="8"/>
      <c r="Z63932" s="8"/>
      <c r="AA63932" s="8"/>
    </row>
    <row r="63933" spans="1:27" x14ac:dyDescent="0.25">
      <c r="A63933" s="8"/>
      <c r="B63933" s="8"/>
      <c r="C63933" s="99"/>
      <c r="D63933" s="8"/>
      <c r="E63933" s="8"/>
      <c r="F63933" s="8"/>
      <c r="G63933" s="8"/>
      <c r="H63933" s="8"/>
      <c r="I63933" s="102"/>
      <c r="J63933" s="8"/>
      <c r="K63933" s="8"/>
      <c r="L63933" s="8"/>
      <c r="M63933" s="8"/>
      <c r="N63933" s="8"/>
      <c r="O63933" s="8"/>
      <c r="P63933" s="8"/>
      <c r="Q63933" s="8"/>
      <c r="R63933" s="103"/>
      <c r="S63933" s="8"/>
      <c r="T63933" s="8"/>
      <c r="U63933" s="8"/>
      <c r="V63933" s="8"/>
      <c r="W63933" s="8"/>
      <c r="X63933" s="8"/>
      <c r="Y63933" s="8"/>
      <c r="Z63933" s="8"/>
      <c r="AA63933" s="8"/>
    </row>
    <row r="63934" spans="1:27" x14ac:dyDescent="0.25">
      <c r="A63934" s="8"/>
      <c r="B63934" s="8"/>
      <c r="C63934" s="99"/>
      <c r="D63934" s="8"/>
      <c r="E63934" s="8"/>
      <c r="F63934" s="8"/>
      <c r="G63934" s="8"/>
      <c r="H63934" s="8"/>
      <c r="I63934" s="102"/>
      <c r="J63934" s="8"/>
      <c r="K63934" s="8"/>
      <c r="L63934" s="8"/>
      <c r="M63934" s="8"/>
      <c r="N63934" s="8"/>
      <c r="O63934" s="8"/>
      <c r="P63934" s="8"/>
      <c r="Q63934" s="8"/>
      <c r="R63934" s="103"/>
      <c r="S63934" s="8"/>
      <c r="T63934" s="8"/>
      <c r="U63934" s="8"/>
      <c r="V63934" s="8"/>
      <c r="W63934" s="8"/>
      <c r="X63934" s="8"/>
      <c r="Y63934" s="8"/>
      <c r="Z63934" s="8"/>
      <c r="AA63934" s="8"/>
    </row>
    <row r="63935" spans="1:27" x14ac:dyDescent="0.25">
      <c r="A63935" s="8"/>
      <c r="B63935" s="8"/>
      <c r="C63935" s="99"/>
      <c r="D63935" s="8"/>
      <c r="E63935" s="8"/>
      <c r="F63935" s="8"/>
      <c r="G63935" s="8"/>
      <c r="H63935" s="8"/>
      <c r="I63935" s="102"/>
      <c r="J63935" s="8"/>
      <c r="K63935" s="8"/>
      <c r="L63935" s="8"/>
      <c r="M63935" s="8"/>
      <c r="N63935" s="8"/>
      <c r="O63935" s="8"/>
      <c r="P63935" s="8"/>
      <c r="Q63935" s="8"/>
      <c r="R63935" s="103"/>
      <c r="S63935" s="8"/>
      <c r="T63935" s="8"/>
      <c r="U63935" s="8"/>
      <c r="V63935" s="8"/>
      <c r="W63935" s="8"/>
      <c r="X63935" s="8"/>
      <c r="Y63935" s="8"/>
      <c r="Z63935" s="8"/>
      <c r="AA63935" s="8"/>
    </row>
    <row r="63936" spans="1:27" x14ac:dyDescent="0.25">
      <c r="A63936" s="8"/>
      <c r="B63936" s="8"/>
      <c r="C63936" s="99"/>
      <c r="D63936" s="8"/>
      <c r="E63936" s="8"/>
      <c r="F63936" s="8"/>
      <c r="G63936" s="8"/>
      <c r="H63936" s="8"/>
      <c r="I63936" s="102"/>
      <c r="J63936" s="8"/>
      <c r="K63936" s="8"/>
      <c r="L63936" s="8"/>
      <c r="M63936" s="8"/>
      <c r="N63936" s="8"/>
      <c r="O63936" s="8"/>
      <c r="P63936" s="8"/>
      <c r="Q63936" s="8"/>
      <c r="R63936" s="103"/>
      <c r="S63936" s="8"/>
      <c r="T63936" s="8"/>
      <c r="U63936" s="8"/>
      <c r="V63936" s="8"/>
      <c r="W63936" s="8"/>
      <c r="X63936" s="8"/>
      <c r="Y63936" s="8"/>
      <c r="Z63936" s="8"/>
      <c r="AA63936" s="8"/>
    </row>
    <row r="63937" spans="1:27" x14ac:dyDescent="0.25">
      <c r="A63937" s="8"/>
      <c r="B63937" s="8"/>
      <c r="C63937" s="99"/>
      <c r="D63937" s="8"/>
      <c r="E63937" s="8"/>
      <c r="F63937" s="8"/>
      <c r="G63937" s="8"/>
      <c r="H63937" s="8"/>
      <c r="I63937" s="102"/>
      <c r="J63937" s="8"/>
      <c r="K63937" s="8"/>
      <c r="L63937" s="8"/>
      <c r="M63937" s="8"/>
      <c r="N63937" s="8"/>
      <c r="O63937" s="8"/>
      <c r="P63937" s="8"/>
      <c r="Q63937" s="8"/>
      <c r="R63937" s="103"/>
      <c r="S63937" s="8"/>
      <c r="T63937" s="8"/>
      <c r="U63937" s="8"/>
      <c r="V63937" s="8"/>
      <c r="W63937" s="8"/>
      <c r="X63937" s="8"/>
      <c r="Y63937" s="8"/>
      <c r="Z63937" s="8"/>
      <c r="AA63937" s="8"/>
    </row>
    <row r="63938" spans="1:27" x14ac:dyDescent="0.25">
      <c r="A63938" s="8"/>
      <c r="B63938" s="8"/>
      <c r="C63938" s="99"/>
      <c r="D63938" s="8"/>
      <c r="E63938" s="8"/>
      <c r="F63938" s="8"/>
      <c r="G63938" s="8"/>
      <c r="H63938" s="8"/>
      <c r="I63938" s="102"/>
      <c r="J63938" s="8"/>
      <c r="K63938" s="8"/>
      <c r="L63938" s="8"/>
      <c r="M63938" s="8"/>
      <c r="N63938" s="8"/>
      <c r="O63938" s="8"/>
      <c r="P63938" s="8"/>
      <c r="Q63938" s="8"/>
      <c r="R63938" s="103"/>
      <c r="S63938" s="8"/>
      <c r="T63938" s="8"/>
      <c r="U63938" s="8"/>
      <c r="V63938" s="8"/>
      <c r="W63938" s="8"/>
      <c r="X63938" s="8"/>
      <c r="Y63938" s="8"/>
      <c r="Z63938" s="8"/>
      <c r="AA63938" s="8"/>
    </row>
    <row r="63939" spans="1:27" x14ac:dyDescent="0.25">
      <c r="A63939" s="8"/>
      <c r="B63939" s="8"/>
      <c r="C63939" s="99"/>
      <c r="D63939" s="8"/>
      <c r="E63939" s="8"/>
      <c r="F63939" s="8"/>
      <c r="G63939" s="8"/>
      <c r="H63939" s="8"/>
      <c r="I63939" s="102"/>
      <c r="J63939" s="8"/>
      <c r="K63939" s="8"/>
      <c r="L63939" s="8"/>
      <c r="M63939" s="8"/>
      <c r="N63939" s="8"/>
      <c r="O63939" s="8"/>
      <c r="P63939" s="8"/>
      <c r="Q63939" s="8"/>
      <c r="R63939" s="103"/>
      <c r="S63939" s="8"/>
      <c r="T63939" s="8"/>
      <c r="U63939" s="8"/>
      <c r="V63939" s="8"/>
      <c r="W63939" s="8"/>
      <c r="X63939" s="8"/>
      <c r="Y63939" s="8"/>
      <c r="Z63939" s="8"/>
      <c r="AA63939" s="8"/>
    </row>
    <row r="63940" spans="1:27" x14ac:dyDescent="0.25">
      <c r="A63940" s="8"/>
      <c r="B63940" s="8"/>
      <c r="C63940" s="99"/>
      <c r="D63940" s="8"/>
      <c r="E63940" s="8"/>
      <c r="F63940" s="8"/>
      <c r="G63940" s="8"/>
      <c r="H63940" s="8"/>
      <c r="I63940" s="102"/>
      <c r="J63940" s="8"/>
      <c r="K63940" s="8"/>
      <c r="L63940" s="8"/>
      <c r="M63940" s="8"/>
      <c r="N63940" s="8"/>
      <c r="O63940" s="8"/>
      <c r="P63940" s="8"/>
      <c r="Q63940" s="8"/>
      <c r="R63940" s="103"/>
      <c r="S63940" s="8"/>
      <c r="T63940" s="8"/>
      <c r="U63940" s="8"/>
      <c r="V63940" s="8"/>
      <c r="W63940" s="8"/>
      <c r="X63940" s="8"/>
      <c r="Y63940" s="8"/>
      <c r="Z63940" s="8"/>
      <c r="AA63940" s="8"/>
    </row>
    <row r="63941" spans="1:27" x14ac:dyDescent="0.25">
      <c r="A63941" s="8"/>
      <c r="B63941" s="8"/>
      <c r="C63941" s="99"/>
      <c r="D63941" s="8"/>
      <c r="E63941" s="8"/>
      <c r="F63941" s="8"/>
      <c r="G63941" s="8"/>
      <c r="H63941" s="8"/>
      <c r="I63941" s="102"/>
      <c r="J63941" s="8"/>
      <c r="K63941" s="8"/>
      <c r="L63941" s="8"/>
      <c r="M63941" s="8"/>
      <c r="N63941" s="8"/>
      <c r="O63941" s="8"/>
      <c r="P63941" s="8"/>
      <c r="Q63941" s="8"/>
      <c r="R63941" s="103"/>
      <c r="S63941" s="8"/>
      <c r="T63941" s="8"/>
      <c r="U63941" s="8"/>
      <c r="V63941" s="8"/>
      <c r="W63941" s="8"/>
      <c r="X63941" s="8"/>
      <c r="Y63941" s="8"/>
      <c r="Z63941" s="8"/>
      <c r="AA63941" s="8"/>
    </row>
    <row r="63942" spans="1:27" x14ac:dyDescent="0.25">
      <c r="A63942" s="8"/>
      <c r="B63942" s="8"/>
      <c r="C63942" s="99"/>
      <c r="D63942" s="8"/>
      <c r="E63942" s="8"/>
      <c r="F63942" s="8"/>
      <c r="G63942" s="8"/>
      <c r="H63942" s="8"/>
      <c r="I63942" s="102"/>
      <c r="J63942" s="8"/>
      <c r="K63942" s="8"/>
      <c r="L63942" s="8"/>
      <c r="M63942" s="8"/>
      <c r="N63942" s="8"/>
      <c r="O63942" s="8"/>
      <c r="P63942" s="8"/>
      <c r="Q63942" s="8"/>
      <c r="R63942" s="103"/>
      <c r="S63942" s="8"/>
      <c r="T63942" s="8"/>
      <c r="U63942" s="8"/>
      <c r="V63942" s="8"/>
      <c r="W63942" s="8"/>
      <c r="X63942" s="8"/>
      <c r="Y63942" s="8"/>
      <c r="Z63942" s="8"/>
      <c r="AA63942" s="8"/>
    </row>
    <row r="63943" spans="1:27" x14ac:dyDescent="0.25">
      <c r="A63943" s="8"/>
      <c r="B63943" s="8"/>
      <c r="C63943" s="99"/>
      <c r="D63943" s="8"/>
      <c r="E63943" s="8"/>
      <c r="F63943" s="8"/>
      <c r="G63943" s="8"/>
      <c r="H63943" s="8"/>
      <c r="I63943" s="102"/>
      <c r="J63943" s="8"/>
      <c r="K63943" s="8"/>
      <c r="L63943" s="8"/>
      <c r="M63943" s="8"/>
      <c r="N63943" s="8"/>
      <c r="O63943" s="8"/>
      <c r="P63943" s="8"/>
      <c r="Q63943" s="8"/>
      <c r="R63943" s="103"/>
      <c r="S63943" s="8"/>
      <c r="T63943" s="8"/>
      <c r="U63943" s="8"/>
      <c r="V63943" s="8"/>
      <c r="W63943" s="8"/>
      <c r="X63943" s="8"/>
      <c r="Y63943" s="8"/>
      <c r="Z63943" s="8"/>
      <c r="AA63943" s="8"/>
    </row>
    <row r="63944" spans="1:27" x14ac:dyDescent="0.25">
      <c r="A63944" s="8"/>
      <c r="B63944" s="8"/>
      <c r="C63944" s="99"/>
      <c r="D63944" s="8"/>
      <c r="E63944" s="8"/>
      <c r="F63944" s="8"/>
      <c r="G63944" s="8"/>
      <c r="H63944" s="8"/>
      <c r="I63944" s="102"/>
      <c r="J63944" s="8"/>
      <c r="K63944" s="8"/>
      <c r="L63944" s="8"/>
      <c r="M63944" s="8"/>
      <c r="N63944" s="8"/>
      <c r="O63944" s="8"/>
      <c r="P63944" s="8"/>
      <c r="Q63944" s="8"/>
      <c r="R63944" s="103"/>
      <c r="S63944" s="8"/>
      <c r="T63944" s="8"/>
      <c r="U63944" s="8"/>
      <c r="V63944" s="8"/>
      <c r="W63944" s="8"/>
      <c r="X63944" s="8"/>
      <c r="Y63944" s="8"/>
      <c r="Z63944" s="8"/>
      <c r="AA63944" s="8"/>
    </row>
    <row r="63945" spans="1:27" x14ac:dyDescent="0.25">
      <c r="A63945" s="8"/>
      <c r="B63945" s="8"/>
      <c r="C63945" s="99"/>
      <c r="D63945" s="8"/>
      <c r="E63945" s="8"/>
      <c r="F63945" s="8"/>
      <c r="G63945" s="8"/>
      <c r="H63945" s="8"/>
      <c r="I63945" s="102"/>
      <c r="J63945" s="8"/>
      <c r="K63945" s="8"/>
      <c r="L63945" s="8"/>
      <c r="M63945" s="8"/>
      <c r="N63945" s="8"/>
      <c r="O63945" s="8"/>
      <c r="P63945" s="8"/>
      <c r="Q63945" s="8"/>
      <c r="R63945" s="103"/>
      <c r="S63945" s="8"/>
      <c r="T63945" s="8"/>
      <c r="U63945" s="8"/>
      <c r="V63945" s="8"/>
      <c r="W63945" s="8"/>
      <c r="X63945" s="8"/>
      <c r="Y63945" s="8"/>
      <c r="Z63945" s="8"/>
      <c r="AA63945" s="8"/>
    </row>
    <row r="63946" spans="1:27" x14ac:dyDescent="0.25">
      <c r="A63946" s="8"/>
      <c r="B63946" s="8"/>
      <c r="C63946" s="99"/>
      <c r="D63946" s="8"/>
      <c r="E63946" s="8"/>
      <c r="F63946" s="8"/>
      <c r="G63946" s="8"/>
      <c r="H63946" s="8"/>
      <c r="I63946" s="102"/>
      <c r="J63946" s="8"/>
      <c r="K63946" s="8"/>
      <c r="L63946" s="8"/>
      <c r="M63946" s="8"/>
      <c r="N63946" s="8"/>
      <c r="O63946" s="8"/>
      <c r="P63946" s="8"/>
      <c r="Q63946" s="8"/>
      <c r="R63946" s="103"/>
      <c r="S63946" s="8"/>
      <c r="T63946" s="8"/>
      <c r="U63946" s="8"/>
      <c r="V63946" s="8"/>
      <c r="W63946" s="8"/>
      <c r="X63946" s="8"/>
      <c r="Y63946" s="8"/>
      <c r="Z63946" s="8"/>
      <c r="AA63946" s="8"/>
    </row>
    <row r="63947" spans="1:27" x14ac:dyDescent="0.25">
      <c r="A63947" s="8"/>
      <c r="B63947" s="8"/>
      <c r="C63947" s="99"/>
      <c r="D63947" s="8"/>
      <c r="E63947" s="8"/>
      <c r="F63947" s="8"/>
      <c r="G63947" s="8"/>
      <c r="H63947" s="8"/>
      <c r="I63947" s="102"/>
      <c r="J63947" s="8"/>
      <c r="K63947" s="8"/>
      <c r="L63947" s="8"/>
      <c r="M63947" s="8"/>
      <c r="N63947" s="8"/>
      <c r="O63947" s="8"/>
      <c r="P63947" s="8"/>
      <c r="Q63947" s="8"/>
      <c r="R63947" s="103"/>
      <c r="S63947" s="8"/>
      <c r="T63947" s="8"/>
      <c r="U63947" s="8"/>
      <c r="V63947" s="8"/>
      <c r="W63947" s="8"/>
      <c r="X63947" s="8"/>
      <c r="Y63947" s="8"/>
      <c r="Z63947" s="8"/>
      <c r="AA63947" s="8"/>
    </row>
    <row r="63948" spans="1:27" x14ac:dyDescent="0.25">
      <c r="A63948" s="8"/>
      <c r="B63948" s="8"/>
      <c r="C63948" s="99"/>
      <c r="D63948" s="8"/>
      <c r="E63948" s="8"/>
      <c r="F63948" s="8"/>
      <c r="G63948" s="8"/>
      <c r="H63948" s="8"/>
      <c r="I63948" s="102"/>
      <c r="J63948" s="8"/>
      <c r="K63948" s="8"/>
      <c r="L63948" s="8"/>
      <c r="M63948" s="8"/>
      <c r="N63948" s="8"/>
      <c r="O63948" s="8"/>
      <c r="P63948" s="8"/>
      <c r="Q63948" s="8"/>
      <c r="R63948" s="103"/>
      <c r="S63948" s="8"/>
      <c r="T63948" s="8"/>
      <c r="U63948" s="8"/>
      <c r="V63948" s="8"/>
      <c r="W63948" s="8"/>
      <c r="X63948" s="8"/>
      <c r="Y63948" s="8"/>
      <c r="Z63948" s="8"/>
      <c r="AA63948" s="8"/>
    </row>
    <row r="63949" spans="1:27" x14ac:dyDescent="0.25">
      <c r="A63949" s="8"/>
      <c r="B63949" s="8"/>
      <c r="C63949" s="99"/>
      <c r="D63949" s="8"/>
      <c r="E63949" s="8"/>
      <c r="F63949" s="8"/>
      <c r="G63949" s="8"/>
      <c r="H63949" s="8"/>
      <c r="I63949" s="102"/>
      <c r="J63949" s="8"/>
      <c r="K63949" s="8"/>
      <c r="L63949" s="8"/>
      <c r="M63949" s="8"/>
      <c r="N63949" s="8"/>
      <c r="O63949" s="8"/>
      <c r="P63949" s="8"/>
      <c r="Q63949" s="8"/>
      <c r="R63949" s="103"/>
      <c r="S63949" s="8"/>
      <c r="T63949" s="8"/>
      <c r="U63949" s="8"/>
      <c r="V63949" s="8"/>
      <c r="W63949" s="8"/>
      <c r="X63949" s="8"/>
      <c r="Y63949" s="8"/>
      <c r="Z63949" s="8"/>
      <c r="AA63949" s="8"/>
    </row>
    <row r="63950" spans="1:27" x14ac:dyDescent="0.25">
      <c r="A63950" s="8"/>
      <c r="B63950" s="8"/>
      <c r="C63950" s="99"/>
      <c r="D63950" s="8"/>
      <c r="E63950" s="8"/>
      <c r="F63950" s="8"/>
      <c r="G63950" s="8"/>
      <c r="H63950" s="8"/>
      <c r="I63950" s="102"/>
      <c r="J63950" s="8"/>
      <c r="K63950" s="8"/>
      <c r="L63950" s="8"/>
      <c r="M63950" s="8"/>
      <c r="N63950" s="8"/>
      <c r="O63950" s="8"/>
      <c r="P63950" s="8"/>
      <c r="Q63950" s="8"/>
      <c r="R63950" s="103"/>
      <c r="S63950" s="8"/>
      <c r="T63950" s="8"/>
      <c r="U63950" s="8"/>
      <c r="V63950" s="8"/>
      <c r="W63950" s="8"/>
      <c r="X63950" s="8"/>
      <c r="Y63950" s="8"/>
      <c r="Z63950" s="8"/>
      <c r="AA63950" s="8"/>
    </row>
    <row r="63951" spans="1:27" x14ac:dyDescent="0.25">
      <c r="A63951" s="8"/>
      <c r="B63951" s="8"/>
      <c r="C63951" s="99"/>
      <c r="D63951" s="8"/>
      <c r="E63951" s="8"/>
      <c r="F63951" s="8"/>
      <c r="G63951" s="8"/>
      <c r="H63951" s="8"/>
      <c r="I63951" s="102"/>
      <c r="J63951" s="8"/>
      <c r="K63951" s="8"/>
      <c r="L63951" s="8"/>
      <c r="M63951" s="8"/>
      <c r="N63951" s="8"/>
      <c r="O63951" s="8"/>
      <c r="P63951" s="8"/>
      <c r="Q63951" s="8"/>
      <c r="R63951" s="103"/>
      <c r="S63951" s="8"/>
      <c r="T63951" s="8"/>
      <c r="U63951" s="8"/>
      <c r="V63951" s="8"/>
      <c r="W63951" s="8"/>
      <c r="X63951" s="8"/>
      <c r="Y63951" s="8"/>
      <c r="Z63951" s="8"/>
      <c r="AA63951" s="8"/>
    </row>
    <row r="63952" spans="1:27" x14ac:dyDescent="0.25">
      <c r="A63952" s="8"/>
      <c r="B63952" s="8"/>
      <c r="C63952" s="99"/>
      <c r="D63952" s="8"/>
      <c r="E63952" s="8"/>
      <c r="F63952" s="8"/>
      <c r="G63952" s="8"/>
      <c r="H63952" s="8"/>
      <c r="I63952" s="102"/>
      <c r="J63952" s="8"/>
      <c r="K63952" s="8"/>
      <c r="L63952" s="8"/>
      <c r="M63952" s="8"/>
      <c r="N63952" s="8"/>
      <c r="O63952" s="8"/>
      <c r="P63952" s="8"/>
      <c r="Q63952" s="8"/>
      <c r="R63952" s="103"/>
      <c r="S63952" s="8"/>
      <c r="T63952" s="8"/>
      <c r="U63952" s="8"/>
      <c r="V63952" s="8"/>
      <c r="W63952" s="8"/>
      <c r="X63952" s="8"/>
      <c r="Y63952" s="8"/>
      <c r="Z63952" s="8"/>
      <c r="AA63952" s="8"/>
    </row>
    <row r="63953" spans="1:27" x14ac:dyDescent="0.25">
      <c r="A63953" s="8"/>
      <c r="B63953" s="8"/>
      <c r="C63953" s="99"/>
      <c r="D63953" s="8"/>
      <c r="E63953" s="8"/>
      <c r="F63953" s="8"/>
      <c r="G63953" s="8"/>
      <c r="H63953" s="8"/>
      <c r="I63953" s="102"/>
      <c r="J63953" s="8"/>
      <c r="K63953" s="8"/>
      <c r="L63953" s="8"/>
      <c r="M63953" s="8"/>
      <c r="N63953" s="8"/>
      <c r="O63953" s="8"/>
      <c r="P63953" s="8"/>
      <c r="Q63953" s="8"/>
      <c r="R63953" s="103"/>
      <c r="S63953" s="8"/>
      <c r="T63953" s="8"/>
      <c r="U63953" s="8"/>
      <c r="V63953" s="8"/>
      <c r="W63953" s="8"/>
      <c r="X63953" s="8"/>
      <c r="Y63953" s="8"/>
      <c r="Z63953" s="8"/>
      <c r="AA63953" s="8"/>
    </row>
    <row r="63954" spans="1:27" x14ac:dyDescent="0.25">
      <c r="A63954" s="8"/>
      <c r="B63954" s="8"/>
      <c r="C63954" s="99"/>
      <c r="D63954" s="8"/>
      <c r="E63954" s="8"/>
      <c r="F63954" s="8"/>
      <c r="G63954" s="8"/>
      <c r="H63954" s="8"/>
      <c r="I63954" s="102"/>
      <c r="J63954" s="8"/>
      <c r="K63954" s="8"/>
      <c r="L63954" s="8"/>
      <c r="M63954" s="8"/>
      <c r="N63954" s="8"/>
      <c r="O63954" s="8"/>
      <c r="P63954" s="8"/>
      <c r="Q63954" s="8"/>
      <c r="R63954" s="103"/>
      <c r="S63954" s="8"/>
      <c r="T63954" s="8"/>
      <c r="U63954" s="8"/>
      <c r="V63954" s="8"/>
      <c r="W63954" s="8"/>
      <c r="X63954" s="8"/>
      <c r="Y63954" s="8"/>
      <c r="Z63954" s="8"/>
      <c r="AA63954" s="8"/>
    </row>
    <row r="63955" spans="1:27" x14ac:dyDescent="0.25">
      <c r="A63955" s="8"/>
      <c r="B63955" s="8"/>
      <c r="C63955" s="99"/>
      <c r="D63955" s="8"/>
      <c r="E63955" s="8"/>
      <c r="F63955" s="8"/>
      <c r="G63955" s="8"/>
      <c r="H63955" s="8"/>
      <c r="I63955" s="102"/>
      <c r="J63955" s="8"/>
      <c r="K63955" s="8"/>
      <c r="L63955" s="8"/>
      <c r="M63955" s="8"/>
      <c r="N63955" s="8"/>
      <c r="O63955" s="8"/>
      <c r="P63955" s="8"/>
      <c r="Q63955" s="8"/>
      <c r="R63955" s="103"/>
      <c r="S63955" s="8"/>
      <c r="T63955" s="8"/>
      <c r="U63955" s="8"/>
      <c r="V63955" s="8"/>
      <c r="W63955" s="8"/>
      <c r="X63955" s="8"/>
      <c r="Y63955" s="8"/>
      <c r="Z63955" s="8"/>
      <c r="AA63955" s="8"/>
    </row>
    <row r="63956" spans="1:27" x14ac:dyDescent="0.25">
      <c r="A63956" s="8"/>
      <c r="B63956" s="8"/>
      <c r="C63956" s="99"/>
      <c r="D63956" s="8"/>
      <c r="E63956" s="8"/>
      <c r="F63956" s="8"/>
      <c r="G63956" s="8"/>
      <c r="H63956" s="8"/>
      <c r="I63956" s="102"/>
      <c r="J63956" s="8"/>
      <c r="K63956" s="8"/>
      <c r="L63956" s="8"/>
      <c r="M63956" s="8"/>
      <c r="N63956" s="8"/>
      <c r="O63956" s="8"/>
      <c r="P63956" s="8"/>
      <c r="Q63956" s="8"/>
      <c r="R63956" s="103"/>
      <c r="S63956" s="8"/>
      <c r="T63956" s="8"/>
      <c r="U63956" s="8"/>
      <c r="V63956" s="8"/>
      <c r="W63956" s="8"/>
      <c r="X63956" s="8"/>
      <c r="Y63956" s="8"/>
      <c r="Z63956" s="8"/>
      <c r="AA63956" s="8"/>
    </row>
    <row r="63957" spans="1:27" x14ac:dyDescent="0.25">
      <c r="A63957" s="8"/>
      <c r="B63957" s="8"/>
      <c r="C63957" s="99"/>
      <c r="D63957" s="8"/>
      <c r="E63957" s="8"/>
      <c r="F63957" s="8"/>
      <c r="G63957" s="8"/>
      <c r="H63957" s="8"/>
      <c r="I63957" s="102"/>
      <c r="J63957" s="8"/>
      <c r="K63957" s="8"/>
      <c r="L63957" s="8"/>
      <c r="M63957" s="8"/>
      <c r="N63957" s="8"/>
      <c r="O63957" s="8"/>
      <c r="P63957" s="8"/>
      <c r="Q63957" s="8"/>
      <c r="R63957" s="103"/>
      <c r="S63957" s="8"/>
      <c r="T63957" s="8"/>
      <c r="U63957" s="8"/>
      <c r="V63957" s="8"/>
      <c r="W63957" s="8"/>
      <c r="X63957" s="8"/>
      <c r="Y63957" s="8"/>
      <c r="Z63957" s="8"/>
      <c r="AA63957" s="8"/>
    </row>
    <row r="63958" spans="1:27" x14ac:dyDescent="0.25">
      <c r="A63958" s="8"/>
      <c r="B63958" s="8"/>
      <c r="C63958" s="99"/>
      <c r="D63958" s="8"/>
      <c r="E63958" s="8"/>
      <c r="F63958" s="8"/>
      <c r="G63958" s="8"/>
      <c r="H63958" s="8"/>
      <c r="I63958" s="102"/>
      <c r="J63958" s="8"/>
      <c r="K63958" s="8"/>
      <c r="L63958" s="8"/>
      <c r="M63958" s="8"/>
      <c r="N63958" s="8"/>
      <c r="O63958" s="8"/>
      <c r="P63958" s="8"/>
      <c r="Q63958" s="8"/>
      <c r="R63958" s="103"/>
      <c r="S63958" s="8"/>
      <c r="T63958" s="8"/>
      <c r="U63958" s="8"/>
      <c r="V63958" s="8"/>
      <c r="W63958" s="8"/>
      <c r="X63958" s="8"/>
      <c r="Y63958" s="8"/>
      <c r="Z63958" s="8"/>
      <c r="AA63958" s="8"/>
    </row>
    <row r="63959" spans="1:27" x14ac:dyDescent="0.25">
      <c r="A63959" s="8"/>
      <c r="B63959" s="8"/>
      <c r="C63959" s="99"/>
      <c r="D63959" s="8"/>
      <c r="E63959" s="8"/>
      <c r="F63959" s="8"/>
      <c r="G63959" s="8"/>
      <c r="H63959" s="8"/>
      <c r="I63959" s="102"/>
      <c r="J63959" s="8"/>
      <c r="K63959" s="8"/>
      <c r="L63959" s="8"/>
      <c r="M63959" s="8"/>
      <c r="N63959" s="8"/>
      <c r="O63959" s="8"/>
      <c r="P63959" s="8"/>
      <c r="Q63959" s="8"/>
      <c r="R63959" s="103"/>
      <c r="S63959" s="8"/>
      <c r="T63959" s="8"/>
      <c r="U63959" s="8"/>
      <c r="V63959" s="8"/>
      <c r="W63959" s="8"/>
      <c r="X63959" s="8"/>
      <c r="Y63959" s="8"/>
      <c r="Z63959" s="8"/>
      <c r="AA63959" s="8"/>
    </row>
    <row r="63960" spans="1:27" x14ac:dyDescent="0.25">
      <c r="A63960" s="8"/>
      <c r="B63960" s="8"/>
      <c r="C63960" s="99"/>
      <c r="D63960" s="8"/>
      <c r="E63960" s="8"/>
      <c r="F63960" s="8"/>
      <c r="G63960" s="8"/>
      <c r="H63960" s="8"/>
      <c r="I63960" s="102"/>
      <c r="J63960" s="8"/>
      <c r="K63960" s="8"/>
      <c r="L63960" s="8"/>
      <c r="M63960" s="8"/>
      <c r="N63960" s="8"/>
      <c r="O63960" s="8"/>
      <c r="P63960" s="8"/>
      <c r="Q63960" s="8"/>
      <c r="R63960" s="103"/>
      <c r="S63960" s="8"/>
      <c r="T63960" s="8"/>
      <c r="U63960" s="8"/>
      <c r="V63960" s="8"/>
      <c r="W63960" s="8"/>
      <c r="X63960" s="8"/>
      <c r="Y63960" s="8"/>
      <c r="Z63960" s="8"/>
      <c r="AA63960" s="8"/>
    </row>
    <row r="63961" spans="1:27" x14ac:dyDescent="0.25">
      <c r="A63961" s="8"/>
      <c r="B63961" s="8"/>
      <c r="C63961" s="99"/>
      <c r="D63961" s="8"/>
      <c r="E63961" s="8"/>
      <c r="F63961" s="8"/>
      <c r="G63961" s="8"/>
      <c r="H63961" s="8"/>
      <c r="I63961" s="102"/>
      <c r="J63961" s="8"/>
      <c r="K63961" s="8"/>
      <c r="L63961" s="8"/>
      <c r="M63961" s="8"/>
      <c r="N63961" s="8"/>
      <c r="O63961" s="8"/>
      <c r="P63961" s="8"/>
      <c r="Q63961" s="8"/>
      <c r="R63961" s="103"/>
      <c r="S63961" s="8"/>
      <c r="T63961" s="8"/>
      <c r="U63961" s="8"/>
      <c r="V63961" s="8"/>
      <c r="W63961" s="8"/>
      <c r="X63961" s="8"/>
      <c r="Y63961" s="8"/>
      <c r="Z63961" s="8"/>
      <c r="AA63961" s="8"/>
    </row>
    <row r="63962" spans="1:27" x14ac:dyDescent="0.25">
      <c r="A63962" s="8"/>
      <c r="B63962" s="8"/>
      <c r="C63962" s="99"/>
      <c r="D63962" s="8"/>
      <c r="E63962" s="8"/>
      <c r="F63962" s="8"/>
      <c r="G63962" s="8"/>
      <c r="H63962" s="8"/>
      <c r="I63962" s="102"/>
      <c r="J63962" s="8"/>
      <c r="K63962" s="8"/>
      <c r="L63962" s="8"/>
      <c r="M63962" s="8"/>
      <c r="N63962" s="8"/>
      <c r="O63962" s="8"/>
      <c r="P63962" s="8"/>
      <c r="Q63962" s="8"/>
      <c r="R63962" s="103"/>
      <c r="S63962" s="8"/>
      <c r="T63962" s="8"/>
      <c r="U63962" s="8"/>
      <c r="V63962" s="8"/>
      <c r="W63962" s="8"/>
      <c r="X63962" s="8"/>
      <c r="Y63962" s="8"/>
      <c r="Z63962" s="8"/>
      <c r="AA63962" s="8"/>
    </row>
    <row r="63963" spans="1:27" x14ac:dyDescent="0.25">
      <c r="A63963" s="8"/>
      <c r="B63963" s="8"/>
      <c r="C63963" s="99"/>
      <c r="D63963" s="8"/>
      <c r="E63963" s="8"/>
      <c r="F63963" s="8"/>
      <c r="G63963" s="8"/>
      <c r="H63963" s="8"/>
      <c r="I63963" s="102"/>
      <c r="J63963" s="8"/>
      <c r="K63963" s="8"/>
      <c r="L63963" s="8"/>
      <c r="M63963" s="8"/>
      <c r="N63963" s="8"/>
      <c r="O63963" s="8"/>
      <c r="P63963" s="8"/>
      <c r="Q63963" s="8"/>
      <c r="R63963" s="103"/>
      <c r="S63963" s="8"/>
      <c r="T63963" s="8"/>
      <c r="U63963" s="8"/>
      <c r="V63963" s="8"/>
      <c r="W63963" s="8"/>
      <c r="X63963" s="8"/>
      <c r="Y63963" s="8"/>
      <c r="Z63963" s="8"/>
      <c r="AA63963" s="8"/>
    </row>
    <row r="63964" spans="1:27" x14ac:dyDescent="0.25">
      <c r="A63964" s="8"/>
      <c r="B63964" s="8"/>
      <c r="C63964" s="99"/>
      <c r="D63964" s="8"/>
      <c r="E63964" s="8"/>
      <c r="F63964" s="8"/>
      <c r="G63964" s="8"/>
      <c r="H63964" s="8"/>
      <c r="I63964" s="102"/>
      <c r="J63964" s="8"/>
      <c r="K63964" s="8"/>
      <c r="L63964" s="8"/>
      <c r="M63964" s="8"/>
      <c r="N63964" s="8"/>
      <c r="O63964" s="8"/>
      <c r="P63964" s="8"/>
      <c r="Q63964" s="8"/>
      <c r="R63964" s="103"/>
      <c r="S63964" s="8"/>
      <c r="T63964" s="8"/>
      <c r="U63964" s="8"/>
      <c r="V63964" s="8"/>
      <c r="W63964" s="8"/>
      <c r="X63964" s="8"/>
      <c r="Y63964" s="8"/>
      <c r="Z63964" s="8"/>
      <c r="AA63964" s="8"/>
    </row>
    <row r="63965" spans="1:27" x14ac:dyDescent="0.25">
      <c r="A63965" s="8"/>
      <c r="B63965" s="8"/>
      <c r="C63965" s="99"/>
      <c r="D63965" s="8"/>
      <c r="E63965" s="8"/>
      <c r="F63965" s="8"/>
      <c r="G63965" s="8"/>
      <c r="H63965" s="8"/>
      <c r="I63965" s="102"/>
      <c r="J63965" s="8"/>
      <c r="K63965" s="8"/>
      <c r="L63965" s="8"/>
      <c r="M63965" s="8"/>
      <c r="N63965" s="8"/>
      <c r="O63965" s="8"/>
      <c r="P63965" s="8"/>
      <c r="Q63965" s="8"/>
      <c r="R63965" s="103"/>
      <c r="S63965" s="8"/>
      <c r="T63965" s="8"/>
      <c r="U63965" s="8"/>
      <c r="V63965" s="8"/>
      <c r="W63965" s="8"/>
      <c r="X63965" s="8"/>
      <c r="Y63965" s="8"/>
      <c r="Z63965" s="8"/>
      <c r="AA63965" s="8"/>
    </row>
    <row r="63966" spans="1:27" x14ac:dyDescent="0.25">
      <c r="A63966" s="8"/>
      <c r="B63966" s="8"/>
      <c r="C63966" s="99"/>
      <c r="D63966" s="8"/>
      <c r="E63966" s="8"/>
      <c r="F63966" s="8"/>
      <c r="G63966" s="8"/>
      <c r="H63966" s="8"/>
      <c r="I63966" s="102"/>
      <c r="J63966" s="8"/>
      <c r="K63966" s="8"/>
      <c r="L63966" s="8"/>
      <c r="M63966" s="8"/>
      <c r="N63966" s="8"/>
      <c r="O63966" s="8"/>
      <c r="P63966" s="8"/>
      <c r="Q63966" s="8"/>
      <c r="R63966" s="103"/>
      <c r="S63966" s="8"/>
      <c r="T63966" s="8"/>
      <c r="U63966" s="8"/>
      <c r="V63966" s="8"/>
      <c r="W63966" s="8"/>
      <c r="X63966" s="8"/>
      <c r="Y63966" s="8"/>
      <c r="Z63966" s="8"/>
      <c r="AA63966" s="8"/>
    </row>
    <row r="63967" spans="1:27" x14ac:dyDescent="0.25">
      <c r="A63967" s="8"/>
      <c r="B63967" s="8"/>
      <c r="C63967" s="99"/>
      <c r="D63967" s="8"/>
      <c r="E63967" s="8"/>
      <c r="F63967" s="8"/>
      <c r="G63967" s="8"/>
      <c r="H63967" s="8"/>
      <c r="I63967" s="102"/>
      <c r="J63967" s="8"/>
      <c r="K63967" s="8"/>
      <c r="L63967" s="8"/>
      <c r="M63967" s="8"/>
      <c r="N63967" s="8"/>
      <c r="O63967" s="8"/>
      <c r="P63967" s="8"/>
      <c r="Q63967" s="8"/>
      <c r="R63967" s="103"/>
      <c r="S63967" s="8"/>
      <c r="T63967" s="8"/>
      <c r="U63967" s="8"/>
      <c r="V63967" s="8"/>
      <c r="W63967" s="8"/>
      <c r="X63967" s="8"/>
      <c r="Y63967" s="8"/>
      <c r="Z63967" s="8"/>
      <c r="AA63967" s="8"/>
    </row>
    <row r="63968" spans="1:27" x14ac:dyDescent="0.25">
      <c r="A63968" s="8"/>
      <c r="B63968" s="8"/>
      <c r="C63968" s="99"/>
      <c r="D63968" s="8"/>
      <c r="E63968" s="8"/>
      <c r="F63968" s="8"/>
      <c r="G63968" s="8"/>
      <c r="H63968" s="8"/>
      <c r="I63968" s="102"/>
      <c r="J63968" s="8"/>
      <c r="K63968" s="8"/>
      <c r="L63968" s="8"/>
      <c r="M63968" s="8"/>
      <c r="N63968" s="8"/>
      <c r="O63968" s="8"/>
      <c r="P63968" s="8"/>
      <c r="Q63968" s="8"/>
      <c r="R63968" s="103"/>
      <c r="S63968" s="8"/>
      <c r="T63968" s="8"/>
      <c r="U63968" s="8"/>
      <c r="V63968" s="8"/>
      <c r="W63968" s="8"/>
      <c r="X63968" s="8"/>
      <c r="Y63968" s="8"/>
      <c r="Z63968" s="8"/>
      <c r="AA63968" s="8"/>
    </row>
    <row r="63969" spans="1:27" x14ac:dyDescent="0.25">
      <c r="A63969" s="8"/>
      <c r="B63969" s="8"/>
      <c r="C63969" s="99"/>
      <c r="D63969" s="8"/>
      <c r="E63969" s="8"/>
      <c r="F63969" s="8"/>
      <c r="G63969" s="8"/>
      <c r="H63969" s="8"/>
      <c r="I63969" s="102"/>
      <c r="J63969" s="8"/>
      <c r="K63969" s="8"/>
      <c r="L63969" s="8"/>
      <c r="M63969" s="8"/>
      <c r="N63969" s="8"/>
      <c r="O63969" s="8"/>
      <c r="P63969" s="8"/>
      <c r="Q63969" s="8"/>
      <c r="R63969" s="103"/>
      <c r="S63969" s="8"/>
      <c r="T63969" s="8"/>
      <c r="U63969" s="8"/>
      <c r="V63969" s="8"/>
      <c r="W63969" s="8"/>
      <c r="X63969" s="8"/>
      <c r="Y63969" s="8"/>
      <c r="Z63969" s="8"/>
      <c r="AA63969" s="8"/>
    </row>
    <row r="63970" spans="1:27" x14ac:dyDescent="0.25">
      <c r="A63970" s="8"/>
      <c r="B63970" s="8"/>
      <c r="C63970" s="99"/>
      <c r="D63970" s="8"/>
      <c r="E63970" s="8"/>
      <c r="F63970" s="8"/>
      <c r="G63970" s="8"/>
      <c r="H63970" s="8"/>
      <c r="I63970" s="102"/>
      <c r="J63970" s="8"/>
      <c r="K63970" s="8"/>
      <c r="L63970" s="8"/>
      <c r="M63970" s="8"/>
      <c r="N63970" s="8"/>
      <c r="O63970" s="8"/>
      <c r="P63970" s="8"/>
      <c r="Q63970" s="8"/>
      <c r="R63970" s="103"/>
      <c r="S63970" s="8"/>
      <c r="T63970" s="8"/>
      <c r="U63970" s="8"/>
      <c r="V63970" s="8"/>
      <c r="W63970" s="8"/>
      <c r="X63970" s="8"/>
      <c r="Y63970" s="8"/>
      <c r="Z63970" s="8"/>
      <c r="AA63970" s="8"/>
    </row>
    <row r="63971" spans="1:27" x14ac:dyDescent="0.25">
      <c r="A63971" s="8"/>
      <c r="B63971" s="8"/>
      <c r="C63971" s="99"/>
      <c r="D63971" s="8"/>
      <c r="E63971" s="8"/>
      <c r="F63971" s="8"/>
      <c r="G63971" s="8"/>
      <c r="H63971" s="8"/>
      <c r="I63971" s="102"/>
      <c r="J63971" s="8"/>
      <c r="K63971" s="8"/>
      <c r="L63971" s="8"/>
      <c r="M63971" s="8"/>
      <c r="N63971" s="8"/>
      <c r="O63971" s="8"/>
      <c r="P63971" s="8"/>
      <c r="Q63971" s="8"/>
      <c r="R63971" s="103"/>
      <c r="S63971" s="8"/>
      <c r="T63971" s="8"/>
      <c r="U63971" s="8"/>
      <c r="V63971" s="8"/>
      <c r="W63971" s="8"/>
      <c r="X63971" s="8"/>
      <c r="Y63971" s="8"/>
      <c r="Z63971" s="8"/>
      <c r="AA63971" s="8"/>
    </row>
    <row r="63972" spans="1:27" x14ac:dyDescent="0.25">
      <c r="A63972" s="8"/>
      <c r="B63972" s="8"/>
      <c r="C63972" s="99"/>
      <c r="D63972" s="8"/>
      <c r="E63972" s="8"/>
      <c r="F63972" s="8"/>
      <c r="G63972" s="8"/>
      <c r="H63972" s="8"/>
      <c r="I63972" s="102"/>
      <c r="J63972" s="8"/>
      <c r="K63972" s="8"/>
      <c r="L63972" s="8"/>
      <c r="M63972" s="8"/>
      <c r="N63972" s="8"/>
      <c r="O63972" s="8"/>
      <c r="P63972" s="8"/>
      <c r="Q63972" s="8"/>
      <c r="R63972" s="103"/>
      <c r="S63972" s="8"/>
      <c r="T63972" s="8"/>
      <c r="U63972" s="8"/>
      <c r="V63972" s="8"/>
      <c r="W63972" s="8"/>
      <c r="X63972" s="8"/>
      <c r="Y63972" s="8"/>
      <c r="Z63972" s="8"/>
      <c r="AA63972" s="8"/>
    </row>
    <row r="63973" spans="1:27" x14ac:dyDescent="0.25">
      <c r="A63973" s="8"/>
      <c r="B63973" s="8"/>
      <c r="C63973" s="99"/>
      <c r="D63973" s="8"/>
      <c r="E63973" s="8"/>
      <c r="F63973" s="8"/>
      <c r="G63973" s="8"/>
      <c r="H63973" s="8"/>
      <c r="I63973" s="102"/>
      <c r="J63973" s="8"/>
      <c r="K63973" s="8"/>
      <c r="L63973" s="8"/>
      <c r="M63973" s="8"/>
      <c r="N63973" s="8"/>
      <c r="O63973" s="8"/>
      <c r="P63973" s="8"/>
      <c r="Q63973" s="8"/>
      <c r="R63973" s="103"/>
      <c r="S63973" s="8"/>
      <c r="T63973" s="8"/>
      <c r="U63973" s="8"/>
      <c r="V63973" s="8"/>
      <c r="W63973" s="8"/>
      <c r="X63973" s="8"/>
      <c r="Y63973" s="8"/>
      <c r="Z63973" s="8"/>
      <c r="AA63973" s="8"/>
    </row>
    <row r="63974" spans="1:27" x14ac:dyDescent="0.25">
      <c r="A63974" s="8"/>
      <c r="B63974" s="8"/>
      <c r="C63974" s="99"/>
      <c r="D63974" s="8"/>
      <c r="E63974" s="8"/>
      <c r="F63974" s="8"/>
      <c r="G63974" s="8"/>
      <c r="H63974" s="8"/>
      <c r="I63974" s="102"/>
      <c r="J63974" s="8"/>
      <c r="K63974" s="8"/>
      <c r="L63974" s="8"/>
      <c r="M63974" s="8"/>
      <c r="N63974" s="8"/>
      <c r="O63974" s="8"/>
      <c r="P63974" s="8"/>
      <c r="Q63974" s="8"/>
      <c r="R63974" s="103"/>
      <c r="S63974" s="8"/>
      <c r="T63974" s="8"/>
      <c r="U63974" s="8"/>
      <c r="V63974" s="8"/>
      <c r="W63974" s="8"/>
      <c r="X63974" s="8"/>
      <c r="Y63974" s="8"/>
      <c r="Z63974" s="8"/>
      <c r="AA63974" s="8"/>
    </row>
    <row r="63975" spans="1:27" x14ac:dyDescent="0.25">
      <c r="A63975" s="8"/>
      <c r="B63975" s="8"/>
      <c r="C63975" s="99"/>
      <c r="D63975" s="8"/>
      <c r="E63975" s="8"/>
      <c r="F63975" s="8"/>
      <c r="G63975" s="8"/>
      <c r="H63975" s="8"/>
      <c r="I63975" s="102"/>
      <c r="J63975" s="8"/>
      <c r="K63975" s="8"/>
      <c r="L63975" s="8"/>
      <c r="M63975" s="8"/>
      <c r="N63975" s="8"/>
      <c r="O63975" s="8"/>
      <c r="P63975" s="8"/>
      <c r="Q63975" s="8"/>
      <c r="R63975" s="103"/>
      <c r="S63975" s="8"/>
      <c r="T63975" s="8"/>
      <c r="U63975" s="8"/>
      <c r="V63975" s="8"/>
      <c r="W63975" s="8"/>
      <c r="X63975" s="8"/>
      <c r="Y63975" s="8"/>
      <c r="Z63975" s="8"/>
      <c r="AA63975" s="8"/>
    </row>
    <row r="63976" spans="1:27" x14ac:dyDescent="0.25">
      <c r="A63976" s="8"/>
      <c r="B63976" s="8"/>
      <c r="C63976" s="99"/>
      <c r="D63976" s="8"/>
      <c r="E63976" s="8"/>
      <c r="F63976" s="8"/>
      <c r="G63976" s="8"/>
      <c r="H63976" s="8"/>
      <c r="I63976" s="102"/>
      <c r="J63976" s="8"/>
      <c r="K63976" s="8"/>
      <c r="L63976" s="8"/>
      <c r="M63976" s="8"/>
      <c r="N63976" s="8"/>
      <c r="O63976" s="8"/>
      <c r="P63976" s="8"/>
      <c r="Q63976" s="8"/>
      <c r="R63976" s="103"/>
      <c r="S63976" s="8"/>
      <c r="T63976" s="8"/>
      <c r="U63976" s="8"/>
      <c r="V63976" s="8"/>
      <c r="W63976" s="8"/>
      <c r="X63976" s="8"/>
      <c r="Y63976" s="8"/>
      <c r="Z63976" s="8"/>
      <c r="AA63976" s="8"/>
    </row>
    <row r="63977" spans="1:27" x14ac:dyDescent="0.25">
      <c r="A63977" s="8"/>
      <c r="B63977" s="8"/>
      <c r="C63977" s="99"/>
      <c r="D63977" s="8"/>
      <c r="E63977" s="8"/>
      <c r="F63977" s="8"/>
      <c r="G63977" s="8"/>
      <c r="H63977" s="8"/>
      <c r="I63977" s="102"/>
      <c r="J63977" s="8"/>
      <c r="K63977" s="8"/>
      <c r="L63977" s="8"/>
      <c r="M63977" s="8"/>
      <c r="N63977" s="8"/>
      <c r="O63977" s="8"/>
      <c r="P63977" s="8"/>
      <c r="Q63977" s="8"/>
      <c r="R63977" s="103"/>
      <c r="S63977" s="8"/>
      <c r="T63977" s="8"/>
      <c r="U63977" s="8"/>
      <c r="V63977" s="8"/>
      <c r="W63977" s="8"/>
      <c r="X63977" s="8"/>
      <c r="Y63977" s="8"/>
      <c r="Z63977" s="8"/>
      <c r="AA63977" s="8"/>
    </row>
    <row r="63978" spans="1:27" x14ac:dyDescent="0.25">
      <c r="A63978" s="8"/>
      <c r="B63978" s="8"/>
      <c r="C63978" s="99"/>
      <c r="D63978" s="8"/>
      <c r="E63978" s="8"/>
      <c r="F63978" s="8"/>
      <c r="G63978" s="8"/>
      <c r="H63978" s="8"/>
      <c r="I63978" s="102"/>
      <c r="J63978" s="8"/>
      <c r="K63978" s="8"/>
      <c r="L63978" s="8"/>
      <c r="M63978" s="8"/>
      <c r="N63978" s="8"/>
      <c r="O63978" s="8"/>
      <c r="P63978" s="8"/>
      <c r="Q63978" s="8"/>
      <c r="R63978" s="103"/>
      <c r="S63978" s="8"/>
      <c r="T63978" s="8"/>
      <c r="U63978" s="8"/>
      <c r="V63978" s="8"/>
      <c r="W63978" s="8"/>
      <c r="X63978" s="8"/>
      <c r="Y63978" s="8"/>
      <c r="Z63978" s="8"/>
      <c r="AA63978" s="8"/>
    </row>
    <row r="63979" spans="1:27" x14ac:dyDescent="0.25">
      <c r="A63979" s="8"/>
      <c r="B63979" s="8"/>
      <c r="C63979" s="99"/>
      <c r="D63979" s="8"/>
      <c r="E63979" s="8"/>
      <c r="F63979" s="8"/>
      <c r="G63979" s="8"/>
      <c r="H63979" s="8"/>
      <c r="I63979" s="102"/>
      <c r="J63979" s="8"/>
      <c r="K63979" s="8"/>
      <c r="L63979" s="8"/>
      <c r="M63979" s="8"/>
      <c r="N63979" s="8"/>
      <c r="O63979" s="8"/>
      <c r="P63979" s="8"/>
      <c r="Q63979" s="8"/>
      <c r="R63979" s="103"/>
      <c r="S63979" s="8"/>
      <c r="T63979" s="8"/>
      <c r="U63979" s="8"/>
      <c r="V63979" s="8"/>
      <c r="W63979" s="8"/>
      <c r="X63979" s="8"/>
      <c r="Y63979" s="8"/>
      <c r="Z63979" s="8"/>
      <c r="AA63979" s="8"/>
    </row>
    <row r="63980" spans="1:27" x14ac:dyDescent="0.25">
      <c r="A63980" s="8"/>
      <c r="B63980" s="8"/>
      <c r="C63980" s="99"/>
      <c r="D63980" s="8"/>
      <c r="E63980" s="8"/>
      <c r="F63980" s="8"/>
      <c r="G63980" s="8"/>
      <c r="H63980" s="8"/>
      <c r="I63980" s="102"/>
      <c r="J63980" s="8"/>
      <c r="K63980" s="8"/>
      <c r="L63980" s="8"/>
      <c r="M63980" s="8"/>
      <c r="N63980" s="8"/>
      <c r="O63980" s="8"/>
      <c r="P63980" s="8"/>
      <c r="Q63980" s="8"/>
      <c r="R63980" s="103"/>
      <c r="S63980" s="8"/>
      <c r="T63980" s="8"/>
      <c r="U63980" s="8"/>
      <c r="V63980" s="8"/>
      <c r="W63980" s="8"/>
      <c r="X63980" s="8"/>
      <c r="Y63980" s="8"/>
      <c r="Z63980" s="8"/>
      <c r="AA63980" s="8"/>
    </row>
    <row r="63981" spans="1:27" x14ac:dyDescent="0.25">
      <c r="A63981" s="8"/>
      <c r="B63981" s="8"/>
      <c r="C63981" s="99"/>
      <c r="D63981" s="8"/>
      <c r="E63981" s="8"/>
      <c r="F63981" s="8"/>
      <c r="G63981" s="8"/>
      <c r="H63981" s="8"/>
      <c r="I63981" s="102"/>
      <c r="J63981" s="8"/>
      <c r="K63981" s="8"/>
      <c r="L63981" s="8"/>
      <c r="M63981" s="8"/>
      <c r="N63981" s="8"/>
      <c r="O63981" s="8"/>
      <c r="P63981" s="8"/>
      <c r="Q63981" s="8"/>
      <c r="R63981" s="103"/>
      <c r="S63981" s="8"/>
      <c r="T63981" s="8"/>
      <c r="U63981" s="8"/>
      <c r="V63981" s="8"/>
      <c r="W63981" s="8"/>
      <c r="X63981" s="8"/>
      <c r="Y63981" s="8"/>
      <c r="Z63981" s="8"/>
      <c r="AA63981" s="8"/>
    </row>
    <row r="63982" spans="1:27" x14ac:dyDescent="0.25">
      <c r="A63982" s="8"/>
      <c r="B63982" s="8"/>
      <c r="C63982" s="99"/>
      <c r="D63982" s="8"/>
      <c r="E63982" s="8"/>
      <c r="F63982" s="8"/>
      <c r="G63982" s="8"/>
      <c r="H63982" s="8"/>
      <c r="I63982" s="102"/>
      <c r="J63982" s="8"/>
      <c r="K63982" s="8"/>
      <c r="L63982" s="8"/>
      <c r="M63982" s="8"/>
      <c r="N63982" s="8"/>
      <c r="O63982" s="8"/>
      <c r="P63982" s="8"/>
      <c r="Q63982" s="8"/>
      <c r="R63982" s="103"/>
      <c r="S63982" s="8"/>
      <c r="T63982" s="8"/>
      <c r="U63982" s="8"/>
      <c r="V63982" s="8"/>
      <c r="W63982" s="8"/>
      <c r="X63982" s="8"/>
      <c r="Y63982" s="8"/>
      <c r="Z63982" s="8"/>
      <c r="AA63982" s="8"/>
    </row>
    <row r="63983" spans="1:27" x14ac:dyDescent="0.25">
      <c r="A63983" s="8"/>
      <c r="B63983" s="8"/>
      <c r="C63983" s="99"/>
      <c r="D63983" s="8"/>
      <c r="E63983" s="8"/>
      <c r="F63983" s="8"/>
      <c r="G63983" s="8"/>
      <c r="H63983" s="8"/>
      <c r="I63983" s="102"/>
      <c r="J63983" s="8"/>
      <c r="K63983" s="8"/>
      <c r="L63983" s="8"/>
      <c r="M63983" s="8"/>
      <c r="N63983" s="8"/>
      <c r="O63983" s="8"/>
      <c r="P63983" s="8"/>
      <c r="Q63983" s="8"/>
      <c r="R63983" s="103"/>
      <c r="S63983" s="8"/>
      <c r="T63983" s="8"/>
      <c r="U63983" s="8"/>
      <c r="V63983" s="8"/>
      <c r="W63983" s="8"/>
      <c r="X63983" s="8"/>
      <c r="Y63983" s="8"/>
      <c r="Z63983" s="8"/>
      <c r="AA63983" s="8"/>
    </row>
    <row r="63984" spans="1:27" x14ac:dyDescent="0.25">
      <c r="A63984" s="8"/>
      <c r="B63984" s="8"/>
      <c r="C63984" s="99"/>
      <c r="D63984" s="8"/>
      <c r="E63984" s="8"/>
      <c r="F63984" s="8"/>
      <c r="G63984" s="8"/>
      <c r="H63984" s="8"/>
      <c r="I63984" s="102"/>
      <c r="J63984" s="8"/>
      <c r="K63984" s="8"/>
      <c r="L63984" s="8"/>
      <c r="M63984" s="8"/>
      <c r="N63984" s="8"/>
      <c r="O63984" s="8"/>
      <c r="P63984" s="8"/>
      <c r="Q63984" s="8"/>
      <c r="R63984" s="103"/>
      <c r="S63984" s="8"/>
      <c r="T63984" s="8"/>
      <c r="U63984" s="8"/>
      <c r="V63984" s="8"/>
      <c r="W63984" s="8"/>
      <c r="X63984" s="8"/>
      <c r="Y63984" s="8"/>
      <c r="Z63984" s="8"/>
      <c r="AA63984" s="8"/>
    </row>
    <row r="63985" spans="1:27" x14ac:dyDescent="0.25">
      <c r="A63985" s="8"/>
      <c r="B63985" s="8"/>
      <c r="C63985" s="99"/>
      <c r="D63985" s="8"/>
      <c r="E63985" s="8"/>
      <c r="F63985" s="8"/>
      <c r="G63985" s="8"/>
      <c r="H63985" s="8"/>
      <c r="I63985" s="102"/>
      <c r="J63985" s="8"/>
      <c r="K63985" s="8"/>
      <c r="L63985" s="8"/>
      <c r="M63985" s="8"/>
      <c r="N63985" s="8"/>
      <c r="O63985" s="8"/>
      <c r="P63985" s="8"/>
      <c r="Q63985" s="8"/>
      <c r="R63985" s="103"/>
      <c r="S63985" s="8"/>
      <c r="T63985" s="8"/>
      <c r="U63985" s="8"/>
      <c r="V63985" s="8"/>
      <c r="W63985" s="8"/>
      <c r="X63985" s="8"/>
      <c r="Y63985" s="8"/>
      <c r="Z63985" s="8"/>
      <c r="AA63985" s="8"/>
    </row>
    <row r="63986" spans="1:27" x14ac:dyDescent="0.25">
      <c r="A63986" s="8"/>
      <c r="B63986" s="8"/>
      <c r="C63986" s="99"/>
      <c r="D63986" s="8"/>
      <c r="E63986" s="8"/>
      <c r="F63986" s="8"/>
      <c r="G63986" s="8"/>
      <c r="H63986" s="8"/>
      <c r="I63986" s="102"/>
      <c r="J63986" s="8"/>
      <c r="K63986" s="8"/>
      <c r="L63986" s="8"/>
      <c r="M63986" s="8"/>
      <c r="N63986" s="8"/>
      <c r="O63986" s="8"/>
      <c r="P63986" s="8"/>
      <c r="Q63986" s="8"/>
      <c r="R63986" s="103"/>
      <c r="S63986" s="8"/>
      <c r="T63986" s="8"/>
      <c r="U63986" s="8"/>
      <c r="V63986" s="8"/>
      <c r="W63986" s="8"/>
      <c r="X63986" s="8"/>
      <c r="Y63986" s="8"/>
      <c r="Z63986" s="8"/>
      <c r="AA63986" s="8"/>
    </row>
    <row r="63987" spans="1:27" x14ac:dyDescent="0.25">
      <c r="A63987" s="8"/>
      <c r="B63987" s="8"/>
      <c r="C63987" s="99"/>
      <c r="D63987" s="8"/>
      <c r="E63987" s="8"/>
      <c r="F63987" s="8"/>
      <c r="G63987" s="8"/>
      <c r="H63987" s="8"/>
      <c r="I63987" s="102"/>
      <c r="J63987" s="8"/>
      <c r="K63987" s="8"/>
      <c r="L63987" s="8"/>
      <c r="M63987" s="8"/>
      <c r="N63987" s="8"/>
      <c r="O63987" s="8"/>
      <c r="P63987" s="8"/>
      <c r="Q63987" s="8"/>
      <c r="R63987" s="103"/>
      <c r="S63987" s="8"/>
      <c r="T63987" s="8"/>
      <c r="U63987" s="8"/>
      <c r="V63987" s="8"/>
      <c r="W63987" s="8"/>
      <c r="X63987" s="8"/>
      <c r="Y63987" s="8"/>
      <c r="Z63987" s="8"/>
      <c r="AA63987" s="8"/>
    </row>
    <row r="63988" spans="1:27" x14ac:dyDescent="0.25">
      <c r="A63988" s="8"/>
      <c r="B63988" s="8"/>
      <c r="C63988" s="99"/>
      <c r="D63988" s="8"/>
      <c r="E63988" s="8"/>
      <c r="F63988" s="8"/>
      <c r="G63988" s="8"/>
      <c r="H63988" s="8"/>
      <c r="I63988" s="102"/>
      <c r="J63988" s="8"/>
      <c r="K63988" s="8"/>
      <c r="L63988" s="8"/>
      <c r="M63988" s="8"/>
      <c r="N63988" s="8"/>
      <c r="O63988" s="8"/>
      <c r="P63988" s="8"/>
      <c r="Q63988" s="8"/>
      <c r="R63988" s="103"/>
      <c r="S63988" s="8"/>
      <c r="T63988" s="8"/>
      <c r="U63988" s="8"/>
      <c r="V63988" s="8"/>
      <c r="W63988" s="8"/>
      <c r="X63988" s="8"/>
      <c r="Y63988" s="8"/>
      <c r="Z63988" s="8"/>
      <c r="AA63988" s="8"/>
    </row>
    <row r="63989" spans="1:27" x14ac:dyDescent="0.25">
      <c r="A63989" s="8"/>
      <c r="B63989" s="8"/>
      <c r="C63989" s="99"/>
      <c r="D63989" s="8"/>
      <c r="E63989" s="8"/>
      <c r="F63989" s="8"/>
      <c r="G63989" s="8"/>
      <c r="H63989" s="8"/>
      <c r="I63989" s="102"/>
      <c r="J63989" s="8"/>
      <c r="K63989" s="8"/>
      <c r="L63989" s="8"/>
      <c r="M63989" s="8"/>
      <c r="N63989" s="8"/>
      <c r="O63989" s="8"/>
      <c r="P63989" s="8"/>
      <c r="Q63989" s="8"/>
      <c r="R63989" s="103"/>
      <c r="S63989" s="8"/>
      <c r="T63989" s="8"/>
      <c r="U63989" s="8"/>
      <c r="V63989" s="8"/>
      <c r="W63989" s="8"/>
      <c r="X63989" s="8"/>
      <c r="Y63989" s="8"/>
      <c r="Z63989" s="8"/>
      <c r="AA63989" s="8"/>
    </row>
    <row r="63990" spans="1:27" x14ac:dyDescent="0.25">
      <c r="A63990" s="8"/>
      <c r="B63990" s="8"/>
      <c r="C63990" s="99"/>
      <c r="D63990" s="8"/>
      <c r="E63990" s="8"/>
      <c r="F63990" s="8"/>
      <c r="G63990" s="8"/>
      <c r="H63990" s="8"/>
      <c r="I63990" s="102"/>
      <c r="J63990" s="8"/>
      <c r="K63990" s="8"/>
      <c r="L63990" s="8"/>
      <c r="M63990" s="8"/>
      <c r="N63990" s="8"/>
      <c r="O63990" s="8"/>
      <c r="P63990" s="8"/>
      <c r="Q63990" s="8"/>
      <c r="R63990" s="103"/>
      <c r="S63990" s="8"/>
      <c r="T63990" s="8"/>
      <c r="U63990" s="8"/>
      <c r="V63990" s="8"/>
      <c r="W63990" s="8"/>
      <c r="X63990" s="8"/>
      <c r="Y63990" s="8"/>
      <c r="Z63990" s="8"/>
      <c r="AA63990" s="8"/>
    </row>
    <row r="63991" spans="1:27" x14ac:dyDescent="0.25">
      <c r="A63991" s="8"/>
      <c r="B63991" s="8"/>
      <c r="C63991" s="99"/>
      <c r="D63991" s="8"/>
      <c r="E63991" s="8"/>
      <c r="F63991" s="8"/>
      <c r="G63991" s="8"/>
      <c r="H63991" s="8"/>
      <c r="I63991" s="102"/>
      <c r="J63991" s="8"/>
      <c r="K63991" s="8"/>
      <c r="L63991" s="8"/>
      <c r="M63991" s="8"/>
      <c r="N63991" s="8"/>
      <c r="O63991" s="8"/>
      <c r="P63991" s="8"/>
      <c r="Q63991" s="8"/>
      <c r="R63991" s="103"/>
      <c r="S63991" s="8"/>
      <c r="T63991" s="8"/>
      <c r="U63991" s="8"/>
      <c r="V63991" s="8"/>
      <c r="W63991" s="8"/>
      <c r="X63991" s="8"/>
      <c r="Y63991" s="8"/>
      <c r="Z63991" s="8"/>
      <c r="AA63991" s="8"/>
    </row>
    <row r="63992" spans="1:27" x14ac:dyDescent="0.25">
      <c r="A63992" s="8"/>
      <c r="B63992" s="8"/>
      <c r="C63992" s="99"/>
      <c r="D63992" s="8"/>
      <c r="E63992" s="8"/>
      <c r="F63992" s="8"/>
      <c r="G63992" s="8"/>
      <c r="H63992" s="8"/>
      <c r="I63992" s="102"/>
      <c r="J63992" s="8"/>
      <c r="K63992" s="8"/>
      <c r="L63992" s="8"/>
      <c r="M63992" s="8"/>
      <c r="N63992" s="8"/>
      <c r="O63992" s="8"/>
      <c r="P63992" s="8"/>
      <c r="Q63992" s="8"/>
      <c r="R63992" s="103"/>
      <c r="S63992" s="8"/>
      <c r="T63992" s="8"/>
      <c r="U63992" s="8"/>
      <c r="V63992" s="8"/>
      <c r="W63992" s="8"/>
      <c r="X63992" s="8"/>
      <c r="Y63992" s="8"/>
      <c r="Z63992" s="8"/>
      <c r="AA63992" s="8"/>
    </row>
    <row r="63993" spans="1:27" x14ac:dyDescent="0.25">
      <c r="A63993" s="8"/>
      <c r="B63993" s="8"/>
      <c r="C63993" s="99"/>
      <c r="D63993" s="8"/>
      <c r="E63993" s="8"/>
      <c r="F63993" s="8"/>
      <c r="G63993" s="8"/>
      <c r="H63993" s="8"/>
      <c r="I63993" s="102"/>
      <c r="J63993" s="8"/>
      <c r="K63993" s="8"/>
      <c r="L63993" s="8"/>
      <c r="M63993" s="8"/>
      <c r="N63993" s="8"/>
      <c r="O63993" s="8"/>
      <c r="P63993" s="8"/>
      <c r="Q63993" s="8"/>
      <c r="R63993" s="103"/>
      <c r="S63993" s="8"/>
      <c r="T63993" s="8"/>
      <c r="U63993" s="8"/>
      <c r="V63993" s="8"/>
      <c r="W63993" s="8"/>
      <c r="X63993" s="8"/>
      <c r="Y63993" s="8"/>
      <c r="Z63993" s="8"/>
      <c r="AA63993" s="8"/>
    </row>
    <row r="63994" spans="1:27" x14ac:dyDescent="0.25">
      <c r="A63994" s="8"/>
      <c r="B63994" s="8"/>
      <c r="C63994" s="99"/>
      <c r="D63994" s="8"/>
      <c r="E63994" s="8"/>
      <c r="F63994" s="8"/>
      <c r="G63994" s="8"/>
      <c r="H63994" s="8"/>
      <c r="I63994" s="102"/>
      <c r="J63994" s="8"/>
      <c r="K63994" s="8"/>
      <c r="L63994" s="8"/>
      <c r="M63994" s="8"/>
      <c r="N63994" s="8"/>
      <c r="O63994" s="8"/>
      <c r="P63994" s="8"/>
      <c r="Q63994" s="8"/>
      <c r="R63994" s="103"/>
      <c r="S63994" s="8"/>
      <c r="T63994" s="8"/>
      <c r="U63994" s="8"/>
      <c r="V63994" s="8"/>
      <c r="W63994" s="8"/>
      <c r="X63994" s="8"/>
      <c r="Y63994" s="8"/>
      <c r="Z63994" s="8"/>
      <c r="AA63994" s="8"/>
    </row>
    <row r="63995" spans="1:27" x14ac:dyDescent="0.25">
      <c r="A63995" s="8"/>
      <c r="B63995" s="8"/>
      <c r="C63995" s="99"/>
      <c r="D63995" s="8"/>
      <c r="E63995" s="8"/>
      <c r="F63995" s="8"/>
      <c r="G63995" s="8"/>
      <c r="H63995" s="8"/>
      <c r="I63995" s="102"/>
      <c r="J63995" s="8"/>
      <c r="K63995" s="8"/>
      <c r="L63995" s="8"/>
      <c r="M63995" s="8"/>
      <c r="N63995" s="8"/>
      <c r="O63995" s="8"/>
      <c r="P63995" s="8"/>
      <c r="Q63995" s="8"/>
      <c r="R63995" s="103"/>
      <c r="S63995" s="8"/>
      <c r="T63995" s="8"/>
      <c r="U63995" s="8"/>
      <c r="V63995" s="8"/>
      <c r="W63995" s="8"/>
      <c r="X63995" s="8"/>
      <c r="Y63995" s="8"/>
      <c r="Z63995" s="8"/>
      <c r="AA63995" s="8"/>
    </row>
    <row r="63996" spans="1:27" x14ac:dyDescent="0.25">
      <c r="A63996" s="8"/>
      <c r="B63996" s="8"/>
      <c r="C63996" s="99"/>
      <c r="D63996" s="8"/>
      <c r="E63996" s="8"/>
      <c r="F63996" s="8"/>
      <c r="G63996" s="8"/>
      <c r="H63996" s="8"/>
      <c r="I63996" s="102"/>
      <c r="J63996" s="8"/>
      <c r="K63996" s="8"/>
      <c r="L63996" s="8"/>
      <c r="M63996" s="8"/>
      <c r="N63996" s="8"/>
      <c r="O63996" s="8"/>
      <c r="P63996" s="8"/>
      <c r="Q63996" s="8"/>
      <c r="R63996" s="103"/>
      <c r="S63996" s="8"/>
      <c r="T63996" s="8"/>
      <c r="U63996" s="8"/>
      <c r="V63996" s="8"/>
      <c r="W63996" s="8"/>
      <c r="X63996" s="8"/>
      <c r="Y63996" s="8"/>
      <c r="Z63996" s="8"/>
      <c r="AA63996" s="8"/>
    </row>
    <row r="63997" spans="1:27" x14ac:dyDescent="0.25">
      <c r="A63997" s="8"/>
      <c r="B63997" s="8"/>
      <c r="C63997" s="99"/>
      <c r="D63997" s="8"/>
      <c r="E63997" s="8"/>
      <c r="F63997" s="8"/>
      <c r="G63997" s="8"/>
      <c r="H63997" s="8"/>
      <c r="I63997" s="102"/>
      <c r="J63997" s="8"/>
      <c r="K63997" s="8"/>
      <c r="L63997" s="8"/>
      <c r="M63997" s="8"/>
      <c r="N63997" s="8"/>
      <c r="O63997" s="8"/>
      <c r="P63997" s="8"/>
      <c r="Q63997" s="8"/>
      <c r="R63997" s="103"/>
      <c r="S63997" s="8"/>
      <c r="T63997" s="8"/>
      <c r="U63997" s="8"/>
      <c r="V63997" s="8"/>
      <c r="W63997" s="8"/>
      <c r="X63997" s="8"/>
      <c r="Y63997" s="8"/>
      <c r="Z63997" s="8"/>
      <c r="AA63997" s="8"/>
    </row>
    <row r="63998" spans="1:27" x14ac:dyDescent="0.25">
      <c r="A63998" s="8"/>
      <c r="B63998" s="8"/>
      <c r="C63998" s="99"/>
      <c r="D63998" s="8"/>
      <c r="E63998" s="8"/>
      <c r="F63998" s="8"/>
      <c r="G63998" s="8"/>
      <c r="H63998" s="8"/>
      <c r="I63998" s="102"/>
      <c r="J63998" s="8"/>
      <c r="K63998" s="8"/>
      <c r="L63998" s="8"/>
      <c r="M63998" s="8"/>
      <c r="N63998" s="8"/>
      <c r="O63998" s="8"/>
      <c r="P63998" s="8"/>
      <c r="Q63998" s="8"/>
      <c r="R63998" s="103"/>
      <c r="S63998" s="8"/>
      <c r="T63998" s="8"/>
      <c r="U63998" s="8"/>
      <c r="V63998" s="8"/>
      <c r="W63998" s="8"/>
      <c r="X63998" s="8"/>
      <c r="Y63998" s="8"/>
      <c r="Z63998" s="8"/>
      <c r="AA63998" s="8"/>
    </row>
    <row r="63999" spans="1:27" x14ac:dyDescent="0.25">
      <c r="A63999" s="8"/>
      <c r="B63999" s="8"/>
      <c r="C63999" s="99"/>
      <c r="D63999" s="8"/>
      <c r="E63999" s="8"/>
      <c r="F63999" s="8"/>
      <c r="G63999" s="8"/>
      <c r="H63999" s="8"/>
      <c r="I63999" s="102"/>
      <c r="J63999" s="8"/>
      <c r="K63999" s="8"/>
      <c r="L63999" s="8"/>
      <c r="M63999" s="8"/>
      <c r="N63999" s="8"/>
      <c r="O63999" s="8"/>
      <c r="P63999" s="8"/>
      <c r="Q63999" s="8"/>
      <c r="R63999" s="103"/>
      <c r="S63999" s="8"/>
      <c r="T63999" s="8"/>
      <c r="U63999" s="8"/>
      <c r="V63999" s="8"/>
      <c r="W63999" s="8"/>
      <c r="X63999" s="8"/>
      <c r="Y63999" s="8"/>
      <c r="Z63999" s="8"/>
      <c r="AA63999" s="8"/>
    </row>
    <row r="64000" spans="1:27" x14ac:dyDescent="0.25">
      <c r="A64000" s="8"/>
      <c r="B64000" s="8"/>
      <c r="C64000" s="99"/>
      <c r="D64000" s="8"/>
      <c r="E64000" s="8"/>
      <c r="F64000" s="8"/>
      <c r="G64000" s="8"/>
      <c r="H64000" s="8"/>
      <c r="I64000" s="102"/>
      <c r="J64000" s="8"/>
      <c r="K64000" s="8"/>
      <c r="L64000" s="8"/>
      <c r="M64000" s="8"/>
      <c r="N64000" s="8"/>
      <c r="O64000" s="8"/>
      <c r="P64000" s="8"/>
      <c r="Q64000" s="8"/>
      <c r="R64000" s="103"/>
      <c r="S64000" s="8"/>
      <c r="T64000" s="8"/>
      <c r="U64000" s="8"/>
      <c r="V64000" s="8"/>
      <c r="W64000" s="8"/>
      <c r="X64000" s="8"/>
      <c r="Y64000" s="8"/>
      <c r="Z64000" s="8"/>
      <c r="AA64000" s="8"/>
    </row>
    <row r="64001" spans="1:27" x14ac:dyDescent="0.25">
      <c r="A64001" s="8"/>
      <c r="B64001" s="8"/>
      <c r="C64001" s="99"/>
      <c r="D64001" s="8"/>
      <c r="E64001" s="8"/>
      <c r="F64001" s="8"/>
      <c r="G64001" s="8"/>
      <c r="H64001" s="8"/>
      <c r="I64001" s="102"/>
      <c r="J64001" s="8"/>
      <c r="K64001" s="8"/>
      <c r="L64001" s="8"/>
      <c r="M64001" s="8"/>
      <c r="N64001" s="8"/>
      <c r="O64001" s="8"/>
      <c r="P64001" s="8"/>
      <c r="Q64001" s="8"/>
      <c r="R64001" s="103"/>
      <c r="S64001" s="8"/>
      <c r="T64001" s="8"/>
      <c r="U64001" s="8"/>
      <c r="V64001" s="8"/>
      <c r="W64001" s="8"/>
      <c r="X64001" s="8"/>
      <c r="Y64001" s="8"/>
      <c r="Z64001" s="8"/>
      <c r="AA64001" s="8"/>
    </row>
    <row r="64002" spans="1:27" x14ac:dyDescent="0.25">
      <c r="A64002" s="8"/>
      <c r="B64002" s="8"/>
      <c r="C64002" s="99"/>
      <c r="D64002" s="8"/>
      <c r="E64002" s="8"/>
      <c r="F64002" s="8"/>
      <c r="G64002" s="8"/>
      <c r="H64002" s="8"/>
      <c r="I64002" s="102"/>
      <c r="J64002" s="8"/>
      <c r="K64002" s="8"/>
      <c r="L64002" s="8"/>
      <c r="M64002" s="8"/>
      <c r="N64002" s="8"/>
      <c r="O64002" s="8"/>
      <c r="P64002" s="8"/>
      <c r="Q64002" s="8"/>
      <c r="R64002" s="103"/>
      <c r="S64002" s="8"/>
      <c r="T64002" s="8"/>
      <c r="U64002" s="8"/>
      <c r="V64002" s="8"/>
      <c r="W64002" s="8"/>
      <c r="X64002" s="8"/>
      <c r="Y64002" s="8"/>
      <c r="Z64002" s="8"/>
      <c r="AA64002" s="8"/>
    </row>
    <row r="64003" spans="1:27" x14ac:dyDescent="0.25">
      <c r="A64003" s="8"/>
      <c r="B64003" s="8"/>
      <c r="C64003" s="99"/>
      <c r="D64003" s="8"/>
      <c r="E64003" s="8"/>
      <c r="F64003" s="8"/>
      <c r="G64003" s="8"/>
      <c r="H64003" s="8"/>
      <c r="I64003" s="102"/>
      <c r="J64003" s="8"/>
      <c r="K64003" s="8"/>
      <c r="L64003" s="8"/>
      <c r="M64003" s="8"/>
      <c r="N64003" s="8"/>
      <c r="O64003" s="8"/>
      <c r="P64003" s="8"/>
      <c r="Q64003" s="8"/>
      <c r="R64003" s="103"/>
      <c r="S64003" s="8"/>
      <c r="T64003" s="8"/>
      <c r="U64003" s="8"/>
      <c r="V64003" s="8"/>
      <c r="W64003" s="8"/>
      <c r="X64003" s="8"/>
      <c r="Y64003" s="8"/>
      <c r="Z64003" s="8"/>
      <c r="AA64003" s="8"/>
    </row>
    <row r="64004" spans="1:27" x14ac:dyDescent="0.25">
      <c r="A64004" s="8"/>
      <c r="B64004" s="8"/>
      <c r="C64004" s="99"/>
      <c r="D64004" s="8"/>
      <c r="E64004" s="8"/>
      <c r="F64004" s="8"/>
      <c r="G64004" s="8"/>
      <c r="H64004" s="8"/>
      <c r="I64004" s="102"/>
      <c r="J64004" s="8"/>
      <c r="K64004" s="8"/>
      <c r="L64004" s="8"/>
      <c r="M64004" s="8"/>
      <c r="N64004" s="8"/>
      <c r="O64004" s="8"/>
      <c r="P64004" s="8"/>
      <c r="Q64004" s="8"/>
      <c r="R64004" s="103"/>
      <c r="S64004" s="8"/>
      <c r="T64004" s="8"/>
      <c r="U64004" s="8"/>
      <c r="V64004" s="8"/>
      <c r="W64004" s="8"/>
      <c r="X64004" s="8"/>
      <c r="Y64004" s="8"/>
      <c r="Z64004" s="8"/>
      <c r="AA64004" s="8"/>
    </row>
    <row r="64005" spans="1:27" x14ac:dyDescent="0.25">
      <c r="A64005" s="8"/>
      <c r="B64005" s="8"/>
      <c r="C64005" s="99"/>
      <c r="D64005" s="8"/>
      <c r="E64005" s="8"/>
      <c r="F64005" s="8"/>
      <c r="G64005" s="8"/>
      <c r="H64005" s="8"/>
      <c r="I64005" s="102"/>
      <c r="J64005" s="8"/>
      <c r="K64005" s="8"/>
      <c r="L64005" s="8"/>
      <c r="M64005" s="8"/>
      <c r="N64005" s="8"/>
      <c r="O64005" s="8"/>
      <c r="P64005" s="8"/>
      <c r="Q64005" s="8"/>
      <c r="R64005" s="103"/>
      <c r="S64005" s="8"/>
      <c r="T64005" s="8"/>
      <c r="U64005" s="8"/>
      <c r="V64005" s="8"/>
      <c r="W64005" s="8"/>
      <c r="X64005" s="8"/>
      <c r="Y64005" s="8"/>
      <c r="Z64005" s="8"/>
      <c r="AA64005" s="8"/>
    </row>
    <row r="64006" spans="1:27" x14ac:dyDescent="0.25">
      <c r="A64006" s="8"/>
      <c r="B64006" s="8"/>
      <c r="C64006" s="99"/>
      <c r="D64006" s="8"/>
      <c r="E64006" s="8"/>
      <c r="F64006" s="8"/>
      <c r="G64006" s="8"/>
      <c r="H64006" s="8"/>
      <c r="I64006" s="102"/>
      <c r="J64006" s="8"/>
      <c r="K64006" s="8"/>
      <c r="L64006" s="8"/>
      <c r="M64006" s="8"/>
      <c r="N64006" s="8"/>
      <c r="O64006" s="8"/>
      <c r="P64006" s="8"/>
      <c r="Q64006" s="8"/>
      <c r="R64006" s="103"/>
      <c r="S64006" s="8"/>
      <c r="T64006" s="8"/>
      <c r="U64006" s="8"/>
      <c r="V64006" s="8"/>
      <c r="W64006" s="8"/>
      <c r="X64006" s="8"/>
      <c r="Y64006" s="8"/>
      <c r="Z64006" s="8"/>
      <c r="AA64006" s="8"/>
    </row>
    <row r="64007" spans="1:27" x14ac:dyDescent="0.25">
      <c r="A64007" s="8"/>
      <c r="B64007" s="8"/>
      <c r="C64007" s="99"/>
      <c r="D64007" s="8"/>
      <c r="E64007" s="8"/>
      <c r="F64007" s="8"/>
      <c r="G64007" s="8"/>
      <c r="H64007" s="8"/>
      <c r="I64007" s="102"/>
      <c r="J64007" s="8"/>
      <c r="K64007" s="8"/>
      <c r="L64007" s="8"/>
      <c r="M64007" s="8"/>
      <c r="N64007" s="8"/>
      <c r="O64007" s="8"/>
      <c r="P64007" s="8"/>
      <c r="Q64007" s="8"/>
      <c r="R64007" s="103"/>
      <c r="S64007" s="8"/>
      <c r="T64007" s="8"/>
      <c r="U64007" s="8"/>
      <c r="V64007" s="8"/>
      <c r="W64007" s="8"/>
      <c r="X64007" s="8"/>
      <c r="Y64007" s="8"/>
      <c r="Z64007" s="8"/>
      <c r="AA64007" s="8"/>
    </row>
    <row r="64008" spans="1:27" x14ac:dyDescent="0.25">
      <c r="A64008" s="8"/>
      <c r="B64008" s="8"/>
      <c r="C64008" s="99"/>
      <c r="D64008" s="8"/>
      <c r="E64008" s="8"/>
      <c r="F64008" s="8"/>
      <c r="G64008" s="8"/>
      <c r="H64008" s="8"/>
      <c r="I64008" s="102"/>
      <c r="J64008" s="8"/>
      <c r="K64008" s="8"/>
      <c r="L64008" s="8"/>
      <c r="M64008" s="8"/>
      <c r="N64008" s="8"/>
      <c r="O64008" s="8"/>
      <c r="P64008" s="8"/>
      <c r="Q64008" s="8"/>
      <c r="R64008" s="103"/>
      <c r="S64008" s="8"/>
      <c r="T64008" s="8"/>
      <c r="U64008" s="8"/>
      <c r="V64008" s="8"/>
      <c r="W64008" s="8"/>
      <c r="X64008" s="8"/>
      <c r="Y64008" s="8"/>
      <c r="Z64008" s="8"/>
      <c r="AA64008" s="8"/>
    </row>
    <row r="64009" spans="1:27" x14ac:dyDescent="0.25">
      <c r="A64009" s="8"/>
      <c r="B64009" s="8"/>
      <c r="C64009" s="99"/>
      <c r="D64009" s="8"/>
      <c r="E64009" s="8"/>
      <c r="F64009" s="8"/>
      <c r="G64009" s="8"/>
      <c r="H64009" s="8"/>
      <c r="I64009" s="102"/>
      <c r="J64009" s="8"/>
      <c r="K64009" s="8"/>
      <c r="L64009" s="8"/>
      <c r="M64009" s="8"/>
      <c r="N64009" s="8"/>
      <c r="O64009" s="8"/>
      <c r="P64009" s="8"/>
      <c r="Q64009" s="8"/>
      <c r="R64009" s="103"/>
      <c r="S64009" s="8"/>
      <c r="T64009" s="8"/>
      <c r="U64009" s="8"/>
      <c r="V64009" s="8"/>
      <c r="W64009" s="8"/>
      <c r="X64009" s="8"/>
      <c r="Y64009" s="8"/>
      <c r="Z64009" s="8"/>
      <c r="AA64009" s="8"/>
    </row>
    <row r="64010" spans="1:27" x14ac:dyDescent="0.25">
      <c r="A64010" s="8"/>
      <c r="B64010" s="8"/>
      <c r="C64010" s="99"/>
      <c r="D64010" s="8"/>
      <c r="E64010" s="8"/>
      <c r="F64010" s="8"/>
      <c r="G64010" s="8"/>
      <c r="H64010" s="8"/>
      <c r="I64010" s="102"/>
      <c r="J64010" s="8"/>
      <c r="K64010" s="8"/>
      <c r="L64010" s="8"/>
      <c r="M64010" s="8"/>
      <c r="N64010" s="8"/>
      <c r="O64010" s="8"/>
      <c r="P64010" s="8"/>
      <c r="Q64010" s="8"/>
      <c r="R64010" s="103"/>
      <c r="S64010" s="8"/>
      <c r="T64010" s="8"/>
      <c r="U64010" s="8"/>
      <c r="V64010" s="8"/>
      <c r="W64010" s="8"/>
      <c r="X64010" s="8"/>
      <c r="Y64010" s="8"/>
      <c r="Z64010" s="8"/>
      <c r="AA64010" s="8"/>
    </row>
    <row r="64011" spans="1:27" x14ac:dyDescent="0.25">
      <c r="A64011" s="8"/>
      <c r="B64011" s="8"/>
      <c r="C64011" s="99"/>
      <c r="D64011" s="8"/>
      <c r="E64011" s="8"/>
      <c r="F64011" s="8"/>
      <c r="G64011" s="8"/>
      <c r="H64011" s="8"/>
      <c r="I64011" s="102"/>
      <c r="J64011" s="8"/>
      <c r="K64011" s="8"/>
      <c r="L64011" s="8"/>
      <c r="M64011" s="8"/>
      <c r="N64011" s="8"/>
      <c r="O64011" s="8"/>
      <c r="P64011" s="8"/>
      <c r="Q64011" s="8"/>
      <c r="R64011" s="103"/>
      <c r="S64011" s="8"/>
      <c r="T64011" s="8"/>
      <c r="U64011" s="8"/>
      <c r="V64011" s="8"/>
      <c r="W64011" s="8"/>
      <c r="X64011" s="8"/>
      <c r="Y64011" s="8"/>
      <c r="Z64011" s="8"/>
      <c r="AA64011" s="8"/>
    </row>
    <row r="64012" spans="1:27" x14ac:dyDescent="0.25">
      <c r="A64012" s="8"/>
      <c r="B64012" s="8"/>
      <c r="C64012" s="99"/>
      <c r="D64012" s="8"/>
      <c r="E64012" s="8"/>
      <c r="F64012" s="8"/>
      <c r="G64012" s="8"/>
      <c r="H64012" s="8"/>
      <c r="I64012" s="102"/>
      <c r="J64012" s="8"/>
      <c r="K64012" s="8"/>
      <c r="L64012" s="8"/>
      <c r="M64012" s="8"/>
      <c r="N64012" s="8"/>
      <c r="O64012" s="8"/>
      <c r="P64012" s="8"/>
      <c r="Q64012" s="8"/>
      <c r="R64012" s="103"/>
      <c r="S64012" s="8"/>
      <c r="T64012" s="8"/>
      <c r="U64012" s="8"/>
      <c r="V64012" s="8"/>
      <c r="W64012" s="8"/>
      <c r="X64012" s="8"/>
      <c r="Y64012" s="8"/>
      <c r="Z64012" s="8"/>
      <c r="AA64012" s="8"/>
    </row>
    <row r="64013" spans="1:27" x14ac:dyDescent="0.25">
      <c r="A64013" s="8"/>
      <c r="B64013" s="8"/>
      <c r="C64013" s="99"/>
      <c r="D64013" s="8"/>
      <c r="E64013" s="8"/>
      <c r="F64013" s="8"/>
      <c r="G64013" s="8"/>
      <c r="H64013" s="8"/>
      <c r="I64013" s="102"/>
      <c r="J64013" s="8"/>
      <c r="K64013" s="8"/>
      <c r="L64013" s="8"/>
      <c r="M64013" s="8"/>
      <c r="N64013" s="8"/>
      <c r="O64013" s="8"/>
      <c r="P64013" s="8"/>
      <c r="Q64013" s="8"/>
      <c r="R64013" s="103"/>
      <c r="S64013" s="8"/>
      <c r="T64013" s="8"/>
      <c r="U64013" s="8"/>
      <c r="V64013" s="8"/>
      <c r="W64013" s="8"/>
      <c r="X64013" s="8"/>
      <c r="Y64013" s="8"/>
      <c r="Z64013" s="8"/>
      <c r="AA64013" s="8"/>
    </row>
    <row r="64014" spans="1:27" x14ac:dyDescent="0.25">
      <c r="A64014" s="8"/>
      <c r="B64014" s="8"/>
      <c r="C64014" s="99"/>
      <c r="D64014" s="8"/>
      <c r="E64014" s="8"/>
      <c r="F64014" s="8"/>
      <c r="G64014" s="8"/>
      <c r="H64014" s="8"/>
      <c r="I64014" s="102"/>
      <c r="J64014" s="8"/>
      <c r="K64014" s="8"/>
      <c r="L64014" s="8"/>
      <c r="M64014" s="8"/>
      <c r="N64014" s="8"/>
      <c r="O64014" s="8"/>
      <c r="P64014" s="8"/>
      <c r="Q64014" s="8"/>
      <c r="R64014" s="103"/>
      <c r="S64014" s="8"/>
      <c r="T64014" s="8"/>
      <c r="U64014" s="8"/>
      <c r="V64014" s="8"/>
      <c r="W64014" s="8"/>
      <c r="X64014" s="8"/>
      <c r="Y64014" s="8"/>
      <c r="Z64014" s="8"/>
      <c r="AA64014" s="8"/>
    </row>
    <row r="64015" spans="1:27" x14ac:dyDescent="0.25">
      <c r="A64015" s="8"/>
      <c r="B64015" s="8"/>
      <c r="C64015" s="99"/>
      <c r="D64015" s="8"/>
      <c r="E64015" s="8"/>
      <c r="F64015" s="8"/>
      <c r="G64015" s="8"/>
      <c r="H64015" s="8"/>
      <c r="I64015" s="102"/>
      <c r="J64015" s="8"/>
      <c r="K64015" s="8"/>
      <c r="L64015" s="8"/>
      <c r="M64015" s="8"/>
      <c r="N64015" s="8"/>
      <c r="O64015" s="8"/>
      <c r="P64015" s="8"/>
      <c r="Q64015" s="8"/>
      <c r="R64015" s="103"/>
      <c r="S64015" s="8"/>
      <c r="T64015" s="8"/>
      <c r="U64015" s="8"/>
      <c r="V64015" s="8"/>
      <c r="W64015" s="8"/>
      <c r="X64015" s="8"/>
      <c r="Y64015" s="8"/>
      <c r="Z64015" s="8"/>
      <c r="AA64015" s="8"/>
    </row>
    <row r="64016" spans="1:27" x14ac:dyDescent="0.25">
      <c r="A64016" s="8"/>
      <c r="B64016" s="8"/>
      <c r="C64016" s="99"/>
      <c r="D64016" s="8"/>
      <c r="E64016" s="8"/>
      <c r="F64016" s="8"/>
      <c r="G64016" s="8"/>
      <c r="H64016" s="8"/>
      <c r="I64016" s="102"/>
      <c r="J64016" s="8"/>
      <c r="K64016" s="8"/>
      <c r="L64016" s="8"/>
      <c r="M64016" s="8"/>
      <c r="N64016" s="8"/>
      <c r="O64016" s="8"/>
      <c r="P64016" s="8"/>
      <c r="Q64016" s="8"/>
      <c r="R64016" s="103"/>
      <c r="S64016" s="8"/>
      <c r="T64016" s="8"/>
      <c r="U64016" s="8"/>
      <c r="V64016" s="8"/>
      <c r="W64016" s="8"/>
      <c r="X64016" s="8"/>
      <c r="Y64016" s="8"/>
      <c r="Z64016" s="8"/>
      <c r="AA64016" s="8"/>
    </row>
    <row r="64017" spans="1:27" x14ac:dyDescent="0.25">
      <c r="A64017" s="8"/>
      <c r="B64017" s="8"/>
      <c r="C64017" s="99"/>
      <c r="D64017" s="8"/>
      <c r="E64017" s="8"/>
      <c r="F64017" s="8"/>
      <c r="G64017" s="8"/>
      <c r="H64017" s="8"/>
      <c r="I64017" s="102"/>
      <c r="J64017" s="8"/>
      <c r="K64017" s="8"/>
      <c r="L64017" s="8"/>
      <c r="M64017" s="8"/>
      <c r="N64017" s="8"/>
      <c r="O64017" s="8"/>
      <c r="P64017" s="8"/>
      <c r="Q64017" s="8"/>
      <c r="R64017" s="103"/>
      <c r="S64017" s="8"/>
      <c r="T64017" s="8"/>
      <c r="U64017" s="8"/>
      <c r="V64017" s="8"/>
      <c r="W64017" s="8"/>
      <c r="X64017" s="8"/>
      <c r="Y64017" s="8"/>
      <c r="Z64017" s="8"/>
      <c r="AA64017" s="8"/>
    </row>
    <row r="64018" spans="1:27" x14ac:dyDescent="0.25">
      <c r="A64018" s="8"/>
      <c r="B64018" s="8"/>
      <c r="C64018" s="99"/>
      <c r="D64018" s="8"/>
      <c r="E64018" s="8"/>
      <c r="F64018" s="8"/>
      <c r="G64018" s="8"/>
      <c r="H64018" s="8"/>
      <c r="I64018" s="102"/>
      <c r="J64018" s="8"/>
      <c r="K64018" s="8"/>
      <c r="L64018" s="8"/>
      <c r="M64018" s="8"/>
      <c r="N64018" s="8"/>
      <c r="O64018" s="8"/>
      <c r="P64018" s="8"/>
      <c r="Q64018" s="8"/>
      <c r="R64018" s="103"/>
      <c r="S64018" s="8"/>
      <c r="T64018" s="8"/>
      <c r="U64018" s="8"/>
      <c r="V64018" s="8"/>
      <c r="W64018" s="8"/>
      <c r="X64018" s="8"/>
      <c r="Y64018" s="8"/>
      <c r="Z64018" s="8"/>
      <c r="AA64018" s="8"/>
    </row>
    <row r="64019" spans="1:27" x14ac:dyDescent="0.25">
      <c r="A64019" s="8"/>
      <c r="B64019" s="8"/>
      <c r="C64019" s="99"/>
      <c r="D64019" s="8"/>
      <c r="E64019" s="8"/>
      <c r="F64019" s="8"/>
      <c r="G64019" s="8"/>
      <c r="H64019" s="8"/>
      <c r="I64019" s="102"/>
      <c r="J64019" s="8"/>
      <c r="K64019" s="8"/>
      <c r="L64019" s="8"/>
      <c r="M64019" s="8"/>
      <c r="N64019" s="8"/>
      <c r="O64019" s="8"/>
      <c r="P64019" s="8"/>
      <c r="Q64019" s="8"/>
      <c r="R64019" s="103"/>
      <c r="S64019" s="8"/>
      <c r="T64019" s="8"/>
      <c r="U64019" s="8"/>
      <c r="V64019" s="8"/>
      <c r="W64019" s="8"/>
      <c r="X64019" s="8"/>
      <c r="Y64019" s="8"/>
      <c r="Z64019" s="8"/>
      <c r="AA64019" s="8"/>
    </row>
    <row r="64020" spans="1:27" x14ac:dyDescent="0.25">
      <c r="A64020" s="8"/>
      <c r="B64020" s="8"/>
      <c r="C64020" s="99"/>
      <c r="D64020" s="8"/>
      <c r="E64020" s="8"/>
      <c r="F64020" s="8"/>
      <c r="G64020" s="8"/>
      <c r="H64020" s="8"/>
      <c r="I64020" s="102"/>
      <c r="J64020" s="8"/>
      <c r="K64020" s="8"/>
      <c r="L64020" s="8"/>
      <c r="M64020" s="8"/>
      <c r="N64020" s="8"/>
      <c r="O64020" s="8"/>
      <c r="P64020" s="8"/>
      <c r="Q64020" s="8"/>
      <c r="R64020" s="103"/>
      <c r="S64020" s="8"/>
      <c r="T64020" s="8"/>
      <c r="U64020" s="8"/>
      <c r="V64020" s="8"/>
      <c r="W64020" s="8"/>
      <c r="X64020" s="8"/>
      <c r="Y64020" s="8"/>
      <c r="Z64020" s="8"/>
      <c r="AA64020" s="8"/>
    </row>
    <row r="64021" spans="1:27" x14ac:dyDescent="0.25">
      <c r="A64021" s="8"/>
      <c r="B64021" s="8"/>
      <c r="C64021" s="99"/>
      <c r="D64021" s="8"/>
      <c r="E64021" s="8"/>
      <c r="F64021" s="8"/>
      <c r="G64021" s="8"/>
      <c r="H64021" s="8"/>
      <c r="I64021" s="102"/>
      <c r="J64021" s="8"/>
      <c r="K64021" s="8"/>
      <c r="L64021" s="8"/>
      <c r="M64021" s="8"/>
      <c r="N64021" s="8"/>
      <c r="O64021" s="8"/>
      <c r="P64021" s="8"/>
      <c r="Q64021" s="8"/>
      <c r="R64021" s="103"/>
      <c r="S64021" s="8"/>
      <c r="T64021" s="8"/>
      <c r="U64021" s="8"/>
      <c r="V64021" s="8"/>
      <c r="W64021" s="8"/>
      <c r="X64021" s="8"/>
      <c r="Y64021" s="8"/>
      <c r="Z64021" s="8"/>
      <c r="AA64021" s="8"/>
    </row>
    <row r="64022" spans="1:27" x14ac:dyDescent="0.25">
      <c r="A64022" s="8"/>
      <c r="B64022" s="8"/>
      <c r="C64022" s="99"/>
      <c r="D64022" s="8"/>
      <c r="E64022" s="8"/>
      <c r="F64022" s="8"/>
      <c r="G64022" s="8"/>
      <c r="H64022" s="8"/>
      <c r="I64022" s="102"/>
      <c r="J64022" s="8"/>
      <c r="K64022" s="8"/>
      <c r="L64022" s="8"/>
      <c r="M64022" s="8"/>
      <c r="N64022" s="8"/>
      <c r="O64022" s="8"/>
      <c r="P64022" s="8"/>
      <c r="Q64022" s="8"/>
      <c r="R64022" s="103"/>
      <c r="S64022" s="8"/>
      <c r="T64022" s="8"/>
      <c r="U64022" s="8"/>
      <c r="V64022" s="8"/>
      <c r="W64022" s="8"/>
      <c r="X64022" s="8"/>
      <c r="Y64022" s="8"/>
      <c r="Z64022" s="8"/>
      <c r="AA64022" s="8"/>
    </row>
    <row r="64023" spans="1:27" x14ac:dyDescent="0.25">
      <c r="A64023" s="8"/>
      <c r="B64023" s="8"/>
      <c r="C64023" s="99"/>
      <c r="D64023" s="8"/>
      <c r="E64023" s="8"/>
      <c r="F64023" s="8"/>
      <c r="G64023" s="8"/>
      <c r="H64023" s="8"/>
      <c r="I64023" s="102"/>
      <c r="J64023" s="8"/>
      <c r="K64023" s="8"/>
      <c r="L64023" s="8"/>
      <c r="M64023" s="8"/>
      <c r="N64023" s="8"/>
      <c r="O64023" s="8"/>
      <c r="P64023" s="8"/>
      <c r="Q64023" s="8"/>
      <c r="R64023" s="103"/>
      <c r="S64023" s="8"/>
      <c r="T64023" s="8"/>
      <c r="U64023" s="8"/>
      <c r="V64023" s="8"/>
      <c r="W64023" s="8"/>
      <c r="X64023" s="8"/>
      <c r="Y64023" s="8"/>
      <c r="Z64023" s="8"/>
      <c r="AA64023" s="8"/>
    </row>
    <row r="64024" spans="1:27" x14ac:dyDescent="0.25">
      <c r="A64024" s="8"/>
      <c r="B64024" s="8"/>
      <c r="C64024" s="99"/>
      <c r="D64024" s="8"/>
      <c r="E64024" s="8"/>
      <c r="F64024" s="8"/>
      <c r="G64024" s="8"/>
      <c r="H64024" s="8"/>
      <c r="I64024" s="102"/>
      <c r="J64024" s="8"/>
      <c r="K64024" s="8"/>
      <c r="L64024" s="8"/>
      <c r="M64024" s="8"/>
      <c r="N64024" s="8"/>
      <c r="O64024" s="8"/>
      <c r="P64024" s="8"/>
      <c r="Q64024" s="8"/>
      <c r="R64024" s="103"/>
      <c r="S64024" s="8"/>
      <c r="T64024" s="8"/>
      <c r="U64024" s="8"/>
      <c r="V64024" s="8"/>
      <c r="W64024" s="8"/>
      <c r="X64024" s="8"/>
      <c r="Y64024" s="8"/>
      <c r="Z64024" s="8"/>
      <c r="AA64024" s="8"/>
    </row>
    <row r="64025" spans="1:27" x14ac:dyDescent="0.25">
      <c r="A64025" s="8"/>
      <c r="B64025" s="8"/>
      <c r="C64025" s="99"/>
      <c r="D64025" s="8"/>
      <c r="E64025" s="8"/>
      <c r="F64025" s="8"/>
      <c r="G64025" s="8"/>
      <c r="H64025" s="8"/>
      <c r="I64025" s="102"/>
      <c r="J64025" s="8"/>
      <c r="K64025" s="8"/>
      <c r="L64025" s="8"/>
      <c r="M64025" s="8"/>
      <c r="N64025" s="8"/>
      <c r="O64025" s="8"/>
      <c r="P64025" s="8"/>
      <c r="Q64025" s="8"/>
      <c r="R64025" s="103"/>
      <c r="S64025" s="8"/>
      <c r="T64025" s="8"/>
      <c r="U64025" s="8"/>
      <c r="V64025" s="8"/>
      <c r="W64025" s="8"/>
      <c r="X64025" s="8"/>
      <c r="Y64025" s="8"/>
      <c r="Z64025" s="8"/>
      <c r="AA64025" s="8"/>
    </row>
    <row r="64026" spans="1:27" x14ac:dyDescent="0.25">
      <c r="A64026" s="8"/>
      <c r="B64026" s="8"/>
      <c r="C64026" s="99"/>
      <c r="D64026" s="8"/>
      <c r="E64026" s="8"/>
      <c r="F64026" s="8"/>
      <c r="G64026" s="8"/>
      <c r="H64026" s="8"/>
      <c r="I64026" s="102"/>
      <c r="J64026" s="8"/>
      <c r="K64026" s="8"/>
      <c r="L64026" s="8"/>
      <c r="M64026" s="8"/>
      <c r="N64026" s="8"/>
      <c r="O64026" s="8"/>
      <c r="P64026" s="8"/>
      <c r="Q64026" s="8"/>
      <c r="R64026" s="103"/>
      <c r="S64026" s="8"/>
      <c r="T64026" s="8"/>
      <c r="U64026" s="8"/>
      <c r="V64026" s="8"/>
      <c r="W64026" s="8"/>
      <c r="X64026" s="8"/>
      <c r="Y64026" s="8"/>
      <c r="Z64026" s="8"/>
      <c r="AA64026" s="8"/>
    </row>
    <row r="64027" spans="1:27" x14ac:dyDescent="0.25">
      <c r="A64027" s="8"/>
      <c r="B64027" s="8"/>
      <c r="C64027" s="99"/>
      <c r="D64027" s="8"/>
      <c r="E64027" s="8"/>
      <c r="F64027" s="8"/>
      <c r="G64027" s="8"/>
      <c r="H64027" s="8"/>
      <c r="I64027" s="102"/>
      <c r="J64027" s="8"/>
      <c r="K64027" s="8"/>
      <c r="L64027" s="8"/>
      <c r="M64027" s="8"/>
      <c r="N64027" s="8"/>
      <c r="O64027" s="8"/>
      <c r="P64027" s="8"/>
      <c r="Q64027" s="8"/>
      <c r="R64027" s="103"/>
      <c r="S64027" s="8"/>
      <c r="T64027" s="8"/>
      <c r="U64027" s="8"/>
      <c r="V64027" s="8"/>
      <c r="W64027" s="8"/>
      <c r="X64027" s="8"/>
      <c r="Y64027" s="8"/>
      <c r="Z64027" s="8"/>
      <c r="AA64027" s="8"/>
    </row>
    <row r="64028" spans="1:27" x14ac:dyDescent="0.25">
      <c r="A64028" s="8"/>
      <c r="B64028" s="8"/>
      <c r="C64028" s="99"/>
      <c r="D64028" s="8"/>
      <c r="E64028" s="8"/>
      <c r="F64028" s="8"/>
      <c r="G64028" s="8"/>
      <c r="H64028" s="8"/>
      <c r="I64028" s="102"/>
      <c r="J64028" s="8"/>
      <c r="K64028" s="8"/>
      <c r="L64028" s="8"/>
      <c r="M64028" s="8"/>
      <c r="N64028" s="8"/>
      <c r="O64028" s="8"/>
      <c r="P64028" s="8"/>
      <c r="Q64028" s="8"/>
      <c r="R64028" s="103"/>
      <c r="S64028" s="8"/>
      <c r="T64028" s="8"/>
      <c r="U64028" s="8"/>
      <c r="V64028" s="8"/>
      <c r="W64028" s="8"/>
      <c r="X64028" s="8"/>
      <c r="Y64028" s="8"/>
      <c r="Z64028" s="8"/>
      <c r="AA64028" s="8"/>
    </row>
    <row r="64029" spans="1:27" x14ac:dyDescent="0.25">
      <c r="A64029" s="8"/>
      <c r="B64029" s="8"/>
      <c r="C64029" s="99"/>
      <c r="D64029" s="8"/>
      <c r="E64029" s="8"/>
      <c r="F64029" s="8"/>
      <c r="G64029" s="8"/>
      <c r="H64029" s="8"/>
      <c r="I64029" s="102"/>
      <c r="J64029" s="8"/>
      <c r="K64029" s="8"/>
      <c r="L64029" s="8"/>
      <c r="M64029" s="8"/>
      <c r="N64029" s="8"/>
      <c r="O64029" s="8"/>
      <c r="P64029" s="8"/>
      <c r="Q64029" s="8"/>
      <c r="R64029" s="103"/>
      <c r="S64029" s="8"/>
      <c r="T64029" s="8"/>
      <c r="U64029" s="8"/>
      <c r="V64029" s="8"/>
      <c r="W64029" s="8"/>
      <c r="X64029" s="8"/>
      <c r="Y64029" s="8"/>
      <c r="Z64029" s="8"/>
      <c r="AA64029" s="8"/>
    </row>
    <row r="64030" spans="1:27" x14ac:dyDescent="0.25">
      <c r="A64030" s="8"/>
      <c r="B64030" s="8"/>
      <c r="C64030" s="99"/>
      <c r="D64030" s="8"/>
      <c r="E64030" s="8"/>
      <c r="F64030" s="8"/>
      <c r="G64030" s="8"/>
      <c r="H64030" s="8"/>
      <c r="I64030" s="102"/>
      <c r="J64030" s="8"/>
      <c r="K64030" s="8"/>
      <c r="L64030" s="8"/>
      <c r="M64030" s="8"/>
      <c r="N64030" s="8"/>
      <c r="O64030" s="8"/>
      <c r="P64030" s="8"/>
      <c r="Q64030" s="8"/>
      <c r="R64030" s="103"/>
      <c r="S64030" s="8"/>
      <c r="T64030" s="8"/>
      <c r="U64030" s="8"/>
      <c r="V64030" s="8"/>
      <c r="W64030" s="8"/>
      <c r="X64030" s="8"/>
      <c r="Y64030" s="8"/>
      <c r="Z64030" s="8"/>
      <c r="AA64030" s="8"/>
    </row>
    <row r="64031" spans="1:27" x14ac:dyDescent="0.25">
      <c r="A64031" s="8"/>
      <c r="B64031" s="8"/>
      <c r="C64031" s="99"/>
      <c r="D64031" s="8"/>
      <c r="E64031" s="8"/>
      <c r="F64031" s="8"/>
      <c r="G64031" s="8"/>
      <c r="H64031" s="8"/>
      <c r="I64031" s="102"/>
      <c r="J64031" s="8"/>
      <c r="K64031" s="8"/>
      <c r="L64031" s="8"/>
      <c r="M64031" s="8"/>
      <c r="N64031" s="8"/>
      <c r="O64031" s="8"/>
      <c r="P64031" s="8"/>
      <c r="Q64031" s="8"/>
      <c r="R64031" s="103"/>
      <c r="S64031" s="8"/>
      <c r="T64031" s="8"/>
      <c r="U64031" s="8"/>
      <c r="V64031" s="8"/>
      <c r="W64031" s="8"/>
      <c r="X64031" s="8"/>
      <c r="Y64031" s="8"/>
      <c r="Z64031" s="8"/>
      <c r="AA64031" s="8"/>
    </row>
    <row r="64032" spans="1:27" x14ac:dyDescent="0.25">
      <c r="A64032" s="8"/>
      <c r="B64032" s="8"/>
      <c r="C64032" s="99"/>
      <c r="D64032" s="8"/>
      <c r="E64032" s="8"/>
      <c r="F64032" s="8"/>
      <c r="G64032" s="8"/>
      <c r="H64032" s="8"/>
      <c r="I64032" s="102"/>
      <c r="J64032" s="8"/>
      <c r="K64032" s="8"/>
      <c r="L64032" s="8"/>
      <c r="M64032" s="8"/>
      <c r="N64032" s="8"/>
      <c r="O64032" s="8"/>
      <c r="P64032" s="8"/>
      <c r="Q64032" s="8"/>
      <c r="R64032" s="103"/>
      <c r="S64032" s="8"/>
      <c r="T64032" s="8"/>
      <c r="U64032" s="8"/>
      <c r="V64032" s="8"/>
      <c r="W64032" s="8"/>
      <c r="X64032" s="8"/>
      <c r="Y64032" s="8"/>
      <c r="Z64032" s="8"/>
      <c r="AA64032" s="8"/>
    </row>
    <row r="64033" spans="1:27" x14ac:dyDescent="0.25">
      <c r="A64033" s="8"/>
      <c r="B64033" s="8"/>
      <c r="C64033" s="99"/>
      <c r="D64033" s="8"/>
      <c r="E64033" s="8"/>
      <c r="F64033" s="8"/>
      <c r="G64033" s="8"/>
      <c r="H64033" s="8"/>
      <c r="I64033" s="102"/>
      <c r="J64033" s="8"/>
      <c r="K64033" s="8"/>
      <c r="L64033" s="8"/>
      <c r="M64033" s="8"/>
      <c r="N64033" s="8"/>
      <c r="O64033" s="8"/>
      <c r="P64033" s="8"/>
      <c r="Q64033" s="8"/>
      <c r="R64033" s="103"/>
      <c r="S64033" s="8"/>
      <c r="T64033" s="8"/>
      <c r="U64033" s="8"/>
      <c r="V64033" s="8"/>
      <c r="W64033" s="8"/>
      <c r="X64033" s="8"/>
      <c r="Y64033" s="8"/>
      <c r="Z64033" s="8"/>
      <c r="AA64033" s="8"/>
    </row>
    <row r="64034" spans="1:27" x14ac:dyDescent="0.25">
      <c r="A64034" s="8"/>
      <c r="B64034" s="8"/>
      <c r="C64034" s="99"/>
      <c r="D64034" s="8"/>
      <c r="E64034" s="8"/>
      <c r="F64034" s="8"/>
      <c r="G64034" s="8"/>
      <c r="H64034" s="8"/>
      <c r="I64034" s="102"/>
      <c r="J64034" s="8"/>
      <c r="K64034" s="8"/>
      <c r="L64034" s="8"/>
      <c r="M64034" s="8"/>
      <c r="N64034" s="8"/>
      <c r="O64034" s="8"/>
      <c r="P64034" s="8"/>
      <c r="Q64034" s="8"/>
      <c r="R64034" s="103"/>
      <c r="S64034" s="8"/>
      <c r="T64034" s="8"/>
      <c r="U64034" s="8"/>
      <c r="V64034" s="8"/>
      <c r="W64034" s="8"/>
      <c r="X64034" s="8"/>
      <c r="Y64034" s="8"/>
      <c r="Z64034" s="8"/>
      <c r="AA64034" s="8"/>
    </row>
    <row r="64035" spans="1:27" x14ac:dyDescent="0.25">
      <c r="A64035" s="8"/>
      <c r="B64035" s="8"/>
      <c r="C64035" s="99"/>
      <c r="D64035" s="8"/>
      <c r="E64035" s="8"/>
      <c r="F64035" s="8"/>
      <c r="G64035" s="8"/>
      <c r="H64035" s="8"/>
      <c r="I64035" s="102"/>
      <c r="J64035" s="8"/>
      <c r="K64035" s="8"/>
      <c r="L64035" s="8"/>
      <c r="M64035" s="8"/>
      <c r="N64035" s="8"/>
      <c r="O64035" s="8"/>
      <c r="P64035" s="8"/>
      <c r="Q64035" s="8"/>
      <c r="R64035" s="103"/>
      <c r="S64035" s="8"/>
      <c r="T64035" s="8"/>
      <c r="U64035" s="8"/>
      <c r="V64035" s="8"/>
      <c r="W64035" s="8"/>
      <c r="X64035" s="8"/>
      <c r="Y64035" s="8"/>
      <c r="Z64035" s="8"/>
      <c r="AA64035" s="8"/>
    </row>
    <row r="64036" spans="1:27" x14ac:dyDescent="0.25">
      <c r="A64036" s="8"/>
      <c r="B64036" s="8"/>
      <c r="C64036" s="99"/>
      <c r="D64036" s="8"/>
      <c r="E64036" s="8"/>
      <c r="F64036" s="8"/>
      <c r="G64036" s="8"/>
      <c r="H64036" s="8"/>
      <c r="I64036" s="102"/>
      <c r="J64036" s="8"/>
      <c r="K64036" s="8"/>
      <c r="L64036" s="8"/>
      <c r="M64036" s="8"/>
      <c r="N64036" s="8"/>
      <c r="O64036" s="8"/>
      <c r="P64036" s="8"/>
      <c r="Q64036" s="8"/>
      <c r="R64036" s="103"/>
      <c r="S64036" s="8"/>
      <c r="T64036" s="8"/>
      <c r="U64036" s="8"/>
      <c r="V64036" s="8"/>
      <c r="W64036" s="8"/>
      <c r="X64036" s="8"/>
      <c r="Y64036" s="8"/>
      <c r="Z64036" s="8"/>
      <c r="AA64036" s="8"/>
    </row>
    <row r="64037" spans="1:27" x14ac:dyDescent="0.25">
      <c r="A64037" s="8"/>
      <c r="B64037" s="8"/>
      <c r="C64037" s="99"/>
      <c r="D64037" s="8"/>
      <c r="E64037" s="8"/>
      <c r="F64037" s="8"/>
      <c r="G64037" s="8"/>
      <c r="H64037" s="8"/>
      <c r="I64037" s="102"/>
      <c r="J64037" s="8"/>
      <c r="K64037" s="8"/>
      <c r="L64037" s="8"/>
      <c r="M64037" s="8"/>
      <c r="N64037" s="8"/>
      <c r="O64037" s="8"/>
      <c r="P64037" s="8"/>
      <c r="Q64037" s="8"/>
      <c r="R64037" s="103"/>
      <c r="S64037" s="8"/>
      <c r="T64037" s="8"/>
      <c r="U64037" s="8"/>
      <c r="V64037" s="8"/>
      <c r="W64037" s="8"/>
      <c r="X64037" s="8"/>
      <c r="Y64037" s="8"/>
      <c r="Z64037" s="8"/>
      <c r="AA64037" s="8"/>
    </row>
    <row r="64038" spans="1:27" x14ac:dyDescent="0.25">
      <c r="A64038" s="8"/>
      <c r="B64038" s="8"/>
      <c r="C64038" s="99"/>
      <c r="D64038" s="8"/>
      <c r="E64038" s="8"/>
      <c r="F64038" s="8"/>
      <c r="G64038" s="8"/>
      <c r="H64038" s="8"/>
      <c r="I64038" s="102"/>
      <c r="J64038" s="8"/>
      <c r="K64038" s="8"/>
      <c r="L64038" s="8"/>
      <c r="M64038" s="8"/>
      <c r="N64038" s="8"/>
      <c r="O64038" s="8"/>
      <c r="P64038" s="8"/>
      <c r="Q64038" s="8"/>
      <c r="R64038" s="103"/>
      <c r="S64038" s="8"/>
      <c r="T64038" s="8"/>
      <c r="U64038" s="8"/>
      <c r="V64038" s="8"/>
      <c r="W64038" s="8"/>
      <c r="X64038" s="8"/>
      <c r="Y64038" s="8"/>
      <c r="Z64038" s="8"/>
      <c r="AA64038" s="8"/>
    </row>
    <row r="64039" spans="1:27" x14ac:dyDescent="0.25">
      <c r="A64039" s="8"/>
      <c r="B64039" s="8"/>
      <c r="C64039" s="99"/>
      <c r="D64039" s="8"/>
      <c r="E64039" s="8"/>
      <c r="F64039" s="8"/>
      <c r="G64039" s="8"/>
      <c r="H64039" s="8"/>
      <c r="I64039" s="102"/>
      <c r="J64039" s="8"/>
      <c r="K64039" s="8"/>
      <c r="L64039" s="8"/>
      <c r="M64039" s="8"/>
      <c r="N64039" s="8"/>
      <c r="O64039" s="8"/>
      <c r="P64039" s="8"/>
      <c r="Q64039" s="8"/>
      <c r="R64039" s="103"/>
      <c r="S64039" s="8"/>
      <c r="T64039" s="8"/>
      <c r="U64039" s="8"/>
      <c r="V64039" s="8"/>
      <c r="W64039" s="8"/>
      <c r="X64039" s="8"/>
      <c r="Y64039" s="8"/>
      <c r="Z64039" s="8"/>
      <c r="AA64039" s="8"/>
    </row>
    <row r="64040" spans="1:27" x14ac:dyDescent="0.25">
      <c r="A64040" s="8"/>
      <c r="B64040" s="8"/>
      <c r="C64040" s="99"/>
      <c r="D64040" s="8"/>
      <c r="E64040" s="8"/>
      <c r="F64040" s="8"/>
      <c r="G64040" s="8"/>
      <c r="H64040" s="8"/>
      <c r="I64040" s="102"/>
      <c r="J64040" s="8"/>
      <c r="K64040" s="8"/>
      <c r="L64040" s="8"/>
      <c r="M64040" s="8"/>
      <c r="N64040" s="8"/>
      <c r="O64040" s="8"/>
      <c r="P64040" s="8"/>
      <c r="Q64040" s="8"/>
      <c r="R64040" s="103"/>
      <c r="S64040" s="8"/>
      <c r="T64040" s="8"/>
      <c r="U64040" s="8"/>
      <c r="V64040" s="8"/>
      <c r="W64040" s="8"/>
      <c r="X64040" s="8"/>
      <c r="Y64040" s="8"/>
      <c r="Z64040" s="8"/>
      <c r="AA64040" s="8"/>
    </row>
    <row r="64041" spans="1:27" x14ac:dyDescent="0.25">
      <c r="A64041" s="8"/>
      <c r="B64041" s="8"/>
      <c r="C64041" s="99"/>
      <c r="D64041" s="8"/>
      <c r="E64041" s="8"/>
      <c r="F64041" s="8"/>
      <c r="G64041" s="8"/>
      <c r="H64041" s="8"/>
      <c r="I64041" s="102"/>
      <c r="J64041" s="8"/>
      <c r="K64041" s="8"/>
      <c r="L64041" s="8"/>
      <c r="M64041" s="8"/>
      <c r="N64041" s="8"/>
      <c r="O64041" s="8"/>
      <c r="P64041" s="8"/>
      <c r="Q64041" s="8"/>
      <c r="R64041" s="103"/>
      <c r="S64041" s="8"/>
      <c r="T64041" s="8"/>
      <c r="U64041" s="8"/>
      <c r="V64041" s="8"/>
      <c r="W64041" s="8"/>
      <c r="X64041" s="8"/>
      <c r="Y64041" s="8"/>
      <c r="Z64041" s="8"/>
      <c r="AA64041" s="8"/>
    </row>
    <row r="64042" spans="1:27" x14ac:dyDescent="0.25">
      <c r="A64042" s="8"/>
      <c r="B64042" s="8"/>
      <c r="C64042" s="99"/>
      <c r="D64042" s="8"/>
      <c r="E64042" s="8"/>
      <c r="F64042" s="8"/>
      <c r="G64042" s="8"/>
      <c r="H64042" s="8"/>
      <c r="I64042" s="102"/>
      <c r="J64042" s="8"/>
      <c r="K64042" s="8"/>
      <c r="L64042" s="8"/>
      <c r="M64042" s="8"/>
      <c r="N64042" s="8"/>
      <c r="O64042" s="8"/>
      <c r="P64042" s="8"/>
      <c r="Q64042" s="8"/>
      <c r="R64042" s="103"/>
      <c r="S64042" s="8"/>
      <c r="T64042" s="8"/>
      <c r="U64042" s="8"/>
      <c r="V64042" s="8"/>
      <c r="W64042" s="8"/>
      <c r="X64042" s="8"/>
      <c r="Y64042" s="8"/>
      <c r="Z64042" s="8"/>
      <c r="AA64042" s="8"/>
    </row>
    <row r="64043" spans="1:27" x14ac:dyDescent="0.25">
      <c r="A64043" s="8"/>
      <c r="B64043" s="8"/>
      <c r="C64043" s="99"/>
      <c r="D64043" s="8"/>
      <c r="E64043" s="8"/>
      <c r="F64043" s="8"/>
      <c r="G64043" s="8"/>
      <c r="H64043" s="8"/>
      <c r="I64043" s="102"/>
      <c r="J64043" s="8"/>
      <c r="K64043" s="8"/>
      <c r="L64043" s="8"/>
      <c r="M64043" s="8"/>
      <c r="N64043" s="8"/>
      <c r="O64043" s="8"/>
      <c r="P64043" s="8"/>
      <c r="Q64043" s="8"/>
      <c r="R64043" s="103"/>
      <c r="S64043" s="8"/>
      <c r="T64043" s="8"/>
      <c r="U64043" s="8"/>
      <c r="V64043" s="8"/>
      <c r="W64043" s="8"/>
      <c r="X64043" s="8"/>
      <c r="Y64043" s="8"/>
      <c r="Z64043" s="8"/>
      <c r="AA64043" s="8"/>
    </row>
    <row r="64044" spans="1:27" x14ac:dyDescent="0.25">
      <c r="A64044" s="8"/>
      <c r="B64044" s="8"/>
      <c r="C64044" s="99"/>
      <c r="D64044" s="8"/>
      <c r="E64044" s="8"/>
      <c r="F64044" s="8"/>
      <c r="G64044" s="8"/>
      <c r="H64044" s="8"/>
      <c r="I64044" s="102"/>
      <c r="J64044" s="8"/>
      <c r="K64044" s="8"/>
      <c r="L64044" s="8"/>
      <c r="M64044" s="8"/>
      <c r="N64044" s="8"/>
      <c r="O64044" s="8"/>
      <c r="P64044" s="8"/>
      <c r="Q64044" s="8"/>
      <c r="R64044" s="103"/>
      <c r="S64044" s="8"/>
      <c r="T64044" s="8"/>
      <c r="U64044" s="8"/>
      <c r="V64044" s="8"/>
      <c r="W64044" s="8"/>
      <c r="X64044" s="8"/>
      <c r="Y64044" s="8"/>
      <c r="Z64044" s="8"/>
      <c r="AA64044" s="8"/>
    </row>
    <row r="64045" spans="1:27" x14ac:dyDescent="0.25">
      <c r="A64045" s="8"/>
      <c r="B64045" s="8"/>
      <c r="C64045" s="99"/>
      <c r="D64045" s="8"/>
      <c r="E64045" s="8"/>
      <c r="F64045" s="8"/>
      <c r="G64045" s="8"/>
      <c r="H64045" s="8"/>
      <c r="I64045" s="102"/>
      <c r="J64045" s="8"/>
      <c r="K64045" s="8"/>
      <c r="L64045" s="8"/>
      <c r="M64045" s="8"/>
      <c r="N64045" s="8"/>
      <c r="O64045" s="8"/>
      <c r="P64045" s="8"/>
      <c r="Q64045" s="8"/>
      <c r="R64045" s="103"/>
      <c r="S64045" s="8"/>
      <c r="T64045" s="8"/>
      <c r="U64045" s="8"/>
      <c r="V64045" s="8"/>
      <c r="W64045" s="8"/>
      <c r="X64045" s="8"/>
      <c r="Y64045" s="8"/>
      <c r="Z64045" s="8"/>
      <c r="AA64045" s="8"/>
    </row>
    <row r="64046" spans="1:27" x14ac:dyDescent="0.25">
      <c r="A64046" s="8"/>
      <c r="B64046" s="8"/>
      <c r="C64046" s="99"/>
      <c r="D64046" s="8"/>
      <c r="E64046" s="8"/>
      <c r="F64046" s="8"/>
      <c r="G64046" s="8"/>
      <c r="H64046" s="8"/>
      <c r="I64046" s="102"/>
      <c r="J64046" s="8"/>
      <c r="K64046" s="8"/>
      <c r="L64046" s="8"/>
      <c r="M64046" s="8"/>
      <c r="N64046" s="8"/>
      <c r="O64046" s="8"/>
      <c r="P64046" s="8"/>
      <c r="Q64046" s="8"/>
      <c r="R64046" s="103"/>
      <c r="S64046" s="8"/>
      <c r="T64046" s="8"/>
      <c r="U64046" s="8"/>
      <c r="V64046" s="8"/>
      <c r="W64046" s="8"/>
      <c r="X64046" s="8"/>
      <c r="Y64046" s="8"/>
      <c r="Z64046" s="8"/>
      <c r="AA64046" s="8"/>
    </row>
    <row r="64047" spans="1:27" x14ac:dyDescent="0.25">
      <c r="A64047" s="8"/>
      <c r="B64047" s="8"/>
      <c r="C64047" s="99"/>
      <c r="D64047" s="8"/>
      <c r="E64047" s="8"/>
      <c r="F64047" s="8"/>
      <c r="G64047" s="8"/>
      <c r="H64047" s="8"/>
      <c r="I64047" s="102"/>
      <c r="J64047" s="8"/>
      <c r="K64047" s="8"/>
      <c r="L64047" s="8"/>
      <c r="M64047" s="8"/>
      <c r="N64047" s="8"/>
      <c r="O64047" s="8"/>
      <c r="P64047" s="8"/>
      <c r="Q64047" s="8"/>
      <c r="R64047" s="103"/>
      <c r="S64047" s="8"/>
      <c r="T64047" s="8"/>
      <c r="U64047" s="8"/>
      <c r="V64047" s="8"/>
      <c r="W64047" s="8"/>
      <c r="X64047" s="8"/>
      <c r="Y64047" s="8"/>
      <c r="Z64047" s="8"/>
      <c r="AA64047" s="8"/>
    </row>
    <row r="64048" spans="1:27" x14ac:dyDescent="0.25">
      <c r="A64048" s="8"/>
      <c r="B64048" s="8"/>
      <c r="C64048" s="99"/>
      <c r="D64048" s="8"/>
      <c r="E64048" s="8"/>
      <c r="F64048" s="8"/>
      <c r="G64048" s="8"/>
      <c r="H64048" s="8"/>
      <c r="I64048" s="102"/>
      <c r="J64048" s="8"/>
      <c r="K64048" s="8"/>
      <c r="L64048" s="8"/>
      <c r="M64048" s="8"/>
      <c r="N64048" s="8"/>
      <c r="O64048" s="8"/>
      <c r="P64048" s="8"/>
      <c r="Q64048" s="8"/>
      <c r="R64048" s="103"/>
      <c r="S64048" s="8"/>
      <c r="T64048" s="8"/>
      <c r="U64048" s="8"/>
      <c r="V64048" s="8"/>
      <c r="W64048" s="8"/>
      <c r="X64048" s="8"/>
      <c r="Y64048" s="8"/>
      <c r="Z64048" s="8"/>
      <c r="AA64048" s="8"/>
    </row>
    <row r="64049" spans="1:27" x14ac:dyDescent="0.25">
      <c r="A64049" s="8"/>
      <c r="B64049" s="8"/>
      <c r="C64049" s="99"/>
      <c r="D64049" s="8"/>
      <c r="E64049" s="8"/>
      <c r="F64049" s="8"/>
      <c r="G64049" s="8"/>
      <c r="H64049" s="8"/>
      <c r="I64049" s="102"/>
      <c r="J64049" s="8"/>
      <c r="K64049" s="8"/>
      <c r="L64049" s="8"/>
      <c r="M64049" s="8"/>
      <c r="N64049" s="8"/>
      <c r="O64049" s="8"/>
      <c r="P64049" s="8"/>
      <c r="Q64049" s="8"/>
      <c r="R64049" s="103"/>
      <c r="S64049" s="8"/>
      <c r="T64049" s="8"/>
      <c r="U64049" s="8"/>
      <c r="V64049" s="8"/>
      <c r="W64049" s="8"/>
      <c r="X64049" s="8"/>
      <c r="Y64049" s="8"/>
      <c r="Z64049" s="8"/>
      <c r="AA64049" s="8"/>
    </row>
    <row r="64050" spans="1:27" x14ac:dyDescent="0.25">
      <c r="A64050" s="8"/>
      <c r="B64050" s="8"/>
      <c r="C64050" s="99"/>
      <c r="D64050" s="8"/>
      <c r="E64050" s="8"/>
      <c r="F64050" s="8"/>
      <c r="G64050" s="8"/>
      <c r="H64050" s="8"/>
      <c r="I64050" s="102"/>
      <c r="J64050" s="8"/>
      <c r="K64050" s="8"/>
      <c r="L64050" s="8"/>
      <c r="M64050" s="8"/>
      <c r="N64050" s="8"/>
      <c r="O64050" s="8"/>
      <c r="P64050" s="8"/>
      <c r="Q64050" s="8"/>
      <c r="R64050" s="103"/>
      <c r="S64050" s="8"/>
      <c r="T64050" s="8"/>
      <c r="U64050" s="8"/>
      <c r="V64050" s="8"/>
      <c r="W64050" s="8"/>
      <c r="X64050" s="8"/>
      <c r="Y64050" s="8"/>
      <c r="Z64050" s="8"/>
      <c r="AA64050" s="8"/>
    </row>
    <row r="64051" spans="1:27" x14ac:dyDescent="0.25">
      <c r="A64051" s="8"/>
      <c r="B64051" s="8"/>
      <c r="C64051" s="99"/>
      <c r="D64051" s="8"/>
      <c r="E64051" s="8"/>
      <c r="F64051" s="8"/>
      <c r="G64051" s="8"/>
      <c r="H64051" s="8"/>
      <c r="I64051" s="102"/>
      <c r="J64051" s="8"/>
      <c r="K64051" s="8"/>
      <c r="L64051" s="8"/>
      <c r="M64051" s="8"/>
      <c r="N64051" s="8"/>
      <c r="O64051" s="8"/>
      <c r="P64051" s="8"/>
      <c r="Q64051" s="8"/>
      <c r="R64051" s="103"/>
      <c r="S64051" s="8"/>
      <c r="T64051" s="8"/>
      <c r="U64051" s="8"/>
      <c r="V64051" s="8"/>
      <c r="W64051" s="8"/>
      <c r="X64051" s="8"/>
      <c r="Y64051" s="8"/>
      <c r="Z64051" s="8"/>
      <c r="AA64051" s="8"/>
    </row>
    <row r="64052" spans="1:27" x14ac:dyDescent="0.25">
      <c r="A64052" s="8"/>
      <c r="B64052" s="8"/>
      <c r="C64052" s="99"/>
      <c r="D64052" s="8"/>
      <c r="E64052" s="8"/>
      <c r="F64052" s="8"/>
      <c r="G64052" s="8"/>
      <c r="H64052" s="8"/>
      <c r="I64052" s="102"/>
      <c r="J64052" s="8"/>
      <c r="K64052" s="8"/>
      <c r="L64052" s="8"/>
      <c r="M64052" s="8"/>
      <c r="N64052" s="8"/>
      <c r="O64052" s="8"/>
      <c r="P64052" s="8"/>
      <c r="Q64052" s="8"/>
      <c r="R64052" s="103"/>
      <c r="S64052" s="8"/>
      <c r="T64052" s="8"/>
      <c r="U64052" s="8"/>
      <c r="V64052" s="8"/>
      <c r="W64052" s="8"/>
      <c r="X64052" s="8"/>
      <c r="Y64052" s="8"/>
      <c r="Z64052" s="8"/>
      <c r="AA64052" s="8"/>
    </row>
    <row r="64053" spans="1:27" x14ac:dyDescent="0.25">
      <c r="A64053" s="8"/>
      <c r="B64053" s="8"/>
      <c r="C64053" s="99"/>
      <c r="D64053" s="8"/>
      <c r="E64053" s="8"/>
      <c r="F64053" s="8"/>
      <c r="G64053" s="8"/>
      <c r="H64053" s="8"/>
      <c r="I64053" s="102"/>
      <c r="J64053" s="8"/>
      <c r="K64053" s="8"/>
      <c r="L64053" s="8"/>
      <c r="M64053" s="8"/>
      <c r="N64053" s="8"/>
      <c r="O64053" s="8"/>
      <c r="P64053" s="8"/>
      <c r="Q64053" s="8"/>
      <c r="R64053" s="103"/>
      <c r="S64053" s="8"/>
      <c r="T64053" s="8"/>
      <c r="U64053" s="8"/>
      <c r="V64053" s="8"/>
      <c r="W64053" s="8"/>
      <c r="X64053" s="8"/>
      <c r="Y64053" s="8"/>
      <c r="Z64053" s="8"/>
      <c r="AA64053" s="8"/>
    </row>
    <row r="64054" spans="1:27" x14ac:dyDescent="0.25">
      <c r="A64054" s="8"/>
      <c r="B64054" s="8"/>
      <c r="C64054" s="99"/>
      <c r="D64054" s="8"/>
      <c r="E64054" s="8"/>
      <c r="F64054" s="8"/>
      <c r="G64054" s="8"/>
      <c r="H64054" s="8"/>
      <c r="I64054" s="102"/>
      <c r="J64054" s="8"/>
      <c r="K64054" s="8"/>
      <c r="L64054" s="8"/>
      <c r="M64054" s="8"/>
      <c r="N64054" s="8"/>
      <c r="O64054" s="8"/>
      <c r="P64054" s="8"/>
      <c r="Q64054" s="8"/>
      <c r="R64054" s="103"/>
      <c r="S64054" s="8"/>
      <c r="T64054" s="8"/>
      <c r="U64054" s="8"/>
      <c r="V64054" s="8"/>
      <c r="W64054" s="8"/>
      <c r="X64054" s="8"/>
      <c r="Y64054" s="8"/>
      <c r="Z64054" s="8"/>
      <c r="AA64054" s="8"/>
    </row>
    <row r="64055" spans="1:27" x14ac:dyDescent="0.25">
      <c r="A64055" s="8"/>
      <c r="B64055" s="8"/>
      <c r="C64055" s="99"/>
      <c r="D64055" s="8"/>
      <c r="E64055" s="8"/>
      <c r="F64055" s="8"/>
      <c r="G64055" s="8"/>
      <c r="H64055" s="8"/>
      <c r="I64055" s="102"/>
      <c r="J64055" s="8"/>
      <c r="K64055" s="8"/>
      <c r="L64055" s="8"/>
      <c r="M64055" s="8"/>
      <c r="N64055" s="8"/>
      <c r="O64055" s="8"/>
      <c r="P64055" s="8"/>
      <c r="Q64055" s="8"/>
      <c r="R64055" s="103"/>
      <c r="S64055" s="8"/>
      <c r="T64055" s="8"/>
      <c r="U64055" s="8"/>
      <c r="V64055" s="8"/>
      <c r="W64055" s="8"/>
      <c r="X64055" s="8"/>
      <c r="Y64055" s="8"/>
      <c r="Z64055" s="8"/>
      <c r="AA64055" s="8"/>
    </row>
    <row r="64056" spans="1:27" x14ac:dyDescent="0.25">
      <c r="A64056" s="8"/>
      <c r="B64056" s="8"/>
      <c r="C64056" s="99"/>
      <c r="D64056" s="8"/>
      <c r="E64056" s="8"/>
      <c r="F64056" s="8"/>
      <c r="G64056" s="8"/>
      <c r="H64056" s="8"/>
      <c r="I64056" s="102"/>
      <c r="J64056" s="8"/>
      <c r="K64056" s="8"/>
      <c r="L64056" s="8"/>
      <c r="M64056" s="8"/>
      <c r="N64056" s="8"/>
      <c r="O64056" s="8"/>
      <c r="P64056" s="8"/>
      <c r="Q64056" s="8"/>
      <c r="R64056" s="103"/>
      <c r="S64056" s="8"/>
      <c r="T64056" s="8"/>
      <c r="U64056" s="8"/>
      <c r="V64056" s="8"/>
      <c r="W64056" s="8"/>
      <c r="X64056" s="8"/>
      <c r="Y64056" s="8"/>
      <c r="Z64056" s="8"/>
      <c r="AA64056" s="8"/>
    </row>
    <row r="64057" spans="1:27" x14ac:dyDescent="0.25">
      <c r="A64057" s="8"/>
      <c r="B64057" s="8"/>
      <c r="C64057" s="99"/>
      <c r="D64057" s="8"/>
      <c r="E64057" s="8"/>
      <c r="F64057" s="8"/>
      <c r="G64057" s="8"/>
      <c r="H64057" s="8"/>
      <c r="I64057" s="102"/>
      <c r="J64057" s="8"/>
      <c r="K64057" s="8"/>
      <c r="L64057" s="8"/>
      <c r="M64057" s="8"/>
      <c r="N64057" s="8"/>
      <c r="O64057" s="8"/>
      <c r="P64057" s="8"/>
      <c r="Q64057" s="8"/>
      <c r="R64057" s="103"/>
      <c r="S64057" s="8"/>
      <c r="T64057" s="8"/>
      <c r="U64057" s="8"/>
      <c r="V64057" s="8"/>
      <c r="W64057" s="8"/>
      <c r="X64057" s="8"/>
      <c r="Y64057" s="8"/>
      <c r="Z64057" s="8"/>
      <c r="AA64057" s="8"/>
    </row>
    <row r="64058" spans="1:27" x14ac:dyDescent="0.25">
      <c r="A64058" s="8"/>
      <c r="B64058" s="8"/>
      <c r="C64058" s="99"/>
      <c r="D64058" s="8"/>
      <c r="E64058" s="8"/>
      <c r="F64058" s="8"/>
      <c r="G64058" s="8"/>
      <c r="H64058" s="8"/>
      <c r="I64058" s="102"/>
      <c r="J64058" s="8"/>
      <c r="K64058" s="8"/>
      <c r="L64058" s="8"/>
      <c r="M64058" s="8"/>
      <c r="N64058" s="8"/>
      <c r="O64058" s="8"/>
      <c r="P64058" s="8"/>
      <c r="Q64058" s="8"/>
      <c r="R64058" s="103"/>
      <c r="S64058" s="8"/>
      <c r="T64058" s="8"/>
      <c r="U64058" s="8"/>
      <c r="V64058" s="8"/>
      <c r="W64058" s="8"/>
      <c r="X64058" s="8"/>
      <c r="Y64058" s="8"/>
      <c r="Z64058" s="8"/>
      <c r="AA64058" s="8"/>
    </row>
    <row r="64059" spans="1:27" x14ac:dyDescent="0.25">
      <c r="A64059" s="8"/>
      <c r="B64059" s="8"/>
      <c r="C64059" s="99"/>
      <c r="D64059" s="8"/>
      <c r="E64059" s="8"/>
      <c r="F64059" s="8"/>
      <c r="G64059" s="8"/>
      <c r="H64059" s="8"/>
      <c r="I64059" s="102"/>
      <c r="J64059" s="8"/>
      <c r="K64059" s="8"/>
      <c r="L64059" s="8"/>
      <c r="M64059" s="8"/>
      <c r="N64059" s="8"/>
      <c r="O64059" s="8"/>
      <c r="P64059" s="8"/>
      <c r="Q64059" s="8"/>
      <c r="R64059" s="103"/>
      <c r="S64059" s="8"/>
      <c r="T64059" s="8"/>
      <c r="U64059" s="8"/>
      <c r="V64059" s="8"/>
      <c r="W64059" s="8"/>
      <c r="X64059" s="8"/>
      <c r="Y64059" s="8"/>
      <c r="Z64059" s="8"/>
      <c r="AA64059" s="8"/>
    </row>
    <row r="64060" spans="1:27" x14ac:dyDescent="0.25">
      <c r="A64060" s="8"/>
      <c r="B64060" s="8"/>
      <c r="C64060" s="99"/>
      <c r="D64060" s="8"/>
      <c r="E64060" s="8"/>
      <c r="F64060" s="8"/>
      <c r="G64060" s="8"/>
      <c r="H64060" s="8"/>
      <c r="I64060" s="102"/>
      <c r="J64060" s="8"/>
      <c r="K64060" s="8"/>
      <c r="L64060" s="8"/>
      <c r="M64060" s="8"/>
      <c r="N64060" s="8"/>
      <c r="O64060" s="8"/>
      <c r="P64060" s="8"/>
      <c r="Q64060" s="8"/>
      <c r="R64060" s="103"/>
      <c r="S64060" s="8"/>
      <c r="T64060" s="8"/>
      <c r="U64060" s="8"/>
      <c r="V64060" s="8"/>
      <c r="W64060" s="8"/>
      <c r="X64060" s="8"/>
      <c r="Y64060" s="8"/>
      <c r="Z64060" s="8"/>
      <c r="AA64060" s="8"/>
    </row>
    <row r="64061" spans="1:27" x14ac:dyDescent="0.25">
      <c r="A64061" s="8"/>
      <c r="B64061" s="8"/>
      <c r="C64061" s="99"/>
      <c r="D64061" s="8"/>
      <c r="E64061" s="8"/>
      <c r="F64061" s="8"/>
      <c r="G64061" s="8"/>
      <c r="H64061" s="8"/>
      <c r="I64061" s="102"/>
      <c r="J64061" s="8"/>
      <c r="K64061" s="8"/>
      <c r="L64061" s="8"/>
      <c r="M64061" s="8"/>
      <c r="N64061" s="8"/>
      <c r="O64061" s="8"/>
      <c r="P64061" s="8"/>
      <c r="Q64061" s="8"/>
      <c r="R64061" s="103"/>
      <c r="S64061" s="8"/>
      <c r="T64061" s="8"/>
      <c r="U64061" s="8"/>
      <c r="V64061" s="8"/>
      <c r="W64061" s="8"/>
      <c r="X64061" s="8"/>
      <c r="Y64061" s="8"/>
      <c r="Z64061" s="8"/>
      <c r="AA64061" s="8"/>
    </row>
    <row r="64062" spans="1:27" x14ac:dyDescent="0.25">
      <c r="A64062" s="8"/>
      <c r="B64062" s="8"/>
      <c r="C64062" s="99"/>
      <c r="D64062" s="8"/>
      <c r="E64062" s="8"/>
      <c r="F64062" s="8"/>
      <c r="G64062" s="8"/>
      <c r="H64062" s="8"/>
      <c r="I64062" s="102"/>
      <c r="J64062" s="8"/>
      <c r="K64062" s="8"/>
      <c r="L64062" s="8"/>
      <c r="M64062" s="8"/>
      <c r="N64062" s="8"/>
      <c r="O64062" s="8"/>
      <c r="P64062" s="8"/>
      <c r="Q64062" s="8"/>
      <c r="R64062" s="103"/>
      <c r="S64062" s="8"/>
      <c r="T64062" s="8"/>
      <c r="U64062" s="8"/>
      <c r="V64062" s="8"/>
      <c r="W64062" s="8"/>
      <c r="X64062" s="8"/>
      <c r="Y64062" s="8"/>
      <c r="Z64062" s="8"/>
      <c r="AA64062" s="8"/>
    </row>
    <row r="64063" spans="1:27" x14ac:dyDescent="0.25">
      <c r="A64063" s="8"/>
      <c r="B64063" s="8"/>
      <c r="C64063" s="99"/>
      <c r="D64063" s="8"/>
      <c r="E64063" s="8"/>
      <c r="F64063" s="8"/>
      <c r="G64063" s="8"/>
      <c r="H64063" s="8"/>
      <c r="I64063" s="102"/>
      <c r="J64063" s="8"/>
      <c r="K64063" s="8"/>
      <c r="L64063" s="8"/>
      <c r="M64063" s="8"/>
      <c r="N64063" s="8"/>
      <c r="O64063" s="8"/>
      <c r="P64063" s="8"/>
      <c r="Q64063" s="8"/>
      <c r="R64063" s="103"/>
      <c r="S64063" s="8"/>
      <c r="T64063" s="8"/>
      <c r="U64063" s="8"/>
      <c r="V64063" s="8"/>
      <c r="W64063" s="8"/>
      <c r="X64063" s="8"/>
      <c r="Y64063" s="8"/>
      <c r="Z64063" s="8"/>
      <c r="AA64063" s="8"/>
    </row>
    <row r="64064" spans="1:27" x14ac:dyDescent="0.25">
      <c r="A64064" s="8"/>
      <c r="B64064" s="8"/>
      <c r="C64064" s="99"/>
      <c r="D64064" s="8"/>
      <c r="E64064" s="8"/>
      <c r="F64064" s="8"/>
      <c r="G64064" s="8"/>
      <c r="H64064" s="8"/>
      <c r="I64064" s="102"/>
      <c r="J64064" s="8"/>
      <c r="K64064" s="8"/>
      <c r="L64064" s="8"/>
      <c r="M64064" s="8"/>
      <c r="N64064" s="8"/>
      <c r="O64064" s="8"/>
      <c r="P64064" s="8"/>
      <c r="Q64064" s="8"/>
      <c r="R64064" s="103"/>
      <c r="S64064" s="8"/>
      <c r="T64064" s="8"/>
      <c r="U64064" s="8"/>
      <c r="V64064" s="8"/>
      <c r="W64064" s="8"/>
      <c r="X64064" s="8"/>
      <c r="Y64064" s="8"/>
      <c r="Z64064" s="8"/>
      <c r="AA64064" s="8"/>
    </row>
    <row r="64065" spans="1:27" x14ac:dyDescent="0.25">
      <c r="A64065" s="8"/>
      <c r="B64065" s="8"/>
      <c r="C64065" s="99"/>
      <c r="D64065" s="8"/>
      <c r="E64065" s="8"/>
      <c r="F64065" s="8"/>
      <c r="G64065" s="8"/>
      <c r="H64065" s="8"/>
      <c r="I64065" s="102"/>
      <c r="J64065" s="8"/>
      <c r="K64065" s="8"/>
      <c r="L64065" s="8"/>
      <c r="M64065" s="8"/>
      <c r="N64065" s="8"/>
      <c r="O64065" s="8"/>
      <c r="P64065" s="8"/>
      <c r="Q64065" s="8"/>
      <c r="R64065" s="103"/>
      <c r="S64065" s="8"/>
      <c r="T64065" s="8"/>
      <c r="U64065" s="8"/>
      <c r="V64065" s="8"/>
      <c r="W64065" s="8"/>
      <c r="X64065" s="8"/>
      <c r="Y64065" s="8"/>
      <c r="Z64065" s="8"/>
      <c r="AA64065" s="8"/>
    </row>
    <row r="64066" spans="1:27" x14ac:dyDescent="0.25">
      <c r="A64066" s="8"/>
      <c r="B64066" s="8"/>
      <c r="C64066" s="99"/>
      <c r="D64066" s="8"/>
      <c r="E64066" s="8"/>
      <c r="F64066" s="8"/>
      <c r="G64066" s="8"/>
      <c r="H64066" s="8"/>
      <c r="I64066" s="102"/>
      <c r="J64066" s="8"/>
      <c r="K64066" s="8"/>
      <c r="L64066" s="8"/>
      <c r="M64066" s="8"/>
      <c r="N64066" s="8"/>
      <c r="O64066" s="8"/>
      <c r="P64066" s="8"/>
      <c r="Q64066" s="8"/>
      <c r="R64066" s="103"/>
      <c r="S64066" s="8"/>
      <c r="T64066" s="8"/>
      <c r="U64066" s="8"/>
      <c r="V64066" s="8"/>
      <c r="W64066" s="8"/>
      <c r="X64066" s="8"/>
      <c r="Y64066" s="8"/>
      <c r="Z64066" s="8"/>
      <c r="AA64066" s="8"/>
    </row>
    <row r="64067" spans="1:27" x14ac:dyDescent="0.25">
      <c r="A64067" s="8"/>
      <c r="B64067" s="8"/>
      <c r="C64067" s="99"/>
      <c r="D64067" s="8"/>
      <c r="E64067" s="8"/>
      <c r="F64067" s="8"/>
      <c r="G64067" s="8"/>
      <c r="H64067" s="8"/>
      <c r="I64067" s="102"/>
      <c r="J64067" s="8"/>
      <c r="K64067" s="8"/>
      <c r="L64067" s="8"/>
      <c r="M64067" s="8"/>
      <c r="N64067" s="8"/>
      <c r="O64067" s="8"/>
      <c r="P64067" s="8"/>
      <c r="Q64067" s="8"/>
      <c r="R64067" s="103"/>
      <c r="S64067" s="8"/>
      <c r="T64067" s="8"/>
      <c r="U64067" s="8"/>
      <c r="V64067" s="8"/>
      <c r="W64067" s="8"/>
      <c r="X64067" s="8"/>
      <c r="Y64067" s="8"/>
      <c r="Z64067" s="8"/>
      <c r="AA64067" s="8"/>
    </row>
    <row r="64068" spans="1:27" x14ac:dyDescent="0.25">
      <c r="A64068" s="8"/>
      <c r="B64068" s="8"/>
      <c r="C64068" s="99"/>
      <c r="D64068" s="8"/>
      <c r="E64068" s="8"/>
      <c r="F64068" s="8"/>
      <c r="G64068" s="8"/>
      <c r="H64068" s="8"/>
      <c r="I64068" s="102"/>
      <c r="J64068" s="8"/>
      <c r="K64068" s="8"/>
      <c r="L64068" s="8"/>
      <c r="M64068" s="8"/>
      <c r="N64068" s="8"/>
      <c r="O64068" s="8"/>
      <c r="P64068" s="8"/>
      <c r="Q64068" s="8"/>
      <c r="R64068" s="103"/>
      <c r="S64068" s="8"/>
      <c r="T64068" s="8"/>
      <c r="U64068" s="8"/>
      <c r="V64068" s="8"/>
      <c r="W64068" s="8"/>
      <c r="X64068" s="8"/>
      <c r="Y64068" s="8"/>
      <c r="Z64068" s="8"/>
      <c r="AA64068" s="8"/>
    </row>
    <row r="64069" spans="1:27" x14ac:dyDescent="0.25">
      <c r="A64069" s="8"/>
      <c r="B64069" s="8"/>
      <c r="C64069" s="99"/>
      <c r="D64069" s="8"/>
      <c r="E64069" s="8"/>
      <c r="F64069" s="8"/>
      <c r="G64069" s="8"/>
      <c r="H64069" s="8"/>
      <c r="I64069" s="102"/>
      <c r="J64069" s="8"/>
      <c r="K64069" s="8"/>
      <c r="L64069" s="8"/>
      <c r="M64069" s="8"/>
      <c r="N64069" s="8"/>
      <c r="O64069" s="8"/>
      <c r="P64069" s="8"/>
      <c r="Q64069" s="8"/>
      <c r="R64069" s="103"/>
      <c r="S64069" s="8"/>
      <c r="T64069" s="8"/>
      <c r="U64069" s="8"/>
      <c r="V64069" s="8"/>
      <c r="W64069" s="8"/>
      <c r="X64069" s="8"/>
      <c r="Y64069" s="8"/>
      <c r="Z64069" s="8"/>
      <c r="AA64069" s="8"/>
    </row>
    <row r="64070" spans="1:27" x14ac:dyDescent="0.25">
      <c r="A64070" s="8"/>
      <c r="B64070" s="8"/>
      <c r="C64070" s="99"/>
      <c r="D64070" s="8"/>
      <c r="E64070" s="8"/>
      <c r="F64070" s="8"/>
      <c r="G64070" s="8"/>
      <c r="H64070" s="8"/>
      <c r="I64070" s="102"/>
      <c r="J64070" s="8"/>
      <c r="K64070" s="8"/>
      <c r="L64070" s="8"/>
      <c r="M64070" s="8"/>
      <c r="N64070" s="8"/>
      <c r="O64070" s="8"/>
      <c r="P64070" s="8"/>
      <c r="Q64070" s="8"/>
      <c r="R64070" s="103"/>
      <c r="S64070" s="8"/>
      <c r="T64070" s="8"/>
      <c r="U64070" s="8"/>
      <c r="V64070" s="8"/>
      <c r="W64070" s="8"/>
      <c r="X64070" s="8"/>
      <c r="Y64070" s="8"/>
      <c r="Z64070" s="8"/>
      <c r="AA64070" s="8"/>
    </row>
    <row r="64071" spans="1:27" x14ac:dyDescent="0.25">
      <c r="A64071" s="8"/>
      <c r="B64071" s="8"/>
      <c r="C64071" s="99"/>
      <c r="D64071" s="8"/>
      <c r="E64071" s="8"/>
      <c r="F64071" s="8"/>
      <c r="G64071" s="8"/>
      <c r="H64071" s="8"/>
      <c r="I64071" s="102"/>
      <c r="J64071" s="8"/>
      <c r="K64071" s="8"/>
      <c r="L64071" s="8"/>
      <c r="M64071" s="8"/>
      <c r="N64071" s="8"/>
      <c r="O64071" s="8"/>
      <c r="P64071" s="8"/>
      <c r="Q64071" s="8"/>
      <c r="R64071" s="103"/>
      <c r="S64071" s="8"/>
      <c r="T64071" s="8"/>
      <c r="U64071" s="8"/>
      <c r="V64071" s="8"/>
      <c r="W64071" s="8"/>
      <c r="X64071" s="8"/>
      <c r="Y64071" s="8"/>
      <c r="Z64071" s="8"/>
      <c r="AA64071" s="8"/>
    </row>
    <row r="64072" spans="1:27" x14ac:dyDescent="0.25">
      <c r="A64072" s="8"/>
      <c r="B64072" s="8"/>
      <c r="C64072" s="99"/>
      <c r="D64072" s="8"/>
      <c r="E64072" s="8"/>
      <c r="F64072" s="8"/>
      <c r="G64072" s="8"/>
      <c r="H64072" s="8"/>
      <c r="I64072" s="102"/>
      <c r="J64072" s="8"/>
      <c r="K64072" s="8"/>
      <c r="L64072" s="8"/>
      <c r="M64072" s="8"/>
      <c r="N64072" s="8"/>
      <c r="O64072" s="8"/>
      <c r="P64072" s="8"/>
      <c r="Q64072" s="8"/>
      <c r="R64072" s="103"/>
      <c r="S64072" s="8"/>
      <c r="T64072" s="8"/>
      <c r="U64072" s="8"/>
      <c r="V64072" s="8"/>
      <c r="W64072" s="8"/>
      <c r="X64072" s="8"/>
      <c r="Y64072" s="8"/>
      <c r="Z64072" s="8"/>
      <c r="AA64072" s="8"/>
    </row>
    <row r="64073" spans="1:27" x14ac:dyDescent="0.25">
      <c r="A64073" s="8"/>
      <c r="B64073" s="8"/>
      <c r="C64073" s="99"/>
      <c r="D64073" s="8"/>
      <c r="E64073" s="8"/>
      <c r="F64073" s="8"/>
      <c r="G64073" s="8"/>
      <c r="H64073" s="8"/>
      <c r="I64073" s="102"/>
      <c r="J64073" s="8"/>
      <c r="K64073" s="8"/>
      <c r="L64073" s="8"/>
      <c r="M64073" s="8"/>
      <c r="N64073" s="8"/>
      <c r="O64073" s="8"/>
      <c r="P64073" s="8"/>
      <c r="Q64073" s="8"/>
      <c r="R64073" s="103"/>
      <c r="S64073" s="8"/>
      <c r="T64073" s="8"/>
      <c r="U64073" s="8"/>
      <c r="V64073" s="8"/>
      <c r="W64073" s="8"/>
      <c r="X64073" s="8"/>
      <c r="Y64073" s="8"/>
      <c r="Z64073" s="8"/>
      <c r="AA64073" s="8"/>
    </row>
    <row r="64074" spans="1:27" x14ac:dyDescent="0.25">
      <c r="A64074" s="8"/>
      <c r="B64074" s="8"/>
      <c r="C64074" s="99"/>
      <c r="D64074" s="8"/>
      <c r="E64074" s="8"/>
      <c r="F64074" s="8"/>
      <c r="G64074" s="8"/>
      <c r="H64074" s="8"/>
      <c r="I64074" s="102"/>
      <c r="J64074" s="8"/>
      <c r="K64074" s="8"/>
      <c r="L64074" s="8"/>
      <c r="M64074" s="8"/>
      <c r="N64074" s="8"/>
      <c r="O64074" s="8"/>
      <c r="P64074" s="8"/>
      <c r="Q64074" s="8"/>
      <c r="R64074" s="103"/>
      <c r="S64074" s="8"/>
      <c r="T64074" s="8"/>
      <c r="U64074" s="8"/>
      <c r="V64074" s="8"/>
      <c r="W64074" s="8"/>
      <c r="X64074" s="8"/>
      <c r="Y64074" s="8"/>
      <c r="Z64074" s="8"/>
      <c r="AA64074" s="8"/>
    </row>
    <row r="64075" spans="1:27" x14ac:dyDescent="0.25">
      <c r="A64075" s="8"/>
      <c r="B64075" s="8"/>
      <c r="C64075" s="99"/>
      <c r="D64075" s="8"/>
      <c r="E64075" s="8"/>
      <c r="F64075" s="8"/>
      <c r="G64075" s="8"/>
      <c r="H64075" s="8"/>
      <c r="I64075" s="102"/>
      <c r="J64075" s="8"/>
      <c r="K64075" s="8"/>
      <c r="L64075" s="8"/>
      <c r="M64075" s="8"/>
      <c r="N64075" s="8"/>
      <c r="O64075" s="8"/>
      <c r="P64075" s="8"/>
      <c r="Q64075" s="8"/>
      <c r="R64075" s="103"/>
      <c r="S64075" s="8"/>
      <c r="T64075" s="8"/>
      <c r="U64075" s="8"/>
      <c r="V64075" s="8"/>
      <c r="W64075" s="8"/>
      <c r="X64075" s="8"/>
      <c r="Y64075" s="8"/>
      <c r="Z64075" s="8"/>
      <c r="AA64075" s="8"/>
    </row>
    <row r="64076" spans="1:27" x14ac:dyDescent="0.25">
      <c r="A64076" s="8"/>
      <c r="B64076" s="8"/>
      <c r="C64076" s="99"/>
      <c r="D64076" s="8"/>
      <c r="E64076" s="8"/>
      <c r="F64076" s="8"/>
      <c r="G64076" s="8"/>
      <c r="H64076" s="8"/>
      <c r="I64076" s="102"/>
      <c r="J64076" s="8"/>
      <c r="K64076" s="8"/>
      <c r="L64076" s="8"/>
      <c r="M64076" s="8"/>
      <c r="N64076" s="8"/>
      <c r="O64076" s="8"/>
      <c r="P64076" s="8"/>
      <c r="Q64076" s="8"/>
      <c r="R64076" s="103"/>
      <c r="S64076" s="8"/>
      <c r="T64076" s="8"/>
      <c r="U64076" s="8"/>
      <c r="V64076" s="8"/>
      <c r="W64076" s="8"/>
      <c r="X64076" s="8"/>
      <c r="Y64076" s="8"/>
      <c r="Z64076" s="8"/>
      <c r="AA64076" s="8"/>
    </row>
    <row r="64077" spans="1:27" x14ac:dyDescent="0.25">
      <c r="A64077" s="8"/>
      <c r="B64077" s="8"/>
      <c r="C64077" s="99"/>
      <c r="D64077" s="8"/>
      <c r="E64077" s="8"/>
      <c r="F64077" s="8"/>
      <c r="G64077" s="8"/>
      <c r="H64077" s="8"/>
      <c r="I64077" s="102"/>
      <c r="J64077" s="8"/>
      <c r="K64077" s="8"/>
      <c r="L64077" s="8"/>
      <c r="M64077" s="8"/>
      <c r="N64077" s="8"/>
      <c r="O64077" s="8"/>
      <c r="P64077" s="8"/>
      <c r="Q64077" s="8"/>
      <c r="R64077" s="103"/>
      <c r="S64077" s="8"/>
      <c r="T64077" s="8"/>
      <c r="U64077" s="8"/>
      <c r="V64077" s="8"/>
      <c r="W64077" s="8"/>
      <c r="X64077" s="8"/>
      <c r="Y64077" s="8"/>
      <c r="Z64077" s="8"/>
      <c r="AA64077" s="8"/>
    </row>
    <row r="64078" spans="1:27" x14ac:dyDescent="0.25">
      <c r="A64078" s="8"/>
      <c r="B64078" s="8"/>
      <c r="C64078" s="99"/>
      <c r="D64078" s="8"/>
      <c r="E64078" s="8"/>
      <c r="F64078" s="8"/>
      <c r="G64078" s="8"/>
      <c r="H64078" s="8"/>
      <c r="I64078" s="102"/>
      <c r="J64078" s="8"/>
      <c r="K64078" s="8"/>
      <c r="L64078" s="8"/>
      <c r="M64078" s="8"/>
      <c r="N64078" s="8"/>
      <c r="O64078" s="8"/>
      <c r="P64078" s="8"/>
      <c r="Q64078" s="8"/>
      <c r="R64078" s="103"/>
      <c r="S64078" s="8"/>
      <c r="T64078" s="8"/>
      <c r="U64078" s="8"/>
      <c r="V64078" s="8"/>
      <c r="W64078" s="8"/>
      <c r="X64078" s="8"/>
      <c r="Y64078" s="8"/>
      <c r="Z64078" s="8"/>
      <c r="AA64078" s="8"/>
    </row>
    <row r="64079" spans="1:27" x14ac:dyDescent="0.25">
      <c r="A64079" s="8"/>
      <c r="B64079" s="8"/>
      <c r="C64079" s="99"/>
      <c r="D64079" s="8"/>
      <c r="E64079" s="8"/>
      <c r="F64079" s="8"/>
      <c r="G64079" s="8"/>
      <c r="H64079" s="8"/>
      <c r="I64079" s="102"/>
      <c r="J64079" s="8"/>
      <c r="K64079" s="8"/>
      <c r="L64079" s="8"/>
      <c r="M64079" s="8"/>
      <c r="N64079" s="8"/>
      <c r="O64079" s="8"/>
      <c r="P64079" s="8"/>
      <c r="Q64079" s="8"/>
      <c r="R64079" s="103"/>
      <c r="S64079" s="8"/>
      <c r="T64079" s="8"/>
      <c r="U64079" s="8"/>
      <c r="V64079" s="8"/>
      <c r="W64079" s="8"/>
      <c r="X64079" s="8"/>
      <c r="Y64079" s="8"/>
      <c r="Z64079" s="8"/>
      <c r="AA64079" s="8"/>
    </row>
    <row r="64080" spans="1:27" x14ac:dyDescent="0.25">
      <c r="A64080" s="8"/>
      <c r="B64080" s="8"/>
      <c r="C64080" s="99"/>
      <c r="D64080" s="8"/>
      <c r="E64080" s="8"/>
      <c r="F64080" s="8"/>
      <c r="G64080" s="8"/>
      <c r="H64080" s="8"/>
      <c r="I64080" s="102"/>
      <c r="J64080" s="8"/>
      <c r="K64080" s="8"/>
      <c r="L64080" s="8"/>
      <c r="M64080" s="8"/>
      <c r="N64080" s="8"/>
      <c r="O64080" s="8"/>
      <c r="P64080" s="8"/>
      <c r="Q64080" s="8"/>
      <c r="R64080" s="103"/>
      <c r="S64080" s="8"/>
      <c r="T64080" s="8"/>
      <c r="U64080" s="8"/>
      <c r="V64080" s="8"/>
      <c r="W64080" s="8"/>
      <c r="X64080" s="8"/>
      <c r="Y64080" s="8"/>
      <c r="Z64080" s="8"/>
      <c r="AA64080" s="8"/>
    </row>
    <row r="64081" spans="1:27" x14ac:dyDescent="0.25">
      <c r="A64081" s="8"/>
      <c r="B64081" s="8"/>
      <c r="C64081" s="99"/>
      <c r="D64081" s="8"/>
      <c r="E64081" s="8"/>
      <c r="F64081" s="8"/>
      <c r="G64081" s="8"/>
      <c r="H64081" s="8"/>
      <c r="I64081" s="102"/>
      <c r="J64081" s="8"/>
      <c r="K64081" s="8"/>
      <c r="L64081" s="8"/>
      <c r="M64081" s="8"/>
      <c r="N64081" s="8"/>
      <c r="O64081" s="8"/>
      <c r="P64081" s="8"/>
      <c r="Q64081" s="8"/>
      <c r="R64081" s="103"/>
      <c r="S64081" s="8"/>
      <c r="T64081" s="8"/>
      <c r="U64081" s="8"/>
      <c r="V64081" s="8"/>
      <c r="W64081" s="8"/>
      <c r="X64081" s="8"/>
      <c r="Y64081" s="8"/>
      <c r="Z64081" s="8"/>
      <c r="AA64081" s="8"/>
    </row>
    <row r="64082" spans="1:27" x14ac:dyDescent="0.25">
      <c r="A64082" s="8"/>
      <c r="B64082" s="8"/>
      <c r="C64082" s="99"/>
      <c r="D64082" s="8"/>
      <c r="E64082" s="8"/>
      <c r="F64082" s="8"/>
      <c r="G64082" s="8"/>
      <c r="H64082" s="8"/>
      <c r="I64082" s="102"/>
      <c r="J64082" s="8"/>
      <c r="K64082" s="8"/>
      <c r="L64082" s="8"/>
      <c r="M64082" s="8"/>
      <c r="N64082" s="8"/>
      <c r="O64082" s="8"/>
      <c r="P64082" s="8"/>
      <c r="Q64082" s="8"/>
      <c r="R64082" s="103"/>
      <c r="S64082" s="8"/>
      <c r="T64082" s="8"/>
      <c r="U64082" s="8"/>
      <c r="V64082" s="8"/>
      <c r="W64082" s="8"/>
      <c r="X64082" s="8"/>
      <c r="Y64082" s="8"/>
      <c r="Z64082" s="8"/>
      <c r="AA64082" s="8"/>
    </row>
    <row r="64083" spans="1:27" x14ac:dyDescent="0.25">
      <c r="A64083" s="8"/>
      <c r="B64083" s="8"/>
      <c r="C64083" s="99"/>
      <c r="D64083" s="8"/>
      <c r="E64083" s="8"/>
      <c r="F64083" s="8"/>
      <c r="G64083" s="8"/>
      <c r="H64083" s="8"/>
      <c r="I64083" s="102"/>
      <c r="J64083" s="8"/>
      <c r="K64083" s="8"/>
      <c r="L64083" s="8"/>
      <c r="M64083" s="8"/>
      <c r="N64083" s="8"/>
      <c r="O64083" s="8"/>
      <c r="P64083" s="8"/>
      <c r="Q64083" s="8"/>
      <c r="R64083" s="103"/>
      <c r="S64083" s="8"/>
      <c r="T64083" s="8"/>
      <c r="U64083" s="8"/>
      <c r="V64083" s="8"/>
      <c r="W64083" s="8"/>
      <c r="X64083" s="8"/>
      <c r="Y64083" s="8"/>
      <c r="Z64083" s="8"/>
      <c r="AA64083" s="8"/>
    </row>
    <row r="64084" spans="1:27" x14ac:dyDescent="0.25">
      <c r="A64084" s="8"/>
      <c r="B64084" s="8"/>
      <c r="C64084" s="99"/>
      <c r="D64084" s="8"/>
      <c r="E64084" s="8"/>
      <c r="F64084" s="8"/>
      <c r="G64084" s="8"/>
      <c r="H64084" s="8"/>
      <c r="I64084" s="102"/>
      <c r="J64084" s="8"/>
      <c r="K64084" s="8"/>
      <c r="L64084" s="8"/>
      <c r="M64084" s="8"/>
      <c r="N64084" s="8"/>
      <c r="O64084" s="8"/>
      <c r="P64084" s="8"/>
      <c r="Q64084" s="8"/>
      <c r="R64084" s="103"/>
      <c r="S64084" s="8"/>
      <c r="T64084" s="8"/>
      <c r="U64084" s="8"/>
      <c r="V64084" s="8"/>
      <c r="W64084" s="8"/>
      <c r="X64084" s="8"/>
      <c r="Y64084" s="8"/>
      <c r="Z64084" s="8"/>
      <c r="AA64084" s="8"/>
    </row>
    <row r="64085" spans="1:27" x14ac:dyDescent="0.25">
      <c r="A64085" s="8"/>
      <c r="B64085" s="8"/>
      <c r="C64085" s="99"/>
      <c r="D64085" s="8"/>
      <c r="E64085" s="8"/>
      <c r="F64085" s="8"/>
      <c r="G64085" s="8"/>
      <c r="H64085" s="8"/>
      <c r="I64085" s="102"/>
      <c r="J64085" s="8"/>
      <c r="K64085" s="8"/>
      <c r="L64085" s="8"/>
      <c r="M64085" s="8"/>
      <c r="N64085" s="8"/>
      <c r="O64085" s="8"/>
      <c r="P64085" s="8"/>
      <c r="Q64085" s="8"/>
      <c r="R64085" s="103"/>
      <c r="S64085" s="8"/>
      <c r="T64085" s="8"/>
      <c r="U64085" s="8"/>
      <c r="V64085" s="8"/>
      <c r="W64085" s="8"/>
      <c r="X64085" s="8"/>
      <c r="Y64085" s="8"/>
      <c r="Z64085" s="8"/>
      <c r="AA64085" s="8"/>
    </row>
    <row r="64086" spans="1:27" x14ac:dyDescent="0.25">
      <c r="A64086" s="8"/>
      <c r="B64086" s="8"/>
      <c r="C64086" s="99"/>
      <c r="D64086" s="8"/>
      <c r="E64086" s="8"/>
      <c r="F64086" s="8"/>
      <c r="G64086" s="8"/>
      <c r="H64086" s="8"/>
      <c r="I64086" s="102"/>
      <c r="J64086" s="8"/>
      <c r="K64086" s="8"/>
      <c r="L64086" s="8"/>
      <c r="M64086" s="8"/>
      <c r="N64086" s="8"/>
      <c r="O64086" s="8"/>
      <c r="P64086" s="8"/>
      <c r="Q64086" s="8"/>
      <c r="R64086" s="103"/>
      <c r="S64086" s="8"/>
      <c r="T64086" s="8"/>
      <c r="U64086" s="8"/>
      <c r="V64086" s="8"/>
      <c r="W64086" s="8"/>
      <c r="X64086" s="8"/>
      <c r="Y64086" s="8"/>
      <c r="Z64086" s="8"/>
      <c r="AA64086" s="8"/>
    </row>
    <row r="64087" spans="1:27" x14ac:dyDescent="0.25">
      <c r="A64087" s="8"/>
      <c r="B64087" s="8"/>
      <c r="C64087" s="99"/>
      <c r="D64087" s="8"/>
      <c r="E64087" s="8"/>
      <c r="F64087" s="8"/>
      <c r="G64087" s="8"/>
      <c r="H64087" s="8"/>
      <c r="I64087" s="102"/>
      <c r="J64087" s="8"/>
      <c r="K64087" s="8"/>
      <c r="L64087" s="8"/>
      <c r="M64087" s="8"/>
      <c r="N64087" s="8"/>
      <c r="O64087" s="8"/>
      <c r="P64087" s="8"/>
      <c r="Q64087" s="8"/>
      <c r="R64087" s="103"/>
      <c r="S64087" s="8"/>
      <c r="T64087" s="8"/>
      <c r="U64087" s="8"/>
      <c r="V64087" s="8"/>
      <c r="W64087" s="8"/>
      <c r="X64087" s="8"/>
      <c r="Y64087" s="8"/>
      <c r="Z64087" s="8"/>
      <c r="AA64087" s="8"/>
    </row>
    <row r="64088" spans="1:27" x14ac:dyDescent="0.25">
      <c r="A64088" s="8"/>
      <c r="B64088" s="8"/>
      <c r="C64088" s="99"/>
      <c r="D64088" s="8"/>
      <c r="E64088" s="8"/>
      <c r="F64088" s="8"/>
      <c r="G64088" s="8"/>
      <c r="H64088" s="8"/>
      <c r="I64088" s="102"/>
      <c r="J64088" s="8"/>
      <c r="K64088" s="8"/>
      <c r="L64088" s="8"/>
      <c r="M64088" s="8"/>
      <c r="N64088" s="8"/>
      <c r="O64088" s="8"/>
      <c r="P64088" s="8"/>
      <c r="Q64088" s="8"/>
      <c r="R64088" s="103"/>
      <c r="S64088" s="8"/>
      <c r="T64088" s="8"/>
      <c r="U64088" s="8"/>
      <c r="V64088" s="8"/>
      <c r="W64088" s="8"/>
      <c r="X64088" s="8"/>
      <c r="Y64088" s="8"/>
      <c r="Z64088" s="8"/>
      <c r="AA64088" s="8"/>
    </row>
    <row r="64089" spans="1:27" x14ac:dyDescent="0.25">
      <c r="A64089" s="8"/>
      <c r="B64089" s="8"/>
      <c r="C64089" s="99"/>
      <c r="D64089" s="8"/>
      <c r="E64089" s="8"/>
      <c r="F64089" s="8"/>
      <c r="G64089" s="8"/>
      <c r="H64089" s="8"/>
      <c r="I64089" s="102"/>
      <c r="J64089" s="8"/>
      <c r="K64089" s="8"/>
      <c r="L64089" s="8"/>
      <c r="M64089" s="8"/>
      <c r="N64089" s="8"/>
      <c r="O64089" s="8"/>
      <c r="P64089" s="8"/>
      <c r="Q64089" s="8"/>
      <c r="R64089" s="103"/>
      <c r="S64089" s="8"/>
      <c r="T64089" s="8"/>
      <c r="U64089" s="8"/>
      <c r="V64089" s="8"/>
      <c r="W64089" s="8"/>
      <c r="X64089" s="8"/>
      <c r="Y64089" s="8"/>
      <c r="Z64089" s="8"/>
      <c r="AA64089" s="8"/>
    </row>
    <row r="64090" spans="1:27" x14ac:dyDescent="0.25">
      <c r="A64090" s="8"/>
      <c r="B64090" s="8"/>
      <c r="C64090" s="99"/>
      <c r="D64090" s="8"/>
      <c r="E64090" s="8"/>
      <c r="F64090" s="8"/>
      <c r="G64090" s="8"/>
      <c r="H64090" s="8"/>
      <c r="I64090" s="102"/>
      <c r="J64090" s="8"/>
      <c r="K64090" s="8"/>
      <c r="L64090" s="8"/>
      <c r="M64090" s="8"/>
      <c r="N64090" s="8"/>
      <c r="O64090" s="8"/>
      <c r="P64090" s="8"/>
      <c r="Q64090" s="8"/>
      <c r="R64090" s="103"/>
      <c r="S64090" s="8"/>
      <c r="T64090" s="8"/>
      <c r="U64090" s="8"/>
      <c r="V64090" s="8"/>
      <c r="W64090" s="8"/>
      <c r="X64090" s="8"/>
      <c r="Y64090" s="8"/>
      <c r="Z64090" s="8"/>
      <c r="AA64090" s="8"/>
    </row>
    <row r="64091" spans="1:27" x14ac:dyDescent="0.25">
      <c r="A64091" s="8"/>
      <c r="B64091" s="8"/>
      <c r="C64091" s="99"/>
      <c r="D64091" s="8"/>
      <c r="E64091" s="8"/>
      <c r="F64091" s="8"/>
      <c r="G64091" s="8"/>
      <c r="H64091" s="8"/>
      <c r="I64091" s="102"/>
      <c r="J64091" s="8"/>
      <c r="K64091" s="8"/>
      <c r="L64091" s="8"/>
      <c r="M64091" s="8"/>
      <c r="N64091" s="8"/>
      <c r="O64091" s="8"/>
      <c r="P64091" s="8"/>
      <c r="Q64091" s="8"/>
      <c r="R64091" s="103"/>
      <c r="S64091" s="8"/>
      <c r="T64091" s="8"/>
      <c r="U64091" s="8"/>
      <c r="V64091" s="8"/>
      <c r="W64091" s="8"/>
      <c r="X64091" s="8"/>
      <c r="Y64091" s="8"/>
      <c r="Z64091" s="8"/>
      <c r="AA64091" s="8"/>
    </row>
    <row r="64092" spans="1:27" x14ac:dyDescent="0.25">
      <c r="A64092" s="8"/>
      <c r="B64092" s="8"/>
      <c r="C64092" s="99"/>
      <c r="D64092" s="8"/>
      <c r="E64092" s="8"/>
      <c r="F64092" s="8"/>
      <c r="G64092" s="8"/>
      <c r="H64092" s="8"/>
      <c r="I64092" s="102"/>
      <c r="J64092" s="8"/>
      <c r="K64092" s="8"/>
      <c r="L64092" s="8"/>
      <c r="M64092" s="8"/>
      <c r="N64092" s="8"/>
      <c r="O64092" s="8"/>
      <c r="P64092" s="8"/>
      <c r="Q64092" s="8"/>
      <c r="R64092" s="103"/>
      <c r="S64092" s="8"/>
      <c r="T64092" s="8"/>
      <c r="U64092" s="8"/>
      <c r="V64092" s="8"/>
      <c r="W64092" s="8"/>
      <c r="X64092" s="8"/>
      <c r="Y64092" s="8"/>
      <c r="Z64092" s="8"/>
      <c r="AA64092" s="8"/>
    </row>
    <row r="64093" spans="1:27" x14ac:dyDescent="0.25">
      <c r="A64093" s="8"/>
      <c r="B64093" s="8"/>
      <c r="C64093" s="99"/>
      <c r="D64093" s="8"/>
      <c r="E64093" s="8"/>
      <c r="F64093" s="8"/>
      <c r="G64093" s="8"/>
      <c r="H64093" s="8"/>
      <c r="I64093" s="102"/>
      <c r="J64093" s="8"/>
      <c r="K64093" s="8"/>
      <c r="L64093" s="8"/>
      <c r="M64093" s="8"/>
      <c r="N64093" s="8"/>
      <c r="O64093" s="8"/>
      <c r="P64093" s="8"/>
      <c r="Q64093" s="8"/>
      <c r="R64093" s="103"/>
      <c r="S64093" s="8"/>
      <c r="T64093" s="8"/>
      <c r="U64093" s="8"/>
      <c r="V64093" s="8"/>
      <c r="W64093" s="8"/>
      <c r="X64093" s="8"/>
      <c r="Y64093" s="8"/>
      <c r="Z64093" s="8"/>
      <c r="AA64093" s="8"/>
    </row>
    <row r="64094" spans="1:27" x14ac:dyDescent="0.25">
      <c r="A64094" s="8"/>
      <c r="B64094" s="8"/>
      <c r="C64094" s="99"/>
      <c r="D64094" s="8"/>
      <c r="E64094" s="8"/>
      <c r="F64094" s="8"/>
      <c r="G64094" s="8"/>
      <c r="H64094" s="8"/>
      <c r="I64094" s="102"/>
      <c r="J64094" s="8"/>
      <c r="K64094" s="8"/>
      <c r="L64094" s="8"/>
      <c r="M64094" s="8"/>
      <c r="N64094" s="8"/>
      <c r="O64094" s="8"/>
      <c r="P64094" s="8"/>
      <c r="Q64094" s="8"/>
      <c r="R64094" s="103"/>
      <c r="S64094" s="8"/>
      <c r="T64094" s="8"/>
      <c r="U64094" s="8"/>
      <c r="V64094" s="8"/>
      <c r="W64094" s="8"/>
      <c r="X64094" s="8"/>
      <c r="Y64094" s="8"/>
      <c r="Z64094" s="8"/>
      <c r="AA64094" s="8"/>
    </row>
    <row r="64095" spans="1:27" x14ac:dyDescent="0.25">
      <c r="A64095" s="8"/>
      <c r="B64095" s="8"/>
      <c r="C64095" s="99"/>
      <c r="D64095" s="8"/>
      <c r="E64095" s="8"/>
      <c r="F64095" s="8"/>
      <c r="G64095" s="8"/>
      <c r="H64095" s="8"/>
      <c r="I64095" s="102"/>
      <c r="J64095" s="8"/>
      <c r="K64095" s="8"/>
      <c r="L64095" s="8"/>
      <c r="M64095" s="8"/>
      <c r="N64095" s="8"/>
      <c r="O64095" s="8"/>
      <c r="P64095" s="8"/>
      <c r="Q64095" s="8"/>
      <c r="R64095" s="103"/>
      <c r="S64095" s="8"/>
      <c r="T64095" s="8"/>
      <c r="U64095" s="8"/>
      <c r="V64095" s="8"/>
      <c r="W64095" s="8"/>
      <c r="X64095" s="8"/>
      <c r="Y64095" s="8"/>
      <c r="Z64095" s="8"/>
      <c r="AA64095" s="8"/>
    </row>
    <row r="64096" spans="1:27" x14ac:dyDescent="0.25">
      <c r="A64096" s="8"/>
      <c r="B64096" s="8"/>
      <c r="C64096" s="99"/>
      <c r="D64096" s="8"/>
      <c r="E64096" s="8"/>
      <c r="F64096" s="8"/>
      <c r="G64096" s="8"/>
      <c r="H64096" s="8"/>
      <c r="I64096" s="102"/>
      <c r="J64096" s="8"/>
      <c r="K64096" s="8"/>
      <c r="L64096" s="8"/>
      <c r="M64096" s="8"/>
      <c r="N64096" s="8"/>
      <c r="O64096" s="8"/>
      <c r="P64096" s="8"/>
      <c r="Q64096" s="8"/>
      <c r="R64096" s="103"/>
      <c r="S64096" s="8"/>
      <c r="T64096" s="8"/>
      <c r="U64096" s="8"/>
      <c r="V64096" s="8"/>
      <c r="W64096" s="8"/>
      <c r="X64096" s="8"/>
      <c r="Y64096" s="8"/>
      <c r="Z64096" s="8"/>
      <c r="AA64096" s="8"/>
    </row>
    <row r="64097" spans="1:27" x14ac:dyDescent="0.25">
      <c r="A64097" s="8"/>
      <c r="B64097" s="8"/>
      <c r="C64097" s="99"/>
      <c r="D64097" s="8"/>
      <c r="E64097" s="8"/>
      <c r="F64097" s="8"/>
      <c r="G64097" s="8"/>
      <c r="H64097" s="8"/>
      <c r="I64097" s="102"/>
      <c r="J64097" s="8"/>
      <c r="K64097" s="8"/>
      <c r="L64097" s="8"/>
      <c r="M64097" s="8"/>
      <c r="N64097" s="8"/>
      <c r="O64097" s="8"/>
      <c r="P64097" s="8"/>
      <c r="Q64097" s="8"/>
      <c r="R64097" s="103"/>
      <c r="S64097" s="8"/>
      <c r="T64097" s="8"/>
      <c r="U64097" s="8"/>
      <c r="V64097" s="8"/>
      <c r="W64097" s="8"/>
      <c r="X64097" s="8"/>
      <c r="Y64097" s="8"/>
      <c r="Z64097" s="8"/>
      <c r="AA64097" s="8"/>
    </row>
    <row r="64098" spans="1:27" x14ac:dyDescent="0.25">
      <c r="A64098" s="8"/>
      <c r="B64098" s="8"/>
      <c r="C64098" s="99"/>
      <c r="D64098" s="8"/>
      <c r="E64098" s="8"/>
      <c r="F64098" s="8"/>
      <c r="G64098" s="8"/>
      <c r="H64098" s="8"/>
      <c r="I64098" s="102"/>
      <c r="J64098" s="8"/>
      <c r="K64098" s="8"/>
      <c r="L64098" s="8"/>
      <c r="M64098" s="8"/>
      <c r="N64098" s="8"/>
      <c r="O64098" s="8"/>
      <c r="P64098" s="8"/>
      <c r="Q64098" s="8"/>
      <c r="R64098" s="103"/>
      <c r="S64098" s="8"/>
      <c r="T64098" s="8"/>
      <c r="U64098" s="8"/>
      <c r="V64098" s="8"/>
      <c r="W64098" s="8"/>
      <c r="X64098" s="8"/>
      <c r="Y64098" s="8"/>
      <c r="Z64098" s="8"/>
      <c r="AA64098" s="8"/>
    </row>
    <row r="64099" spans="1:27" x14ac:dyDescent="0.25">
      <c r="A64099" s="8"/>
      <c r="B64099" s="8"/>
      <c r="C64099" s="99"/>
      <c r="D64099" s="8"/>
      <c r="E64099" s="8"/>
      <c r="F64099" s="8"/>
      <c r="G64099" s="8"/>
      <c r="H64099" s="8"/>
      <c r="I64099" s="102"/>
      <c r="J64099" s="8"/>
      <c r="K64099" s="8"/>
      <c r="L64099" s="8"/>
      <c r="M64099" s="8"/>
      <c r="N64099" s="8"/>
      <c r="O64099" s="8"/>
      <c r="P64099" s="8"/>
      <c r="Q64099" s="8"/>
      <c r="R64099" s="103"/>
      <c r="S64099" s="8"/>
      <c r="T64099" s="8"/>
      <c r="U64099" s="8"/>
      <c r="V64099" s="8"/>
      <c r="W64099" s="8"/>
      <c r="X64099" s="8"/>
      <c r="Y64099" s="8"/>
      <c r="Z64099" s="8"/>
      <c r="AA64099" s="8"/>
    </row>
    <row r="64100" spans="1:27" x14ac:dyDescent="0.25">
      <c r="A64100" s="8"/>
      <c r="B64100" s="8"/>
      <c r="C64100" s="99"/>
      <c r="D64100" s="8"/>
      <c r="E64100" s="8"/>
      <c r="F64100" s="8"/>
      <c r="G64100" s="8"/>
      <c r="H64100" s="8"/>
      <c r="I64100" s="102"/>
      <c r="J64100" s="8"/>
      <c r="K64100" s="8"/>
      <c r="L64100" s="8"/>
      <c r="M64100" s="8"/>
      <c r="N64100" s="8"/>
      <c r="O64100" s="8"/>
      <c r="P64100" s="8"/>
      <c r="Q64100" s="8"/>
      <c r="R64100" s="103"/>
      <c r="S64100" s="8"/>
      <c r="T64100" s="8"/>
      <c r="U64100" s="8"/>
      <c r="V64100" s="8"/>
      <c r="W64100" s="8"/>
      <c r="X64100" s="8"/>
      <c r="Y64100" s="8"/>
      <c r="Z64100" s="8"/>
      <c r="AA64100" s="8"/>
    </row>
    <row r="64101" spans="1:27" x14ac:dyDescent="0.25">
      <c r="A64101" s="8"/>
      <c r="B64101" s="8"/>
      <c r="C64101" s="99"/>
      <c r="D64101" s="8"/>
      <c r="E64101" s="8"/>
      <c r="F64101" s="8"/>
      <c r="G64101" s="8"/>
      <c r="H64101" s="8"/>
      <c r="I64101" s="102"/>
      <c r="J64101" s="8"/>
      <c r="K64101" s="8"/>
      <c r="L64101" s="8"/>
      <c r="M64101" s="8"/>
      <c r="N64101" s="8"/>
      <c r="O64101" s="8"/>
      <c r="P64101" s="8"/>
      <c r="Q64101" s="8"/>
      <c r="R64101" s="103"/>
      <c r="S64101" s="8"/>
      <c r="T64101" s="8"/>
      <c r="U64101" s="8"/>
      <c r="V64101" s="8"/>
      <c r="W64101" s="8"/>
      <c r="X64101" s="8"/>
      <c r="Y64101" s="8"/>
      <c r="Z64101" s="8"/>
      <c r="AA64101" s="8"/>
    </row>
    <row r="64102" spans="1:27" x14ac:dyDescent="0.25">
      <c r="A64102" s="8"/>
      <c r="B64102" s="8"/>
      <c r="C64102" s="99"/>
      <c r="D64102" s="8"/>
      <c r="E64102" s="8"/>
      <c r="F64102" s="8"/>
      <c r="G64102" s="8"/>
      <c r="H64102" s="8"/>
      <c r="I64102" s="102"/>
      <c r="J64102" s="8"/>
      <c r="K64102" s="8"/>
      <c r="L64102" s="8"/>
      <c r="M64102" s="8"/>
      <c r="N64102" s="8"/>
      <c r="O64102" s="8"/>
      <c r="P64102" s="8"/>
      <c r="Q64102" s="8"/>
      <c r="R64102" s="103"/>
      <c r="S64102" s="8"/>
      <c r="T64102" s="8"/>
      <c r="U64102" s="8"/>
      <c r="V64102" s="8"/>
      <c r="W64102" s="8"/>
      <c r="X64102" s="8"/>
      <c r="Y64102" s="8"/>
      <c r="Z64102" s="8"/>
      <c r="AA64102" s="8"/>
    </row>
    <row r="64103" spans="1:27" x14ac:dyDescent="0.25">
      <c r="A64103" s="8"/>
      <c r="B64103" s="8"/>
      <c r="C64103" s="99"/>
      <c r="D64103" s="8"/>
      <c r="E64103" s="8"/>
      <c r="F64103" s="8"/>
      <c r="G64103" s="8"/>
      <c r="H64103" s="8"/>
      <c r="I64103" s="102"/>
      <c r="J64103" s="8"/>
      <c r="K64103" s="8"/>
      <c r="L64103" s="8"/>
      <c r="M64103" s="8"/>
      <c r="N64103" s="8"/>
      <c r="O64103" s="8"/>
      <c r="P64103" s="8"/>
      <c r="Q64103" s="8"/>
      <c r="R64103" s="103"/>
      <c r="S64103" s="8"/>
      <c r="T64103" s="8"/>
      <c r="U64103" s="8"/>
      <c r="V64103" s="8"/>
      <c r="W64103" s="8"/>
      <c r="X64103" s="8"/>
      <c r="Y64103" s="8"/>
      <c r="Z64103" s="8"/>
      <c r="AA64103" s="8"/>
    </row>
    <row r="64104" spans="1:27" x14ac:dyDescent="0.25">
      <c r="A64104" s="8"/>
      <c r="B64104" s="8"/>
      <c r="C64104" s="99"/>
      <c r="D64104" s="8"/>
      <c r="E64104" s="8"/>
      <c r="F64104" s="8"/>
      <c r="G64104" s="8"/>
      <c r="H64104" s="8"/>
      <c r="I64104" s="102"/>
      <c r="J64104" s="8"/>
      <c r="K64104" s="8"/>
      <c r="L64104" s="8"/>
      <c r="M64104" s="8"/>
      <c r="N64104" s="8"/>
      <c r="O64104" s="8"/>
      <c r="P64104" s="8"/>
      <c r="Q64104" s="8"/>
      <c r="R64104" s="103"/>
      <c r="S64104" s="8"/>
      <c r="T64104" s="8"/>
      <c r="U64104" s="8"/>
      <c r="V64104" s="8"/>
      <c r="W64104" s="8"/>
      <c r="X64104" s="8"/>
      <c r="Y64104" s="8"/>
      <c r="Z64104" s="8"/>
      <c r="AA64104" s="8"/>
    </row>
    <row r="64105" spans="1:27" x14ac:dyDescent="0.25">
      <c r="A64105" s="8"/>
      <c r="B64105" s="8"/>
      <c r="C64105" s="99"/>
      <c r="D64105" s="8"/>
      <c r="E64105" s="8"/>
      <c r="F64105" s="8"/>
      <c r="G64105" s="8"/>
      <c r="H64105" s="8"/>
      <c r="I64105" s="102"/>
      <c r="J64105" s="8"/>
      <c r="K64105" s="8"/>
      <c r="L64105" s="8"/>
      <c r="M64105" s="8"/>
      <c r="N64105" s="8"/>
      <c r="O64105" s="8"/>
      <c r="P64105" s="8"/>
      <c r="Q64105" s="8"/>
      <c r="R64105" s="103"/>
      <c r="S64105" s="8"/>
      <c r="T64105" s="8"/>
      <c r="U64105" s="8"/>
      <c r="V64105" s="8"/>
      <c r="W64105" s="8"/>
      <c r="X64105" s="8"/>
      <c r="Y64105" s="8"/>
      <c r="Z64105" s="8"/>
      <c r="AA64105" s="8"/>
    </row>
    <row r="64106" spans="1:27" x14ac:dyDescent="0.25">
      <c r="A64106" s="8"/>
      <c r="B64106" s="8"/>
      <c r="C64106" s="99"/>
      <c r="D64106" s="8"/>
      <c r="E64106" s="8"/>
      <c r="F64106" s="8"/>
      <c r="G64106" s="8"/>
      <c r="H64106" s="8"/>
      <c r="I64106" s="102"/>
      <c r="J64106" s="8"/>
      <c r="K64106" s="8"/>
      <c r="L64106" s="8"/>
      <c r="M64106" s="8"/>
      <c r="N64106" s="8"/>
      <c r="O64106" s="8"/>
      <c r="P64106" s="8"/>
      <c r="Q64106" s="8"/>
      <c r="R64106" s="103"/>
      <c r="S64106" s="8"/>
      <c r="T64106" s="8"/>
      <c r="U64106" s="8"/>
      <c r="V64106" s="8"/>
      <c r="W64106" s="8"/>
      <c r="X64106" s="8"/>
      <c r="Y64106" s="8"/>
      <c r="Z64106" s="8"/>
      <c r="AA64106" s="8"/>
    </row>
    <row r="64107" spans="1:27" x14ac:dyDescent="0.25">
      <c r="A64107" s="8"/>
      <c r="B64107" s="8"/>
      <c r="C64107" s="99"/>
      <c r="D64107" s="8"/>
      <c r="E64107" s="8"/>
      <c r="F64107" s="8"/>
      <c r="G64107" s="8"/>
      <c r="H64107" s="8"/>
      <c r="I64107" s="102"/>
      <c r="J64107" s="8"/>
      <c r="K64107" s="8"/>
      <c r="L64107" s="8"/>
      <c r="M64107" s="8"/>
      <c r="N64107" s="8"/>
      <c r="O64107" s="8"/>
      <c r="P64107" s="8"/>
      <c r="Q64107" s="8"/>
      <c r="R64107" s="103"/>
      <c r="S64107" s="8"/>
      <c r="T64107" s="8"/>
      <c r="U64107" s="8"/>
      <c r="V64107" s="8"/>
      <c r="W64107" s="8"/>
      <c r="X64107" s="8"/>
      <c r="Y64107" s="8"/>
      <c r="Z64107" s="8"/>
      <c r="AA64107" s="8"/>
    </row>
    <row r="64108" spans="1:27" x14ac:dyDescent="0.25">
      <c r="A64108" s="8"/>
      <c r="B64108" s="8"/>
      <c r="C64108" s="99"/>
      <c r="D64108" s="8"/>
      <c r="E64108" s="8"/>
      <c r="F64108" s="8"/>
      <c r="G64108" s="8"/>
      <c r="H64108" s="8"/>
      <c r="I64108" s="102"/>
      <c r="J64108" s="8"/>
      <c r="K64108" s="8"/>
      <c r="L64108" s="8"/>
      <c r="M64108" s="8"/>
      <c r="N64108" s="8"/>
      <c r="O64108" s="8"/>
      <c r="P64108" s="8"/>
      <c r="Q64108" s="8"/>
      <c r="R64108" s="103"/>
      <c r="S64108" s="8"/>
      <c r="T64108" s="8"/>
      <c r="U64108" s="8"/>
      <c r="V64108" s="8"/>
      <c r="W64108" s="8"/>
      <c r="X64108" s="8"/>
      <c r="Y64108" s="8"/>
      <c r="Z64108" s="8"/>
      <c r="AA64108" s="8"/>
    </row>
    <row r="64109" spans="1:27" x14ac:dyDescent="0.25">
      <c r="A64109" s="8"/>
      <c r="B64109" s="8"/>
      <c r="C64109" s="99"/>
      <c r="D64109" s="8"/>
      <c r="E64109" s="8"/>
      <c r="F64109" s="8"/>
      <c r="G64109" s="8"/>
      <c r="H64109" s="8"/>
      <c r="I64109" s="102"/>
      <c r="J64109" s="8"/>
      <c r="K64109" s="8"/>
      <c r="L64109" s="8"/>
      <c r="M64109" s="8"/>
      <c r="N64109" s="8"/>
      <c r="O64109" s="8"/>
      <c r="P64109" s="8"/>
      <c r="Q64109" s="8"/>
      <c r="R64109" s="103"/>
      <c r="S64109" s="8"/>
      <c r="T64109" s="8"/>
      <c r="U64109" s="8"/>
      <c r="V64109" s="8"/>
      <c r="W64109" s="8"/>
      <c r="X64109" s="8"/>
      <c r="Y64109" s="8"/>
      <c r="Z64109" s="8"/>
      <c r="AA64109" s="8"/>
    </row>
    <row r="64110" spans="1:27" x14ac:dyDescent="0.25">
      <c r="A64110" s="8"/>
      <c r="B64110" s="8"/>
      <c r="C64110" s="99"/>
      <c r="D64110" s="8"/>
      <c r="E64110" s="8"/>
      <c r="F64110" s="8"/>
      <c r="G64110" s="8"/>
      <c r="H64110" s="8"/>
      <c r="I64110" s="102"/>
      <c r="J64110" s="8"/>
      <c r="K64110" s="8"/>
      <c r="L64110" s="8"/>
      <c r="M64110" s="8"/>
      <c r="N64110" s="8"/>
      <c r="O64110" s="8"/>
      <c r="P64110" s="8"/>
      <c r="Q64110" s="8"/>
      <c r="R64110" s="103"/>
      <c r="S64110" s="8"/>
      <c r="T64110" s="8"/>
      <c r="U64110" s="8"/>
      <c r="V64110" s="8"/>
      <c r="W64110" s="8"/>
      <c r="X64110" s="8"/>
      <c r="Y64110" s="8"/>
      <c r="Z64110" s="8"/>
      <c r="AA64110" s="8"/>
    </row>
    <row r="64111" spans="1:27" x14ac:dyDescent="0.25">
      <c r="A64111" s="8"/>
      <c r="B64111" s="8"/>
      <c r="C64111" s="99"/>
      <c r="D64111" s="8"/>
      <c r="E64111" s="8"/>
      <c r="F64111" s="8"/>
      <c r="G64111" s="8"/>
      <c r="H64111" s="8"/>
      <c r="I64111" s="102"/>
      <c r="J64111" s="8"/>
      <c r="K64111" s="8"/>
      <c r="L64111" s="8"/>
      <c r="M64111" s="8"/>
      <c r="N64111" s="8"/>
      <c r="O64111" s="8"/>
      <c r="P64111" s="8"/>
      <c r="Q64111" s="8"/>
      <c r="R64111" s="103"/>
      <c r="S64111" s="8"/>
      <c r="T64111" s="8"/>
      <c r="U64111" s="8"/>
      <c r="V64111" s="8"/>
      <c r="W64111" s="8"/>
      <c r="X64111" s="8"/>
      <c r="Y64111" s="8"/>
      <c r="Z64111" s="8"/>
      <c r="AA64111" s="8"/>
    </row>
    <row r="64112" spans="1:27" x14ac:dyDescent="0.25">
      <c r="A64112" s="8"/>
      <c r="B64112" s="8"/>
      <c r="C64112" s="99"/>
      <c r="D64112" s="8"/>
      <c r="E64112" s="8"/>
      <c r="F64112" s="8"/>
      <c r="G64112" s="8"/>
      <c r="H64112" s="8"/>
      <c r="I64112" s="102"/>
      <c r="J64112" s="8"/>
      <c r="K64112" s="8"/>
      <c r="L64112" s="8"/>
      <c r="M64112" s="8"/>
      <c r="N64112" s="8"/>
      <c r="O64112" s="8"/>
      <c r="P64112" s="8"/>
      <c r="Q64112" s="8"/>
      <c r="R64112" s="103"/>
      <c r="S64112" s="8"/>
      <c r="T64112" s="8"/>
      <c r="U64112" s="8"/>
      <c r="V64112" s="8"/>
      <c r="W64112" s="8"/>
      <c r="X64112" s="8"/>
      <c r="Y64112" s="8"/>
      <c r="Z64112" s="8"/>
      <c r="AA64112" s="8"/>
    </row>
    <row r="64113" spans="1:27" x14ac:dyDescent="0.25">
      <c r="A64113" s="8"/>
      <c r="B64113" s="8"/>
      <c r="C64113" s="99"/>
      <c r="D64113" s="8"/>
      <c r="E64113" s="8"/>
      <c r="F64113" s="8"/>
      <c r="G64113" s="8"/>
      <c r="H64113" s="8"/>
      <c r="I64113" s="102"/>
      <c r="J64113" s="8"/>
      <c r="K64113" s="8"/>
      <c r="L64113" s="8"/>
      <c r="M64113" s="8"/>
      <c r="N64113" s="8"/>
      <c r="O64113" s="8"/>
      <c r="P64113" s="8"/>
      <c r="Q64113" s="8"/>
      <c r="R64113" s="103"/>
      <c r="S64113" s="8"/>
      <c r="T64113" s="8"/>
      <c r="U64113" s="8"/>
      <c r="V64113" s="8"/>
      <c r="W64113" s="8"/>
      <c r="X64113" s="8"/>
      <c r="Y64113" s="8"/>
      <c r="Z64113" s="8"/>
      <c r="AA64113" s="8"/>
    </row>
    <row r="64114" spans="1:27" x14ac:dyDescent="0.25">
      <c r="A64114" s="8"/>
      <c r="B64114" s="8"/>
      <c r="C64114" s="99"/>
      <c r="D64114" s="8"/>
      <c r="E64114" s="8"/>
      <c r="F64114" s="8"/>
      <c r="G64114" s="8"/>
      <c r="H64114" s="8"/>
      <c r="I64114" s="102"/>
      <c r="J64114" s="8"/>
      <c r="K64114" s="8"/>
      <c r="L64114" s="8"/>
      <c r="M64114" s="8"/>
      <c r="N64114" s="8"/>
      <c r="O64114" s="8"/>
      <c r="P64114" s="8"/>
      <c r="Q64114" s="8"/>
      <c r="R64114" s="103"/>
      <c r="S64114" s="8"/>
      <c r="T64114" s="8"/>
      <c r="U64114" s="8"/>
      <c r="V64114" s="8"/>
      <c r="W64114" s="8"/>
      <c r="X64114" s="8"/>
      <c r="Y64114" s="8"/>
      <c r="Z64114" s="8"/>
      <c r="AA64114" s="8"/>
    </row>
    <row r="64115" spans="1:27" x14ac:dyDescent="0.25">
      <c r="A64115" s="8"/>
      <c r="B64115" s="8"/>
      <c r="C64115" s="99"/>
      <c r="D64115" s="8"/>
      <c r="E64115" s="8"/>
      <c r="F64115" s="8"/>
      <c r="G64115" s="8"/>
      <c r="H64115" s="8"/>
      <c r="I64115" s="102"/>
      <c r="J64115" s="8"/>
      <c r="K64115" s="8"/>
      <c r="L64115" s="8"/>
      <c r="M64115" s="8"/>
      <c r="N64115" s="8"/>
      <c r="O64115" s="8"/>
      <c r="P64115" s="8"/>
      <c r="Q64115" s="8"/>
      <c r="R64115" s="103"/>
      <c r="S64115" s="8"/>
      <c r="T64115" s="8"/>
      <c r="U64115" s="8"/>
      <c r="V64115" s="8"/>
      <c r="W64115" s="8"/>
      <c r="X64115" s="8"/>
      <c r="Y64115" s="8"/>
      <c r="Z64115" s="8"/>
      <c r="AA64115" s="8"/>
    </row>
    <row r="64116" spans="1:27" x14ac:dyDescent="0.25">
      <c r="A64116" s="8"/>
      <c r="B64116" s="8"/>
      <c r="C64116" s="99"/>
      <c r="D64116" s="8"/>
      <c r="E64116" s="8"/>
      <c r="F64116" s="8"/>
      <c r="G64116" s="8"/>
      <c r="H64116" s="8"/>
      <c r="I64116" s="102"/>
      <c r="J64116" s="8"/>
      <c r="K64116" s="8"/>
      <c r="L64116" s="8"/>
      <c r="M64116" s="8"/>
      <c r="N64116" s="8"/>
      <c r="O64116" s="8"/>
      <c r="P64116" s="8"/>
      <c r="Q64116" s="8"/>
      <c r="R64116" s="103"/>
      <c r="S64116" s="8"/>
      <c r="T64116" s="8"/>
      <c r="U64116" s="8"/>
      <c r="V64116" s="8"/>
      <c r="W64116" s="8"/>
      <c r="X64116" s="8"/>
      <c r="Y64116" s="8"/>
      <c r="Z64116" s="8"/>
      <c r="AA64116" s="8"/>
    </row>
    <row r="64117" spans="1:27" x14ac:dyDescent="0.25">
      <c r="A64117" s="8"/>
      <c r="B64117" s="8"/>
      <c r="C64117" s="99"/>
      <c r="D64117" s="8"/>
      <c r="E64117" s="8"/>
      <c r="F64117" s="8"/>
      <c r="G64117" s="8"/>
      <c r="H64117" s="8"/>
      <c r="I64117" s="102"/>
      <c r="J64117" s="8"/>
      <c r="K64117" s="8"/>
      <c r="L64117" s="8"/>
      <c r="M64117" s="8"/>
      <c r="N64117" s="8"/>
      <c r="O64117" s="8"/>
      <c r="P64117" s="8"/>
      <c r="Q64117" s="8"/>
      <c r="R64117" s="103"/>
      <c r="S64117" s="8"/>
      <c r="T64117" s="8"/>
      <c r="U64117" s="8"/>
      <c r="V64117" s="8"/>
      <c r="W64117" s="8"/>
      <c r="X64117" s="8"/>
      <c r="Y64117" s="8"/>
      <c r="Z64117" s="8"/>
      <c r="AA64117" s="8"/>
    </row>
    <row r="64118" spans="1:27" x14ac:dyDescent="0.25">
      <c r="A64118" s="8"/>
      <c r="B64118" s="8"/>
      <c r="C64118" s="99"/>
      <c r="D64118" s="8"/>
      <c r="E64118" s="8"/>
      <c r="F64118" s="8"/>
      <c r="G64118" s="8"/>
      <c r="H64118" s="8"/>
      <c r="I64118" s="102"/>
      <c r="J64118" s="8"/>
      <c r="K64118" s="8"/>
      <c r="L64118" s="8"/>
      <c r="M64118" s="8"/>
      <c r="N64118" s="8"/>
      <c r="O64118" s="8"/>
      <c r="P64118" s="8"/>
      <c r="Q64118" s="8"/>
      <c r="R64118" s="103"/>
      <c r="S64118" s="8"/>
      <c r="T64118" s="8"/>
      <c r="U64118" s="8"/>
      <c r="V64118" s="8"/>
      <c r="W64118" s="8"/>
      <c r="X64118" s="8"/>
      <c r="Y64118" s="8"/>
      <c r="Z64118" s="8"/>
      <c r="AA64118" s="8"/>
    </row>
    <row r="64119" spans="1:27" x14ac:dyDescent="0.25">
      <c r="A64119" s="8"/>
      <c r="B64119" s="8"/>
      <c r="C64119" s="99"/>
      <c r="D64119" s="8"/>
      <c r="E64119" s="8"/>
      <c r="F64119" s="8"/>
      <c r="G64119" s="8"/>
      <c r="H64119" s="8"/>
      <c r="I64119" s="102"/>
      <c r="J64119" s="8"/>
      <c r="K64119" s="8"/>
      <c r="L64119" s="8"/>
      <c r="M64119" s="8"/>
      <c r="N64119" s="8"/>
      <c r="O64119" s="8"/>
      <c r="P64119" s="8"/>
      <c r="Q64119" s="8"/>
      <c r="R64119" s="103"/>
      <c r="S64119" s="8"/>
      <c r="T64119" s="8"/>
      <c r="U64119" s="8"/>
      <c r="V64119" s="8"/>
      <c r="W64119" s="8"/>
      <c r="X64119" s="8"/>
      <c r="Y64119" s="8"/>
      <c r="Z64119" s="8"/>
      <c r="AA64119" s="8"/>
    </row>
    <row r="64120" spans="1:27" x14ac:dyDescent="0.25">
      <c r="A64120" s="8"/>
      <c r="B64120" s="8"/>
      <c r="C64120" s="99"/>
      <c r="D64120" s="8"/>
      <c r="E64120" s="8"/>
      <c r="F64120" s="8"/>
      <c r="G64120" s="8"/>
      <c r="H64120" s="8"/>
      <c r="I64120" s="102"/>
      <c r="J64120" s="8"/>
      <c r="K64120" s="8"/>
      <c r="L64120" s="8"/>
      <c r="M64120" s="8"/>
      <c r="N64120" s="8"/>
      <c r="O64120" s="8"/>
      <c r="P64120" s="8"/>
      <c r="Q64120" s="8"/>
      <c r="R64120" s="103"/>
      <c r="S64120" s="8"/>
      <c r="T64120" s="8"/>
      <c r="U64120" s="8"/>
      <c r="V64120" s="8"/>
      <c r="W64120" s="8"/>
      <c r="X64120" s="8"/>
      <c r="Y64120" s="8"/>
      <c r="Z64120" s="8"/>
      <c r="AA64120" s="8"/>
    </row>
    <row r="64121" spans="1:27" x14ac:dyDescent="0.25">
      <c r="A64121" s="8"/>
      <c r="B64121" s="8"/>
      <c r="C64121" s="99"/>
      <c r="D64121" s="8"/>
      <c r="E64121" s="8"/>
      <c r="F64121" s="8"/>
      <c r="G64121" s="8"/>
      <c r="H64121" s="8"/>
      <c r="I64121" s="102"/>
      <c r="J64121" s="8"/>
      <c r="K64121" s="8"/>
      <c r="L64121" s="8"/>
      <c r="M64121" s="8"/>
      <c r="N64121" s="8"/>
      <c r="O64121" s="8"/>
      <c r="P64121" s="8"/>
      <c r="Q64121" s="8"/>
      <c r="R64121" s="103"/>
      <c r="S64121" s="8"/>
      <c r="T64121" s="8"/>
      <c r="U64121" s="8"/>
      <c r="V64121" s="8"/>
      <c r="W64121" s="8"/>
      <c r="X64121" s="8"/>
      <c r="Y64121" s="8"/>
      <c r="Z64121" s="8"/>
      <c r="AA64121" s="8"/>
    </row>
    <row r="64122" spans="1:27" x14ac:dyDescent="0.25">
      <c r="A64122" s="8"/>
      <c r="B64122" s="8"/>
      <c r="C64122" s="99"/>
      <c r="D64122" s="8"/>
      <c r="E64122" s="8"/>
      <c r="F64122" s="8"/>
      <c r="G64122" s="8"/>
      <c r="H64122" s="8"/>
      <c r="I64122" s="102"/>
      <c r="J64122" s="8"/>
      <c r="K64122" s="8"/>
      <c r="L64122" s="8"/>
      <c r="M64122" s="8"/>
      <c r="N64122" s="8"/>
      <c r="O64122" s="8"/>
      <c r="P64122" s="8"/>
      <c r="Q64122" s="8"/>
      <c r="R64122" s="103"/>
      <c r="S64122" s="8"/>
      <c r="T64122" s="8"/>
      <c r="U64122" s="8"/>
      <c r="V64122" s="8"/>
      <c r="W64122" s="8"/>
      <c r="X64122" s="8"/>
      <c r="Y64122" s="8"/>
      <c r="Z64122" s="8"/>
      <c r="AA64122" s="8"/>
    </row>
    <row r="64123" spans="1:27" x14ac:dyDescent="0.25">
      <c r="A64123" s="8"/>
      <c r="B64123" s="8"/>
      <c r="C64123" s="99"/>
      <c r="D64123" s="8"/>
      <c r="E64123" s="8"/>
      <c r="F64123" s="8"/>
      <c r="G64123" s="8"/>
      <c r="H64123" s="8"/>
      <c r="I64123" s="102"/>
      <c r="J64123" s="8"/>
      <c r="K64123" s="8"/>
      <c r="L64123" s="8"/>
      <c r="M64123" s="8"/>
      <c r="N64123" s="8"/>
      <c r="O64123" s="8"/>
      <c r="P64123" s="8"/>
      <c r="Q64123" s="8"/>
      <c r="R64123" s="103"/>
      <c r="S64123" s="8"/>
      <c r="T64123" s="8"/>
      <c r="U64123" s="8"/>
      <c r="V64123" s="8"/>
      <c r="W64123" s="8"/>
      <c r="X64123" s="8"/>
      <c r="Y64123" s="8"/>
      <c r="Z64123" s="8"/>
      <c r="AA64123" s="8"/>
    </row>
    <row r="64124" spans="1:27" x14ac:dyDescent="0.25">
      <c r="A64124" s="8"/>
      <c r="B64124" s="8"/>
      <c r="C64124" s="99"/>
      <c r="D64124" s="8"/>
      <c r="E64124" s="8"/>
      <c r="F64124" s="8"/>
      <c r="G64124" s="8"/>
      <c r="H64124" s="8"/>
      <c r="I64124" s="102"/>
      <c r="J64124" s="8"/>
      <c r="K64124" s="8"/>
      <c r="L64124" s="8"/>
      <c r="M64124" s="8"/>
      <c r="N64124" s="8"/>
      <c r="O64124" s="8"/>
      <c r="P64124" s="8"/>
      <c r="Q64124" s="8"/>
      <c r="R64124" s="103"/>
      <c r="S64124" s="8"/>
      <c r="T64124" s="8"/>
      <c r="U64124" s="8"/>
      <c r="V64124" s="8"/>
      <c r="W64124" s="8"/>
      <c r="X64124" s="8"/>
      <c r="Y64124" s="8"/>
      <c r="Z64124" s="8"/>
      <c r="AA64124" s="8"/>
    </row>
    <row r="64125" spans="1:27" x14ac:dyDescent="0.25">
      <c r="A64125" s="8"/>
      <c r="B64125" s="8"/>
      <c r="C64125" s="99"/>
      <c r="D64125" s="8"/>
      <c r="E64125" s="8"/>
      <c r="F64125" s="8"/>
      <c r="G64125" s="8"/>
      <c r="H64125" s="8"/>
      <c r="I64125" s="102"/>
      <c r="J64125" s="8"/>
      <c r="K64125" s="8"/>
      <c r="L64125" s="8"/>
      <c r="M64125" s="8"/>
      <c r="N64125" s="8"/>
      <c r="O64125" s="8"/>
      <c r="P64125" s="8"/>
      <c r="Q64125" s="8"/>
      <c r="R64125" s="103"/>
      <c r="S64125" s="8"/>
      <c r="T64125" s="8"/>
      <c r="U64125" s="8"/>
      <c r="V64125" s="8"/>
      <c r="W64125" s="8"/>
      <c r="X64125" s="8"/>
      <c r="Y64125" s="8"/>
      <c r="Z64125" s="8"/>
      <c r="AA64125" s="8"/>
    </row>
    <row r="64126" spans="1:27" x14ac:dyDescent="0.25">
      <c r="A64126" s="8"/>
      <c r="B64126" s="8"/>
      <c r="C64126" s="99"/>
      <c r="D64126" s="8"/>
      <c r="E64126" s="8"/>
      <c r="F64126" s="8"/>
      <c r="G64126" s="8"/>
      <c r="H64126" s="8"/>
      <c r="I64126" s="102"/>
      <c r="J64126" s="8"/>
      <c r="K64126" s="8"/>
      <c r="L64126" s="8"/>
      <c r="M64126" s="8"/>
      <c r="N64126" s="8"/>
      <c r="O64126" s="8"/>
      <c r="P64126" s="8"/>
      <c r="Q64126" s="8"/>
      <c r="R64126" s="103"/>
      <c r="S64126" s="8"/>
      <c r="T64126" s="8"/>
      <c r="U64126" s="8"/>
      <c r="V64126" s="8"/>
      <c r="W64126" s="8"/>
      <c r="X64126" s="8"/>
      <c r="Y64126" s="8"/>
      <c r="Z64126" s="8"/>
      <c r="AA64126" s="8"/>
    </row>
    <row r="64127" spans="1:27" x14ac:dyDescent="0.25">
      <c r="A64127" s="8"/>
      <c r="B64127" s="8"/>
      <c r="C64127" s="99"/>
      <c r="D64127" s="8"/>
      <c r="E64127" s="8"/>
      <c r="F64127" s="8"/>
      <c r="G64127" s="8"/>
      <c r="H64127" s="8"/>
      <c r="I64127" s="102"/>
      <c r="J64127" s="8"/>
      <c r="K64127" s="8"/>
      <c r="L64127" s="8"/>
      <c r="M64127" s="8"/>
      <c r="N64127" s="8"/>
      <c r="O64127" s="8"/>
      <c r="P64127" s="8"/>
      <c r="Q64127" s="8"/>
      <c r="R64127" s="103"/>
      <c r="S64127" s="8"/>
      <c r="T64127" s="8"/>
      <c r="U64127" s="8"/>
      <c r="V64127" s="8"/>
      <c r="W64127" s="8"/>
      <c r="X64127" s="8"/>
      <c r="Y64127" s="8"/>
      <c r="Z64127" s="8"/>
      <c r="AA64127" s="8"/>
    </row>
    <row r="64128" spans="1:27" x14ac:dyDescent="0.25">
      <c r="A64128" s="8"/>
      <c r="B64128" s="8"/>
      <c r="C64128" s="99"/>
      <c r="D64128" s="8"/>
      <c r="E64128" s="8"/>
      <c r="F64128" s="8"/>
      <c r="G64128" s="8"/>
      <c r="H64128" s="8"/>
      <c r="I64128" s="102"/>
      <c r="J64128" s="8"/>
      <c r="K64128" s="8"/>
      <c r="L64128" s="8"/>
      <c r="M64128" s="8"/>
      <c r="N64128" s="8"/>
      <c r="O64128" s="8"/>
      <c r="P64128" s="8"/>
      <c r="Q64128" s="8"/>
      <c r="R64128" s="103"/>
      <c r="S64128" s="8"/>
      <c r="T64128" s="8"/>
      <c r="U64128" s="8"/>
      <c r="V64128" s="8"/>
      <c r="W64128" s="8"/>
      <c r="X64128" s="8"/>
      <c r="Y64128" s="8"/>
      <c r="Z64128" s="8"/>
      <c r="AA64128" s="8"/>
    </row>
    <row r="64129" spans="1:27" x14ac:dyDescent="0.25">
      <c r="A64129" s="8"/>
      <c r="B64129" s="8"/>
      <c r="C64129" s="99"/>
      <c r="D64129" s="8"/>
      <c r="E64129" s="8"/>
      <c r="F64129" s="8"/>
      <c r="G64129" s="8"/>
      <c r="H64129" s="8"/>
      <c r="I64129" s="102"/>
      <c r="J64129" s="8"/>
      <c r="K64129" s="8"/>
      <c r="L64129" s="8"/>
      <c r="M64129" s="8"/>
      <c r="N64129" s="8"/>
      <c r="O64129" s="8"/>
      <c r="P64129" s="8"/>
      <c r="Q64129" s="8"/>
      <c r="R64129" s="103"/>
      <c r="S64129" s="8"/>
      <c r="T64129" s="8"/>
      <c r="U64129" s="8"/>
      <c r="V64129" s="8"/>
      <c r="W64129" s="8"/>
      <c r="X64129" s="8"/>
      <c r="Y64129" s="8"/>
      <c r="Z64129" s="8"/>
      <c r="AA64129" s="8"/>
    </row>
    <row r="64130" spans="1:27" x14ac:dyDescent="0.25">
      <c r="A64130" s="8"/>
      <c r="B64130" s="8"/>
      <c r="C64130" s="99"/>
      <c r="D64130" s="8"/>
      <c r="E64130" s="8"/>
      <c r="F64130" s="8"/>
      <c r="G64130" s="8"/>
      <c r="H64130" s="8"/>
      <c r="I64130" s="102"/>
      <c r="J64130" s="8"/>
      <c r="K64130" s="8"/>
      <c r="L64130" s="8"/>
      <c r="M64130" s="8"/>
      <c r="N64130" s="8"/>
      <c r="O64130" s="8"/>
      <c r="P64130" s="8"/>
      <c r="Q64130" s="8"/>
      <c r="R64130" s="103"/>
      <c r="S64130" s="8"/>
      <c r="T64130" s="8"/>
      <c r="U64130" s="8"/>
      <c r="V64130" s="8"/>
      <c r="W64130" s="8"/>
      <c r="X64130" s="8"/>
      <c r="Y64130" s="8"/>
      <c r="Z64130" s="8"/>
      <c r="AA64130" s="8"/>
    </row>
    <row r="64131" spans="1:27" x14ac:dyDescent="0.25">
      <c r="A64131" s="8"/>
      <c r="B64131" s="8"/>
      <c r="C64131" s="99"/>
      <c r="D64131" s="8"/>
      <c r="E64131" s="8"/>
      <c r="F64131" s="8"/>
      <c r="G64131" s="8"/>
      <c r="H64131" s="8"/>
      <c r="I64131" s="102"/>
      <c r="J64131" s="8"/>
      <c r="K64131" s="8"/>
      <c r="L64131" s="8"/>
      <c r="M64131" s="8"/>
      <c r="N64131" s="8"/>
      <c r="O64131" s="8"/>
      <c r="P64131" s="8"/>
      <c r="Q64131" s="8"/>
      <c r="R64131" s="103"/>
      <c r="S64131" s="8"/>
      <c r="T64131" s="8"/>
      <c r="U64131" s="8"/>
      <c r="V64131" s="8"/>
      <c r="W64131" s="8"/>
      <c r="X64131" s="8"/>
      <c r="Y64131" s="8"/>
      <c r="Z64131" s="8"/>
      <c r="AA64131" s="8"/>
    </row>
    <row r="64132" spans="1:27" x14ac:dyDescent="0.25">
      <c r="A64132" s="8"/>
      <c r="B64132" s="8"/>
      <c r="C64132" s="99"/>
      <c r="D64132" s="8"/>
      <c r="E64132" s="8"/>
      <c r="F64132" s="8"/>
      <c r="G64132" s="8"/>
      <c r="H64132" s="8"/>
      <c r="I64132" s="102"/>
      <c r="J64132" s="8"/>
      <c r="K64132" s="8"/>
      <c r="L64132" s="8"/>
      <c r="M64132" s="8"/>
      <c r="N64132" s="8"/>
      <c r="O64132" s="8"/>
      <c r="P64132" s="8"/>
      <c r="Q64132" s="8"/>
      <c r="R64132" s="103"/>
      <c r="S64132" s="8"/>
      <c r="T64132" s="8"/>
      <c r="U64132" s="8"/>
      <c r="V64132" s="8"/>
      <c r="W64132" s="8"/>
      <c r="X64132" s="8"/>
      <c r="Y64132" s="8"/>
      <c r="Z64132" s="8"/>
      <c r="AA64132" s="8"/>
    </row>
    <row r="64133" spans="1:27" x14ac:dyDescent="0.25">
      <c r="A64133" s="8"/>
      <c r="B64133" s="8"/>
      <c r="C64133" s="99"/>
      <c r="D64133" s="8"/>
      <c r="E64133" s="8"/>
      <c r="F64133" s="8"/>
      <c r="G64133" s="8"/>
      <c r="H64133" s="8"/>
      <c r="I64133" s="102"/>
      <c r="J64133" s="8"/>
      <c r="K64133" s="8"/>
      <c r="L64133" s="8"/>
      <c r="M64133" s="8"/>
      <c r="N64133" s="8"/>
      <c r="O64133" s="8"/>
      <c r="P64133" s="8"/>
      <c r="Q64133" s="8"/>
      <c r="R64133" s="103"/>
      <c r="S64133" s="8"/>
      <c r="T64133" s="8"/>
      <c r="U64133" s="8"/>
      <c r="V64133" s="8"/>
      <c r="W64133" s="8"/>
      <c r="X64133" s="8"/>
      <c r="Y64133" s="8"/>
      <c r="Z64133" s="8"/>
      <c r="AA64133" s="8"/>
    </row>
    <row r="64134" spans="1:27" x14ac:dyDescent="0.25">
      <c r="A64134" s="8"/>
      <c r="B64134" s="8"/>
      <c r="C64134" s="99"/>
      <c r="D64134" s="8"/>
      <c r="E64134" s="8"/>
      <c r="F64134" s="8"/>
      <c r="G64134" s="8"/>
      <c r="H64134" s="8"/>
      <c r="I64134" s="102"/>
      <c r="J64134" s="8"/>
      <c r="K64134" s="8"/>
      <c r="L64134" s="8"/>
      <c r="M64134" s="8"/>
      <c r="N64134" s="8"/>
      <c r="O64134" s="8"/>
      <c r="P64134" s="8"/>
      <c r="Q64134" s="8"/>
      <c r="R64134" s="103"/>
      <c r="S64134" s="8"/>
      <c r="T64134" s="8"/>
      <c r="U64134" s="8"/>
      <c r="V64134" s="8"/>
      <c r="W64134" s="8"/>
      <c r="X64134" s="8"/>
      <c r="Y64134" s="8"/>
      <c r="Z64134" s="8"/>
      <c r="AA64134" s="8"/>
    </row>
    <row r="64135" spans="1:27" x14ac:dyDescent="0.25">
      <c r="A64135" s="8"/>
      <c r="B64135" s="8"/>
      <c r="C64135" s="99"/>
      <c r="D64135" s="8"/>
      <c r="E64135" s="8"/>
      <c r="F64135" s="8"/>
      <c r="G64135" s="8"/>
      <c r="H64135" s="8"/>
      <c r="I64135" s="102"/>
      <c r="J64135" s="8"/>
      <c r="K64135" s="8"/>
      <c r="L64135" s="8"/>
      <c r="M64135" s="8"/>
      <c r="N64135" s="8"/>
      <c r="O64135" s="8"/>
      <c r="P64135" s="8"/>
      <c r="Q64135" s="8"/>
      <c r="R64135" s="103"/>
      <c r="S64135" s="8"/>
      <c r="T64135" s="8"/>
      <c r="U64135" s="8"/>
      <c r="V64135" s="8"/>
      <c r="W64135" s="8"/>
      <c r="X64135" s="8"/>
      <c r="Y64135" s="8"/>
      <c r="Z64135" s="8"/>
      <c r="AA64135" s="8"/>
    </row>
    <row r="64136" spans="1:27" x14ac:dyDescent="0.25">
      <c r="A64136" s="8"/>
      <c r="B64136" s="8"/>
      <c r="C64136" s="99"/>
      <c r="D64136" s="8"/>
      <c r="E64136" s="8"/>
      <c r="F64136" s="8"/>
      <c r="G64136" s="8"/>
      <c r="H64136" s="8"/>
      <c r="I64136" s="102"/>
      <c r="J64136" s="8"/>
      <c r="K64136" s="8"/>
      <c r="L64136" s="8"/>
      <c r="M64136" s="8"/>
      <c r="N64136" s="8"/>
      <c r="O64136" s="8"/>
      <c r="P64136" s="8"/>
      <c r="Q64136" s="8"/>
      <c r="R64136" s="103"/>
      <c r="S64136" s="8"/>
      <c r="T64136" s="8"/>
      <c r="U64136" s="8"/>
      <c r="V64136" s="8"/>
      <c r="W64136" s="8"/>
      <c r="X64136" s="8"/>
      <c r="Y64136" s="8"/>
      <c r="Z64136" s="8"/>
      <c r="AA64136" s="8"/>
    </row>
    <row r="64137" spans="1:27" x14ac:dyDescent="0.25">
      <c r="A64137" s="8"/>
      <c r="B64137" s="8"/>
      <c r="C64137" s="99"/>
      <c r="D64137" s="8"/>
      <c r="E64137" s="8"/>
      <c r="F64137" s="8"/>
      <c r="G64137" s="8"/>
      <c r="H64137" s="8"/>
      <c r="I64137" s="102"/>
      <c r="J64137" s="8"/>
      <c r="K64137" s="8"/>
      <c r="L64137" s="8"/>
      <c r="M64137" s="8"/>
      <c r="N64137" s="8"/>
      <c r="O64137" s="8"/>
      <c r="P64137" s="8"/>
      <c r="Q64137" s="8"/>
      <c r="R64137" s="103"/>
      <c r="S64137" s="8"/>
      <c r="T64137" s="8"/>
      <c r="U64137" s="8"/>
      <c r="V64137" s="8"/>
      <c r="W64137" s="8"/>
      <c r="X64137" s="8"/>
      <c r="Y64137" s="8"/>
      <c r="Z64137" s="8"/>
      <c r="AA64137" s="8"/>
    </row>
    <row r="64138" spans="1:27" x14ac:dyDescent="0.25">
      <c r="A64138" s="8"/>
      <c r="B64138" s="8"/>
      <c r="C64138" s="99"/>
      <c r="D64138" s="8"/>
      <c r="E64138" s="8"/>
      <c r="F64138" s="8"/>
      <c r="G64138" s="8"/>
      <c r="H64138" s="8"/>
      <c r="I64138" s="102"/>
      <c r="J64138" s="8"/>
      <c r="K64138" s="8"/>
      <c r="L64138" s="8"/>
      <c r="M64138" s="8"/>
      <c r="N64138" s="8"/>
      <c r="O64138" s="8"/>
      <c r="P64138" s="8"/>
      <c r="Q64138" s="8"/>
      <c r="R64138" s="103"/>
      <c r="S64138" s="8"/>
      <c r="T64138" s="8"/>
      <c r="U64138" s="8"/>
      <c r="V64138" s="8"/>
      <c r="W64138" s="8"/>
      <c r="X64138" s="8"/>
      <c r="Y64138" s="8"/>
      <c r="Z64138" s="8"/>
      <c r="AA64138" s="8"/>
    </row>
    <row r="64139" spans="1:27" x14ac:dyDescent="0.25">
      <c r="A64139" s="8"/>
      <c r="B64139" s="8"/>
      <c r="C64139" s="99"/>
      <c r="D64139" s="8"/>
      <c r="E64139" s="8"/>
      <c r="F64139" s="8"/>
      <c r="G64139" s="8"/>
      <c r="H64139" s="8"/>
      <c r="I64139" s="102"/>
      <c r="J64139" s="8"/>
      <c r="K64139" s="8"/>
      <c r="L64139" s="8"/>
      <c r="M64139" s="8"/>
      <c r="N64139" s="8"/>
      <c r="O64139" s="8"/>
      <c r="P64139" s="8"/>
      <c r="Q64139" s="8"/>
      <c r="R64139" s="103"/>
      <c r="S64139" s="8"/>
      <c r="T64139" s="8"/>
      <c r="U64139" s="8"/>
      <c r="V64139" s="8"/>
      <c r="W64139" s="8"/>
      <c r="X64139" s="8"/>
      <c r="Y64139" s="8"/>
      <c r="Z64139" s="8"/>
      <c r="AA64139" s="8"/>
    </row>
    <row r="64140" spans="1:27" x14ac:dyDescent="0.25">
      <c r="A64140" s="8"/>
      <c r="B64140" s="8"/>
      <c r="C64140" s="99"/>
      <c r="D64140" s="8"/>
      <c r="E64140" s="8"/>
      <c r="F64140" s="8"/>
      <c r="G64140" s="8"/>
      <c r="H64140" s="8"/>
      <c r="I64140" s="102"/>
      <c r="J64140" s="8"/>
      <c r="K64140" s="8"/>
      <c r="L64140" s="8"/>
      <c r="M64140" s="8"/>
      <c r="N64140" s="8"/>
      <c r="O64140" s="8"/>
      <c r="P64140" s="8"/>
      <c r="Q64140" s="8"/>
      <c r="R64140" s="103"/>
      <c r="S64140" s="8"/>
      <c r="T64140" s="8"/>
      <c r="U64140" s="8"/>
      <c r="V64140" s="8"/>
      <c r="W64140" s="8"/>
      <c r="X64140" s="8"/>
      <c r="Y64140" s="8"/>
      <c r="Z64140" s="8"/>
      <c r="AA64140" s="8"/>
    </row>
    <row r="64141" spans="1:27" x14ac:dyDescent="0.25">
      <c r="A64141" s="8"/>
      <c r="B64141" s="8"/>
      <c r="C64141" s="99"/>
      <c r="D64141" s="8"/>
      <c r="E64141" s="8"/>
      <c r="F64141" s="8"/>
      <c r="G64141" s="8"/>
      <c r="H64141" s="8"/>
      <c r="I64141" s="102"/>
      <c r="J64141" s="8"/>
      <c r="K64141" s="8"/>
      <c r="L64141" s="8"/>
      <c r="M64141" s="8"/>
      <c r="N64141" s="8"/>
      <c r="O64141" s="8"/>
      <c r="P64141" s="8"/>
      <c r="Q64141" s="8"/>
      <c r="R64141" s="103"/>
      <c r="S64141" s="8"/>
      <c r="T64141" s="8"/>
      <c r="U64141" s="8"/>
      <c r="V64141" s="8"/>
      <c r="W64141" s="8"/>
      <c r="X64141" s="8"/>
      <c r="Y64141" s="8"/>
      <c r="Z64141" s="8"/>
      <c r="AA64141" s="8"/>
    </row>
    <row r="64142" spans="1:27" x14ac:dyDescent="0.25">
      <c r="A64142" s="8"/>
      <c r="B64142" s="8"/>
      <c r="C64142" s="99"/>
      <c r="D64142" s="8"/>
      <c r="E64142" s="8"/>
      <c r="F64142" s="8"/>
      <c r="G64142" s="8"/>
      <c r="H64142" s="8"/>
      <c r="I64142" s="102"/>
      <c r="J64142" s="8"/>
      <c r="K64142" s="8"/>
      <c r="L64142" s="8"/>
      <c r="M64142" s="8"/>
      <c r="N64142" s="8"/>
      <c r="O64142" s="8"/>
      <c r="P64142" s="8"/>
      <c r="Q64142" s="8"/>
      <c r="R64142" s="103"/>
      <c r="S64142" s="8"/>
      <c r="T64142" s="8"/>
      <c r="U64142" s="8"/>
      <c r="V64142" s="8"/>
      <c r="W64142" s="8"/>
      <c r="X64142" s="8"/>
      <c r="Y64142" s="8"/>
      <c r="Z64142" s="8"/>
      <c r="AA64142" s="8"/>
    </row>
    <row r="64143" spans="1:27" x14ac:dyDescent="0.25">
      <c r="A64143" s="8"/>
      <c r="B64143" s="8"/>
      <c r="C64143" s="99"/>
      <c r="D64143" s="8"/>
      <c r="E64143" s="8"/>
      <c r="F64143" s="8"/>
      <c r="G64143" s="8"/>
      <c r="H64143" s="8"/>
      <c r="I64143" s="102"/>
      <c r="J64143" s="8"/>
      <c r="K64143" s="8"/>
      <c r="L64143" s="8"/>
      <c r="M64143" s="8"/>
      <c r="N64143" s="8"/>
      <c r="O64143" s="8"/>
      <c r="P64143" s="8"/>
      <c r="Q64143" s="8"/>
      <c r="R64143" s="103"/>
      <c r="S64143" s="8"/>
      <c r="T64143" s="8"/>
      <c r="U64143" s="8"/>
      <c r="V64143" s="8"/>
      <c r="W64143" s="8"/>
      <c r="X64143" s="8"/>
      <c r="Y64143" s="8"/>
      <c r="Z64143" s="8"/>
      <c r="AA64143" s="8"/>
    </row>
    <row r="64144" spans="1:27" x14ac:dyDescent="0.25">
      <c r="A64144" s="8"/>
      <c r="B64144" s="8"/>
      <c r="C64144" s="99"/>
      <c r="D64144" s="8"/>
      <c r="E64144" s="8"/>
      <c r="F64144" s="8"/>
      <c r="G64144" s="8"/>
      <c r="H64144" s="8"/>
      <c r="I64144" s="102"/>
      <c r="J64144" s="8"/>
      <c r="K64144" s="8"/>
      <c r="L64144" s="8"/>
      <c r="M64144" s="8"/>
      <c r="N64144" s="8"/>
      <c r="O64144" s="8"/>
      <c r="P64144" s="8"/>
      <c r="Q64144" s="8"/>
      <c r="R64144" s="103"/>
      <c r="S64144" s="8"/>
      <c r="T64144" s="8"/>
      <c r="U64144" s="8"/>
      <c r="V64144" s="8"/>
      <c r="W64144" s="8"/>
      <c r="X64144" s="8"/>
      <c r="Y64144" s="8"/>
      <c r="Z64144" s="8"/>
      <c r="AA64144" s="8"/>
    </row>
    <row r="64145" spans="1:27" x14ac:dyDescent="0.25">
      <c r="A64145" s="8"/>
      <c r="B64145" s="8"/>
      <c r="C64145" s="99"/>
      <c r="D64145" s="8"/>
      <c r="E64145" s="8"/>
      <c r="F64145" s="8"/>
      <c r="G64145" s="8"/>
      <c r="H64145" s="8"/>
      <c r="I64145" s="102"/>
      <c r="J64145" s="8"/>
      <c r="K64145" s="8"/>
      <c r="L64145" s="8"/>
      <c r="M64145" s="8"/>
      <c r="N64145" s="8"/>
      <c r="O64145" s="8"/>
      <c r="P64145" s="8"/>
      <c r="Q64145" s="8"/>
      <c r="R64145" s="103"/>
      <c r="S64145" s="8"/>
      <c r="T64145" s="8"/>
      <c r="U64145" s="8"/>
      <c r="V64145" s="8"/>
      <c r="W64145" s="8"/>
      <c r="X64145" s="8"/>
      <c r="Y64145" s="8"/>
      <c r="Z64145" s="8"/>
      <c r="AA64145" s="8"/>
    </row>
    <row r="64146" spans="1:27" x14ac:dyDescent="0.25">
      <c r="A64146" s="8"/>
      <c r="B64146" s="8"/>
      <c r="C64146" s="99"/>
      <c r="D64146" s="8"/>
      <c r="E64146" s="8"/>
      <c r="F64146" s="8"/>
      <c r="G64146" s="8"/>
      <c r="H64146" s="8"/>
      <c r="I64146" s="102"/>
      <c r="J64146" s="8"/>
      <c r="K64146" s="8"/>
      <c r="L64146" s="8"/>
      <c r="M64146" s="8"/>
      <c r="N64146" s="8"/>
      <c r="O64146" s="8"/>
      <c r="P64146" s="8"/>
      <c r="Q64146" s="8"/>
      <c r="R64146" s="103"/>
      <c r="S64146" s="8"/>
      <c r="T64146" s="8"/>
      <c r="U64146" s="8"/>
      <c r="V64146" s="8"/>
      <c r="W64146" s="8"/>
      <c r="X64146" s="8"/>
      <c r="Y64146" s="8"/>
      <c r="Z64146" s="8"/>
      <c r="AA64146" s="8"/>
    </row>
    <row r="64147" spans="1:27" x14ac:dyDescent="0.25">
      <c r="A64147" s="8"/>
      <c r="B64147" s="8"/>
      <c r="C64147" s="99"/>
      <c r="D64147" s="8"/>
      <c r="E64147" s="8"/>
      <c r="F64147" s="8"/>
      <c r="G64147" s="8"/>
      <c r="H64147" s="8"/>
      <c r="I64147" s="102"/>
      <c r="J64147" s="8"/>
      <c r="K64147" s="8"/>
      <c r="L64147" s="8"/>
      <c r="M64147" s="8"/>
      <c r="N64147" s="8"/>
      <c r="O64147" s="8"/>
      <c r="P64147" s="8"/>
      <c r="Q64147" s="8"/>
      <c r="R64147" s="103"/>
      <c r="S64147" s="8"/>
      <c r="T64147" s="8"/>
      <c r="U64147" s="8"/>
      <c r="V64147" s="8"/>
      <c r="W64147" s="8"/>
      <c r="X64147" s="8"/>
      <c r="Y64147" s="8"/>
      <c r="Z64147" s="8"/>
      <c r="AA64147" s="8"/>
    </row>
    <row r="64148" spans="1:27" x14ac:dyDescent="0.25">
      <c r="A64148" s="8"/>
      <c r="B64148" s="8"/>
      <c r="C64148" s="99"/>
      <c r="D64148" s="8"/>
      <c r="E64148" s="8"/>
      <c r="F64148" s="8"/>
      <c r="G64148" s="8"/>
      <c r="H64148" s="8"/>
      <c r="I64148" s="102"/>
      <c r="J64148" s="8"/>
      <c r="K64148" s="8"/>
      <c r="L64148" s="8"/>
      <c r="M64148" s="8"/>
      <c r="N64148" s="8"/>
      <c r="O64148" s="8"/>
      <c r="P64148" s="8"/>
      <c r="Q64148" s="8"/>
      <c r="R64148" s="103"/>
      <c r="S64148" s="8"/>
      <c r="T64148" s="8"/>
      <c r="U64148" s="8"/>
      <c r="V64148" s="8"/>
      <c r="W64148" s="8"/>
      <c r="X64148" s="8"/>
      <c r="Y64148" s="8"/>
      <c r="Z64148" s="8"/>
      <c r="AA64148" s="8"/>
    </row>
    <row r="64149" spans="1:27" x14ac:dyDescent="0.25">
      <c r="A64149" s="8"/>
      <c r="B64149" s="8"/>
      <c r="C64149" s="99"/>
      <c r="D64149" s="8"/>
      <c r="E64149" s="8"/>
      <c r="F64149" s="8"/>
      <c r="G64149" s="8"/>
      <c r="H64149" s="8"/>
      <c r="I64149" s="102"/>
      <c r="J64149" s="8"/>
      <c r="K64149" s="8"/>
      <c r="L64149" s="8"/>
      <c r="M64149" s="8"/>
      <c r="N64149" s="8"/>
      <c r="O64149" s="8"/>
      <c r="P64149" s="8"/>
      <c r="Q64149" s="8"/>
      <c r="R64149" s="103"/>
      <c r="S64149" s="8"/>
      <c r="T64149" s="8"/>
      <c r="U64149" s="8"/>
      <c r="V64149" s="8"/>
      <c r="W64149" s="8"/>
      <c r="X64149" s="8"/>
      <c r="Y64149" s="8"/>
      <c r="Z64149" s="8"/>
      <c r="AA64149" s="8"/>
    </row>
    <row r="64150" spans="1:27" x14ac:dyDescent="0.25">
      <c r="A64150" s="8"/>
      <c r="B64150" s="8"/>
      <c r="C64150" s="99"/>
      <c r="D64150" s="8"/>
      <c r="E64150" s="8"/>
      <c r="F64150" s="8"/>
      <c r="G64150" s="8"/>
      <c r="H64150" s="8"/>
      <c r="I64150" s="102"/>
      <c r="J64150" s="8"/>
      <c r="K64150" s="8"/>
      <c r="L64150" s="8"/>
      <c r="M64150" s="8"/>
      <c r="N64150" s="8"/>
      <c r="O64150" s="8"/>
      <c r="P64150" s="8"/>
      <c r="Q64150" s="8"/>
      <c r="R64150" s="103"/>
      <c r="S64150" s="8"/>
      <c r="T64150" s="8"/>
      <c r="U64150" s="8"/>
      <c r="V64150" s="8"/>
      <c r="W64150" s="8"/>
      <c r="X64150" s="8"/>
      <c r="Y64150" s="8"/>
      <c r="Z64150" s="8"/>
      <c r="AA64150" s="8"/>
    </row>
    <row r="64151" spans="1:27" x14ac:dyDescent="0.25">
      <c r="A64151" s="8"/>
      <c r="B64151" s="8"/>
      <c r="C64151" s="99"/>
      <c r="D64151" s="8"/>
      <c r="E64151" s="8"/>
      <c r="F64151" s="8"/>
      <c r="G64151" s="8"/>
      <c r="H64151" s="8"/>
      <c r="I64151" s="102"/>
      <c r="J64151" s="8"/>
      <c r="K64151" s="8"/>
      <c r="L64151" s="8"/>
      <c r="M64151" s="8"/>
      <c r="N64151" s="8"/>
      <c r="O64151" s="8"/>
      <c r="P64151" s="8"/>
      <c r="Q64151" s="8"/>
      <c r="R64151" s="103"/>
      <c r="S64151" s="8"/>
      <c r="T64151" s="8"/>
      <c r="U64151" s="8"/>
      <c r="V64151" s="8"/>
      <c r="W64151" s="8"/>
      <c r="X64151" s="8"/>
      <c r="Y64151" s="8"/>
      <c r="Z64151" s="8"/>
      <c r="AA64151" s="8"/>
    </row>
    <row r="64152" spans="1:27" x14ac:dyDescent="0.25">
      <c r="A64152" s="8"/>
      <c r="B64152" s="8"/>
      <c r="C64152" s="99"/>
      <c r="D64152" s="8"/>
      <c r="E64152" s="8"/>
      <c r="F64152" s="8"/>
      <c r="G64152" s="8"/>
      <c r="H64152" s="8"/>
      <c r="I64152" s="102"/>
      <c r="J64152" s="8"/>
      <c r="K64152" s="8"/>
      <c r="L64152" s="8"/>
      <c r="M64152" s="8"/>
      <c r="N64152" s="8"/>
      <c r="O64152" s="8"/>
      <c r="P64152" s="8"/>
      <c r="Q64152" s="8"/>
      <c r="R64152" s="103"/>
      <c r="S64152" s="8"/>
      <c r="T64152" s="8"/>
      <c r="U64152" s="8"/>
      <c r="V64152" s="8"/>
      <c r="W64152" s="8"/>
      <c r="X64152" s="8"/>
      <c r="Y64152" s="8"/>
      <c r="Z64152" s="8"/>
      <c r="AA64152" s="8"/>
    </row>
    <row r="64153" spans="1:27" x14ac:dyDescent="0.25">
      <c r="A64153" s="8"/>
      <c r="B64153" s="8"/>
      <c r="C64153" s="99"/>
      <c r="D64153" s="8"/>
      <c r="E64153" s="8"/>
      <c r="F64153" s="8"/>
      <c r="G64153" s="8"/>
      <c r="H64153" s="8"/>
      <c r="I64153" s="102"/>
      <c r="J64153" s="8"/>
      <c r="K64153" s="8"/>
      <c r="L64153" s="8"/>
      <c r="M64153" s="8"/>
      <c r="N64153" s="8"/>
      <c r="O64153" s="8"/>
      <c r="P64153" s="8"/>
      <c r="Q64153" s="8"/>
      <c r="R64153" s="103"/>
      <c r="S64153" s="8"/>
      <c r="T64153" s="8"/>
      <c r="U64153" s="8"/>
      <c r="V64153" s="8"/>
      <c r="W64153" s="8"/>
      <c r="X64153" s="8"/>
      <c r="Y64153" s="8"/>
      <c r="Z64153" s="8"/>
      <c r="AA64153" s="8"/>
    </row>
    <row r="64154" spans="1:27" x14ac:dyDescent="0.25">
      <c r="A64154" s="8"/>
      <c r="B64154" s="8"/>
      <c r="C64154" s="99"/>
      <c r="D64154" s="8"/>
      <c r="E64154" s="8"/>
      <c r="F64154" s="8"/>
      <c r="G64154" s="8"/>
      <c r="H64154" s="8"/>
      <c r="I64154" s="102"/>
      <c r="J64154" s="8"/>
      <c r="K64154" s="8"/>
      <c r="L64154" s="8"/>
      <c r="M64154" s="8"/>
      <c r="N64154" s="8"/>
      <c r="O64154" s="8"/>
      <c r="P64154" s="8"/>
      <c r="Q64154" s="8"/>
      <c r="R64154" s="103"/>
      <c r="S64154" s="8"/>
      <c r="T64154" s="8"/>
      <c r="U64154" s="8"/>
      <c r="V64154" s="8"/>
      <c r="W64154" s="8"/>
      <c r="X64154" s="8"/>
      <c r="Y64154" s="8"/>
      <c r="Z64154" s="8"/>
      <c r="AA64154" s="8"/>
    </row>
    <row r="64155" spans="1:27" x14ac:dyDescent="0.25">
      <c r="A64155" s="8"/>
      <c r="B64155" s="8"/>
      <c r="C64155" s="99"/>
      <c r="D64155" s="8"/>
      <c r="E64155" s="8"/>
      <c r="F64155" s="8"/>
      <c r="G64155" s="8"/>
      <c r="H64155" s="8"/>
      <c r="I64155" s="102"/>
      <c r="J64155" s="8"/>
      <c r="K64155" s="8"/>
      <c r="L64155" s="8"/>
      <c r="M64155" s="8"/>
      <c r="N64155" s="8"/>
      <c r="O64155" s="8"/>
      <c r="P64155" s="8"/>
      <c r="Q64155" s="8"/>
      <c r="R64155" s="103"/>
      <c r="S64155" s="8"/>
      <c r="T64155" s="8"/>
      <c r="U64155" s="8"/>
      <c r="V64155" s="8"/>
      <c r="W64155" s="8"/>
      <c r="X64155" s="8"/>
      <c r="Y64155" s="8"/>
      <c r="Z64155" s="8"/>
      <c r="AA64155" s="8"/>
    </row>
    <row r="64156" spans="1:27" x14ac:dyDescent="0.25">
      <c r="A64156" s="8"/>
      <c r="B64156" s="8"/>
      <c r="C64156" s="99"/>
      <c r="D64156" s="8"/>
      <c r="E64156" s="8"/>
      <c r="F64156" s="8"/>
      <c r="G64156" s="8"/>
      <c r="H64156" s="8"/>
      <c r="I64156" s="102"/>
      <c r="J64156" s="8"/>
      <c r="K64156" s="8"/>
      <c r="L64156" s="8"/>
      <c r="M64156" s="8"/>
      <c r="N64156" s="8"/>
      <c r="O64156" s="8"/>
      <c r="P64156" s="8"/>
      <c r="Q64156" s="8"/>
      <c r="R64156" s="103"/>
      <c r="S64156" s="8"/>
      <c r="T64156" s="8"/>
      <c r="U64156" s="8"/>
      <c r="V64156" s="8"/>
      <c r="W64156" s="8"/>
      <c r="X64156" s="8"/>
      <c r="Y64156" s="8"/>
      <c r="Z64156" s="8"/>
      <c r="AA64156" s="8"/>
    </row>
    <row r="64157" spans="1:27" x14ac:dyDescent="0.25">
      <c r="A64157" s="8"/>
      <c r="B64157" s="8"/>
      <c r="C64157" s="99"/>
      <c r="D64157" s="8"/>
      <c r="E64157" s="8"/>
      <c r="F64157" s="8"/>
      <c r="G64157" s="8"/>
      <c r="H64157" s="8"/>
      <c r="I64157" s="102"/>
      <c r="J64157" s="8"/>
      <c r="K64157" s="8"/>
      <c r="L64157" s="8"/>
      <c r="M64157" s="8"/>
      <c r="N64157" s="8"/>
      <c r="O64157" s="8"/>
      <c r="P64157" s="8"/>
      <c r="Q64157" s="8"/>
      <c r="R64157" s="103"/>
      <c r="S64157" s="8"/>
      <c r="T64157" s="8"/>
      <c r="U64157" s="8"/>
      <c r="V64157" s="8"/>
      <c r="W64157" s="8"/>
      <c r="X64157" s="8"/>
      <c r="Y64157" s="8"/>
      <c r="Z64157" s="8"/>
      <c r="AA64157" s="8"/>
    </row>
    <row r="64158" spans="1:27" x14ac:dyDescent="0.25">
      <c r="A64158" s="8"/>
      <c r="B64158" s="8"/>
      <c r="C64158" s="99"/>
      <c r="D64158" s="8"/>
      <c r="E64158" s="8"/>
      <c r="F64158" s="8"/>
      <c r="G64158" s="8"/>
      <c r="H64158" s="8"/>
      <c r="I64158" s="102"/>
      <c r="J64158" s="8"/>
      <c r="K64158" s="8"/>
      <c r="L64158" s="8"/>
      <c r="M64158" s="8"/>
      <c r="N64158" s="8"/>
      <c r="O64158" s="8"/>
      <c r="P64158" s="8"/>
      <c r="Q64158" s="8"/>
      <c r="R64158" s="103"/>
      <c r="S64158" s="8"/>
      <c r="T64158" s="8"/>
      <c r="U64158" s="8"/>
      <c r="V64158" s="8"/>
      <c r="W64158" s="8"/>
      <c r="X64158" s="8"/>
      <c r="Y64158" s="8"/>
      <c r="Z64158" s="8"/>
      <c r="AA64158" s="8"/>
    </row>
    <row r="64159" spans="1:27" x14ac:dyDescent="0.25">
      <c r="A64159" s="8"/>
      <c r="B64159" s="8"/>
      <c r="C64159" s="99"/>
      <c r="D64159" s="8"/>
      <c r="E64159" s="8"/>
      <c r="F64159" s="8"/>
      <c r="G64159" s="8"/>
      <c r="H64159" s="8"/>
      <c r="I64159" s="102"/>
      <c r="J64159" s="8"/>
      <c r="K64159" s="8"/>
      <c r="L64159" s="8"/>
      <c r="M64159" s="8"/>
      <c r="N64159" s="8"/>
      <c r="O64159" s="8"/>
      <c r="P64159" s="8"/>
      <c r="Q64159" s="8"/>
      <c r="R64159" s="103"/>
      <c r="S64159" s="8"/>
      <c r="T64159" s="8"/>
      <c r="U64159" s="8"/>
      <c r="V64159" s="8"/>
      <c r="W64159" s="8"/>
      <c r="X64159" s="8"/>
      <c r="Y64159" s="8"/>
      <c r="Z64159" s="8"/>
      <c r="AA64159" s="8"/>
    </row>
    <row r="64160" spans="1:27" x14ac:dyDescent="0.25">
      <c r="A64160" s="8"/>
      <c r="B64160" s="8"/>
      <c r="C64160" s="99"/>
      <c r="D64160" s="8"/>
      <c r="E64160" s="8"/>
      <c r="F64160" s="8"/>
      <c r="G64160" s="8"/>
      <c r="H64160" s="8"/>
      <c r="I64160" s="102"/>
      <c r="J64160" s="8"/>
      <c r="K64160" s="8"/>
      <c r="L64160" s="8"/>
      <c r="M64160" s="8"/>
      <c r="N64160" s="8"/>
      <c r="O64160" s="8"/>
      <c r="P64160" s="8"/>
      <c r="Q64160" s="8"/>
      <c r="R64160" s="103"/>
      <c r="S64160" s="8"/>
      <c r="T64160" s="8"/>
      <c r="U64160" s="8"/>
      <c r="V64160" s="8"/>
      <c r="W64160" s="8"/>
      <c r="X64160" s="8"/>
      <c r="Y64160" s="8"/>
      <c r="Z64160" s="8"/>
      <c r="AA64160" s="8"/>
    </row>
    <row r="64161" spans="1:27" x14ac:dyDescent="0.25">
      <c r="A64161" s="8"/>
      <c r="B64161" s="8"/>
      <c r="C64161" s="99"/>
      <c r="D64161" s="8"/>
      <c r="E64161" s="8"/>
      <c r="F64161" s="8"/>
      <c r="G64161" s="8"/>
      <c r="H64161" s="8"/>
      <c r="I64161" s="102"/>
      <c r="J64161" s="8"/>
      <c r="K64161" s="8"/>
      <c r="L64161" s="8"/>
      <c r="M64161" s="8"/>
      <c r="N64161" s="8"/>
      <c r="O64161" s="8"/>
      <c r="P64161" s="8"/>
      <c r="Q64161" s="8"/>
      <c r="R64161" s="103"/>
      <c r="S64161" s="8"/>
      <c r="T64161" s="8"/>
      <c r="U64161" s="8"/>
      <c r="V64161" s="8"/>
      <c r="W64161" s="8"/>
      <c r="X64161" s="8"/>
      <c r="Y64161" s="8"/>
      <c r="Z64161" s="8"/>
      <c r="AA64161" s="8"/>
    </row>
    <row r="64162" spans="1:27" x14ac:dyDescent="0.25">
      <c r="A64162" s="8"/>
      <c r="B64162" s="8"/>
      <c r="C64162" s="99"/>
      <c r="D64162" s="8"/>
      <c r="E64162" s="8"/>
      <c r="F64162" s="8"/>
      <c r="G64162" s="8"/>
      <c r="H64162" s="8"/>
      <c r="I64162" s="102"/>
      <c r="J64162" s="8"/>
      <c r="K64162" s="8"/>
      <c r="L64162" s="8"/>
      <c r="M64162" s="8"/>
      <c r="N64162" s="8"/>
      <c r="O64162" s="8"/>
      <c r="P64162" s="8"/>
      <c r="Q64162" s="8"/>
      <c r="R64162" s="103"/>
      <c r="S64162" s="8"/>
      <c r="T64162" s="8"/>
      <c r="U64162" s="8"/>
      <c r="V64162" s="8"/>
      <c r="W64162" s="8"/>
      <c r="X64162" s="8"/>
      <c r="Y64162" s="8"/>
      <c r="Z64162" s="8"/>
      <c r="AA64162" s="8"/>
    </row>
    <row r="64163" spans="1:27" x14ac:dyDescent="0.25">
      <c r="A64163" s="8"/>
      <c r="B64163" s="8"/>
      <c r="C64163" s="99"/>
      <c r="D64163" s="8"/>
      <c r="E64163" s="8"/>
      <c r="F64163" s="8"/>
      <c r="G64163" s="8"/>
      <c r="H64163" s="8"/>
      <c r="I64163" s="102"/>
      <c r="J64163" s="8"/>
      <c r="K64163" s="8"/>
      <c r="L64163" s="8"/>
      <c r="M64163" s="8"/>
      <c r="N64163" s="8"/>
      <c r="O64163" s="8"/>
      <c r="P64163" s="8"/>
      <c r="Q64163" s="8"/>
      <c r="R64163" s="103"/>
      <c r="S64163" s="8"/>
      <c r="T64163" s="8"/>
      <c r="U64163" s="8"/>
      <c r="V64163" s="8"/>
      <c r="W64163" s="8"/>
      <c r="X64163" s="8"/>
      <c r="Y64163" s="8"/>
      <c r="Z64163" s="8"/>
      <c r="AA64163" s="8"/>
    </row>
    <row r="64164" spans="1:27" x14ac:dyDescent="0.25">
      <c r="A64164" s="8"/>
      <c r="B64164" s="8"/>
      <c r="C64164" s="99"/>
      <c r="D64164" s="8"/>
      <c r="E64164" s="8"/>
      <c r="F64164" s="8"/>
      <c r="G64164" s="8"/>
      <c r="H64164" s="8"/>
      <c r="I64164" s="102"/>
      <c r="J64164" s="8"/>
      <c r="K64164" s="8"/>
      <c r="L64164" s="8"/>
      <c r="M64164" s="8"/>
      <c r="N64164" s="8"/>
      <c r="O64164" s="8"/>
      <c r="P64164" s="8"/>
      <c r="Q64164" s="8"/>
      <c r="R64164" s="103"/>
      <c r="S64164" s="8"/>
      <c r="T64164" s="8"/>
      <c r="U64164" s="8"/>
      <c r="V64164" s="8"/>
      <c r="W64164" s="8"/>
      <c r="X64164" s="8"/>
      <c r="Y64164" s="8"/>
      <c r="Z64164" s="8"/>
      <c r="AA64164" s="8"/>
    </row>
    <row r="64165" spans="1:27" x14ac:dyDescent="0.25">
      <c r="A64165" s="8"/>
      <c r="B64165" s="8"/>
      <c r="C64165" s="99"/>
      <c r="D64165" s="8"/>
      <c r="E64165" s="8"/>
      <c r="F64165" s="8"/>
      <c r="G64165" s="8"/>
      <c r="H64165" s="8"/>
      <c r="I64165" s="102"/>
      <c r="J64165" s="8"/>
      <c r="K64165" s="8"/>
      <c r="L64165" s="8"/>
      <c r="M64165" s="8"/>
      <c r="N64165" s="8"/>
      <c r="O64165" s="8"/>
      <c r="P64165" s="8"/>
      <c r="Q64165" s="8"/>
      <c r="R64165" s="103"/>
      <c r="S64165" s="8"/>
      <c r="T64165" s="8"/>
      <c r="U64165" s="8"/>
      <c r="V64165" s="8"/>
      <c r="W64165" s="8"/>
      <c r="X64165" s="8"/>
      <c r="Y64165" s="8"/>
      <c r="Z64165" s="8"/>
      <c r="AA64165" s="8"/>
    </row>
    <row r="64166" spans="1:27" x14ac:dyDescent="0.25">
      <c r="A64166" s="8"/>
      <c r="B64166" s="8"/>
      <c r="C64166" s="99"/>
      <c r="D64166" s="8"/>
      <c r="E64166" s="8"/>
      <c r="F64166" s="8"/>
      <c r="G64166" s="8"/>
      <c r="H64166" s="8"/>
      <c r="I64166" s="102"/>
      <c r="J64166" s="8"/>
      <c r="K64166" s="8"/>
      <c r="L64166" s="8"/>
      <c r="M64166" s="8"/>
      <c r="N64166" s="8"/>
      <c r="O64166" s="8"/>
      <c r="P64166" s="8"/>
      <c r="Q64166" s="8"/>
      <c r="R64166" s="103"/>
      <c r="S64166" s="8"/>
      <c r="T64166" s="8"/>
      <c r="U64166" s="8"/>
      <c r="V64166" s="8"/>
      <c r="W64166" s="8"/>
      <c r="X64166" s="8"/>
      <c r="Y64166" s="8"/>
      <c r="Z64166" s="8"/>
      <c r="AA64166" s="8"/>
    </row>
    <row r="64167" spans="1:27" x14ac:dyDescent="0.25">
      <c r="A64167" s="8"/>
      <c r="B64167" s="8"/>
      <c r="C64167" s="99"/>
      <c r="D64167" s="8"/>
      <c r="E64167" s="8"/>
      <c r="F64167" s="8"/>
      <c r="G64167" s="8"/>
      <c r="H64167" s="8"/>
      <c r="I64167" s="102"/>
      <c r="J64167" s="8"/>
      <c r="K64167" s="8"/>
      <c r="L64167" s="8"/>
      <c r="M64167" s="8"/>
      <c r="N64167" s="8"/>
      <c r="O64167" s="8"/>
      <c r="P64167" s="8"/>
      <c r="Q64167" s="8"/>
      <c r="R64167" s="103"/>
      <c r="S64167" s="8"/>
      <c r="T64167" s="8"/>
      <c r="U64167" s="8"/>
      <c r="V64167" s="8"/>
      <c r="W64167" s="8"/>
      <c r="X64167" s="8"/>
      <c r="Y64167" s="8"/>
      <c r="Z64167" s="8"/>
      <c r="AA64167" s="8"/>
    </row>
    <row r="64168" spans="1:27" x14ac:dyDescent="0.25">
      <c r="A64168" s="8"/>
      <c r="B64168" s="8"/>
      <c r="C64168" s="99"/>
      <c r="D64168" s="8"/>
      <c r="E64168" s="8"/>
      <c r="F64168" s="8"/>
      <c r="G64168" s="8"/>
      <c r="H64168" s="8"/>
      <c r="I64168" s="102"/>
      <c r="J64168" s="8"/>
      <c r="K64168" s="8"/>
      <c r="L64168" s="8"/>
      <c r="M64168" s="8"/>
      <c r="N64168" s="8"/>
      <c r="O64168" s="8"/>
      <c r="P64168" s="8"/>
      <c r="Q64168" s="8"/>
      <c r="R64168" s="103"/>
      <c r="S64168" s="8"/>
      <c r="T64168" s="8"/>
      <c r="U64168" s="8"/>
      <c r="V64168" s="8"/>
      <c r="W64168" s="8"/>
      <c r="X64168" s="8"/>
      <c r="Y64168" s="8"/>
      <c r="Z64168" s="8"/>
      <c r="AA64168" s="8"/>
    </row>
    <row r="64169" spans="1:27" x14ac:dyDescent="0.25">
      <c r="A64169" s="8"/>
      <c r="B64169" s="8"/>
      <c r="C64169" s="99"/>
      <c r="D64169" s="8"/>
      <c r="E64169" s="8"/>
      <c r="F64169" s="8"/>
      <c r="G64169" s="8"/>
      <c r="H64169" s="8"/>
      <c r="I64169" s="102"/>
      <c r="J64169" s="8"/>
      <c r="K64169" s="8"/>
      <c r="L64169" s="8"/>
      <c r="M64169" s="8"/>
      <c r="N64169" s="8"/>
      <c r="O64169" s="8"/>
      <c r="P64169" s="8"/>
      <c r="Q64169" s="8"/>
      <c r="R64169" s="103"/>
      <c r="S64169" s="8"/>
      <c r="T64169" s="8"/>
      <c r="U64169" s="8"/>
      <c r="V64169" s="8"/>
      <c r="W64169" s="8"/>
      <c r="X64169" s="8"/>
      <c r="Y64169" s="8"/>
      <c r="Z64169" s="8"/>
      <c r="AA64169" s="8"/>
    </row>
    <row r="64170" spans="1:27" x14ac:dyDescent="0.25">
      <c r="A64170" s="8"/>
      <c r="B64170" s="8"/>
      <c r="C64170" s="99"/>
      <c r="D64170" s="8"/>
      <c r="E64170" s="8"/>
      <c r="F64170" s="8"/>
      <c r="G64170" s="8"/>
      <c r="H64170" s="8"/>
      <c r="I64170" s="102"/>
      <c r="J64170" s="8"/>
      <c r="K64170" s="8"/>
      <c r="L64170" s="8"/>
      <c r="M64170" s="8"/>
      <c r="N64170" s="8"/>
      <c r="O64170" s="8"/>
      <c r="P64170" s="8"/>
      <c r="Q64170" s="8"/>
      <c r="R64170" s="103"/>
      <c r="S64170" s="8"/>
      <c r="T64170" s="8"/>
      <c r="U64170" s="8"/>
      <c r="V64170" s="8"/>
      <c r="W64170" s="8"/>
      <c r="X64170" s="8"/>
      <c r="Y64170" s="8"/>
      <c r="Z64170" s="8"/>
      <c r="AA64170" s="8"/>
    </row>
    <row r="64171" spans="1:27" x14ac:dyDescent="0.25">
      <c r="A64171" s="8"/>
      <c r="B64171" s="8"/>
      <c r="C64171" s="99"/>
      <c r="D64171" s="8"/>
      <c r="E64171" s="8"/>
      <c r="F64171" s="8"/>
      <c r="G64171" s="8"/>
      <c r="H64171" s="8"/>
      <c r="I64171" s="102"/>
      <c r="J64171" s="8"/>
      <c r="K64171" s="8"/>
      <c r="L64171" s="8"/>
      <c r="M64171" s="8"/>
      <c r="N64171" s="8"/>
      <c r="O64171" s="8"/>
      <c r="P64171" s="8"/>
      <c r="Q64171" s="8"/>
      <c r="R64171" s="103"/>
      <c r="S64171" s="8"/>
      <c r="T64171" s="8"/>
      <c r="U64171" s="8"/>
      <c r="V64171" s="8"/>
      <c r="W64171" s="8"/>
      <c r="X64171" s="8"/>
      <c r="Y64171" s="8"/>
      <c r="Z64171" s="8"/>
      <c r="AA64171" s="8"/>
    </row>
    <row r="64172" spans="1:27" x14ac:dyDescent="0.25">
      <c r="A64172" s="8"/>
      <c r="B64172" s="8"/>
      <c r="C64172" s="99"/>
      <c r="D64172" s="8"/>
      <c r="E64172" s="8"/>
      <c r="F64172" s="8"/>
      <c r="G64172" s="8"/>
      <c r="H64172" s="8"/>
      <c r="I64172" s="102"/>
      <c r="J64172" s="8"/>
      <c r="K64172" s="8"/>
      <c r="L64172" s="8"/>
      <c r="M64172" s="8"/>
      <c r="N64172" s="8"/>
      <c r="O64172" s="8"/>
      <c r="P64172" s="8"/>
      <c r="Q64172" s="8"/>
      <c r="R64172" s="103"/>
      <c r="S64172" s="8"/>
      <c r="T64172" s="8"/>
      <c r="U64172" s="8"/>
      <c r="V64172" s="8"/>
      <c r="W64172" s="8"/>
      <c r="X64172" s="8"/>
      <c r="Y64172" s="8"/>
      <c r="Z64172" s="8"/>
      <c r="AA64172" s="8"/>
    </row>
    <row r="64173" spans="1:27" x14ac:dyDescent="0.25">
      <c r="A64173" s="8"/>
      <c r="B64173" s="8"/>
      <c r="C64173" s="99"/>
      <c r="D64173" s="8"/>
      <c r="E64173" s="8"/>
      <c r="F64173" s="8"/>
      <c r="G64173" s="8"/>
      <c r="H64173" s="8"/>
      <c r="I64173" s="102"/>
      <c r="J64173" s="8"/>
      <c r="K64173" s="8"/>
      <c r="L64173" s="8"/>
      <c r="M64173" s="8"/>
      <c r="N64173" s="8"/>
      <c r="O64173" s="8"/>
      <c r="P64173" s="8"/>
      <c r="Q64173" s="8"/>
      <c r="R64173" s="103"/>
      <c r="S64173" s="8"/>
      <c r="T64173" s="8"/>
      <c r="U64173" s="8"/>
      <c r="V64173" s="8"/>
      <c r="W64173" s="8"/>
      <c r="X64173" s="8"/>
      <c r="Y64173" s="8"/>
      <c r="Z64173" s="8"/>
      <c r="AA64173" s="8"/>
    </row>
    <row r="64174" spans="1:27" x14ac:dyDescent="0.25">
      <c r="A64174" s="8"/>
      <c r="B64174" s="8"/>
      <c r="C64174" s="99"/>
      <c r="D64174" s="8"/>
      <c r="E64174" s="8"/>
      <c r="F64174" s="8"/>
      <c r="G64174" s="8"/>
      <c r="H64174" s="8"/>
      <c r="I64174" s="102"/>
      <c r="J64174" s="8"/>
      <c r="K64174" s="8"/>
      <c r="L64174" s="8"/>
      <c r="M64174" s="8"/>
      <c r="N64174" s="8"/>
      <c r="O64174" s="8"/>
      <c r="P64174" s="8"/>
      <c r="Q64174" s="8"/>
      <c r="R64174" s="103"/>
      <c r="S64174" s="8"/>
      <c r="T64174" s="8"/>
      <c r="U64174" s="8"/>
      <c r="V64174" s="8"/>
      <c r="W64174" s="8"/>
      <c r="X64174" s="8"/>
      <c r="Y64174" s="8"/>
      <c r="Z64174" s="8"/>
      <c r="AA64174" s="8"/>
    </row>
    <row r="64175" spans="1:27" x14ac:dyDescent="0.25">
      <c r="A64175" s="8"/>
      <c r="B64175" s="8"/>
      <c r="C64175" s="99"/>
      <c r="D64175" s="8"/>
      <c r="E64175" s="8"/>
      <c r="F64175" s="8"/>
      <c r="G64175" s="8"/>
      <c r="H64175" s="8"/>
      <c r="I64175" s="102"/>
      <c r="J64175" s="8"/>
      <c r="K64175" s="8"/>
      <c r="L64175" s="8"/>
      <c r="M64175" s="8"/>
      <c r="N64175" s="8"/>
      <c r="O64175" s="8"/>
      <c r="P64175" s="8"/>
      <c r="Q64175" s="8"/>
      <c r="R64175" s="103"/>
      <c r="S64175" s="8"/>
      <c r="T64175" s="8"/>
      <c r="U64175" s="8"/>
      <c r="V64175" s="8"/>
      <c r="W64175" s="8"/>
      <c r="X64175" s="8"/>
      <c r="Y64175" s="8"/>
      <c r="Z64175" s="8"/>
      <c r="AA64175" s="8"/>
    </row>
    <row r="64176" spans="1:27" x14ac:dyDescent="0.25">
      <c r="A64176" s="8"/>
      <c r="B64176" s="8"/>
      <c r="C64176" s="99"/>
      <c r="D64176" s="8"/>
      <c r="E64176" s="8"/>
      <c r="F64176" s="8"/>
      <c r="G64176" s="8"/>
      <c r="H64176" s="8"/>
      <c r="I64176" s="102"/>
      <c r="J64176" s="8"/>
      <c r="K64176" s="8"/>
      <c r="L64176" s="8"/>
      <c r="M64176" s="8"/>
      <c r="N64176" s="8"/>
      <c r="O64176" s="8"/>
      <c r="P64176" s="8"/>
      <c r="Q64176" s="8"/>
      <c r="R64176" s="103"/>
      <c r="S64176" s="8"/>
      <c r="T64176" s="8"/>
      <c r="U64176" s="8"/>
      <c r="V64176" s="8"/>
      <c r="W64176" s="8"/>
      <c r="X64176" s="8"/>
      <c r="Y64176" s="8"/>
      <c r="Z64176" s="8"/>
      <c r="AA64176" s="8"/>
    </row>
    <row r="64177" spans="1:27" x14ac:dyDescent="0.25">
      <c r="A64177" s="8"/>
      <c r="B64177" s="8"/>
      <c r="C64177" s="99"/>
      <c r="D64177" s="8"/>
      <c r="E64177" s="8"/>
      <c r="F64177" s="8"/>
      <c r="G64177" s="8"/>
      <c r="H64177" s="8"/>
      <c r="I64177" s="102"/>
      <c r="J64177" s="8"/>
      <c r="K64177" s="8"/>
      <c r="L64177" s="8"/>
      <c r="M64177" s="8"/>
      <c r="N64177" s="8"/>
      <c r="O64177" s="8"/>
      <c r="P64177" s="8"/>
      <c r="Q64177" s="8"/>
      <c r="R64177" s="103"/>
      <c r="S64177" s="8"/>
      <c r="T64177" s="8"/>
      <c r="U64177" s="8"/>
      <c r="V64177" s="8"/>
      <c r="W64177" s="8"/>
      <c r="X64177" s="8"/>
      <c r="Y64177" s="8"/>
      <c r="Z64177" s="8"/>
      <c r="AA64177" s="8"/>
    </row>
    <row r="64178" spans="1:27" x14ac:dyDescent="0.25">
      <c r="A64178" s="8"/>
      <c r="B64178" s="8"/>
      <c r="C64178" s="99"/>
      <c r="D64178" s="8"/>
      <c r="E64178" s="8"/>
      <c r="F64178" s="8"/>
      <c r="G64178" s="8"/>
      <c r="H64178" s="8"/>
      <c r="I64178" s="102"/>
      <c r="J64178" s="8"/>
      <c r="K64178" s="8"/>
      <c r="L64178" s="8"/>
      <c r="M64178" s="8"/>
      <c r="N64178" s="8"/>
      <c r="O64178" s="8"/>
      <c r="P64178" s="8"/>
      <c r="Q64178" s="8"/>
      <c r="R64178" s="103"/>
      <c r="S64178" s="8"/>
      <c r="T64178" s="8"/>
      <c r="U64178" s="8"/>
      <c r="V64178" s="8"/>
      <c r="W64178" s="8"/>
      <c r="X64178" s="8"/>
      <c r="Y64178" s="8"/>
      <c r="Z64178" s="8"/>
      <c r="AA64178" s="8"/>
    </row>
    <row r="64179" spans="1:27" x14ac:dyDescent="0.25">
      <c r="A64179" s="8"/>
      <c r="B64179" s="8"/>
      <c r="C64179" s="99"/>
      <c r="D64179" s="8"/>
      <c r="E64179" s="8"/>
      <c r="F64179" s="8"/>
      <c r="G64179" s="8"/>
      <c r="H64179" s="8"/>
      <c r="I64179" s="102"/>
      <c r="J64179" s="8"/>
      <c r="K64179" s="8"/>
      <c r="L64179" s="8"/>
      <c r="M64179" s="8"/>
      <c r="N64179" s="8"/>
      <c r="O64179" s="8"/>
      <c r="P64179" s="8"/>
      <c r="Q64179" s="8"/>
      <c r="R64179" s="103"/>
      <c r="S64179" s="8"/>
      <c r="T64179" s="8"/>
      <c r="U64179" s="8"/>
      <c r="V64179" s="8"/>
      <c r="W64179" s="8"/>
      <c r="X64179" s="8"/>
      <c r="Y64179" s="8"/>
      <c r="Z64179" s="8"/>
      <c r="AA64179" s="8"/>
    </row>
    <row r="64180" spans="1:27" x14ac:dyDescent="0.25">
      <c r="A64180" s="8"/>
      <c r="B64180" s="8"/>
      <c r="C64180" s="99"/>
      <c r="D64180" s="8"/>
      <c r="E64180" s="8"/>
      <c r="F64180" s="8"/>
      <c r="G64180" s="8"/>
      <c r="H64180" s="8"/>
      <c r="I64180" s="102"/>
      <c r="J64180" s="8"/>
      <c r="K64180" s="8"/>
      <c r="L64180" s="8"/>
      <c r="M64180" s="8"/>
      <c r="N64180" s="8"/>
      <c r="O64180" s="8"/>
      <c r="P64180" s="8"/>
      <c r="Q64180" s="8"/>
      <c r="R64180" s="103"/>
      <c r="S64180" s="8"/>
      <c r="T64180" s="8"/>
      <c r="U64180" s="8"/>
      <c r="V64180" s="8"/>
      <c r="W64180" s="8"/>
      <c r="X64180" s="8"/>
      <c r="Y64180" s="8"/>
      <c r="Z64180" s="8"/>
      <c r="AA64180" s="8"/>
    </row>
    <row r="64181" spans="1:27" x14ac:dyDescent="0.25">
      <c r="A64181" s="8"/>
      <c r="B64181" s="8"/>
      <c r="C64181" s="99"/>
      <c r="D64181" s="8"/>
      <c r="E64181" s="8"/>
      <c r="F64181" s="8"/>
      <c r="G64181" s="8"/>
      <c r="H64181" s="8"/>
      <c r="I64181" s="102"/>
      <c r="J64181" s="8"/>
      <c r="K64181" s="8"/>
      <c r="L64181" s="8"/>
      <c r="M64181" s="8"/>
      <c r="N64181" s="8"/>
      <c r="O64181" s="8"/>
      <c r="P64181" s="8"/>
      <c r="Q64181" s="8"/>
      <c r="R64181" s="103"/>
      <c r="S64181" s="8"/>
      <c r="T64181" s="8"/>
      <c r="U64181" s="8"/>
      <c r="V64181" s="8"/>
      <c r="W64181" s="8"/>
      <c r="X64181" s="8"/>
      <c r="Y64181" s="8"/>
      <c r="Z64181" s="8"/>
      <c r="AA64181" s="8"/>
    </row>
    <row r="64182" spans="1:27" x14ac:dyDescent="0.25">
      <c r="A64182" s="8"/>
      <c r="B64182" s="8"/>
      <c r="C64182" s="99"/>
      <c r="D64182" s="8"/>
      <c r="E64182" s="8"/>
      <c r="F64182" s="8"/>
      <c r="G64182" s="8"/>
      <c r="H64182" s="8"/>
      <c r="I64182" s="102"/>
      <c r="J64182" s="8"/>
      <c r="K64182" s="8"/>
      <c r="L64182" s="8"/>
      <c r="M64182" s="8"/>
      <c r="N64182" s="8"/>
      <c r="O64182" s="8"/>
      <c r="P64182" s="8"/>
      <c r="Q64182" s="8"/>
      <c r="R64182" s="103"/>
      <c r="S64182" s="8"/>
      <c r="T64182" s="8"/>
      <c r="U64182" s="8"/>
      <c r="V64182" s="8"/>
      <c r="W64182" s="8"/>
      <c r="X64182" s="8"/>
      <c r="Y64182" s="8"/>
      <c r="Z64182" s="8"/>
      <c r="AA64182" s="8"/>
    </row>
    <row r="64183" spans="1:27" x14ac:dyDescent="0.25">
      <c r="A64183" s="8"/>
      <c r="B64183" s="8"/>
      <c r="C64183" s="99"/>
      <c r="D64183" s="8"/>
      <c r="E64183" s="8"/>
      <c r="F64183" s="8"/>
      <c r="G64183" s="8"/>
      <c r="H64183" s="8"/>
      <c r="I64183" s="102"/>
      <c r="J64183" s="8"/>
      <c r="K64183" s="8"/>
      <c r="L64183" s="8"/>
      <c r="M64183" s="8"/>
      <c r="N64183" s="8"/>
      <c r="O64183" s="8"/>
      <c r="P64183" s="8"/>
      <c r="Q64183" s="8"/>
      <c r="R64183" s="103"/>
      <c r="S64183" s="8"/>
      <c r="T64183" s="8"/>
      <c r="U64183" s="8"/>
      <c r="V64183" s="8"/>
      <c r="W64183" s="8"/>
      <c r="X64183" s="8"/>
      <c r="Y64183" s="8"/>
      <c r="Z64183" s="8"/>
      <c r="AA64183" s="8"/>
    </row>
    <row r="64184" spans="1:27" x14ac:dyDescent="0.25">
      <c r="A64184" s="8"/>
      <c r="B64184" s="8"/>
      <c r="C64184" s="99"/>
      <c r="D64184" s="8"/>
      <c r="E64184" s="8"/>
      <c r="F64184" s="8"/>
      <c r="G64184" s="8"/>
      <c r="H64184" s="8"/>
      <c r="I64184" s="102"/>
      <c r="J64184" s="8"/>
      <c r="K64184" s="8"/>
      <c r="L64184" s="8"/>
      <c r="M64184" s="8"/>
      <c r="N64184" s="8"/>
      <c r="O64184" s="8"/>
      <c r="P64184" s="8"/>
      <c r="Q64184" s="8"/>
      <c r="R64184" s="103"/>
      <c r="S64184" s="8"/>
      <c r="T64184" s="8"/>
      <c r="U64184" s="8"/>
      <c r="V64184" s="8"/>
      <c r="W64184" s="8"/>
      <c r="X64184" s="8"/>
      <c r="Y64184" s="8"/>
      <c r="Z64184" s="8"/>
      <c r="AA64184" s="8"/>
    </row>
    <row r="64185" spans="1:27" x14ac:dyDescent="0.25">
      <c r="A64185" s="8"/>
      <c r="B64185" s="8"/>
      <c r="C64185" s="99"/>
      <c r="D64185" s="8"/>
      <c r="E64185" s="8"/>
      <c r="F64185" s="8"/>
      <c r="G64185" s="8"/>
      <c r="H64185" s="8"/>
      <c r="I64185" s="102"/>
      <c r="J64185" s="8"/>
      <c r="K64185" s="8"/>
      <c r="L64185" s="8"/>
      <c r="M64185" s="8"/>
      <c r="N64185" s="8"/>
      <c r="O64185" s="8"/>
      <c r="P64185" s="8"/>
      <c r="Q64185" s="8"/>
      <c r="R64185" s="103"/>
      <c r="S64185" s="8"/>
      <c r="T64185" s="8"/>
      <c r="U64185" s="8"/>
      <c r="V64185" s="8"/>
      <c r="W64185" s="8"/>
      <c r="X64185" s="8"/>
      <c r="Y64185" s="8"/>
      <c r="Z64185" s="8"/>
      <c r="AA64185" s="8"/>
    </row>
    <row r="64186" spans="1:27" x14ac:dyDescent="0.25">
      <c r="A64186" s="8"/>
      <c r="B64186" s="8"/>
      <c r="C64186" s="99"/>
      <c r="D64186" s="8"/>
      <c r="E64186" s="8"/>
      <c r="F64186" s="8"/>
      <c r="G64186" s="8"/>
      <c r="H64186" s="8"/>
      <c r="I64186" s="102"/>
      <c r="J64186" s="8"/>
      <c r="K64186" s="8"/>
      <c r="L64186" s="8"/>
      <c r="M64186" s="8"/>
      <c r="N64186" s="8"/>
      <c r="O64186" s="8"/>
      <c r="P64186" s="8"/>
      <c r="Q64186" s="8"/>
      <c r="R64186" s="103"/>
      <c r="S64186" s="8"/>
      <c r="T64186" s="8"/>
      <c r="U64186" s="8"/>
      <c r="V64186" s="8"/>
      <c r="W64186" s="8"/>
      <c r="X64186" s="8"/>
      <c r="Y64186" s="8"/>
      <c r="Z64186" s="8"/>
      <c r="AA64186" s="8"/>
    </row>
    <row r="64187" spans="1:27" x14ac:dyDescent="0.25">
      <c r="A64187" s="8"/>
      <c r="B64187" s="8"/>
      <c r="C64187" s="99"/>
      <c r="D64187" s="8"/>
      <c r="E64187" s="8"/>
      <c r="F64187" s="8"/>
      <c r="G64187" s="8"/>
      <c r="H64187" s="8"/>
      <c r="I64187" s="102"/>
      <c r="J64187" s="8"/>
      <c r="K64187" s="8"/>
      <c r="L64187" s="8"/>
      <c r="M64187" s="8"/>
      <c r="N64187" s="8"/>
      <c r="O64187" s="8"/>
      <c r="P64187" s="8"/>
      <c r="Q64187" s="8"/>
      <c r="R64187" s="103"/>
      <c r="S64187" s="8"/>
      <c r="T64187" s="8"/>
      <c r="U64187" s="8"/>
      <c r="V64187" s="8"/>
      <c r="W64187" s="8"/>
      <c r="X64187" s="8"/>
      <c r="Y64187" s="8"/>
      <c r="Z64187" s="8"/>
      <c r="AA64187" s="8"/>
    </row>
    <row r="64188" spans="1:27" x14ac:dyDescent="0.25">
      <c r="A64188" s="8"/>
      <c r="B64188" s="8"/>
      <c r="C64188" s="99"/>
      <c r="D64188" s="8"/>
      <c r="E64188" s="8"/>
      <c r="F64188" s="8"/>
      <c r="G64188" s="8"/>
      <c r="H64188" s="8"/>
      <c r="I64188" s="102"/>
      <c r="J64188" s="8"/>
      <c r="K64188" s="8"/>
      <c r="L64188" s="8"/>
      <c r="M64188" s="8"/>
      <c r="N64188" s="8"/>
      <c r="O64188" s="8"/>
      <c r="P64188" s="8"/>
      <c r="Q64188" s="8"/>
      <c r="R64188" s="103"/>
      <c r="S64188" s="8"/>
      <c r="T64188" s="8"/>
      <c r="U64188" s="8"/>
      <c r="V64188" s="8"/>
      <c r="W64188" s="8"/>
      <c r="X64188" s="8"/>
      <c r="Y64188" s="8"/>
      <c r="Z64188" s="8"/>
      <c r="AA64188" s="8"/>
    </row>
    <row r="64189" spans="1:27" x14ac:dyDescent="0.25">
      <c r="A64189" s="8"/>
      <c r="B64189" s="8"/>
      <c r="C64189" s="99"/>
      <c r="D64189" s="8"/>
      <c r="E64189" s="8"/>
      <c r="F64189" s="8"/>
      <c r="G64189" s="8"/>
      <c r="H64189" s="8"/>
      <c r="I64189" s="102"/>
      <c r="J64189" s="8"/>
      <c r="K64189" s="8"/>
      <c r="L64189" s="8"/>
      <c r="M64189" s="8"/>
      <c r="N64189" s="8"/>
      <c r="O64189" s="8"/>
      <c r="P64189" s="8"/>
      <c r="Q64189" s="8"/>
      <c r="R64189" s="103"/>
      <c r="S64189" s="8"/>
      <c r="T64189" s="8"/>
      <c r="U64189" s="8"/>
      <c r="V64189" s="8"/>
      <c r="W64189" s="8"/>
      <c r="X64189" s="8"/>
      <c r="Y64189" s="8"/>
      <c r="Z64189" s="8"/>
      <c r="AA64189" s="8"/>
    </row>
    <row r="64190" spans="1:27" x14ac:dyDescent="0.25">
      <c r="A64190" s="8"/>
      <c r="B64190" s="8"/>
      <c r="C64190" s="99"/>
      <c r="D64190" s="8"/>
      <c r="E64190" s="8"/>
      <c r="F64190" s="8"/>
      <c r="G64190" s="8"/>
      <c r="H64190" s="8"/>
      <c r="I64190" s="102"/>
      <c r="J64190" s="8"/>
      <c r="K64190" s="8"/>
      <c r="L64190" s="8"/>
      <c r="M64190" s="8"/>
      <c r="N64190" s="8"/>
      <c r="O64190" s="8"/>
      <c r="P64190" s="8"/>
      <c r="Q64190" s="8"/>
      <c r="R64190" s="103"/>
      <c r="S64190" s="8"/>
      <c r="T64190" s="8"/>
      <c r="U64190" s="8"/>
      <c r="V64190" s="8"/>
      <c r="W64190" s="8"/>
      <c r="X64190" s="8"/>
      <c r="Y64190" s="8"/>
      <c r="Z64190" s="8"/>
      <c r="AA64190" s="8"/>
    </row>
    <row r="64191" spans="1:27" x14ac:dyDescent="0.25">
      <c r="A64191" s="8"/>
      <c r="B64191" s="8"/>
      <c r="C64191" s="99"/>
      <c r="D64191" s="8"/>
      <c r="E64191" s="8"/>
      <c r="F64191" s="8"/>
      <c r="G64191" s="8"/>
      <c r="H64191" s="8"/>
      <c r="I64191" s="102"/>
      <c r="J64191" s="8"/>
      <c r="K64191" s="8"/>
      <c r="L64191" s="8"/>
      <c r="M64191" s="8"/>
      <c r="N64191" s="8"/>
      <c r="O64191" s="8"/>
      <c r="P64191" s="8"/>
      <c r="Q64191" s="8"/>
      <c r="R64191" s="103"/>
      <c r="S64191" s="8"/>
      <c r="T64191" s="8"/>
      <c r="U64191" s="8"/>
      <c r="V64191" s="8"/>
      <c r="W64191" s="8"/>
      <c r="X64191" s="8"/>
      <c r="Y64191" s="8"/>
      <c r="Z64191" s="8"/>
      <c r="AA64191" s="8"/>
    </row>
    <row r="64192" spans="1:27" x14ac:dyDescent="0.25">
      <c r="A64192" s="8"/>
      <c r="B64192" s="8"/>
      <c r="C64192" s="99"/>
      <c r="D64192" s="8"/>
      <c r="E64192" s="8"/>
      <c r="F64192" s="8"/>
      <c r="G64192" s="8"/>
      <c r="H64192" s="8"/>
      <c r="I64192" s="102"/>
      <c r="J64192" s="8"/>
      <c r="K64192" s="8"/>
      <c r="L64192" s="8"/>
      <c r="M64192" s="8"/>
      <c r="N64192" s="8"/>
      <c r="O64192" s="8"/>
      <c r="P64192" s="8"/>
      <c r="Q64192" s="8"/>
      <c r="R64192" s="103"/>
      <c r="S64192" s="8"/>
      <c r="T64192" s="8"/>
      <c r="U64192" s="8"/>
      <c r="V64192" s="8"/>
      <c r="W64192" s="8"/>
      <c r="X64192" s="8"/>
      <c r="Y64192" s="8"/>
      <c r="Z64192" s="8"/>
      <c r="AA64192" s="8"/>
    </row>
    <row r="64193" spans="1:27" x14ac:dyDescent="0.25">
      <c r="A64193" s="8"/>
      <c r="B64193" s="8"/>
      <c r="C64193" s="99"/>
      <c r="D64193" s="8"/>
      <c r="E64193" s="8"/>
      <c r="F64193" s="8"/>
      <c r="G64193" s="8"/>
      <c r="H64193" s="8"/>
      <c r="I64193" s="102"/>
      <c r="J64193" s="8"/>
      <c r="K64193" s="8"/>
      <c r="L64193" s="8"/>
      <c r="M64193" s="8"/>
      <c r="N64193" s="8"/>
      <c r="O64193" s="8"/>
      <c r="P64193" s="8"/>
      <c r="Q64193" s="8"/>
      <c r="R64193" s="103"/>
      <c r="S64193" s="8"/>
      <c r="T64193" s="8"/>
      <c r="U64193" s="8"/>
      <c r="V64193" s="8"/>
      <c r="W64193" s="8"/>
      <c r="X64193" s="8"/>
      <c r="Y64193" s="8"/>
      <c r="Z64193" s="8"/>
      <c r="AA64193" s="8"/>
    </row>
    <row r="64194" spans="1:27" x14ac:dyDescent="0.25">
      <c r="A64194" s="8"/>
      <c r="B64194" s="8"/>
      <c r="C64194" s="99"/>
      <c r="D64194" s="8"/>
      <c r="E64194" s="8"/>
      <c r="F64194" s="8"/>
      <c r="G64194" s="8"/>
      <c r="H64194" s="8"/>
      <c r="I64194" s="102"/>
      <c r="J64194" s="8"/>
      <c r="K64194" s="8"/>
      <c r="L64194" s="8"/>
      <c r="M64194" s="8"/>
      <c r="N64194" s="8"/>
      <c r="O64194" s="8"/>
      <c r="P64194" s="8"/>
      <c r="Q64194" s="8"/>
      <c r="R64194" s="103"/>
      <c r="S64194" s="8"/>
      <c r="T64194" s="8"/>
      <c r="U64194" s="8"/>
      <c r="V64194" s="8"/>
      <c r="W64194" s="8"/>
      <c r="X64194" s="8"/>
      <c r="Y64194" s="8"/>
      <c r="Z64194" s="8"/>
      <c r="AA64194" s="8"/>
    </row>
    <row r="64195" spans="1:27" x14ac:dyDescent="0.25">
      <c r="A64195" s="8"/>
      <c r="B64195" s="8"/>
      <c r="C64195" s="99"/>
      <c r="D64195" s="8"/>
      <c r="E64195" s="8"/>
      <c r="F64195" s="8"/>
      <c r="G64195" s="8"/>
      <c r="H64195" s="8"/>
      <c r="I64195" s="102"/>
      <c r="J64195" s="8"/>
      <c r="K64195" s="8"/>
      <c r="L64195" s="8"/>
      <c r="M64195" s="8"/>
      <c r="N64195" s="8"/>
      <c r="O64195" s="8"/>
      <c r="P64195" s="8"/>
      <c r="Q64195" s="8"/>
      <c r="R64195" s="103"/>
      <c r="S64195" s="8"/>
      <c r="T64195" s="8"/>
      <c r="U64195" s="8"/>
      <c r="V64195" s="8"/>
      <c r="W64195" s="8"/>
      <c r="X64195" s="8"/>
      <c r="Y64195" s="8"/>
      <c r="Z64195" s="8"/>
      <c r="AA64195" s="8"/>
    </row>
    <row r="64196" spans="1:27" x14ac:dyDescent="0.25">
      <c r="A64196" s="8"/>
      <c r="B64196" s="8"/>
      <c r="C64196" s="99"/>
      <c r="D64196" s="8"/>
      <c r="E64196" s="8"/>
      <c r="F64196" s="8"/>
      <c r="G64196" s="8"/>
      <c r="H64196" s="8"/>
      <c r="I64196" s="102"/>
      <c r="J64196" s="8"/>
      <c r="K64196" s="8"/>
      <c r="L64196" s="8"/>
      <c r="M64196" s="8"/>
      <c r="N64196" s="8"/>
      <c r="O64196" s="8"/>
      <c r="P64196" s="8"/>
      <c r="Q64196" s="8"/>
      <c r="R64196" s="103"/>
      <c r="S64196" s="8"/>
      <c r="T64196" s="8"/>
      <c r="U64196" s="8"/>
      <c r="V64196" s="8"/>
      <c r="W64196" s="8"/>
      <c r="X64196" s="8"/>
      <c r="Y64196" s="8"/>
      <c r="Z64196" s="8"/>
      <c r="AA64196" s="8"/>
    </row>
    <row r="64197" spans="1:27" x14ac:dyDescent="0.25">
      <c r="A64197" s="8"/>
      <c r="B64197" s="8"/>
      <c r="C64197" s="99"/>
      <c r="D64197" s="8"/>
      <c r="E64197" s="8"/>
      <c r="F64197" s="8"/>
      <c r="G64197" s="8"/>
      <c r="H64197" s="8"/>
      <c r="I64197" s="102"/>
      <c r="J64197" s="8"/>
      <c r="K64197" s="8"/>
      <c r="L64197" s="8"/>
      <c r="M64197" s="8"/>
      <c r="N64197" s="8"/>
      <c r="O64197" s="8"/>
      <c r="P64197" s="8"/>
      <c r="Q64197" s="8"/>
      <c r="R64197" s="103"/>
      <c r="S64197" s="8"/>
      <c r="T64197" s="8"/>
      <c r="U64197" s="8"/>
      <c r="V64197" s="8"/>
      <c r="W64197" s="8"/>
      <c r="X64197" s="8"/>
      <c r="Y64197" s="8"/>
      <c r="Z64197" s="8"/>
      <c r="AA64197" s="8"/>
    </row>
    <row r="64198" spans="1:27" x14ac:dyDescent="0.25">
      <c r="A64198" s="8"/>
      <c r="B64198" s="8"/>
      <c r="C64198" s="99"/>
      <c r="D64198" s="8"/>
      <c r="E64198" s="8"/>
      <c r="F64198" s="8"/>
      <c r="G64198" s="8"/>
      <c r="H64198" s="8"/>
      <c r="I64198" s="102"/>
      <c r="J64198" s="8"/>
      <c r="K64198" s="8"/>
      <c r="L64198" s="8"/>
      <c r="M64198" s="8"/>
      <c r="N64198" s="8"/>
      <c r="O64198" s="8"/>
      <c r="P64198" s="8"/>
      <c r="Q64198" s="8"/>
      <c r="R64198" s="103"/>
      <c r="S64198" s="8"/>
      <c r="T64198" s="8"/>
      <c r="U64198" s="8"/>
      <c r="V64198" s="8"/>
      <c r="W64198" s="8"/>
      <c r="X64198" s="8"/>
      <c r="Y64198" s="8"/>
      <c r="Z64198" s="8"/>
      <c r="AA64198" s="8"/>
    </row>
    <row r="64199" spans="1:27" x14ac:dyDescent="0.25">
      <c r="A64199" s="8"/>
      <c r="B64199" s="8"/>
      <c r="C64199" s="99"/>
      <c r="D64199" s="8"/>
      <c r="E64199" s="8"/>
      <c r="F64199" s="8"/>
      <c r="G64199" s="8"/>
      <c r="H64199" s="8"/>
      <c r="I64199" s="102"/>
      <c r="J64199" s="8"/>
      <c r="K64199" s="8"/>
      <c r="L64199" s="8"/>
      <c r="M64199" s="8"/>
      <c r="N64199" s="8"/>
      <c r="O64199" s="8"/>
      <c r="P64199" s="8"/>
      <c r="Q64199" s="8"/>
      <c r="R64199" s="103"/>
      <c r="S64199" s="8"/>
      <c r="T64199" s="8"/>
      <c r="U64199" s="8"/>
      <c r="V64199" s="8"/>
      <c r="W64199" s="8"/>
      <c r="X64199" s="8"/>
      <c r="Y64199" s="8"/>
      <c r="Z64199" s="8"/>
      <c r="AA64199" s="8"/>
    </row>
    <row r="64200" spans="1:27" x14ac:dyDescent="0.25">
      <c r="A64200" s="8"/>
      <c r="B64200" s="8"/>
      <c r="C64200" s="99"/>
      <c r="D64200" s="8"/>
      <c r="E64200" s="8"/>
      <c r="F64200" s="8"/>
      <c r="G64200" s="8"/>
      <c r="H64200" s="8"/>
      <c r="I64200" s="102"/>
      <c r="J64200" s="8"/>
      <c r="K64200" s="8"/>
      <c r="L64200" s="8"/>
      <c r="M64200" s="8"/>
      <c r="N64200" s="8"/>
      <c r="O64200" s="8"/>
      <c r="P64200" s="8"/>
      <c r="Q64200" s="8"/>
      <c r="R64200" s="103"/>
      <c r="S64200" s="8"/>
      <c r="T64200" s="8"/>
      <c r="U64200" s="8"/>
      <c r="V64200" s="8"/>
      <c r="W64200" s="8"/>
      <c r="X64200" s="8"/>
      <c r="Y64200" s="8"/>
      <c r="Z64200" s="8"/>
      <c r="AA64200" s="8"/>
    </row>
    <row r="64201" spans="1:27" x14ac:dyDescent="0.25">
      <c r="A64201" s="8"/>
      <c r="B64201" s="8"/>
      <c r="C64201" s="99"/>
      <c r="D64201" s="8"/>
      <c r="E64201" s="8"/>
      <c r="F64201" s="8"/>
      <c r="G64201" s="8"/>
      <c r="H64201" s="8"/>
      <c r="I64201" s="102"/>
      <c r="J64201" s="8"/>
      <c r="K64201" s="8"/>
      <c r="L64201" s="8"/>
      <c r="M64201" s="8"/>
      <c r="N64201" s="8"/>
      <c r="O64201" s="8"/>
      <c r="P64201" s="8"/>
      <c r="Q64201" s="8"/>
      <c r="R64201" s="103"/>
      <c r="S64201" s="8"/>
      <c r="T64201" s="8"/>
      <c r="U64201" s="8"/>
      <c r="V64201" s="8"/>
      <c r="W64201" s="8"/>
      <c r="X64201" s="8"/>
      <c r="Y64201" s="8"/>
      <c r="Z64201" s="8"/>
      <c r="AA64201" s="8"/>
    </row>
    <row r="64202" spans="1:27" x14ac:dyDescent="0.25">
      <c r="A64202" s="8"/>
      <c r="B64202" s="8"/>
      <c r="C64202" s="99"/>
      <c r="D64202" s="8"/>
      <c r="E64202" s="8"/>
      <c r="F64202" s="8"/>
      <c r="G64202" s="8"/>
      <c r="H64202" s="8"/>
      <c r="I64202" s="102"/>
      <c r="J64202" s="8"/>
      <c r="K64202" s="8"/>
      <c r="L64202" s="8"/>
      <c r="M64202" s="8"/>
      <c r="N64202" s="8"/>
      <c r="O64202" s="8"/>
      <c r="P64202" s="8"/>
      <c r="Q64202" s="8"/>
      <c r="R64202" s="103"/>
      <c r="S64202" s="8"/>
      <c r="T64202" s="8"/>
      <c r="U64202" s="8"/>
      <c r="V64202" s="8"/>
      <c r="W64202" s="8"/>
      <c r="X64202" s="8"/>
      <c r="Y64202" s="8"/>
      <c r="Z64202" s="8"/>
      <c r="AA64202" s="8"/>
    </row>
    <row r="64203" spans="1:27" x14ac:dyDescent="0.25">
      <c r="A64203" s="8"/>
      <c r="B64203" s="8"/>
      <c r="C64203" s="99"/>
      <c r="D64203" s="8"/>
      <c r="E64203" s="8"/>
      <c r="F64203" s="8"/>
      <c r="G64203" s="8"/>
      <c r="H64203" s="8"/>
      <c r="I64203" s="102"/>
      <c r="J64203" s="8"/>
      <c r="K64203" s="8"/>
      <c r="L64203" s="8"/>
      <c r="M64203" s="8"/>
      <c r="N64203" s="8"/>
      <c r="O64203" s="8"/>
      <c r="P64203" s="8"/>
      <c r="Q64203" s="8"/>
      <c r="R64203" s="103"/>
      <c r="S64203" s="8"/>
      <c r="T64203" s="8"/>
      <c r="U64203" s="8"/>
      <c r="V64203" s="8"/>
      <c r="W64203" s="8"/>
      <c r="X64203" s="8"/>
      <c r="Y64203" s="8"/>
      <c r="Z64203" s="8"/>
      <c r="AA64203" s="8"/>
    </row>
    <row r="64204" spans="1:27" x14ac:dyDescent="0.25">
      <c r="A64204" s="8"/>
      <c r="B64204" s="8"/>
      <c r="C64204" s="99"/>
      <c r="D64204" s="8"/>
      <c r="E64204" s="8"/>
      <c r="F64204" s="8"/>
      <c r="G64204" s="8"/>
      <c r="H64204" s="8"/>
      <c r="I64204" s="102"/>
      <c r="J64204" s="8"/>
      <c r="K64204" s="8"/>
      <c r="L64204" s="8"/>
      <c r="M64204" s="8"/>
      <c r="N64204" s="8"/>
      <c r="O64204" s="8"/>
      <c r="P64204" s="8"/>
      <c r="Q64204" s="8"/>
      <c r="R64204" s="103"/>
      <c r="S64204" s="8"/>
      <c r="T64204" s="8"/>
      <c r="U64204" s="8"/>
      <c r="V64204" s="8"/>
      <c r="W64204" s="8"/>
      <c r="X64204" s="8"/>
      <c r="Y64204" s="8"/>
      <c r="Z64204" s="8"/>
      <c r="AA64204" s="8"/>
    </row>
    <row r="64205" spans="1:27" x14ac:dyDescent="0.25">
      <c r="A64205" s="8"/>
      <c r="B64205" s="8"/>
      <c r="C64205" s="99"/>
      <c r="D64205" s="8"/>
      <c r="E64205" s="8"/>
      <c r="F64205" s="8"/>
      <c r="G64205" s="8"/>
      <c r="H64205" s="8"/>
      <c r="I64205" s="102"/>
      <c r="J64205" s="8"/>
      <c r="K64205" s="8"/>
      <c r="L64205" s="8"/>
      <c r="M64205" s="8"/>
      <c r="N64205" s="8"/>
      <c r="O64205" s="8"/>
      <c r="P64205" s="8"/>
      <c r="Q64205" s="8"/>
      <c r="R64205" s="103"/>
      <c r="S64205" s="8"/>
      <c r="T64205" s="8"/>
      <c r="U64205" s="8"/>
      <c r="V64205" s="8"/>
      <c r="W64205" s="8"/>
      <c r="X64205" s="8"/>
      <c r="Y64205" s="8"/>
      <c r="Z64205" s="8"/>
      <c r="AA64205" s="8"/>
    </row>
    <row r="64206" spans="1:27" x14ac:dyDescent="0.25">
      <c r="A64206" s="8"/>
      <c r="B64206" s="8"/>
      <c r="C64206" s="99"/>
      <c r="D64206" s="8"/>
      <c r="E64206" s="8"/>
      <c r="F64206" s="8"/>
      <c r="G64206" s="8"/>
      <c r="H64206" s="8"/>
      <c r="I64206" s="102"/>
      <c r="J64206" s="8"/>
      <c r="K64206" s="8"/>
      <c r="L64206" s="8"/>
      <c r="M64206" s="8"/>
      <c r="N64206" s="8"/>
      <c r="O64206" s="8"/>
      <c r="P64206" s="8"/>
      <c r="Q64206" s="8"/>
      <c r="R64206" s="103"/>
      <c r="S64206" s="8"/>
      <c r="T64206" s="8"/>
      <c r="U64206" s="8"/>
      <c r="V64206" s="8"/>
      <c r="W64206" s="8"/>
      <c r="X64206" s="8"/>
      <c r="Y64206" s="8"/>
      <c r="Z64206" s="8"/>
      <c r="AA64206" s="8"/>
    </row>
    <row r="64207" spans="1:27" x14ac:dyDescent="0.25">
      <c r="A64207" s="8"/>
      <c r="B64207" s="8"/>
      <c r="C64207" s="99"/>
      <c r="D64207" s="8"/>
      <c r="E64207" s="8"/>
      <c r="F64207" s="8"/>
      <c r="G64207" s="8"/>
      <c r="H64207" s="8"/>
      <c r="I64207" s="102"/>
      <c r="J64207" s="8"/>
      <c r="K64207" s="8"/>
      <c r="L64207" s="8"/>
      <c r="M64207" s="8"/>
      <c r="N64207" s="8"/>
      <c r="O64207" s="8"/>
      <c r="P64207" s="8"/>
      <c r="Q64207" s="8"/>
      <c r="R64207" s="103"/>
      <c r="S64207" s="8"/>
      <c r="T64207" s="8"/>
      <c r="U64207" s="8"/>
      <c r="V64207" s="8"/>
      <c r="W64207" s="8"/>
      <c r="X64207" s="8"/>
      <c r="Y64207" s="8"/>
      <c r="Z64207" s="8"/>
      <c r="AA64207" s="8"/>
    </row>
    <row r="64208" spans="1:27" x14ac:dyDescent="0.25">
      <c r="A64208" s="8"/>
      <c r="B64208" s="8"/>
      <c r="C64208" s="99"/>
      <c r="D64208" s="8"/>
      <c r="E64208" s="8"/>
      <c r="F64208" s="8"/>
      <c r="G64208" s="8"/>
      <c r="H64208" s="8"/>
      <c r="I64208" s="102"/>
      <c r="J64208" s="8"/>
      <c r="K64208" s="8"/>
      <c r="L64208" s="8"/>
      <c r="M64208" s="8"/>
      <c r="N64208" s="8"/>
      <c r="O64208" s="8"/>
      <c r="P64208" s="8"/>
      <c r="Q64208" s="8"/>
      <c r="R64208" s="103"/>
      <c r="S64208" s="8"/>
      <c r="T64208" s="8"/>
      <c r="U64208" s="8"/>
      <c r="V64208" s="8"/>
      <c r="W64208" s="8"/>
      <c r="X64208" s="8"/>
      <c r="Y64208" s="8"/>
      <c r="Z64208" s="8"/>
      <c r="AA64208" s="8"/>
    </row>
    <row r="64209" spans="1:27" x14ac:dyDescent="0.25">
      <c r="A64209" s="8"/>
      <c r="B64209" s="8"/>
      <c r="C64209" s="99"/>
      <c r="D64209" s="8"/>
      <c r="E64209" s="8"/>
      <c r="F64209" s="8"/>
      <c r="G64209" s="8"/>
      <c r="H64209" s="8"/>
      <c r="I64209" s="102"/>
      <c r="J64209" s="8"/>
      <c r="K64209" s="8"/>
      <c r="L64209" s="8"/>
      <c r="M64209" s="8"/>
      <c r="N64209" s="8"/>
      <c r="O64209" s="8"/>
      <c r="P64209" s="8"/>
      <c r="Q64209" s="8"/>
      <c r="R64209" s="103"/>
      <c r="S64209" s="8"/>
      <c r="T64209" s="8"/>
      <c r="U64209" s="8"/>
      <c r="V64209" s="8"/>
      <c r="W64209" s="8"/>
      <c r="X64209" s="8"/>
      <c r="Y64209" s="8"/>
      <c r="Z64209" s="8"/>
      <c r="AA64209" s="8"/>
    </row>
    <row r="64210" spans="1:27" x14ac:dyDescent="0.25">
      <c r="A64210" s="8"/>
      <c r="B64210" s="8"/>
      <c r="C64210" s="99"/>
      <c r="D64210" s="8"/>
      <c r="E64210" s="8"/>
      <c r="F64210" s="8"/>
      <c r="G64210" s="8"/>
      <c r="H64210" s="8"/>
      <c r="I64210" s="102"/>
      <c r="J64210" s="8"/>
      <c r="K64210" s="8"/>
      <c r="L64210" s="8"/>
      <c r="M64210" s="8"/>
      <c r="N64210" s="8"/>
      <c r="O64210" s="8"/>
      <c r="P64210" s="8"/>
      <c r="Q64210" s="8"/>
      <c r="R64210" s="103"/>
      <c r="S64210" s="8"/>
      <c r="T64210" s="8"/>
      <c r="U64210" s="8"/>
      <c r="V64210" s="8"/>
      <c r="W64210" s="8"/>
      <c r="X64210" s="8"/>
      <c r="Y64210" s="8"/>
      <c r="Z64210" s="8"/>
      <c r="AA64210" s="8"/>
    </row>
    <row r="64211" spans="1:27" x14ac:dyDescent="0.25">
      <c r="A64211" s="8"/>
      <c r="B64211" s="8"/>
      <c r="C64211" s="99"/>
      <c r="D64211" s="8"/>
      <c r="E64211" s="8"/>
      <c r="F64211" s="8"/>
      <c r="G64211" s="8"/>
      <c r="H64211" s="8"/>
      <c r="I64211" s="102"/>
      <c r="J64211" s="8"/>
      <c r="K64211" s="8"/>
      <c r="L64211" s="8"/>
      <c r="M64211" s="8"/>
      <c r="N64211" s="8"/>
      <c r="O64211" s="8"/>
      <c r="P64211" s="8"/>
      <c r="Q64211" s="8"/>
      <c r="R64211" s="103"/>
      <c r="S64211" s="8"/>
      <c r="T64211" s="8"/>
      <c r="U64211" s="8"/>
      <c r="V64211" s="8"/>
      <c r="W64211" s="8"/>
      <c r="X64211" s="8"/>
      <c r="Y64211" s="8"/>
      <c r="Z64211" s="8"/>
      <c r="AA64211" s="8"/>
    </row>
    <row r="64212" spans="1:27" x14ac:dyDescent="0.25">
      <c r="A64212" s="8"/>
      <c r="B64212" s="8"/>
      <c r="C64212" s="99"/>
      <c r="D64212" s="8"/>
      <c r="E64212" s="8"/>
      <c r="F64212" s="8"/>
      <c r="G64212" s="8"/>
      <c r="H64212" s="8"/>
      <c r="I64212" s="102"/>
      <c r="J64212" s="8"/>
      <c r="K64212" s="8"/>
      <c r="L64212" s="8"/>
      <c r="M64212" s="8"/>
      <c r="N64212" s="8"/>
      <c r="O64212" s="8"/>
      <c r="P64212" s="8"/>
      <c r="Q64212" s="8"/>
      <c r="R64212" s="103"/>
      <c r="S64212" s="8"/>
      <c r="T64212" s="8"/>
      <c r="U64212" s="8"/>
      <c r="V64212" s="8"/>
      <c r="W64212" s="8"/>
      <c r="X64212" s="8"/>
      <c r="Y64212" s="8"/>
      <c r="Z64212" s="8"/>
      <c r="AA64212" s="8"/>
    </row>
    <row r="64213" spans="1:27" x14ac:dyDescent="0.25">
      <c r="A64213" s="8"/>
      <c r="B64213" s="8"/>
      <c r="C64213" s="99"/>
      <c r="D64213" s="8"/>
      <c r="E64213" s="8"/>
      <c r="F64213" s="8"/>
      <c r="G64213" s="8"/>
      <c r="H64213" s="8"/>
      <c r="I64213" s="102"/>
      <c r="J64213" s="8"/>
      <c r="K64213" s="8"/>
      <c r="L64213" s="8"/>
      <c r="M64213" s="8"/>
      <c r="N64213" s="8"/>
      <c r="O64213" s="8"/>
      <c r="P64213" s="8"/>
      <c r="Q64213" s="8"/>
      <c r="R64213" s="103"/>
      <c r="S64213" s="8"/>
      <c r="T64213" s="8"/>
      <c r="U64213" s="8"/>
      <c r="V64213" s="8"/>
      <c r="W64213" s="8"/>
      <c r="X64213" s="8"/>
      <c r="Y64213" s="8"/>
      <c r="Z64213" s="8"/>
      <c r="AA64213" s="8"/>
    </row>
    <row r="64214" spans="1:27" x14ac:dyDescent="0.25">
      <c r="A64214" s="8"/>
      <c r="B64214" s="8"/>
      <c r="C64214" s="99"/>
      <c r="D64214" s="8"/>
      <c r="E64214" s="8"/>
      <c r="F64214" s="8"/>
      <c r="G64214" s="8"/>
      <c r="H64214" s="8"/>
      <c r="I64214" s="102"/>
      <c r="J64214" s="8"/>
      <c r="K64214" s="8"/>
      <c r="L64214" s="8"/>
      <c r="M64214" s="8"/>
      <c r="N64214" s="8"/>
      <c r="O64214" s="8"/>
      <c r="P64214" s="8"/>
      <c r="Q64214" s="8"/>
      <c r="R64214" s="103"/>
      <c r="S64214" s="8"/>
      <c r="T64214" s="8"/>
      <c r="U64214" s="8"/>
      <c r="V64214" s="8"/>
      <c r="W64214" s="8"/>
      <c r="X64214" s="8"/>
      <c r="Y64214" s="8"/>
      <c r="Z64214" s="8"/>
      <c r="AA64214" s="8"/>
    </row>
    <row r="64215" spans="1:27" x14ac:dyDescent="0.25">
      <c r="A64215" s="8"/>
      <c r="B64215" s="8"/>
      <c r="C64215" s="99"/>
      <c r="D64215" s="8"/>
      <c r="E64215" s="8"/>
      <c r="F64215" s="8"/>
      <c r="G64215" s="8"/>
      <c r="H64215" s="8"/>
      <c r="I64215" s="102"/>
      <c r="J64215" s="8"/>
      <c r="K64215" s="8"/>
      <c r="L64215" s="8"/>
      <c r="M64215" s="8"/>
      <c r="N64215" s="8"/>
      <c r="O64215" s="8"/>
      <c r="P64215" s="8"/>
      <c r="Q64215" s="8"/>
      <c r="R64215" s="103"/>
      <c r="S64215" s="8"/>
      <c r="T64215" s="8"/>
      <c r="U64215" s="8"/>
      <c r="V64215" s="8"/>
      <c r="W64215" s="8"/>
      <c r="X64215" s="8"/>
      <c r="Y64215" s="8"/>
      <c r="Z64215" s="8"/>
      <c r="AA64215" s="8"/>
    </row>
    <row r="64216" spans="1:27" x14ac:dyDescent="0.25">
      <c r="A64216" s="8"/>
      <c r="B64216" s="8"/>
      <c r="C64216" s="99"/>
      <c r="D64216" s="8"/>
      <c r="E64216" s="8"/>
      <c r="F64216" s="8"/>
      <c r="G64216" s="8"/>
      <c r="H64216" s="8"/>
      <c r="I64216" s="102"/>
      <c r="J64216" s="8"/>
      <c r="K64216" s="8"/>
      <c r="L64216" s="8"/>
      <c r="M64216" s="8"/>
      <c r="N64216" s="8"/>
      <c r="O64216" s="8"/>
      <c r="P64216" s="8"/>
      <c r="Q64216" s="8"/>
      <c r="R64216" s="103"/>
      <c r="S64216" s="8"/>
      <c r="T64216" s="8"/>
      <c r="U64216" s="8"/>
      <c r="V64216" s="8"/>
      <c r="W64216" s="8"/>
      <c r="X64216" s="8"/>
      <c r="Y64216" s="8"/>
      <c r="Z64216" s="8"/>
      <c r="AA64216" s="8"/>
    </row>
    <row r="64217" spans="1:27" x14ac:dyDescent="0.25">
      <c r="A64217" s="8"/>
      <c r="B64217" s="8"/>
      <c r="C64217" s="99"/>
      <c r="D64217" s="8"/>
      <c r="E64217" s="8"/>
      <c r="F64217" s="8"/>
      <c r="G64217" s="8"/>
      <c r="H64217" s="8"/>
      <c r="I64217" s="102"/>
      <c r="J64217" s="8"/>
      <c r="K64217" s="8"/>
      <c r="L64217" s="8"/>
      <c r="M64217" s="8"/>
      <c r="N64217" s="8"/>
      <c r="O64217" s="8"/>
      <c r="P64217" s="8"/>
      <c r="Q64217" s="8"/>
      <c r="R64217" s="103"/>
      <c r="S64217" s="8"/>
      <c r="T64217" s="8"/>
      <c r="U64217" s="8"/>
      <c r="V64217" s="8"/>
      <c r="W64217" s="8"/>
      <c r="X64217" s="8"/>
      <c r="Y64217" s="8"/>
      <c r="Z64217" s="8"/>
      <c r="AA64217" s="8"/>
    </row>
    <row r="64218" spans="1:27" x14ac:dyDescent="0.25">
      <c r="A64218" s="8"/>
      <c r="B64218" s="8"/>
      <c r="C64218" s="99"/>
      <c r="D64218" s="8"/>
      <c r="E64218" s="8"/>
      <c r="F64218" s="8"/>
      <c r="G64218" s="8"/>
      <c r="H64218" s="8"/>
      <c r="I64218" s="102"/>
      <c r="J64218" s="8"/>
      <c r="K64218" s="8"/>
      <c r="L64218" s="8"/>
      <c r="M64218" s="8"/>
      <c r="N64218" s="8"/>
      <c r="O64218" s="8"/>
      <c r="P64218" s="8"/>
      <c r="Q64218" s="8"/>
      <c r="R64218" s="103"/>
      <c r="S64218" s="8"/>
      <c r="T64218" s="8"/>
      <c r="U64218" s="8"/>
      <c r="V64218" s="8"/>
      <c r="W64218" s="8"/>
      <c r="X64218" s="8"/>
      <c r="Y64218" s="8"/>
      <c r="Z64218" s="8"/>
      <c r="AA64218" s="8"/>
    </row>
    <row r="64219" spans="1:27" x14ac:dyDescent="0.25">
      <c r="A64219" s="8"/>
      <c r="B64219" s="8"/>
      <c r="C64219" s="99"/>
      <c r="D64219" s="8"/>
      <c r="E64219" s="8"/>
      <c r="F64219" s="8"/>
      <c r="G64219" s="8"/>
      <c r="H64219" s="8"/>
      <c r="I64219" s="102"/>
      <c r="J64219" s="8"/>
      <c r="K64219" s="8"/>
      <c r="L64219" s="8"/>
      <c r="M64219" s="8"/>
      <c r="N64219" s="8"/>
      <c r="O64219" s="8"/>
      <c r="P64219" s="8"/>
      <c r="Q64219" s="8"/>
      <c r="R64219" s="103"/>
      <c r="S64219" s="8"/>
      <c r="T64219" s="8"/>
      <c r="U64219" s="8"/>
      <c r="V64219" s="8"/>
      <c r="W64219" s="8"/>
      <c r="X64219" s="8"/>
      <c r="Y64219" s="8"/>
      <c r="Z64219" s="8"/>
      <c r="AA64219" s="8"/>
    </row>
    <row r="64220" spans="1:27" x14ac:dyDescent="0.25">
      <c r="A64220" s="8"/>
      <c r="B64220" s="8"/>
      <c r="C64220" s="99"/>
      <c r="D64220" s="8"/>
      <c r="E64220" s="8"/>
      <c r="F64220" s="8"/>
      <c r="G64220" s="8"/>
      <c r="H64220" s="8"/>
      <c r="I64220" s="102"/>
      <c r="J64220" s="8"/>
      <c r="K64220" s="8"/>
      <c r="L64220" s="8"/>
      <c r="M64220" s="8"/>
      <c r="N64220" s="8"/>
      <c r="O64220" s="8"/>
      <c r="P64220" s="8"/>
      <c r="Q64220" s="8"/>
      <c r="R64220" s="103"/>
      <c r="S64220" s="8"/>
      <c r="T64220" s="8"/>
      <c r="U64220" s="8"/>
      <c r="V64220" s="8"/>
      <c r="W64220" s="8"/>
      <c r="X64220" s="8"/>
      <c r="Y64220" s="8"/>
      <c r="Z64220" s="8"/>
      <c r="AA64220" s="8"/>
    </row>
    <row r="64221" spans="1:27" x14ac:dyDescent="0.25">
      <c r="A64221" s="8"/>
      <c r="B64221" s="8"/>
      <c r="C64221" s="99"/>
      <c r="D64221" s="8"/>
      <c r="E64221" s="8"/>
      <c r="F64221" s="8"/>
      <c r="G64221" s="8"/>
      <c r="H64221" s="8"/>
      <c r="I64221" s="102"/>
      <c r="J64221" s="8"/>
      <c r="K64221" s="8"/>
      <c r="L64221" s="8"/>
      <c r="M64221" s="8"/>
      <c r="N64221" s="8"/>
      <c r="O64221" s="8"/>
      <c r="P64221" s="8"/>
      <c r="Q64221" s="8"/>
      <c r="R64221" s="103"/>
      <c r="S64221" s="8"/>
      <c r="T64221" s="8"/>
      <c r="U64221" s="8"/>
      <c r="V64221" s="8"/>
      <c r="W64221" s="8"/>
      <c r="X64221" s="8"/>
      <c r="Y64221" s="8"/>
      <c r="Z64221" s="8"/>
      <c r="AA64221" s="8"/>
    </row>
    <row r="64222" spans="1:27" x14ac:dyDescent="0.25">
      <c r="A64222" s="8"/>
      <c r="B64222" s="8"/>
      <c r="C64222" s="99"/>
      <c r="D64222" s="8"/>
      <c r="E64222" s="8"/>
      <c r="F64222" s="8"/>
      <c r="G64222" s="8"/>
      <c r="H64222" s="8"/>
      <c r="I64222" s="102"/>
      <c r="J64222" s="8"/>
      <c r="K64222" s="8"/>
      <c r="L64222" s="8"/>
      <c r="M64222" s="8"/>
      <c r="N64222" s="8"/>
      <c r="O64222" s="8"/>
      <c r="P64222" s="8"/>
      <c r="Q64222" s="8"/>
      <c r="R64222" s="103"/>
      <c r="S64222" s="8"/>
      <c r="T64222" s="8"/>
      <c r="U64222" s="8"/>
      <c r="V64222" s="8"/>
      <c r="W64222" s="8"/>
      <c r="X64222" s="8"/>
      <c r="Y64222" s="8"/>
      <c r="Z64222" s="8"/>
      <c r="AA64222" s="8"/>
    </row>
    <row r="64223" spans="1:27" x14ac:dyDescent="0.25">
      <c r="A64223" s="8"/>
      <c r="B64223" s="8"/>
      <c r="C64223" s="99"/>
      <c r="D64223" s="8"/>
      <c r="E64223" s="8"/>
      <c r="F64223" s="8"/>
      <c r="G64223" s="8"/>
      <c r="H64223" s="8"/>
      <c r="I64223" s="102"/>
      <c r="J64223" s="8"/>
      <c r="K64223" s="8"/>
      <c r="L64223" s="8"/>
      <c r="M64223" s="8"/>
      <c r="N64223" s="8"/>
      <c r="O64223" s="8"/>
      <c r="P64223" s="8"/>
      <c r="Q64223" s="8"/>
      <c r="R64223" s="103"/>
      <c r="S64223" s="8"/>
      <c r="T64223" s="8"/>
      <c r="U64223" s="8"/>
      <c r="V64223" s="8"/>
      <c r="W64223" s="8"/>
      <c r="X64223" s="8"/>
      <c r="Y64223" s="8"/>
      <c r="Z64223" s="8"/>
      <c r="AA64223" s="8"/>
    </row>
    <row r="64224" spans="1:27" x14ac:dyDescent="0.25">
      <c r="A64224" s="8"/>
      <c r="B64224" s="8"/>
      <c r="C64224" s="99"/>
      <c r="D64224" s="8"/>
      <c r="E64224" s="8"/>
      <c r="F64224" s="8"/>
      <c r="G64224" s="8"/>
      <c r="H64224" s="8"/>
      <c r="I64224" s="102"/>
      <c r="J64224" s="8"/>
      <c r="K64224" s="8"/>
      <c r="L64224" s="8"/>
      <c r="M64224" s="8"/>
      <c r="N64224" s="8"/>
      <c r="O64224" s="8"/>
      <c r="P64224" s="8"/>
      <c r="Q64224" s="8"/>
      <c r="R64224" s="103"/>
      <c r="S64224" s="8"/>
      <c r="T64224" s="8"/>
      <c r="U64224" s="8"/>
      <c r="V64224" s="8"/>
      <c r="W64224" s="8"/>
      <c r="X64224" s="8"/>
      <c r="Y64224" s="8"/>
      <c r="Z64224" s="8"/>
      <c r="AA64224" s="8"/>
    </row>
    <row r="64225" spans="1:27" x14ac:dyDescent="0.25">
      <c r="A64225" s="8"/>
      <c r="B64225" s="8"/>
      <c r="C64225" s="99"/>
      <c r="D64225" s="8"/>
      <c r="E64225" s="8"/>
      <c r="F64225" s="8"/>
      <c r="G64225" s="8"/>
      <c r="H64225" s="8"/>
      <c r="I64225" s="102"/>
      <c r="J64225" s="8"/>
      <c r="K64225" s="8"/>
      <c r="L64225" s="8"/>
      <c r="M64225" s="8"/>
      <c r="N64225" s="8"/>
      <c r="O64225" s="8"/>
      <c r="P64225" s="8"/>
      <c r="Q64225" s="8"/>
      <c r="R64225" s="103"/>
      <c r="S64225" s="8"/>
      <c r="T64225" s="8"/>
      <c r="U64225" s="8"/>
      <c r="V64225" s="8"/>
      <c r="W64225" s="8"/>
      <c r="X64225" s="8"/>
      <c r="Y64225" s="8"/>
      <c r="Z64225" s="8"/>
      <c r="AA64225" s="8"/>
    </row>
    <row r="64226" spans="1:27" x14ac:dyDescent="0.25">
      <c r="A64226" s="8"/>
      <c r="B64226" s="8"/>
      <c r="C64226" s="99"/>
      <c r="D64226" s="8"/>
      <c r="E64226" s="8"/>
      <c r="F64226" s="8"/>
      <c r="G64226" s="8"/>
      <c r="H64226" s="8"/>
      <c r="I64226" s="102"/>
      <c r="J64226" s="8"/>
      <c r="K64226" s="8"/>
      <c r="L64226" s="8"/>
      <c r="M64226" s="8"/>
      <c r="N64226" s="8"/>
      <c r="O64226" s="8"/>
      <c r="P64226" s="8"/>
      <c r="Q64226" s="8"/>
      <c r="R64226" s="103"/>
      <c r="S64226" s="8"/>
      <c r="T64226" s="8"/>
      <c r="U64226" s="8"/>
      <c r="V64226" s="8"/>
      <c r="W64226" s="8"/>
      <c r="X64226" s="8"/>
      <c r="Y64226" s="8"/>
      <c r="Z64226" s="8"/>
      <c r="AA64226" s="8"/>
    </row>
    <row r="64227" spans="1:27" x14ac:dyDescent="0.25">
      <c r="A64227" s="8"/>
      <c r="B64227" s="8"/>
      <c r="C64227" s="99"/>
      <c r="D64227" s="8"/>
      <c r="E64227" s="8"/>
      <c r="F64227" s="8"/>
      <c r="G64227" s="8"/>
      <c r="H64227" s="8"/>
      <c r="I64227" s="102"/>
      <c r="J64227" s="8"/>
      <c r="K64227" s="8"/>
      <c r="L64227" s="8"/>
      <c r="M64227" s="8"/>
      <c r="N64227" s="8"/>
      <c r="O64227" s="8"/>
      <c r="P64227" s="8"/>
      <c r="Q64227" s="8"/>
      <c r="R64227" s="103"/>
      <c r="S64227" s="8"/>
      <c r="T64227" s="8"/>
      <c r="U64227" s="8"/>
      <c r="V64227" s="8"/>
      <c r="W64227" s="8"/>
      <c r="X64227" s="8"/>
      <c r="Y64227" s="8"/>
      <c r="Z64227" s="8"/>
      <c r="AA64227" s="8"/>
    </row>
    <row r="64228" spans="1:27" x14ac:dyDescent="0.25">
      <c r="A64228" s="8"/>
      <c r="B64228" s="8"/>
      <c r="C64228" s="99"/>
      <c r="D64228" s="8"/>
      <c r="E64228" s="8"/>
      <c r="F64228" s="8"/>
      <c r="G64228" s="8"/>
      <c r="H64228" s="8"/>
      <c r="I64228" s="102"/>
      <c r="J64228" s="8"/>
      <c r="K64228" s="8"/>
      <c r="L64228" s="8"/>
      <c r="M64228" s="8"/>
      <c r="N64228" s="8"/>
      <c r="O64228" s="8"/>
      <c r="P64228" s="8"/>
      <c r="Q64228" s="8"/>
      <c r="R64228" s="103"/>
      <c r="S64228" s="8"/>
      <c r="T64228" s="8"/>
      <c r="U64228" s="8"/>
      <c r="V64228" s="8"/>
      <c r="W64228" s="8"/>
      <c r="X64228" s="8"/>
      <c r="Y64228" s="8"/>
      <c r="Z64228" s="8"/>
      <c r="AA64228" s="8"/>
    </row>
    <row r="64229" spans="1:27" x14ac:dyDescent="0.25">
      <c r="A64229" s="8"/>
      <c r="B64229" s="8"/>
      <c r="C64229" s="99"/>
      <c r="D64229" s="8"/>
      <c r="E64229" s="8"/>
      <c r="F64229" s="8"/>
      <c r="G64229" s="8"/>
      <c r="H64229" s="8"/>
      <c r="I64229" s="102"/>
      <c r="J64229" s="8"/>
      <c r="K64229" s="8"/>
      <c r="L64229" s="8"/>
      <c r="M64229" s="8"/>
      <c r="N64229" s="8"/>
      <c r="O64229" s="8"/>
      <c r="P64229" s="8"/>
      <c r="Q64229" s="8"/>
      <c r="R64229" s="103"/>
      <c r="S64229" s="8"/>
      <c r="T64229" s="8"/>
      <c r="U64229" s="8"/>
      <c r="V64229" s="8"/>
      <c r="W64229" s="8"/>
      <c r="X64229" s="8"/>
      <c r="Y64229" s="8"/>
      <c r="Z64229" s="8"/>
      <c r="AA64229" s="8"/>
    </row>
    <row r="64230" spans="1:27" x14ac:dyDescent="0.25">
      <c r="A64230" s="8"/>
      <c r="B64230" s="8"/>
      <c r="C64230" s="99"/>
      <c r="D64230" s="8"/>
      <c r="E64230" s="8"/>
      <c r="F64230" s="8"/>
      <c r="G64230" s="8"/>
      <c r="H64230" s="8"/>
      <c r="I64230" s="102"/>
      <c r="J64230" s="8"/>
      <c r="K64230" s="8"/>
      <c r="L64230" s="8"/>
      <c r="M64230" s="8"/>
      <c r="N64230" s="8"/>
      <c r="O64230" s="8"/>
      <c r="P64230" s="8"/>
      <c r="Q64230" s="8"/>
      <c r="R64230" s="103"/>
      <c r="S64230" s="8"/>
      <c r="T64230" s="8"/>
      <c r="U64230" s="8"/>
      <c r="V64230" s="8"/>
      <c r="W64230" s="8"/>
      <c r="X64230" s="8"/>
      <c r="Y64230" s="8"/>
      <c r="Z64230" s="8"/>
      <c r="AA64230" s="8"/>
    </row>
    <row r="64231" spans="1:27" x14ac:dyDescent="0.25">
      <c r="A64231" s="8"/>
      <c r="B64231" s="8"/>
      <c r="C64231" s="99"/>
      <c r="D64231" s="8"/>
      <c r="E64231" s="8"/>
      <c r="F64231" s="8"/>
      <c r="G64231" s="8"/>
      <c r="H64231" s="8"/>
      <c r="I64231" s="102"/>
      <c r="J64231" s="8"/>
      <c r="K64231" s="8"/>
      <c r="L64231" s="8"/>
      <c r="M64231" s="8"/>
      <c r="N64231" s="8"/>
      <c r="O64231" s="8"/>
      <c r="P64231" s="8"/>
      <c r="Q64231" s="8"/>
      <c r="R64231" s="103"/>
      <c r="S64231" s="8"/>
      <c r="T64231" s="8"/>
      <c r="U64231" s="8"/>
      <c r="V64231" s="8"/>
      <c r="W64231" s="8"/>
      <c r="X64231" s="8"/>
      <c r="Y64231" s="8"/>
      <c r="Z64231" s="8"/>
      <c r="AA64231" s="8"/>
    </row>
    <row r="64232" spans="1:27" x14ac:dyDescent="0.25">
      <c r="A64232" s="8"/>
      <c r="B64232" s="8"/>
      <c r="C64232" s="99"/>
      <c r="D64232" s="8"/>
      <c r="E64232" s="8"/>
      <c r="F64232" s="8"/>
      <c r="G64232" s="8"/>
      <c r="H64232" s="8"/>
      <c r="I64232" s="102"/>
      <c r="J64232" s="8"/>
      <c r="K64232" s="8"/>
      <c r="L64232" s="8"/>
      <c r="M64232" s="8"/>
      <c r="N64232" s="8"/>
      <c r="O64232" s="8"/>
      <c r="P64232" s="8"/>
      <c r="Q64232" s="8"/>
      <c r="R64232" s="103"/>
      <c r="S64232" s="8"/>
      <c r="T64232" s="8"/>
      <c r="U64232" s="8"/>
      <c r="V64232" s="8"/>
      <c r="W64232" s="8"/>
      <c r="X64232" s="8"/>
      <c r="Y64232" s="8"/>
      <c r="Z64232" s="8"/>
      <c r="AA64232" s="8"/>
    </row>
    <row r="64233" spans="1:27" x14ac:dyDescent="0.25">
      <c r="A64233" s="8"/>
      <c r="B64233" s="8"/>
      <c r="C64233" s="99"/>
      <c r="D64233" s="8"/>
      <c r="E64233" s="8"/>
      <c r="F64233" s="8"/>
      <c r="G64233" s="8"/>
      <c r="H64233" s="8"/>
      <c r="I64233" s="102"/>
      <c r="J64233" s="8"/>
      <c r="K64233" s="8"/>
      <c r="L64233" s="8"/>
      <c r="M64233" s="8"/>
      <c r="N64233" s="8"/>
      <c r="O64233" s="8"/>
      <c r="P64233" s="8"/>
      <c r="Q64233" s="8"/>
      <c r="R64233" s="103"/>
      <c r="S64233" s="8"/>
      <c r="T64233" s="8"/>
      <c r="U64233" s="8"/>
      <c r="V64233" s="8"/>
      <c r="W64233" s="8"/>
      <c r="X64233" s="8"/>
      <c r="Y64233" s="8"/>
      <c r="Z64233" s="8"/>
      <c r="AA64233" s="8"/>
    </row>
    <row r="64234" spans="1:27" x14ac:dyDescent="0.25">
      <c r="A64234" s="8"/>
      <c r="B64234" s="8"/>
      <c r="C64234" s="99"/>
      <c r="D64234" s="8"/>
      <c r="E64234" s="8"/>
      <c r="F64234" s="8"/>
      <c r="G64234" s="8"/>
      <c r="H64234" s="8"/>
      <c r="I64234" s="102"/>
      <c r="J64234" s="8"/>
      <c r="K64234" s="8"/>
      <c r="L64234" s="8"/>
      <c r="M64234" s="8"/>
      <c r="N64234" s="8"/>
      <c r="O64234" s="8"/>
      <c r="P64234" s="8"/>
      <c r="Q64234" s="8"/>
      <c r="R64234" s="103"/>
      <c r="S64234" s="8"/>
      <c r="T64234" s="8"/>
      <c r="U64234" s="8"/>
      <c r="V64234" s="8"/>
      <c r="W64234" s="8"/>
      <c r="X64234" s="8"/>
      <c r="Y64234" s="8"/>
      <c r="Z64234" s="8"/>
      <c r="AA64234" s="8"/>
    </row>
    <row r="64235" spans="1:27" x14ac:dyDescent="0.25">
      <c r="A64235" s="8"/>
      <c r="B64235" s="8"/>
      <c r="C64235" s="99"/>
      <c r="D64235" s="8"/>
      <c r="E64235" s="8"/>
      <c r="F64235" s="8"/>
      <c r="G64235" s="8"/>
      <c r="H64235" s="8"/>
      <c r="I64235" s="102"/>
      <c r="J64235" s="8"/>
      <c r="K64235" s="8"/>
      <c r="L64235" s="8"/>
      <c r="M64235" s="8"/>
      <c r="N64235" s="8"/>
      <c r="O64235" s="8"/>
      <c r="P64235" s="8"/>
      <c r="Q64235" s="8"/>
      <c r="R64235" s="103"/>
      <c r="S64235" s="8"/>
      <c r="T64235" s="8"/>
      <c r="U64235" s="8"/>
      <c r="V64235" s="8"/>
      <c r="W64235" s="8"/>
      <c r="X64235" s="8"/>
      <c r="Y64235" s="8"/>
      <c r="Z64235" s="8"/>
      <c r="AA64235" s="8"/>
    </row>
    <row r="64236" spans="1:27" x14ac:dyDescent="0.25">
      <c r="A64236" s="8"/>
      <c r="B64236" s="8"/>
      <c r="C64236" s="99"/>
      <c r="D64236" s="8"/>
      <c r="E64236" s="8"/>
      <c r="F64236" s="8"/>
      <c r="G64236" s="8"/>
      <c r="H64236" s="8"/>
      <c r="I64236" s="102"/>
      <c r="J64236" s="8"/>
      <c r="K64236" s="8"/>
      <c r="L64236" s="8"/>
      <c r="M64236" s="8"/>
      <c r="N64236" s="8"/>
      <c r="O64236" s="8"/>
      <c r="P64236" s="8"/>
      <c r="Q64236" s="8"/>
      <c r="R64236" s="103"/>
      <c r="S64236" s="8"/>
      <c r="T64236" s="8"/>
      <c r="U64236" s="8"/>
      <c r="V64236" s="8"/>
      <c r="W64236" s="8"/>
      <c r="X64236" s="8"/>
      <c r="Y64236" s="8"/>
      <c r="Z64236" s="8"/>
      <c r="AA64236" s="8"/>
    </row>
    <row r="64237" spans="1:27" x14ac:dyDescent="0.25">
      <c r="A64237" s="8"/>
      <c r="B64237" s="8"/>
      <c r="C64237" s="99"/>
      <c r="D64237" s="8"/>
      <c r="E64237" s="8"/>
      <c r="F64237" s="8"/>
      <c r="G64237" s="8"/>
      <c r="H64237" s="8"/>
      <c r="I64237" s="102"/>
      <c r="J64237" s="8"/>
      <c r="K64237" s="8"/>
      <c r="L64237" s="8"/>
      <c r="M64237" s="8"/>
      <c r="N64237" s="8"/>
      <c r="O64237" s="8"/>
      <c r="P64237" s="8"/>
      <c r="Q64237" s="8"/>
      <c r="R64237" s="103"/>
      <c r="S64237" s="8"/>
      <c r="T64237" s="8"/>
      <c r="U64237" s="8"/>
      <c r="V64237" s="8"/>
      <c r="W64237" s="8"/>
      <c r="X64237" s="8"/>
      <c r="Y64237" s="8"/>
      <c r="Z64237" s="8"/>
      <c r="AA64237" s="8"/>
    </row>
    <row r="64238" spans="1:27" x14ac:dyDescent="0.25">
      <c r="A64238" s="8"/>
      <c r="B64238" s="8"/>
      <c r="C64238" s="99"/>
      <c r="D64238" s="8"/>
      <c r="E64238" s="8"/>
      <c r="F64238" s="8"/>
      <c r="G64238" s="8"/>
      <c r="H64238" s="8"/>
      <c r="I64238" s="102"/>
      <c r="J64238" s="8"/>
      <c r="K64238" s="8"/>
      <c r="L64238" s="8"/>
      <c r="M64238" s="8"/>
      <c r="N64238" s="8"/>
      <c r="O64238" s="8"/>
      <c r="P64238" s="8"/>
      <c r="Q64238" s="8"/>
      <c r="R64238" s="103"/>
      <c r="S64238" s="8"/>
      <c r="T64238" s="8"/>
      <c r="U64238" s="8"/>
      <c r="V64238" s="8"/>
      <c r="W64238" s="8"/>
      <c r="X64238" s="8"/>
      <c r="Y64238" s="8"/>
      <c r="Z64238" s="8"/>
      <c r="AA64238" s="8"/>
    </row>
    <row r="64239" spans="1:27" x14ac:dyDescent="0.25">
      <c r="A64239" s="8"/>
      <c r="B64239" s="8"/>
      <c r="C64239" s="99"/>
      <c r="D64239" s="8"/>
      <c r="E64239" s="8"/>
      <c r="F64239" s="8"/>
      <c r="G64239" s="8"/>
      <c r="H64239" s="8"/>
      <c r="I64239" s="102"/>
      <c r="J64239" s="8"/>
      <c r="K64239" s="8"/>
      <c r="L64239" s="8"/>
      <c r="M64239" s="8"/>
      <c r="N64239" s="8"/>
      <c r="O64239" s="8"/>
      <c r="P64239" s="8"/>
      <c r="Q64239" s="8"/>
      <c r="R64239" s="103"/>
      <c r="S64239" s="8"/>
      <c r="T64239" s="8"/>
      <c r="U64239" s="8"/>
      <c r="V64239" s="8"/>
      <c r="W64239" s="8"/>
      <c r="X64239" s="8"/>
      <c r="Y64239" s="8"/>
      <c r="Z64239" s="8"/>
      <c r="AA64239" s="8"/>
    </row>
    <row r="64240" spans="1:27" x14ac:dyDescent="0.25">
      <c r="A64240" s="8"/>
      <c r="B64240" s="8"/>
      <c r="C64240" s="99"/>
      <c r="D64240" s="8"/>
      <c r="E64240" s="8"/>
      <c r="F64240" s="8"/>
      <c r="G64240" s="8"/>
      <c r="H64240" s="8"/>
      <c r="I64240" s="102"/>
      <c r="J64240" s="8"/>
      <c r="K64240" s="8"/>
      <c r="L64240" s="8"/>
      <c r="M64240" s="8"/>
      <c r="N64240" s="8"/>
      <c r="O64240" s="8"/>
      <c r="P64240" s="8"/>
      <c r="Q64240" s="8"/>
      <c r="R64240" s="103"/>
      <c r="S64240" s="8"/>
      <c r="T64240" s="8"/>
      <c r="U64240" s="8"/>
      <c r="V64240" s="8"/>
      <c r="W64240" s="8"/>
      <c r="X64240" s="8"/>
      <c r="Y64240" s="8"/>
      <c r="Z64240" s="8"/>
      <c r="AA64240" s="8"/>
    </row>
    <row r="64241" spans="1:27" x14ac:dyDescent="0.25">
      <c r="A64241" s="8"/>
      <c r="B64241" s="8"/>
      <c r="C64241" s="99"/>
      <c r="D64241" s="8"/>
      <c r="E64241" s="8"/>
      <c r="F64241" s="8"/>
      <c r="G64241" s="8"/>
      <c r="H64241" s="8"/>
      <c r="I64241" s="102"/>
      <c r="J64241" s="8"/>
      <c r="K64241" s="8"/>
      <c r="L64241" s="8"/>
      <c r="M64241" s="8"/>
      <c r="N64241" s="8"/>
      <c r="O64241" s="8"/>
      <c r="P64241" s="8"/>
      <c r="Q64241" s="8"/>
      <c r="R64241" s="103"/>
      <c r="S64241" s="8"/>
      <c r="T64241" s="8"/>
      <c r="U64241" s="8"/>
      <c r="V64241" s="8"/>
      <c r="W64241" s="8"/>
      <c r="X64241" s="8"/>
      <c r="Y64241" s="8"/>
      <c r="Z64241" s="8"/>
      <c r="AA64241" s="8"/>
    </row>
    <row r="64242" spans="1:27" x14ac:dyDescent="0.25">
      <c r="A64242" s="8"/>
      <c r="B64242" s="8"/>
      <c r="C64242" s="99"/>
      <c r="D64242" s="8"/>
      <c r="E64242" s="8"/>
      <c r="F64242" s="8"/>
      <c r="G64242" s="8"/>
      <c r="H64242" s="8"/>
      <c r="I64242" s="102"/>
      <c r="J64242" s="8"/>
      <c r="K64242" s="8"/>
      <c r="L64242" s="8"/>
      <c r="M64242" s="8"/>
      <c r="N64242" s="8"/>
      <c r="O64242" s="8"/>
      <c r="P64242" s="8"/>
      <c r="Q64242" s="8"/>
      <c r="R64242" s="103"/>
      <c r="S64242" s="8"/>
      <c r="T64242" s="8"/>
      <c r="U64242" s="8"/>
      <c r="V64242" s="8"/>
      <c r="W64242" s="8"/>
      <c r="X64242" s="8"/>
      <c r="Y64242" s="8"/>
      <c r="Z64242" s="8"/>
      <c r="AA64242" s="8"/>
    </row>
    <row r="64243" spans="1:27" x14ac:dyDescent="0.25">
      <c r="A64243" s="8"/>
      <c r="B64243" s="8"/>
      <c r="C64243" s="99"/>
      <c r="D64243" s="8"/>
      <c r="E64243" s="8"/>
      <c r="F64243" s="8"/>
      <c r="G64243" s="8"/>
      <c r="H64243" s="8"/>
      <c r="I64243" s="102"/>
      <c r="J64243" s="8"/>
      <c r="K64243" s="8"/>
      <c r="L64243" s="8"/>
      <c r="M64243" s="8"/>
      <c r="N64243" s="8"/>
      <c r="O64243" s="8"/>
      <c r="P64243" s="8"/>
      <c r="Q64243" s="8"/>
      <c r="R64243" s="103"/>
      <c r="S64243" s="8"/>
      <c r="T64243" s="8"/>
      <c r="U64243" s="8"/>
      <c r="V64243" s="8"/>
      <c r="W64243" s="8"/>
      <c r="X64243" s="8"/>
      <c r="Y64243" s="8"/>
      <c r="Z64243" s="8"/>
      <c r="AA64243" s="8"/>
    </row>
    <row r="64244" spans="1:27" x14ac:dyDescent="0.25">
      <c r="A64244" s="8"/>
      <c r="B64244" s="8"/>
      <c r="C64244" s="99"/>
      <c r="D64244" s="8"/>
      <c r="E64244" s="8"/>
      <c r="F64244" s="8"/>
      <c r="G64244" s="8"/>
      <c r="H64244" s="8"/>
      <c r="I64244" s="102"/>
      <c r="J64244" s="8"/>
      <c r="K64244" s="8"/>
      <c r="L64244" s="8"/>
      <c r="M64244" s="8"/>
      <c r="N64244" s="8"/>
      <c r="O64244" s="8"/>
      <c r="P64244" s="8"/>
      <c r="Q64244" s="8"/>
      <c r="R64244" s="103"/>
      <c r="S64244" s="8"/>
      <c r="T64244" s="8"/>
      <c r="U64244" s="8"/>
      <c r="V64244" s="8"/>
      <c r="W64244" s="8"/>
      <c r="X64244" s="8"/>
      <c r="Y64244" s="8"/>
      <c r="Z64244" s="8"/>
      <c r="AA64244" s="8"/>
    </row>
    <row r="64245" spans="1:27" x14ac:dyDescent="0.25">
      <c r="A64245" s="8"/>
      <c r="B64245" s="8"/>
      <c r="C64245" s="99"/>
      <c r="D64245" s="8"/>
      <c r="E64245" s="8"/>
      <c r="F64245" s="8"/>
      <c r="G64245" s="8"/>
      <c r="H64245" s="8"/>
      <c r="I64245" s="102"/>
      <c r="J64245" s="8"/>
      <c r="K64245" s="8"/>
      <c r="L64245" s="8"/>
      <c r="M64245" s="8"/>
      <c r="N64245" s="8"/>
      <c r="O64245" s="8"/>
      <c r="P64245" s="8"/>
      <c r="Q64245" s="8"/>
      <c r="R64245" s="103"/>
      <c r="S64245" s="8"/>
      <c r="T64245" s="8"/>
      <c r="U64245" s="8"/>
      <c r="V64245" s="8"/>
      <c r="W64245" s="8"/>
      <c r="X64245" s="8"/>
      <c r="Y64245" s="8"/>
      <c r="Z64245" s="8"/>
      <c r="AA64245" s="8"/>
    </row>
    <row r="64246" spans="1:27" x14ac:dyDescent="0.25">
      <c r="A64246" s="8"/>
      <c r="B64246" s="8"/>
      <c r="C64246" s="99"/>
      <c r="D64246" s="8"/>
      <c r="E64246" s="8"/>
      <c r="F64246" s="8"/>
      <c r="G64246" s="8"/>
      <c r="H64246" s="8"/>
      <c r="I64246" s="102"/>
      <c r="J64246" s="8"/>
      <c r="K64246" s="8"/>
      <c r="L64246" s="8"/>
      <c r="M64246" s="8"/>
      <c r="N64246" s="8"/>
      <c r="O64246" s="8"/>
      <c r="P64246" s="8"/>
      <c r="Q64246" s="8"/>
      <c r="R64246" s="103"/>
      <c r="S64246" s="8"/>
      <c r="T64246" s="8"/>
      <c r="U64246" s="8"/>
      <c r="V64246" s="8"/>
      <c r="W64246" s="8"/>
      <c r="X64246" s="8"/>
      <c r="Y64246" s="8"/>
      <c r="Z64246" s="8"/>
      <c r="AA64246" s="8"/>
    </row>
    <row r="64247" spans="1:27" x14ac:dyDescent="0.25">
      <c r="A64247" s="8"/>
      <c r="B64247" s="8"/>
      <c r="C64247" s="99"/>
      <c r="D64247" s="8"/>
      <c r="E64247" s="8"/>
      <c r="F64247" s="8"/>
      <c r="G64247" s="8"/>
      <c r="H64247" s="8"/>
      <c r="I64247" s="102"/>
      <c r="J64247" s="8"/>
      <c r="K64247" s="8"/>
      <c r="L64247" s="8"/>
      <c r="M64247" s="8"/>
      <c r="N64247" s="8"/>
      <c r="O64247" s="8"/>
      <c r="P64247" s="8"/>
      <c r="Q64247" s="8"/>
      <c r="R64247" s="103"/>
      <c r="S64247" s="8"/>
      <c r="T64247" s="8"/>
      <c r="U64247" s="8"/>
      <c r="V64247" s="8"/>
      <c r="W64247" s="8"/>
      <c r="X64247" s="8"/>
      <c r="Y64247" s="8"/>
      <c r="Z64247" s="8"/>
      <c r="AA64247" s="8"/>
    </row>
    <row r="64248" spans="1:27" x14ac:dyDescent="0.25">
      <c r="A64248" s="8"/>
      <c r="B64248" s="8"/>
      <c r="C64248" s="99"/>
      <c r="D64248" s="8"/>
      <c r="E64248" s="8"/>
      <c r="F64248" s="8"/>
      <c r="G64248" s="8"/>
      <c r="H64248" s="8"/>
      <c r="I64248" s="102"/>
      <c r="J64248" s="8"/>
      <c r="K64248" s="8"/>
      <c r="L64248" s="8"/>
      <c r="M64248" s="8"/>
      <c r="N64248" s="8"/>
      <c r="O64248" s="8"/>
      <c r="P64248" s="8"/>
      <c r="Q64248" s="8"/>
      <c r="R64248" s="103"/>
      <c r="S64248" s="8"/>
      <c r="T64248" s="8"/>
      <c r="U64248" s="8"/>
      <c r="V64248" s="8"/>
      <c r="W64248" s="8"/>
      <c r="X64248" s="8"/>
      <c r="Y64248" s="8"/>
      <c r="Z64248" s="8"/>
      <c r="AA64248" s="8"/>
    </row>
    <row r="64249" spans="1:27" x14ac:dyDescent="0.25">
      <c r="A64249" s="8"/>
      <c r="B64249" s="8"/>
      <c r="C64249" s="99"/>
      <c r="D64249" s="8"/>
      <c r="E64249" s="8"/>
      <c r="F64249" s="8"/>
      <c r="G64249" s="8"/>
      <c r="H64249" s="8"/>
      <c r="I64249" s="102"/>
      <c r="J64249" s="8"/>
      <c r="K64249" s="8"/>
      <c r="L64249" s="8"/>
      <c r="M64249" s="8"/>
      <c r="N64249" s="8"/>
      <c r="O64249" s="8"/>
      <c r="P64249" s="8"/>
      <c r="Q64249" s="8"/>
      <c r="R64249" s="103"/>
      <c r="S64249" s="8"/>
      <c r="T64249" s="8"/>
      <c r="U64249" s="8"/>
      <c r="V64249" s="8"/>
      <c r="W64249" s="8"/>
      <c r="X64249" s="8"/>
      <c r="Y64249" s="8"/>
      <c r="Z64249" s="8"/>
      <c r="AA64249" s="8"/>
    </row>
    <row r="64250" spans="1:27" x14ac:dyDescent="0.25">
      <c r="A64250" s="8"/>
      <c r="B64250" s="8"/>
      <c r="C64250" s="99"/>
      <c r="D64250" s="8"/>
      <c r="E64250" s="8"/>
      <c r="F64250" s="8"/>
      <c r="G64250" s="8"/>
      <c r="H64250" s="8"/>
      <c r="I64250" s="102"/>
      <c r="J64250" s="8"/>
      <c r="K64250" s="8"/>
      <c r="L64250" s="8"/>
      <c r="M64250" s="8"/>
      <c r="N64250" s="8"/>
      <c r="O64250" s="8"/>
      <c r="P64250" s="8"/>
      <c r="Q64250" s="8"/>
      <c r="R64250" s="103"/>
      <c r="S64250" s="8"/>
      <c r="T64250" s="8"/>
      <c r="U64250" s="8"/>
      <c r="V64250" s="8"/>
      <c r="W64250" s="8"/>
      <c r="X64250" s="8"/>
      <c r="Y64250" s="8"/>
      <c r="Z64250" s="8"/>
      <c r="AA64250" s="8"/>
    </row>
    <row r="64251" spans="1:27" x14ac:dyDescent="0.25">
      <c r="A64251" s="8"/>
      <c r="B64251" s="8"/>
      <c r="C64251" s="99"/>
      <c r="D64251" s="8"/>
      <c r="E64251" s="8"/>
      <c r="F64251" s="8"/>
      <c r="G64251" s="8"/>
      <c r="H64251" s="8"/>
      <c r="I64251" s="102"/>
      <c r="J64251" s="8"/>
      <c r="K64251" s="8"/>
      <c r="L64251" s="8"/>
      <c r="M64251" s="8"/>
      <c r="N64251" s="8"/>
      <c r="O64251" s="8"/>
      <c r="P64251" s="8"/>
      <c r="Q64251" s="8"/>
      <c r="R64251" s="103"/>
      <c r="S64251" s="8"/>
      <c r="T64251" s="8"/>
      <c r="U64251" s="8"/>
      <c r="V64251" s="8"/>
      <c r="W64251" s="8"/>
      <c r="X64251" s="8"/>
      <c r="Y64251" s="8"/>
      <c r="Z64251" s="8"/>
      <c r="AA64251" s="8"/>
    </row>
    <row r="64252" spans="1:27" x14ac:dyDescent="0.25">
      <c r="A64252" s="8"/>
      <c r="B64252" s="8"/>
      <c r="C64252" s="99"/>
      <c r="D64252" s="8"/>
      <c r="E64252" s="8"/>
      <c r="F64252" s="8"/>
      <c r="G64252" s="8"/>
      <c r="H64252" s="8"/>
      <c r="I64252" s="102"/>
      <c r="J64252" s="8"/>
      <c r="K64252" s="8"/>
      <c r="L64252" s="8"/>
      <c r="M64252" s="8"/>
      <c r="N64252" s="8"/>
      <c r="O64252" s="8"/>
      <c r="P64252" s="8"/>
      <c r="Q64252" s="8"/>
      <c r="R64252" s="103"/>
      <c r="S64252" s="8"/>
      <c r="T64252" s="8"/>
      <c r="U64252" s="8"/>
      <c r="V64252" s="8"/>
      <c r="W64252" s="8"/>
      <c r="X64252" s="8"/>
      <c r="Y64252" s="8"/>
      <c r="Z64252" s="8"/>
      <c r="AA64252" s="8"/>
    </row>
    <row r="64253" spans="1:27" x14ac:dyDescent="0.25">
      <c r="A64253" s="8"/>
      <c r="B64253" s="8"/>
      <c r="C64253" s="99"/>
      <c r="D64253" s="8"/>
      <c r="E64253" s="8"/>
      <c r="F64253" s="8"/>
      <c r="G64253" s="8"/>
      <c r="H64253" s="8"/>
      <c r="I64253" s="102"/>
      <c r="J64253" s="8"/>
      <c r="K64253" s="8"/>
      <c r="L64253" s="8"/>
      <c r="M64253" s="8"/>
      <c r="N64253" s="8"/>
      <c r="O64253" s="8"/>
      <c r="P64253" s="8"/>
      <c r="Q64253" s="8"/>
      <c r="R64253" s="103"/>
      <c r="S64253" s="8"/>
      <c r="T64253" s="8"/>
      <c r="U64253" s="8"/>
      <c r="V64253" s="8"/>
      <c r="W64253" s="8"/>
      <c r="X64253" s="8"/>
      <c r="Y64253" s="8"/>
      <c r="Z64253" s="8"/>
      <c r="AA64253" s="8"/>
    </row>
    <row r="64254" spans="1:27" x14ac:dyDescent="0.25">
      <c r="A64254" s="8"/>
      <c r="B64254" s="8"/>
      <c r="C64254" s="99"/>
      <c r="D64254" s="8"/>
      <c r="E64254" s="8"/>
      <c r="F64254" s="8"/>
      <c r="G64254" s="8"/>
      <c r="H64254" s="8"/>
      <c r="I64254" s="102"/>
      <c r="J64254" s="8"/>
      <c r="K64254" s="8"/>
      <c r="L64254" s="8"/>
      <c r="M64254" s="8"/>
      <c r="N64254" s="8"/>
      <c r="O64254" s="8"/>
      <c r="P64254" s="8"/>
      <c r="Q64254" s="8"/>
      <c r="R64254" s="103"/>
      <c r="S64254" s="8"/>
      <c r="T64254" s="8"/>
      <c r="U64254" s="8"/>
      <c r="V64254" s="8"/>
      <c r="W64254" s="8"/>
      <c r="X64254" s="8"/>
      <c r="Y64254" s="8"/>
      <c r="Z64254" s="8"/>
      <c r="AA64254" s="8"/>
    </row>
    <row r="64255" spans="1:27" x14ac:dyDescent="0.25">
      <c r="A64255" s="8"/>
      <c r="B64255" s="8"/>
      <c r="C64255" s="99"/>
      <c r="D64255" s="8"/>
      <c r="E64255" s="8"/>
      <c r="F64255" s="8"/>
      <c r="G64255" s="8"/>
      <c r="H64255" s="8"/>
      <c r="I64255" s="102"/>
      <c r="J64255" s="8"/>
      <c r="K64255" s="8"/>
      <c r="L64255" s="8"/>
      <c r="M64255" s="8"/>
      <c r="N64255" s="8"/>
      <c r="O64255" s="8"/>
      <c r="P64255" s="8"/>
      <c r="Q64255" s="8"/>
      <c r="R64255" s="103"/>
      <c r="S64255" s="8"/>
      <c r="T64255" s="8"/>
      <c r="U64255" s="8"/>
      <c r="V64255" s="8"/>
      <c r="W64255" s="8"/>
      <c r="X64255" s="8"/>
      <c r="Y64255" s="8"/>
      <c r="Z64255" s="8"/>
      <c r="AA64255" s="8"/>
    </row>
    <row r="64256" spans="1:27" x14ac:dyDescent="0.25">
      <c r="A64256" s="8"/>
      <c r="B64256" s="8"/>
      <c r="C64256" s="99"/>
      <c r="D64256" s="8"/>
      <c r="E64256" s="8"/>
      <c r="F64256" s="8"/>
      <c r="G64256" s="8"/>
      <c r="H64256" s="8"/>
      <c r="I64256" s="102"/>
      <c r="J64256" s="8"/>
      <c r="K64256" s="8"/>
      <c r="L64256" s="8"/>
      <c r="M64256" s="8"/>
      <c r="N64256" s="8"/>
      <c r="O64256" s="8"/>
      <c r="P64256" s="8"/>
      <c r="Q64256" s="8"/>
      <c r="R64256" s="103"/>
      <c r="S64256" s="8"/>
      <c r="T64256" s="8"/>
      <c r="U64256" s="8"/>
      <c r="V64256" s="8"/>
      <c r="W64256" s="8"/>
      <c r="X64256" s="8"/>
      <c r="Y64256" s="8"/>
      <c r="Z64256" s="8"/>
      <c r="AA64256" s="8"/>
    </row>
    <row r="64257" spans="1:27" x14ac:dyDescent="0.25">
      <c r="A64257" s="8"/>
      <c r="B64257" s="8"/>
      <c r="C64257" s="99"/>
      <c r="D64257" s="8"/>
      <c r="E64257" s="8"/>
      <c r="F64257" s="8"/>
      <c r="G64257" s="8"/>
      <c r="H64257" s="8"/>
      <c r="I64257" s="102"/>
      <c r="J64257" s="8"/>
      <c r="K64257" s="8"/>
      <c r="L64257" s="8"/>
      <c r="M64257" s="8"/>
      <c r="N64257" s="8"/>
      <c r="O64257" s="8"/>
      <c r="P64257" s="8"/>
      <c r="Q64257" s="8"/>
      <c r="R64257" s="103"/>
      <c r="S64257" s="8"/>
      <c r="T64257" s="8"/>
      <c r="U64257" s="8"/>
      <c r="V64257" s="8"/>
      <c r="W64257" s="8"/>
      <c r="X64257" s="8"/>
      <c r="Y64257" s="8"/>
      <c r="Z64257" s="8"/>
      <c r="AA64257" s="8"/>
    </row>
    <row r="64258" spans="1:27" x14ac:dyDescent="0.25">
      <c r="A64258" s="8"/>
      <c r="B64258" s="8"/>
      <c r="C64258" s="99"/>
      <c r="D64258" s="8"/>
      <c r="E64258" s="8"/>
      <c r="F64258" s="8"/>
      <c r="G64258" s="8"/>
      <c r="H64258" s="8"/>
      <c r="I64258" s="102"/>
      <c r="J64258" s="8"/>
      <c r="K64258" s="8"/>
      <c r="L64258" s="8"/>
      <c r="M64258" s="8"/>
      <c r="N64258" s="8"/>
      <c r="O64258" s="8"/>
      <c r="P64258" s="8"/>
      <c r="Q64258" s="8"/>
      <c r="R64258" s="103"/>
      <c r="S64258" s="8"/>
      <c r="T64258" s="8"/>
      <c r="U64258" s="8"/>
      <c r="V64258" s="8"/>
      <c r="W64258" s="8"/>
      <c r="X64258" s="8"/>
      <c r="Y64258" s="8"/>
      <c r="Z64258" s="8"/>
      <c r="AA64258" s="8"/>
    </row>
    <row r="64259" spans="1:27" x14ac:dyDescent="0.25">
      <c r="A64259" s="8"/>
      <c r="B64259" s="8"/>
      <c r="C64259" s="99"/>
      <c r="D64259" s="8"/>
      <c r="E64259" s="8"/>
      <c r="F64259" s="8"/>
      <c r="G64259" s="8"/>
      <c r="H64259" s="8"/>
      <c r="I64259" s="102"/>
      <c r="J64259" s="8"/>
      <c r="K64259" s="8"/>
      <c r="L64259" s="8"/>
      <c r="M64259" s="8"/>
      <c r="N64259" s="8"/>
      <c r="O64259" s="8"/>
      <c r="P64259" s="8"/>
      <c r="Q64259" s="8"/>
      <c r="R64259" s="103"/>
      <c r="S64259" s="8"/>
      <c r="T64259" s="8"/>
      <c r="U64259" s="8"/>
      <c r="V64259" s="8"/>
      <c r="W64259" s="8"/>
      <c r="X64259" s="8"/>
      <c r="Y64259" s="8"/>
      <c r="Z64259" s="8"/>
      <c r="AA64259" s="8"/>
    </row>
    <row r="64260" spans="1:27" x14ac:dyDescent="0.25">
      <c r="A64260" s="8"/>
      <c r="B64260" s="8"/>
      <c r="C64260" s="99"/>
      <c r="D64260" s="8"/>
      <c r="E64260" s="8"/>
      <c r="F64260" s="8"/>
      <c r="G64260" s="8"/>
      <c r="H64260" s="8"/>
      <c r="I64260" s="102"/>
      <c r="J64260" s="8"/>
      <c r="K64260" s="8"/>
      <c r="L64260" s="8"/>
      <c r="M64260" s="8"/>
      <c r="N64260" s="8"/>
      <c r="O64260" s="8"/>
      <c r="P64260" s="8"/>
      <c r="Q64260" s="8"/>
      <c r="R64260" s="103"/>
      <c r="S64260" s="8"/>
      <c r="T64260" s="8"/>
      <c r="U64260" s="8"/>
      <c r="V64260" s="8"/>
      <c r="W64260" s="8"/>
      <c r="X64260" s="8"/>
      <c r="Y64260" s="8"/>
      <c r="Z64260" s="8"/>
      <c r="AA64260" s="8"/>
    </row>
    <row r="64261" spans="1:27" x14ac:dyDescent="0.25">
      <c r="A64261" s="8"/>
      <c r="B64261" s="8"/>
      <c r="C64261" s="99"/>
      <c r="D64261" s="8"/>
      <c r="E64261" s="8"/>
      <c r="F64261" s="8"/>
      <c r="G64261" s="8"/>
      <c r="H64261" s="8"/>
      <c r="I64261" s="102"/>
      <c r="J64261" s="8"/>
      <c r="K64261" s="8"/>
      <c r="L64261" s="8"/>
      <c r="M64261" s="8"/>
      <c r="N64261" s="8"/>
      <c r="O64261" s="8"/>
      <c r="P64261" s="8"/>
      <c r="Q64261" s="8"/>
      <c r="R64261" s="103"/>
      <c r="S64261" s="8"/>
      <c r="T64261" s="8"/>
      <c r="U64261" s="8"/>
      <c r="V64261" s="8"/>
      <c r="W64261" s="8"/>
      <c r="X64261" s="8"/>
      <c r="Y64261" s="8"/>
      <c r="Z64261" s="8"/>
      <c r="AA64261" s="8"/>
    </row>
    <row r="64262" spans="1:27" x14ac:dyDescent="0.25">
      <c r="A64262" s="8"/>
      <c r="B64262" s="8"/>
      <c r="C64262" s="99"/>
      <c r="D64262" s="8"/>
      <c r="E64262" s="8"/>
      <c r="F64262" s="8"/>
      <c r="G64262" s="8"/>
      <c r="H64262" s="8"/>
      <c r="I64262" s="102"/>
      <c r="J64262" s="8"/>
      <c r="K64262" s="8"/>
      <c r="L64262" s="8"/>
      <c r="M64262" s="8"/>
      <c r="N64262" s="8"/>
      <c r="O64262" s="8"/>
      <c r="P64262" s="8"/>
      <c r="Q64262" s="8"/>
      <c r="R64262" s="103"/>
      <c r="S64262" s="8"/>
      <c r="T64262" s="8"/>
      <c r="U64262" s="8"/>
      <c r="V64262" s="8"/>
      <c r="W64262" s="8"/>
      <c r="X64262" s="8"/>
      <c r="Y64262" s="8"/>
      <c r="Z64262" s="8"/>
      <c r="AA64262" s="8"/>
    </row>
    <row r="64263" spans="1:27" x14ac:dyDescent="0.25">
      <c r="A64263" s="8"/>
      <c r="B64263" s="8"/>
      <c r="C64263" s="99"/>
      <c r="D64263" s="8"/>
      <c r="E64263" s="8"/>
      <c r="F64263" s="8"/>
      <c r="G64263" s="8"/>
      <c r="H64263" s="8"/>
      <c r="I64263" s="102"/>
      <c r="J64263" s="8"/>
      <c r="K64263" s="8"/>
      <c r="L64263" s="8"/>
      <c r="M64263" s="8"/>
      <c r="N64263" s="8"/>
      <c r="O64263" s="8"/>
      <c r="P64263" s="8"/>
      <c r="Q64263" s="8"/>
      <c r="R64263" s="103"/>
      <c r="S64263" s="8"/>
      <c r="T64263" s="8"/>
      <c r="U64263" s="8"/>
      <c r="V64263" s="8"/>
      <c r="W64263" s="8"/>
      <c r="X64263" s="8"/>
      <c r="Y64263" s="8"/>
      <c r="Z64263" s="8"/>
      <c r="AA64263" s="8"/>
    </row>
    <row r="64264" spans="1:27" x14ac:dyDescent="0.25">
      <c r="A64264" s="8"/>
      <c r="B64264" s="8"/>
      <c r="C64264" s="99"/>
      <c r="D64264" s="8"/>
      <c r="E64264" s="8"/>
      <c r="F64264" s="8"/>
      <c r="G64264" s="8"/>
      <c r="H64264" s="8"/>
      <c r="I64264" s="102"/>
      <c r="J64264" s="8"/>
      <c r="K64264" s="8"/>
      <c r="L64264" s="8"/>
      <c r="M64264" s="8"/>
      <c r="N64264" s="8"/>
      <c r="O64264" s="8"/>
      <c r="P64264" s="8"/>
      <c r="Q64264" s="8"/>
      <c r="R64264" s="103"/>
      <c r="S64264" s="8"/>
      <c r="T64264" s="8"/>
      <c r="U64264" s="8"/>
      <c r="V64264" s="8"/>
      <c r="W64264" s="8"/>
      <c r="X64264" s="8"/>
      <c r="Y64264" s="8"/>
      <c r="Z64264" s="8"/>
      <c r="AA64264" s="8"/>
    </row>
    <row r="64265" spans="1:27" x14ac:dyDescent="0.25">
      <c r="A64265" s="8"/>
      <c r="B64265" s="8"/>
      <c r="C64265" s="99"/>
      <c r="D64265" s="8"/>
      <c r="E64265" s="8"/>
      <c r="F64265" s="8"/>
      <c r="G64265" s="8"/>
      <c r="H64265" s="8"/>
      <c r="I64265" s="102"/>
      <c r="J64265" s="8"/>
      <c r="K64265" s="8"/>
      <c r="L64265" s="8"/>
      <c r="M64265" s="8"/>
      <c r="N64265" s="8"/>
      <c r="O64265" s="8"/>
      <c r="P64265" s="8"/>
      <c r="Q64265" s="8"/>
      <c r="R64265" s="103"/>
      <c r="S64265" s="8"/>
      <c r="T64265" s="8"/>
      <c r="U64265" s="8"/>
      <c r="V64265" s="8"/>
      <c r="W64265" s="8"/>
      <c r="X64265" s="8"/>
      <c r="Y64265" s="8"/>
      <c r="Z64265" s="8"/>
      <c r="AA64265" s="8"/>
    </row>
    <row r="64266" spans="1:27" x14ac:dyDescent="0.25">
      <c r="A64266" s="8"/>
      <c r="B64266" s="8"/>
      <c r="C64266" s="99"/>
      <c r="D64266" s="8"/>
      <c r="E64266" s="8"/>
      <c r="F64266" s="8"/>
      <c r="G64266" s="8"/>
      <c r="H64266" s="8"/>
      <c r="I64266" s="102"/>
      <c r="J64266" s="8"/>
      <c r="K64266" s="8"/>
      <c r="L64266" s="8"/>
      <c r="M64266" s="8"/>
      <c r="N64266" s="8"/>
      <c r="O64266" s="8"/>
      <c r="P64266" s="8"/>
      <c r="Q64266" s="8"/>
      <c r="R64266" s="103"/>
      <c r="S64266" s="8"/>
      <c r="T64266" s="8"/>
      <c r="U64266" s="8"/>
      <c r="V64266" s="8"/>
      <c r="W64266" s="8"/>
      <c r="X64266" s="8"/>
      <c r="Y64266" s="8"/>
      <c r="Z64266" s="8"/>
      <c r="AA64266" s="8"/>
    </row>
    <row r="64267" spans="1:27" x14ac:dyDescent="0.25">
      <c r="A64267" s="8"/>
      <c r="B64267" s="8"/>
      <c r="C64267" s="99"/>
      <c r="D64267" s="8"/>
      <c r="E64267" s="8"/>
      <c r="F64267" s="8"/>
      <c r="G64267" s="8"/>
      <c r="H64267" s="8"/>
      <c r="I64267" s="102"/>
      <c r="J64267" s="8"/>
      <c r="K64267" s="8"/>
      <c r="L64267" s="8"/>
      <c r="M64267" s="8"/>
      <c r="N64267" s="8"/>
      <c r="O64267" s="8"/>
      <c r="P64267" s="8"/>
      <c r="Q64267" s="8"/>
      <c r="R64267" s="103"/>
      <c r="S64267" s="8"/>
      <c r="T64267" s="8"/>
      <c r="U64267" s="8"/>
      <c r="V64267" s="8"/>
      <c r="W64267" s="8"/>
      <c r="X64267" s="8"/>
      <c r="Y64267" s="8"/>
      <c r="Z64267" s="8"/>
      <c r="AA64267" s="8"/>
    </row>
    <row r="64268" spans="1:27" x14ac:dyDescent="0.25">
      <c r="A64268" s="8"/>
      <c r="B64268" s="8"/>
      <c r="C64268" s="99"/>
      <c r="D64268" s="8"/>
      <c r="E64268" s="8"/>
      <c r="F64268" s="8"/>
      <c r="G64268" s="8"/>
      <c r="H64268" s="8"/>
      <c r="I64268" s="102"/>
      <c r="J64268" s="8"/>
      <c r="K64268" s="8"/>
      <c r="L64268" s="8"/>
      <c r="M64268" s="8"/>
      <c r="N64268" s="8"/>
      <c r="O64268" s="8"/>
      <c r="P64268" s="8"/>
      <c r="Q64268" s="8"/>
      <c r="R64268" s="103"/>
      <c r="S64268" s="8"/>
      <c r="T64268" s="8"/>
      <c r="U64268" s="8"/>
      <c r="V64268" s="8"/>
      <c r="W64268" s="8"/>
      <c r="X64268" s="8"/>
      <c r="Y64268" s="8"/>
      <c r="Z64268" s="8"/>
      <c r="AA64268" s="8"/>
    </row>
    <row r="64269" spans="1:27" x14ac:dyDescent="0.25">
      <c r="A64269" s="8"/>
      <c r="B64269" s="8"/>
      <c r="C64269" s="99"/>
      <c r="D64269" s="8"/>
      <c r="E64269" s="8"/>
      <c r="F64269" s="8"/>
      <c r="G64269" s="8"/>
      <c r="H64269" s="8"/>
      <c r="I64269" s="102"/>
      <c r="J64269" s="8"/>
      <c r="K64269" s="8"/>
      <c r="L64269" s="8"/>
      <c r="M64269" s="8"/>
      <c r="N64269" s="8"/>
      <c r="O64269" s="8"/>
      <c r="P64269" s="8"/>
      <c r="Q64269" s="8"/>
      <c r="R64269" s="103"/>
      <c r="S64269" s="8"/>
      <c r="T64269" s="8"/>
      <c r="U64269" s="8"/>
      <c r="V64269" s="8"/>
      <c r="W64269" s="8"/>
      <c r="X64269" s="8"/>
      <c r="Y64269" s="8"/>
      <c r="Z64269" s="8"/>
      <c r="AA64269" s="8"/>
    </row>
    <row r="64270" spans="1:27" x14ac:dyDescent="0.25">
      <c r="A64270" s="8"/>
      <c r="B64270" s="8"/>
      <c r="C64270" s="99"/>
      <c r="D64270" s="8"/>
      <c r="E64270" s="8"/>
      <c r="F64270" s="8"/>
      <c r="G64270" s="8"/>
      <c r="H64270" s="8"/>
      <c r="I64270" s="102"/>
      <c r="J64270" s="8"/>
      <c r="K64270" s="8"/>
      <c r="L64270" s="8"/>
      <c r="M64270" s="8"/>
      <c r="N64270" s="8"/>
      <c r="O64270" s="8"/>
      <c r="P64270" s="8"/>
      <c r="Q64270" s="8"/>
      <c r="R64270" s="103"/>
      <c r="S64270" s="8"/>
      <c r="T64270" s="8"/>
      <c r="U64270" s="8"/>
      <c r="V64270" s="8"/>
      <c r="W64270" s="8"/>
      <c r="X64270" s="8"/>
      <c r="Y64270" s="8"/>
      <c r="Z64270" s="8"/>
      <c r="AA64270" s="8"/>
    </row>
    <row r="64271" spans="1:27" x14ac:dyDescent="0.25">
      <c r="A64271" s="8"/>
      <c r="B64271" s="8"/>
      <c r="C64271" s="99"/>
      <c r="D64271" s="8"/>
      <c r="E64271" s="8"/>
      <c r="F64271" s="8"/>
      <c r="G64271" s="8"/>
      <c r="H64271" s="8"/>
      <c r="I64271" s="102"/>
      <c r="J64271" s="8"/>
      <c r="K64271" s="8"/>
      <c r="L64271" s="8"/>
      <c r="M64271" s="8"/>
      <c r="N64271" s="8"/>
      <c r="O64271" s="8"/>
      <c r="P64271" s="8"/>
      <c r="Q64271" s="8"/>
      <c r="R64271" s="103"/>
      <c r="S64271" s="8"/>
      <c r="T64271" s="8"/>
      <c r="U64271" s="8"/>
      <c r="V64271" s="8"/>
      <c r="W64271" s="8"/>
      <c r="X64271" s="8"/>
      <c r="Y64271" s="8"/>
      <c r="Z64271" s="8"/>
      <c r="AA64271" s="8"/>
    </row>
    <row r="64272" spans="1:27" x14ac:dyDescent="0.25">
      <c r="A64272" s="8"/>
      <c r="B64272" s="8"/>
      <c r="C64272" s="99"/>
      <c r="D64272" s="8"/>
      <c r="E64272" s="8"/>
      <c r="F64272" s="8"/>
      <c r="G64272" s="8"/>
      <c r="H64272" s="8"/>
      <c r="I64272" s="102"/>
      <c r="J64272" s="8"/>
      <c r="K64272" s="8"/>
      <c r="L64272" s="8"/>
      <c r="M64272" s="8"/>
      <c r="N64272" s="8"/>
      <c r="O64272" s="8"/>
      <c r="P64272" s="8"/>
      <c r="Q64272" s="8"/>
      <c r="R64272" s="103"/>
      <c r="S64272" s="8"/>
      <c r="T64272" s="8"/>
      <c r="U64272" s="8"/>
      <c r="V64272" s="8"/>
      <c r="W64272" s="8"/>
      <c r="X64272" s="8"/>
      <c r="Y64272" s="8"/>
      <c r="Z64272" s="8"/>
      <c r="AA64272" s="8"/>
    </row>
    <row r="64273" spans="1:27" x14ac:dyDescent="0.25">
      <c r="A64273" s="8"/>
      <c r="B64273" s="8"/>
      <c r="C64273" s="99"/>
      <c r="D64273" s="8"/>
      <c r="E64273" s="8"/>
      <c r="F64273" s="8"/>
      <c r="G64273" s="8"/>
      <c r="H64273" s="8"/>
      <c r="I64273" s="102"/>
      <c r="J64273" s="8"/>
      <c r="K64273" s="8"/>
      <c r="L64273" s="8"/>
      <c r="M64273" s="8"/>
      <c r="N64273" s="8"/>
      <c r="O64273" s="8"/>
      <c r="P64273" s="8"/>
      <c r="Q64273" s="8"/>
      <c r="R64273" s="103"/>
      <c r="S64273" s="8"/>
      <c r="T64273" s="8"/>
      <c r="U64273" s="8"/>
      <c r="V64273" s="8"/>
      <c r="W64273" s="8"/>
      <c r="X64273" s="8"/>
      <c r="Y64273" s="8"/>
      <c r="Z64273" s="8"/>
      <c r="AA64273" s="8"/>
    </row>
    <row r="64274" spans="1:27" x14ac:dyDescent="0.25">
      <c r="A64274" s="8"/>
      <c r="B64274" s="8"/>
      <c r="C64274" s="99"/>
      <c r="D64274" s="8"/>
      <c r="E64274" s="8"/>
      <c r="F64274" s="8"/>
      <c r="G64274" s="8"/>
      <c r="H64274" s="8"/>
      <c r="I64274" s="102"/>
      <c r="J64274" s="8"/>
      <c r="K64274" s="8"/>
      <c r="L64274" s="8"/>
      <c r="M64274" s="8"/>
      <c r="N64274" s="8"/>
      <c r="O64274" s="8"/>
      <c r="P64274" s="8"/>
      <c r="Q64274" s="8"/>
      <c r="R64274" s="103"/>
      <c r="S64274" s="8"/>
      <c r="T64274" s="8"/>
      <c r="U64274" s="8"/>
      <c r="V64274" s="8"/>
      <c r="W64274" s="8"/>
      <c r="X64274" s="8"/>
      <c r="Y64274" s="8"/>
      <c r="Z64274" s="8"/>
      <c r="AA64274" s="8"/>
    </row>
    <row r="64275" spans="1:27" x14ac:dyDescent="0.25">
      <c r="A64275" s="8"/>
      <c r="B64275" s="8"/>
      <c r="C64275" s="99"/>
      <c r="D64275" s="8"/>
      <c r="E64275" s="8"/>
      <c r="F64275" s="8"/>
      <c r="G64275" s="8"/>
      <c r="H64275" s="8"/>
      <c r="I64275" s="102"/>
      <c r="J64275" s="8"/>
      <c r="K64275" s="8"/>
      <c r="L64275" s="8"/>
      <c r="M64275" s="8"/>
      <c r="N64275" s="8"/>
      <c r="O64275" s="8"/>
      <c r="P64275" s="8"/>
      <c r="Q64275" s="8"/>
      <c r="R64275" s="103"/>
      <c r="S64275" s="8"/>
      <c r="T64275" s="8"/>
      <c r="U64275" s="8"/>
      <c r="V64275" s="8"/>
      <c r="W64275" s="8"/>
      <c r="X64275" s="8"/>
      <c r="Y64275" s="8"/>
      <c r="Z64275" s="8"/>
      <c r="AA64275" s="8"/>
    </row>
    <row r="64276" spans="1:27" x14ac:dyDescent="0.25">
      <c r="A64276" s="8"/>
      <c r="B64276" s="8"/>
      <c r="C64276" s="99"/>
      <c r="D64276" s="8"/>
      <c r="E64276" s="8"/>
      <c r="F64276" s="8"/>
      <c r="G64276" s="8"/>
      <c r="H64276" s="8"/>
      <c r="I64276" s="102"/>
      <c r="J64276" s="8"/>
      <c r="K64276" s="8"/>
      <c r="L64276" s="8"/>
      <c r="M64276" s="8"/>
      <c r="N64276" s="8"/>
      <c r="O64276" s="8"/>
      <c r="P64276" s="8"/>
      <c r="Q64276" s="8"/>
      <c r="R64276" s="103"/>
      <c r="S64276" s="8"/>
      <c r="T64276" s="8"/>
      <c r="U64276" s="8"/>
      <c r="V64276" s="8"/>
      <c r="W64276" s="8"/>
      <c r="X64276" s="8"/>
      <c r="Y64276" s="8"/>
      <c r="Z64276" s="8"/>
      <c r="AA64276" s="8"/>
    </row>
    <row r="64277" spans="1:27" x14ac:dyDescent="0.25">
      <c r="A64277" s="8"/>
      <c r="B64277" s="8"/>
      <c r="C64277" s="99"/>
      <c r="D64277" s="8"/>
      <c r="E64277" s="8"/>
      <c r="F64277" s="8"/>
      <c r="G64277" s="8"/>
      <c r="H64277" s="8"/>
      <c r="I64277" s="102"/>
      <c r="J64277" s="8"/>
      <c r="K64277" s="8"/>
      <c r="L64277" s="8"/>
      <c r="M64277" s="8"/>
      <c r="N64277" s="8"/>
      <c r="O64277" s="8"/>
      <c r="P64277" s="8"/>
      <c r="Q64277" s="8"/>
      <c r="R64277" s="103"/>
      <c r="S64277" s="8"/>
      <c r="T64277" s="8"/>
      <c r="U64277" s="8"/>
      <c r="V64277" s="8"/>
      <c r="W64277" s="8"/>
      <c r="X64277" s="8"/>
      <c r="Y64277" s="8"/>
      <c r="Z64277" s="8"/>
      <c r="AA64277" s="8"/>
    </row>
    <row r="64278" spans="1:27" x14ac:dyDescent="0.25">
      <c r="A64278" s="8"/>
      <c r="B64278" s="8"/>
      <c r="C64278" s="99"/>
      <c r="D64278" s="8"/>
      <c r="E64278" s="8"/>
      <c r="F64278" s="8"/>
      <c r="G64278" s="8"/>
      <c r="H64278" s="8"/>
      <c r="I64278" s="102"/>
      <c r="J64278" s="8"/>
      <c r="K64278" s="8"/>
      <c r="L64278" s="8"/>
      <c r="M64278" s="8"/>
      <c r="N64278" s="8"/>
      <c r="O64278" s="8"/>
      <c r="P64278" s="8"/>
      <c r="Q64278" s="8"/>
      <c r="R64278" s="103"/>
      <c r="S64278" s="8"/>
      <c r="T64278" s="8"/>
      <c r="U64278" s="8"/>
      <c r="V64278" s="8"/>
      <c r="W64278" s="8"/>
      <c r="X64278" s="8"/>
      <c r="Y64278" s="8"/>
      <c r="Z64278" s="8"/>
      <c r="AA64278" s="8"/>
    </row>
    <row r="64279" spans="1:27" x14ac:dyDescent="0.25">
      <c r="A64279" s="8"/>
      <c r="B64279" s="8"/>
      <c r="C64279" s="99"/>
      <c r="D64279" s="8"/>
      <c r="E64279" s="8"/>
      <c r="F64279" s="8"/>
      <c r="G64279" s="8"/>
      <c r="H64279" s="8"/>
      <c r="I64279" s="102"/>
      <c r="J64279" s="8"/>
      <c r="K64279" s="8"/>
      <c r="L64279" s="8"/>
      <c r="M64279" s="8"/>
      <c r="N64279" s="8"/>
      <c r="O64279" s="8"/>
      <c r="P64279" s="8"/>
      <c r="Q64279" s="8"/>
      <c r="R64279" s="103"/>
      <c r="S64279" s="8"/>
      <c r="T64279" s="8"/>
      <c r="U64279" s="8"/>
      <c r="V64279" s="8"/>
      <c r="W64279" s="8"/>
      <c r="X64279" s="8"/>
      <c r="Y64279" s="8"/>
      <c r="Z64279" s="8"/>
      <c r="AA64279" s="8"/>
    </row>
    <row r="64280" spans="1:27" x14ac:dyDescent="0.25">
      <c r="A64280" s="8"/>
      <c r="B64280" s="8"/>
      <c r="C64280" s="99"/>
      <c r="D64280" s="8"/>
      <c r="E64280" s="8"/>
      <c r="F64280" s="8"/>
      <c r="G64280" s="8"/>
      <c r="H64280" s="8"/>
      <c r="I64280" s="102"/>
      <c r="J64280" s="8"/>
      <c r="K64280" s="8"/>
      <c r="L64280" s="8"/>
      <c r="M64280" s="8"/>
      <c r="N64280" s="8"/>
      <c r="O64280" s="8"/>
      <c r="P64280" s="8"/>
      <c r="Q64280" s="8"/>
      <c r="R64280" s="103"/>
      <c r="S64280" s="8"/>
      <c r="T64280" s="8"/>
      <c r="U64280" s="8"/>
      <c r="V64280" s="8"/>
      <c r="W64280" s="8"/>
      <c r="X64280" s="8"/>
      <c r="Y64280" s="8"/>
      <c r="Z64280" s="8"/>
      <c r="AA64280" s="8"/>
    </row>
    <row r="64281" spans="1:27" x14ac:dyDescent="0.25">
      <c r="A64281" s="8"/>
      <c r="B64281" s="8"/>
      <c r="C64281" s="99"/>
      <c r="D64281" s="8"/>
      <c r="E64281" s="8"/>
      <c r="F64281" s="8"/>
      <c r="G64281" s="8"/>
      <c r="H64281" s="8"/>
      <c r="I64281" s="102"/>
      <c r="J64281" s="8"/>
      <c r="K64281" s="8"/>
      <c r="L64281" s="8"/>
      <c r="M64281" s="8"/>
      <c r="N64281" s="8"/>
      <c r="O64281" s="8"/>
      <c r="P64281" s="8"/>
      <c r="Q64281" s="8"/>
      <c r="R64281" s="103"/>
      <c r="S64281" s="8"/>
      <c r="T64281" s="8"/>
      <c r="U64281" s="8"/>
      <c r="V64281" s="8"/>
      <c r="W64281" s="8"/>
      <c r="X64281" s="8"/>
      <c r="Y64281" s="8"/>
      <c r="Z64281" s="8"/>
      <c r="AA64281" s="8"/>
    </row>
    <row r="64282" spans="1:27" x14ac:dyDescent="0.25">
      <c r="A64282" s="8"/>
      <c r="B64282" s="8"/>
      <c r="C64282" s="99"/>
      <c r="D64282" s="8"/>
      <c r="E64282" s="8"/>
      <c r="F64282" s="8"/>
      <c r="G64282" s="8"/>
      <c r="H64282" s="8"/>
      <c r="I64282" s="102"/>
      <c r="J64282" s="8"/>
      <c r="K64282" s="8"/>
      <c r="L64282" s="8"/>
      <c r="M64282" s="8"/>
      <c r="N64282" s="8"/>
      <c r="O64282" s="8"/>
      <c r="P64282" s="8"/>
      <c r="Q64282" s="8"/>
      <c r="R64282" s="103"/>
      <c r="S64282" s="8"/>
      <c r="T64282" s="8"/>
      <c r="U64282" s="8"/>
      <c r="V64282" s="8"/>
      <c r="W64282" s="8"/>
      <c r="X64282" s="8"/>
      <c r="Y64282" s="8"/>
      <c r="Z64282" s="8"/>
      <c r="AA64282" s="8"/>
    </row>
    <row r="64283" spans="1:27" x14ac:dyDescent="0.25">
      <c r="A64283" s="8"/>
      <c r="B64283" s="8"/>
      <c r="C64283" s="99"/>
      <c r="D64283" s="8"/>
      <c r="E64283" s="8"/>
      <c r="F64283" s="8"/>
      <c r="G64283" s="8"/>
      <c r="H64283" s="8"/>
      <c r="I64283" s="102"/>
      <c r="J64283" s="8"/>
      <c r="K64283" s="8"/>
      <c r="L64283" s="8"/>
      <c r="M64283" s="8"/>
      <c r="N64283" s="8"/>
      <c r="O64283" s="8"/>
      <c r="P64283" s="8"/>
      <c r="Q64283" s="8"/>
      <c r="R64283" s="103"/>
      <c r="S64283" s="8"/>
      <c r="T64283" s="8"/>
      <c r="U64283" s="8"/>
      <c r="V64283" s="8"/>
      <c r="W64283" s="8"/>
      <c r="X64283" s="8"/>
      <c r="Y64283" s="8"/>
      <c r="Z64283" s="8"/>
      <c r="AA64283" s="8"/>
    </row>
    <row r="64284" spans="1:27" x14ac:dyDescent="0.25">
      <c r="A64284" s="8"/>
      <c r="B64284" s="8"/>
      <c r="C64284" s="99"/>
      <c r="D64284" s="8"/>
      <c r="E64284" s="8"/>
      <c r="F64284" s="8"/>
      <c r="G64284" s="8"/>
      <c r="H64284" s="8"/>
      <c r="I64284" s="102"/>
      <c r="J64284" s="8"/>
      <c r="K64284" s="8"/>
      <c r="L64284" s="8"/>
      <c r="M64284" s="8"/>
      <c r="N64284" s="8"/>
      <c r="O64284" s="8"/>
      <c r="P64284" s="8"/>
      <c r="Q64284" s="8"/>
      <c r="R64284" s="103"/>
      <c r="S64284" s="8"/>
      <c r="T64284" s="8"/>
      <c r="U64284" s="8"/>
      <c r="V64284" s="8"/>
      <c r="W64284" s="8"/>
      <c r="X64284" s="8"/>
      <c r="Y64284" s="8"/>
      <c r="Z64284" s="8"/>
      <c r="AA64284" s="8"/>
    </row>
    <row r="64285" spans="1:27" x14ac:dyDescent="0.25">
      <c r="A64285" s="8"/>
      <c r="B64285" s="8"/>
      <c r="C64285" s="99"/>
      <c r="D64285" s="8"/>
      <c r="E64285" s="8"/>
      <c r="F64285" s="8"/>
      <c r="G64285" s="8"/>
      <c r="H64285" s="8"/>
      <c r="I64285" s="102"/>
      <c r="J64285" s="8"/>
      <c r="K64285" s="8"/>
      <c r="L64285" s="8"/>
      <c r="M64285" s="8"/>
      <c r="N64285" s="8"/>
      <c r="O64285" s="8"/>
      <c r="P64285" s="8"/>
      <c r="Q64285" s="8"/>
      <c r="R64285" s="103"/>
      <c r="S64285" s="8"/>
      <c r="T64285" s="8"/>
      <c r="U64285" s="8"/>
      <c r="V64285" s="8"/>
      <c r="W64285" s="8"/>
      <c r="X64285" s="8"/>
      <c r="Y64285" s="8"/>
      <c r="Z64285" s="8"/>
      <c r="AA64285" s="8"/>
    </row>
    <row r="64286" spans="1:27" x14ac:dyDescent="0.25">
      <c r="A64286" s="8"/>
      <c r="B64286" s="8"/>
      <c r="C64286" s="99"/>
      <c r="D64286" s="8"/>
      <c r="E64286" s="8"/>
      <c r="F64286" s="8"/>
      <c r="G64286" s="8"/>
      <c r="H64286" s="8"/>
      <c r="I64286" s="102"/>
      <c r="J64286" s="8"/>
      <c r="K64286" s="8"/>
      <c r="L64286" s="8"/>
      <c r="M64286" s="8"/>
      <c r="N64286" s="8"/>
      <c r="O64286" s="8"/>
      <c r="P64286" s="8"/>
      <c r="Q64286" s="8"/>
      <c r="R64286" s="103"/>
      <c r="S64286" s="8"/>
      <c r="T64286" s="8"/>
      <c r="U64286" s="8"/>
      <c r="V64286" s="8"/>
      <c r="W64286" s="8"/>
      <c r="X64286" s="8"/>
      <c r="Y64286" s="8"/>
      <c r="Z64286" s="8"/>
      <c r="AA64286" s="8"/>
    </row>
    <row r="64287" spans="1:27" x14ac:dyDescent="0.25">
      <c r="A64287" s="8"/>
      <c r="B64287" s="8"/>
      <c r="C64287" s="99"/>
      <c r="D64287" s="8"/>
      <c r="E64287" s="8"/>
      <c r="F64287" s="8"/>
      <c r="G64287" s="8"/>
      <c r="H64287" s="8"/>
      <c r="I64287" s="102"/>
      <c r="J64287" s="8"/>
      <c r="K64287" s="8"/>
      <c r="L64287" s="8"/>
      <c r="M64287" s="8"/>
      <c r="N64287" s="8"/>
      <c r="O64287" s="8"/>
      <c r="P64287" s="8"/>
      <c r="Q64287" s="8"/>
      <c r="R64287" s="103"/>
      <c r="S64287" s="8"/>
      <c r="T64287" s="8"/>
      <c r="U64287" s="8"/>
      <c r="V64287" s="8"/>
      <c r="W64287" s="8"/>
      <c r="X64287" s="8"/>
      <c r="Y64287" s="8"/>
      <c r="Z64287" s="8"/>
      <c r="AA64287" s="8"/>
    </row>
    <row r="64288" spans="1:27" x14ac:dyDescent="0.25">
      <c r="A64288" s="8"/>
      <c r="B64288" s="8"/>
      <c r="C64288" s="99"/>
      <c r="D64288" s="8"/>
      <c r="E64288" s="8"/>
      <c r="F64288" s="8"/>
      <c r="G64288" s="8"/>
      <c r="H64288" s="8"/>
      <c r="I64288" s="102"/>
      <c r="J64288" s="8"/>
      <c r="K64288" s="8"/>
      <c r="L64288" s="8"/>
      <c r="M64288" s="8"/>
      <c r="N64288" s="8"/>
      <c r="O64288" s="8"/>
      <c r="P64288" s="8"/>
      <c r="Q64288" s="8"/>
      <c r="R64288" s="103"/>
      <c r="S64288" s="8"/>
      <c r="T64288" s="8"/>
      <c r="U64288" s="8"/>
      <c r="V64288" s="8"/>
      <c r="W64288" s="8"/>
      <c r="X64288" s="8"/>
      <c r="Y64288" s="8"/>
      <c r="Z64288" s="8"/>
      <c r="AA64288" s="8"/>
    </row>
    <row r="64289" spans="1:27" x14ac:dyDescent="0.25">
      <c r="A64289" s="8"/>
      <c r="B64289" s="8"/>
      <c r="C64289" s="99"/>
      <c r="D64289" s="8"/>
      <c r="E64289" s="8"/>
      <c r="F64289" s="8"/>
      <c r="G64289" s="8"/>
      <c r="H64289" s="8"/>
      <c r="I64289" s="102"/>
      <c r="J64289" s="8"/>
      <c r="K64289" s="8"/>
      <c r="L64289" s="8"/>
      <c r="M64289" s="8"/>
      <c r="N64289" s="8"/>
      <c r="O64289" s="8"/>
      <c r="P64289" s="8"/>
      <c r="Q64289" s="8"/>
      <c r="R64289" s="103"/>
      <c r="S64289" s="8"/>
      <c r="T64289" s="8"/>
      <c r="U64289" s="8"/>
      <c r="V64289" s="8"/>
      <c r="W64289" s="8"/>
      <c r="X64289" s="8"/>
      <c r="Y64289" s="8"/>
      <c r="Z64289" s="8"/>
      <c r="AA64289" s="8"/>
    </row>
    <row r="64290" spans="1:27" x14ac:dyDescent="0.25">
      <c r="A64290" s="8"/>
      <c r="B64290" s="8"/>
      <c r="C64290" s="99"/>
      <c r="D64290" s="8"/>
      <c r="E64290" s="8"/>
      <c r="F64290" s="8"/>
      <c r="G64290" s="8"/>
      <c r="H64290" s="8"/>
      <c r="I64290" s="102"/>
      <c r="J64290" s="8"/>
      <c r="K64290" s="8"/>
      <c r="L64290" s="8"/>
      <c r="M64290" s="8"/>
      <c r="N64290" s="8"/>
      <c r="O64290" s="8"/>
      <c r="P64290" s="8"/>
      <c r="Q64290" s="8"/>
      <c r="R64290" s="103"/>
      <c r="S64290" s="8"/>
      <c r="T64290" s="8"/>
      <c r="U64290" s="8"/>
      <c r="V64290" s="8"/>
      <c r="W64290" s="8"/>
      <c r="X64290" s="8"/>
      <c r="Y64290" s="8"/>
      <c r="Z64290" s="8"/>
      <c r="AA64290" s="8"/>
    </row>
    <row r="64291" spans="1:27" x14ac:dyDescent="0.25">
      <c r="A64291" s="8"/>
      <c r="B64291" s="8"/>
      <c r="C64291" s="99"/>
      <c r="D64291" s="8"/>
      <c r="E64291" s="8"/>
      <c r="F64291" s="8"/>
      <c r="G64291" s="8"/>
      <c r="H64291" s="8"/>
      <c r="I64291" s="102"/>
      <c r="J64291" s="8"/>
      <c r="K64291" s="8"/>
      <c r="L64291" s="8"/>
      <c r="M64291" s="8"/>
      <c r="N64291" s="8"/>
      <c r="O64291" s="8"/>
      <c r="P64291" s="8"/>
      <c r="Q64291" s="8"/>
      <c r="R64291" s="103"/>
      <c r="S64291" s="8"/>
      <c r="T64291" s="8"/>
      <c r="U64291" s="8"/>
      <c r="V64291" s="8"/>
      <c r="W64291" s="8"/>
      <c r="X64291" s="8"/>
      <c r="Y64291" s="8"/>
      <c r="Z64291" s="8"/>
      <c r="AA64291" s="8"/>
    </row>
    <row r="64292" spans="1:27" x14ac:dyDescent="0.25">
      <c r="A64292" s="8"/>
      <c r="B64292" s="8"/>
      <c r="C64292" s="99"/>
      <c r="D64292" s="8"/>
      <c r="E64292" s="8"/>
      <c r="F64292" s="8"/>
      <c r="G64292" s="8"/>
      <c r="H64292" s="8"/>
      <c r="I64292" s="102"/>
      <c r="J64292" s="8"/>
      <c r="K64292" s="8"/>
      <c r="L64292" s="8"/>
      <c r="M64292" s="8"/>
      <c r="N64292" s="8"/>
      <c r="O64292" s="8"/>
      <c r="P64292" s="8"/>
      <c r="Q64292" s="8"/>
      <c r="R64292" s="103"/>
      <c r="S64292" s="8"/>
      <c r="T64292" s="8"/>
      <c r="U64292" s="8"/>
      <c r="V64292" s="8"/>
      <c r="W64292" s="8"/>
      <c r="X64292" s="8"/>
      <c r="Y64292" s="8"/>
      <c r="Z64292" s="8"/>
      <c r="AA64292" s="8"/>
    </row>
    <row r="64293" spans="1:27" x14ac:dyDescent="0.25">
      <c r="A64293" s="8"/>
      <c r="B64293" s="8"/>
      <c r="C64293" s="99"/>
      <c r="D64293" s="8"/>
      <c r="E64293" s="8"/>
      <c r="F64293" s="8"/>
      <c r="G64293" s="8"/>
      <c r="H64293" s="8"/>
      <c r="I64293" s="102"/>
      <c r="J64293" s="8"/>
      <c r="K64293" s="8"/>
      <c r="L64293" s="8"/>
      <c r="M64293" s="8"/>
      <c r="N64293" s="8"/>
      <c r="O64293" s="8"/>
      <c r="P64293" s="8"/>
      <c r="Q64293" s="8"/>
      <c r="R64293" s="103"/>
      <c r="S64293" s="8"/>
      <c r="T64293" s="8"/>
      <c r="U64293" s="8"/>
      <c r="V64293" s="8"/>
      <c r="W64293" s="8"/>
      <c r="X64293" s="8"/>
      <c r="Y64293" s="8"/>
      <c r="Z64293" s="8"/>
      <c r="AA64293" s="8"/>
    </row>
    <row r="64294" spans="1:27" x14ac:dyDescent="0.25">
      <c r="A64294" s="8"/>
      <c r="B64294" s="8"/>
      <c r="C64294" s="99"/>
      <c r="D64294" s="8"/>
      <c r="E64294" s="8"/>
      <c r="F64294" s="8"/>
      <c r="G64294" s="8"/>
      <c r="H64294" s="8"/>
      <c r="I64294" s="102"/>
      <c r="J64294" s="8"/>
      <c r="K64294" s="8"/>
      <c r="L64294" s="8"/>
      <c r="M64294" s="8"/>
      <c r="N64294" s="8"/>
      <c r="O64294" s="8"/>
      <c r="P64294" s="8"/>
      <c r="Q64294" s="8"/>
      <c r="R64294" s="103"/>
      <c r="S64294" s="8"/>
      <c r="T64294" s="8"/>
      <c r="U64294" s="8"/>
      <c r="V64294" s="8"/>
      <c r="W64294" s="8"/>
      <c r="X64294" s="8"/>
      <c r="Y64294" s="8"/>
      <c r="Z64294" s="8"/>
      <c r="AA64294" s="8"/>
    </row>
    <row r="64295" spans="1:27" x14ac:dyDescent="0.25">
      <c r="A64295" s="8"/>
      <c r="B64295" s="8"/>
      <c r="C64295" s="99"/>
      <c r="D64295" s="8"/>
      <c r="E64295" s="8"/>
      <c r="F64295" s="8"/>
      <c r="G64295" s="8"/>
      <c r="H64295" s="8"/>
      <c r="I64295" s="102"/>
      <c r="J64295" s="8"/>
      <c r="K64295" s="8"/>
      <c r="L64295" s="8"/>
      <c r="M64295" s="8"/>
      <c r="N64295" s="8"/>
      <c r="O64295" s="8"/>
      <c r="P64295" s="8"/>
      <c r="Q64295" s="8"/>
      <c r="R64295" s="103"/>
      <c r="S64295" s="8"/>
      <c r="T64295" s="8"/>
      <c r="U64295" s="8"/>
      <c r="V64295" s="8"/>
      <c r="W64295" s="8"/>
      <c r="X64295" s="8"/>
      <c r="Y64295" s="8"/>
      <c r="Z64295" s="8"/>
      <c r="AA64295" s="8"/>
    </row>
    <row r="64296" spans="1:27" x14ac:dyDescent="0.25">
      <c r="A64296" s="8"/>
      <c r="B64296" s="8"/>
      <c r="C64296" s="99"/>
      <c r="D64296" s="8"/>
      <c r="E64296" s="8"/>
      <c r="F64296" s="8"/>
      <c r="G64296" s="8"/>
      <c r="H64296" s="8"/>
      <c r="I64296" s="102"/>
      <c r="J64296" s="8"/>
      <c r="K64296" s="8"/>
      <c r="L64296" s="8"/>
      <c r="M64296" s="8"/>
      <c r="N64296" s="8"/>
      <c r="O64296" s="8"/>
      <c r="P64296" s="8"/>
      <c r="Q64296" s="8"/>
      <c r="R64296" s="103"/>
      <c r="S64296" s="8"/>
      <c r="T64296" s="8"/>
      <c r="U64296" s="8"/>
      <c r="V64296" s="8"/>
      <c r="W64296" s="8"/>
      <c r="X64296" s="8"/>
      <c r="Y64296" s="8"/>
      <c r="Z64296" s="8"/>
      <c r="AA64296" s="8"/>
    </row>
    <row r="64297" spans="1:27" x14ac:dyDescent="0.25">
      <c r="A64297" s="8"/>
      <c r="B64297" s="8"/>
      <c r="C64297" s="99"/>
      <c r="D64297" s="8"/>
      <c r="E64297" s="8"/>
      <c r="F64297" s="8"/>
      <c r="G64297" s="8"/>
      <c r="H64297" s="8"/>
      <c r="I64297" s="102"/>
      <c r="J64297" s="8"/>
      <c r="K64297" s="8"/>
      <c r="L64297" s="8"/>
      <c r="M64297" s="8"/>
      <c r="N64297" s="8"/>
      <c r="O64297" s="8"/>
      <c r="P64297" s="8"/>
      <c r="Q64297" s="8"/>
      <c r="R64297" s="103"/>
      <c r="S64297" s="8"/>
      <c r="T64297" s="8"/>
      <c r="U64297" s="8"/>
      <c r="V64297" s="8"/>
      <c r="W64297" s="8"/>
      <c r="X64297" s="8"/>
      <c r="Y64297" s="8"/>
      <c r="Z64297" s="8"/>
      <c r="AA64297" s="8"/>
    </row>
    <row r="64298" spans="1:27" x14ac:dyDescent="0.25">
      <c r="A64298" s="8"/>
      <c r="B64298" s="8"/>
      <c r="C64298" s="99"/>
      <c r="D64298" s="8"/>
      <c r="E64298" s="8"/>
      <c r="F64298" s="8"/>
      <c r="G64298" s="8"/>
      <c r="H64298" s="8"/>
      <c r="I64298" s="102"/>
      <c r="J64298" s="8"/>
      <c r="K64298" s="8"/>
      <c r="L64298" s="8"/>
      <c r="M64298" s="8"/>
      <c r="N64298" s="8"/>
      <c r="O64298" s="8"/>
      <c r="P64298" s="8"/>
      <c r="Q64298" s="8"/>
      <c r="R64298" s="103"/>
      <c r="S64298" s="8"/>
      <c r="T64298" s="8"/>
      <c r="U64298" s="8"/>
      <c r="V64298" s="8"/>
      <c r="W64298" s="8"/>
      <c r="X64298" s="8"/>
      <c r="Y64298" s="8"/>
      <c r="Z64298" s="8"/>
      <c r="AA64298" s="8"/>
    </row>
    <row r="64299" spans="1:27" x14ac:dyDescent="0.25">
      <c r="A64299" s="8"/>
      <c r="B64299" s="8"/>
      <c r="C64299" s="99"/>
      <c r="D64299" s="8"/>
      <c r="E64299" s="8"/>
      <c r="F64299" s="8"/>
      <c r="G64299" s="8"/>
      <c r="H64299" s="8"/>
      <c r="I64299" s="102"/>
      <c r="J64299" s="8"/>
      <c r="K64299" s="8"/>
      <c r="L64299" s="8"/>
      <c r="M64299" s="8"/>
      <c r="N64299" s="8"/>
      <c r="O64299" s="8"/>
      <c r="P64299" s="8"/>
      <c r="Q64299" s="8"/>
      <c r="R64299" s="103"/>
      <c r="S64299" s="8"/>
      <c r="T64299" s="8"/>
      <c r="U64299" s="8"/>
      <c r="V64299" s="8"/>
      <c r="W64299" s="8"/>
      <c r="X64299" s="8"/>
      <c r="Y64299" s="8"/>
      <c r="Z64299" s="8"/>
      <c r="AA64299" s="8"/>
    </row>
    <row r="64300" spans="1:27" x14ac:dyDescent="0.25">
      <c r="A64300" s="8"/>
      <c r="B64300" s="8"/>
      <c r="C64300" s="99"/>
      <c r="D64300" s="8"/>
      <c r="E64300" s="8"/>
      <c r="F64300" s="8"/>
      <c r="G64300" s="8"/>
      <c r="H64300" s="8"/>
      <c r="I64300" s="102"/>
      <c r="J64300" s="8"/>
      <c r="K64300" s="8"/>
      <c r="L64300" s="8"/>
      <c r="M64300" s="8"/>
      <c r="N64300" s="8"/>
      <c r="O64300" s="8"/>
      <c r="P64300" s="8"/>
      <c r="Q64300" s="8"/>
      <c r="R64300" s="103"/>
      <c r="S64300" s="8"/>
      <c r="T64300" s="8"/>
      <c r="U64300" s="8"/>
      <c r="V64300" s="8"/>
      <c r="W64300" s="8"/>
      <c r="X64300" s="8"/>
      <c r="Y64300" s="8"/>
      <c r="Z64300" s="8"/>
      <c r="AA64300" s="8"/>
    </row>
    <row r="64301" spans="1:27" x14ac:dyDescent="0.25">
      <c r="A64301" s="8"/>
      <c r="B64301" s="8"/>
      <c r="C64301" s="99"/>
      <c r="D64301" s="8"/>
      <c r="E64301" s="8"/>
      <c r="F64301" s="8"/>
      <c r="G64301" s="8"/>
      <c r="H64301" s="8"/>
      <c r="I64301" s="102"/>
      <c r="J64301" s="8"/>
      <c r="K64301" s="8"/>
      <c r="L64301" s="8"/>
      <c r="M64301" s="8"/>
      <c r="N64301" s="8"/>
      <c r="O64301" s="8"/>
      <c r="P64301" s="8"/>
      <c r="Q64301" s="8"/>
      <c r="R64301" s="103"/>
      <c r="S64301" s="8"/>
      <c r="T64301" s="8"/>
      <c r="U64301" s="8"/>
      <c r="V64301" s="8"/>
      <c r="W64301" s="8"/>
      <c r="X64301" s="8"/>
      <c r="Y64301" s="8"/>
      <c r="Z64301" s="8"/>
      <c r="AA64301" s="8"/>
    </row>
    <row r="64302" spans="1:27" x14ac:dyDescent="0.25">
      <c r="A64302" s="8"/>
      <c r="B64302" s="8"/>
      <c r="C64302" s="99"/>
      <c r="D64302" s="8"/>
      <c r="E64302" s="8"/>
      <c r="F64302" s="8"/>
      <c r="G64302" s="8"/>
      <c r="H64302" s="8"/>
      <c r="I64302" s="102"/>
      <c r="J64302" s="8"/>
      <c r="K64302" s="8"/>
      <c r="L64302" s="8"/>
      <c r="M64302" s="8"/>
      <c r="N64302" s="8"/>
      <c r="O64302" s="8"/>
      <c r="P64302" s="8"/>
      <c r="Q64302" s="8"/>
      <c r="R64302" s="103"/>
      <c r="S64302" s="8"/>
      <c r="T64302" s="8"/>
      <c r="U64302" s="8"/>
      <c r="V64302" s="8"/>
      <c r="W64302" s="8"/>
      <c r="X64302" s="8"/>
      <c r="Y64302" s="8"/>
      <c r="Z64302" s="8"/>
      <c r="AA64302" s="8"/>
    </row>
    <row r="64303" spans="1:27" x14ac:dyDescent="0.25">
      <c r="A64303" s="8"/>
      <c r="B64303" s="8"/>
      <c r="C64303" s="99"/>
      <c r="D64303" s="8"/>
      <c r="E64303" s="8"/>
      <c r="F64303" s="8"/>
      <c r="G64303" s="8"/>
      <c r="H64303" s="8"/>
      <c r="I64303" s="102"/>
      <c r="J64303" s="8"/>
      <c r="K64303" s="8"/>
      <c r="L64303" s="8"/>
      <c r="M64303" s="8"/>
      <c r="N64303" s="8"/>
      <c r="O64303" s="8"/>
      <c r="P64303" s="8"/>
      <c r="Q64303" s="8"/>
      <c r="R64303" s="103"/>
      <c r="S64303" s="8"/>
      <c r="T64303" s="8"/>
      <c r="U64303" s="8"/>
      <c r="V64303" s="8"/>
      <c r="W64303" s="8"/>
      <c r="X64303" s="8"/>
      <c r="Y64303" s="8"/>
      <c r="Z64303" s="8"/>
      <c r="AA64303" s="8"/>
    </row>
    <row r="64304" spans="1:27" x14ac:dyDescent="0.25">
      <c r="A64304" s="8"/>
      <c r="B64304" s="8"/>
      <c r="C64304" s="99"/>
      <c r="D64304" s="8"/>
      <c r="E64304" s="8"/>
      <c r="F64304" s="8"/>
      <c r="G64304" s="8"/>
      <c r="H64304" s="8"/>
      <c r="I64304" s="102"/>
      <c r="J64304" s="8"/>
      <c r="K64304" s="8"/>
      <c r="L64304" s="8"/>
      <c r="M64304" s="8"/>
      <c r="N64304" s="8"/>
      <c r="O64304" s="8"/>
      <c r="P64304" s="8"/>
      <c r="Q64304" s="8"/>
      <c r="R64304" s="103"/>
      <c r="S64304" s="8"/>
      <c r="T64304" s="8"/>
      <c r="U64304" s="8"/>
      <c r="V64304" s="8"/>
      <c r="W64304" s="8"/>
      <c r="X64304" s="8"/>
      <c r="Y64304" s="8"/>
      <c r="Z64304" s="8"/>
      <c r="AA64304" s="8"/>
    </row>
    <row r="64305" spans="1:27" x14ac:dyDescent="0.25">
      <c r="A64305" s="8"/>
      <c r="B64305" s="8"/>
      <c r="C64305" s="99"/>
      <c r="D64305" s="8"/>
      <c r="E64305" s="8"/>
      <c r="F64305" s="8"/>
      <c r="G64305" s="8"/>
      <c r="H64305" s="8"/>
      <c r="I64305" s="102"/>
      <c r="J64305" s="8"/>
      <c r="K64305" s="8"/>
      <c r="L64305" s="8"/>
      <c r="M64305" s="8"/>
      <c r="N64305" s="8"/>
      <c r="O64305" s="8"/>
      <c r="P64305" s="8"/>
      <c r="Q64305" s="8"/>
      <c r="R64305" s="103"/>
      <c r="S64305" s="8"/>
      <c r="T64305" s="8"/>
      <c r="U64305" s="8"/>
      <c r="V64305" s="8"/>
      <c r="W64305" s="8"/>
      <c r="X64305" s="8"/>
      <c r="Y64305" s="8"/>
      <c r="Z64305" s="8"/>
      <c r="AA64305" s="8"/>
    </row>
    <row r="64306" spans="1:27" x14ac:dyDescent="0.25">
      <c r="A64306" s="8"/>
      <c r="B64306" s="8"/>
      <c r="C64306" s="99"/>
      <c r="D64306" s="8"/>
      <c r="E64306" s="8"/>
      <c r="F64306" s="8"/>
      <c r="G64306" s="8"/>
      <c r="H64306" s="8"/>
      <c r="I64306" s="102"/>
      <c r="J64306" s="8"/>
      <c r="K64306" s="8"/>
      <c r="L64306" s="8"/>
      <c r="M64306" s="8"/>
      <c r="N64306" s="8"/>
      <c r="O64306" s="8"/>
      <c r="P64306" s="8"/>
      <c r="Q64306" s="8"/>
      <c r="R64306" s="103"/>
      <c r="S64306" s="8"/>
      <c r="T64306" s="8"/>
      <c r="U64306" s="8"/>
      <c r="V64306" s="8"/>
      <c r="W64306" s="8"/>
      <c r="X64306" s="8"/>
      <c r="Y64306" s="8"/>
      <c r="Z64306" s="8"/>
      <c r="AA64306" s="8"/>
    </row>
    <row r="64307" spans="1:27" x14ac:dyDescent="0.25">
      <c r="A64307" s="8"/>
      <c r="B64307" s="8"/>
      <c r="C64307" s="99"/>
      <c r="D64307" s="8"/>
      <c r="E64307" s="8"/>
      <c r="F64307" s="8"/>
      <c r="G64307" s="8"/>
      <c r="H64307" s="8"/>
      <c r="I64307" s="102"/>
      <c r="J64307" s="8"/>
      <c r="K64307" s="8"/>
      <c r="L64307" s="8"/>
      <c r="M64307" s="8"/>
      <c r="N64307" s="8"/>
      <c r="O64307" s="8"/>
      <c r="P64307" s="8"/>
      <c r="Q64307" s="8"/>
      <c r="R64307" s="103"/>
      <c r="S64307" s="8"/>
      <c r="T64307" s="8"/>
      <c r="U64307" s="8"/>
      <c r="V64307" s="8"/>
      <c r="W64307" s="8"/>
      <c r="X64307" s="8"/>
      <c r="Y64307" s="8"/>
      <c r="Z64307" s="8"/>
      <c r="AA64307" s="8"/>
    </row>
    <row r="64308" spans="1:27" x14ac:dyDescent="0.25">
      <c r="A64308" s="8"/>
      <c r="B64308" s="8"/>
      <c r="C64308" s="99"/>
      <c r="D64308" s="8"/>
      <c r="E64308" s="8"/>
      <c r="F64308" s="8"/>
      <c r="G64308" s="8"/>
      <c r="H64308" s="8"/>
      <c r="I64308" s="102"/>
      <c r="J64308" s="8"/>
      <c r="K64308" s="8"/>
      <c r="L64308" s="8"/>
      <c r="M64308" s="8"/>
      <c r="N64308" s="8"/>
      <c r="O64308" s="8"/>
      <c r="P64308" s="8"/>
      <c r="Q64308" s="8"/>
      <c r="R64308" s="103"/>
      <c r="S64308" s="8"/>
      <c r="T64308" s="8"/>
      <c r="U64308" s="8"/>
      <c r="V64308" s="8"/>
      <c r="W64308" s="8"/>
      <c r="X64308" s="8"/>
      <c r="Y64308" s="8"/>
      <c r="Z64308" s="8"/>
      <c r="AA64308" s="8"/>
    </row>
    <row r="64309" spans="1:27" x14ac:dyDescent="0.25">
      <c r="A64309" s="8"/>
      <c r="B64309" s="8"/>
      <c r="C64309" s="99"/>
      <c r="D64309" s="8"/>
      <c r="E64309" s="8"/>
      <c r="F64309" s="8"/>
      <c r="G64309" s="8"/>
      <c r="H64309" s="8"/>
      <c r="I64309" s="102"/>
      <c r="J64309" s="8"/>
      <c r="K64309" s="8"/>
      <c r="L64309" s="8"/>
      <c r="M64309" s="8"/>
      <c r="N64309" s="8"/>
      <c r="O64309" s="8"/>
      <c r="P64309" s="8"/>
      <c r="Q64309" s="8"/>
      <c r="R64309" s="103"/>
      <c r="S64309" s="8"/>
      <c r="T64309" s="8"/>
      <c r="U64309" s="8"/>
      <c r="V64309" s="8"/>
      <c r="W64309" s="8"/>
      <c r="X64309" s="8"/>
      <c r="Y64309" s="8"/>
      <c r="Z64309" s="8"/>
      <c r="AA64309" s="8"/>
    </row>
    <row r="64310" spans="1:27" x14ac:dyDescent="0.25">
      <c r="A64310" s="8"/>
      <c r="B64310" s="8"/>
      <c r="C64310" s="99"/>
      <c r="D64310" s="8"/>
      <c r="E64310" s="8"/>
      <c r="F64310" s="8"/>
      <c r="G64310" s="8"/>
      <c r="H64310" s="8"/>
      <c r="I64310" s="102"/>
      <c r="J64310" s="8"/>
      <c r="K64310" s="8"/>
      <c r="L64310" s="8"/>
      <c r="M64310" s="8"/>
      <c r="N64310" s="8"/>
      <c r="O64310" s="8"/>
      <c r="P64310" s="8"/>
      <c r="Q64310" s="8"/>
      <c r="R64310" s="103"/>
      <c r="S64310" s="8"/>
      <c r="T64310" s="8"/>
      <c r="U64310" s="8"/>
      <c r="V64310" s="8"/>
      <c r="W64310" s="8"/>
      <c r="X64310" s="8"/>
      <c r="Y64310" s="8"/>
      <c r="Z64310" s="8"/>
      <c r="AA64310" s="8"/>
    </row>
    <row r="64311" spans="1:27" x14ac:dyDescent="0.25">
      <c r="A64311" s="8"/>
      <c r="B64311" s="8"/>
      <c r="C64311" s="99"/>
      <c r="D64311" s="8"/>
      <c r="E64311" s="8"/>
      <c r="F64311" s="8"/>
      <c r="G64311" s="8"/>
      <c r="H64311" s="8"/>
      <c r="I64311" s="102"/>
      <c r="J64311" s="8"/>
      <c r="K64311" s="8"/>
      <c r="L64311" s="8"/>
      <c r="M64311" s="8"/>
      <c r="N64311" s="8"/>
      <c r="O64311" s="8"/>
      <c r="P64311" s="8"/>
      <c r="Q64311" s="8"/>
      <c r="R64311" s="103"/>
      <c r="S64311" s="8"/>
      <c r="T64311" s="8"/>
      <c r="U64311" s="8"/>
      <c r="V64311" s="8"/>
      <c r="W64311" s="8"/>
      <c r="X64311" s="8"/>
      <c r="Y64311" s="8"/>
      <c r="Z64311" s="8"/>
      <c r="AA64311" s="8"/>
    </row>
    <row r="64312" spans="1:27" x14ac:dyDescent="0.25">
      <c r="A64312" s="8"/>
      <c r="B64312" s="8"/>
      <c r="C64312" s="99"/>
      <c r="D64312" s="8"/>
      <c r="E64312" s="8"/>
      <c r="F64312" s="8"/>
      <c r="G64312" s="8"/>
      <c r="H64312" s="8"/>
      <c r="I64312" s="102"/>
      <c r="J64312" s="8"/>
      <c r="K64312" s="8"/>
      <c r="L64312" s="8"/>
      <c r="M64312" s="8"/>
      <c r="N64312" s="8"/>
      <c r="O64312" s="8"/>
      <c r="P64312" s="8"/>
      <c r="Q64312" s="8"/>
      <c r="R64312" s="103"/>
      <c r="S64312" s="8"/>
      <c r="T64312" s="8"/>
      <c r="U64312" s="8"/>
      <c r="V64312" s="8"/>
      <c r="W64312" s="8"/>
      <c r="X64312" s="8"/>
      <c r="Y64312" s="8"/>
      <c r="Z64312" s="8"/>
      <c r="AA64312" s="8"/>
    </row>
    <row r="64313" spans="1:27" x14ac:dyDescent="0.25">
      <c r="A64313" s="8"/>
      <c r="B64313" s="8"/>
      <c r="C64313" s="99"/>
      <c r="D64313" s="8"/>
      <c r="E64313" s="8"/>
      <c r="F64313" s="8"/>
      <c r="G64313" s="8"/>
      <c r="H64313" s="8"/>
      <c r="I64313" s="102"/>
      <c r="J64313" s="8"/>
      <c r="K64313" s="8"/>
      <c r="L64313" s="8"/>
      <c r="M64313" s="8"/>
      <c r="N64313" s="8"/>
      <c r="O64313" s="8"/>
      <c r="P64313" s="8"/>
      <c r="Q64313" s="8"/>
      <c r="R64313" s="103"/>
      <c r="S64313" s="8"/>
      <c r="T64313" s="8"/>
      <c r="U64313" s="8"/>
      <c r="V64313" s="8"/>
      <c r="W64313" s="8"/>
      <c r="X64313" s="8"/>
      <c r="Y64313" s="8"/>
      <c r="Z64313" s="8"/>
      <c r="AA64313" s="8"/>
    </row>
    <row r="64314" spans="1:27" x14ac:dyDescent="0.25">
      <c r="A64314" s="8"/>
      <c r="B64314" s="8"/>
      <c r="C64314" s="99"/>
      <c r="D64314" s="8"/>
      <c r="E64314" s="8"/>
      <c r="F64314" s="8"/>
      <c r="G64314" s="8"/>
      <c r="H64314" s="8"/>
      <c r="I64314" s="102"/>
      <c r="J64314" s="8"/>
      <c r="K64314" s="8"/>
      <c r="L64314" s="8"/>
      <c r="M64314" s="8"/>
      <c r="N64314" s="8"/>
      <c r="O64314" s="8"/>
      <c r="P64314" s="8"/>
      <c r="Q64314" s="8"/>
      <c r="R64314" s="103"/>
      <c r="S64314" s="8"/>
      <c r="T64314" s="8"/>
      <c r="U64314" s="8"/>
      <c r="V64314" s="8"/>
      <c r="W64314" s="8"/>
      <c r="X64314" s="8"/>
      <c r="Y64314" s="8"/>
      <c r="Z64314" s="8"/>
      <c r="AA64314" s="8"/>
    </row>
    <row r="64315" spans="1:27" x14ac:dyDescent="0.25">
      <c r="A64315" s="8"/>
      <c r="B64315" s="8"/>
      <c r="C64315" s="99"/>
      <c r="D64315" s="8"/>
      <c r="E64315" s="8"/>
      <c r="F64315" s="8"/>
      <c r="G64315" s="8"/>
      <c r="H64315" s="8"/>
      <c r="I64315" s="102"/>
      <c r="J64315" s="8"/>
      <c r="K64315" s="8"/>
      <c r="L64315" s="8"/>
      <c r="M64315" s="8"/>
      <c r="N64315" s="8"/>
      <c r="O64315" s="8"/>
      <c r="P64315" s="8"/>
      <c r="Q64315" s="8"/>
      <c r="R64315" s="103"/>
      <c r="S64315" s="8"/>
      <c r="T64315" s="8"/>
      <c r="U64315" s="8"/>
      <c r="V64315" s="8"/>
      <c r="W64315" s="8"/>
      <c r="X64315" s="8"/>
      <c r="Y64315" s="8"/>
      <c r="Z64315" s="8"/>
      <c r="AA64315" s="8"/>
    </row>
    <row r="64316" spans="1:27" x14ac:dyDescent="0.25">
      <c r="A64316" s="8"/>
      <c r="B64316" s="8"/>
      <c r="C64316" s="99"/>
      <c r="D64316" s="8"/>
      <c r="E64316" s="8"/>
      <c r="F64316" s="8"/>
      <c r="G64316" s="8"/>
      <c r="H64316" s="8"/>
      <c r="I64316" s="102"/>
      <c r="J64316" s="8"/>
      <c r="K64316" s="8"/>
      <c r="L64316" s="8"/>
      <c r="M64316" s="8"/>
      <c r="N64316" s="8"/>
      <c r="O64316" s="8"/>
      <c r="P64316" s="8"/>
      <c r="Q64316" s="8"/>
      <c r="R64316" s="103"/>
      <c r="S64316" s="8"/>
      <c r="T64316" s="8"/>
      <c r="U64316" s="8"/>
      <c r="V64316" s="8"/>
      <c r="W64316" s="8"/>
      <c r="X64316" s="8"/>
      <c r="Y64316" s="8"/>
      <c r="Z64316" s="8"/>
      <c r="AA64316" s="8"/>
    </row>
    <row r="64317" spans="1:27" x14ac:dyDescent="0.25">
      <c r="A64317" s="8"/>
      <c r="B64317" s="8"/>
      <c r="C64317" s="99"/>
      <c r="D64317" s="8"/>
      <c r="E64317" s="8"/>
      <c r="F64317" s="8"/>
      <c r="G64317" s="8"/>
      <c r="H64317" s="8"/>
      <c r="I64317" s="102"/>
      <c r="J64317" s="8"/>
      <c r="K64317" s="8"/>
      <c r="L64317" s="8"/>
      <c r="M64317" s="8"/>
      <c r="N64317" s="8"/>
      <c r="O64317" s="8"/>
      <c r="P64317" s="8"/>
      <c r="Q64317" s="8"/>
      <c r="R64317" s="103"/>
      <c r="S64317" s="8"/>
      <c r="T64317" s="8"/>
      <c r="U64317" s="8"/>
      <c r="V64317" s="8"/>
      <c r="W64317" s="8"/>
      <c r="X64317" s="8"/>
      <c r="Y64317" s="8"/>
      <c r="Z64317" s="8"/>
      <c r="AA64317" s="8"/>
    </row>
    <row r="64318" spans="1:27" x14ac:dyDescent="0.25">
      <c r="A64318" s="8"/>
      <c r="B64318" s="8"/>
      <c r="C64318" s="99"/>
      <c r="D64318" s="8"/>
      <c r="E64318" s="8"/>
      <c r="F64318" s="8"/>
      <c r="G64318" s="8"/>
      <c r="H64318" s="8"/>
      <c r="I64318" s="102"/>
      <c r="J64318" s="8"/>
      <c r="K64318" s="8"/>
      <c r="L64318" s="8"/>
      <c r="M64318" s="8"/>
      <c r="N64318" s="8"/>
      <c r="O64318" s="8"/>
      <c r="P64318" s="8"/>
      <c r="Q64318" s="8"/>
      <c r="R64318" s="103"/>
      <c r="S64318" s="8"/>
      <c r="T64318" s="8"/>
      <c r="U64318" s="8"/>
      <c r="V64318" s="8"/>
      <c r="W64318" s="8"/>
      <c r="X64318" s="8"/>
      <c r="Y64318" s="8"/>
      <c r="Z64318" s="8"/>
      <c r="AA64318" s="8"/>
    </row>
    <row r="64319" spans="1:27" x14ac:dyDescent="0.25">
      <c r="A64319" s="8"/>
      <c r="B64319" s="8"/>
      <c r="C64319" s="99"/>
      <c r="D64319" s="8"/>
      <c r="E64319" s="8"/>
      <c r="F64319" s="8"/>
      <c r="G64319" s="8"/>
      <c r="H64319" s="8"/>
      <c r="I64319" s="102"/>
      <c r="J64319" s="8"/>
      <c r="K64319" s="8"/>
      <c r="L64319" s="8"/>
      <c r="M64319" s="8"/>
      <c r="N64319" s="8"/>
      <c r="O64319" s="8"/>
      <c r="P64319" s="8"/>
      <c r="Q64319" s="8"/>
      <c r="R64319" s="103"/>
      <c r="S64319" s="8"/>
      <c r="T64319" s="8"/>
      <c r="U64319" s="8"/>
      <c r="V64319" s="8"/>
      <c r="W64319" s="8"/>
      <c r="X64319" s="8"/>
      <c r="Y64319" s="8"/>
      <c r="Z64319" s="8"/>
      <c r="AA64319" s="8"/>
    </row>
    <row r="64320" spans="1:27" x14ac:dyDescent="0.25">
      <c r="A64320" s="8"/>
      <c r="B64320" s="8"/>
      <c r="C64320" s="99"/>
      <c r="D64320" s="8"/>
      <c r="E64320" s="8"/>
      <c r="F64320" s="8"/>
      <c r="G64320" s="8"/>
      <c r="H64320" s="8"/>
      <c r="I64320" s="102"/>
      <c r="J64320" s="8"/>
      <c r="K64320" s="8"/>
      <c r="L64320" s="8"/>
      <c r="M64320" s="8"/>
      <c r="N64320" s="8"/>
      <c r="O64320" s="8"/>
      <c r="P64320" s="8"/>
      <c r="Q64320" s="8"/>
      <c r="R64320" s="103"/>
      <c r="S64320" s="8"/>
      <c r="T64320" s="8"/>
      <c r="U64320" s="8"/>
      <c r="V64320" s="8"/>
      <c r="W64320" s="8"/>
      <c r="X64320" s="8"/>
      <c r="Y64320" s="8"/>
      <c r="Z64320" s="8"/>
      <c r="AA64320" s="8"/>
    </row>
    <row r="64321" spans="1:27" x14ac:dyDescent="0.25">
      <c r="A64321" s="8"/>
      <c r="B64321" s="8"/>
      <c r="C64321" s="99"/>
      <c r="D64321" s="8"/>
      <c r="E64321" s="8"/>
      <c r="F64321" s="8"/>
      <c r="G64321" s="8"/>
      <c r="H64321" s="8"/>
      <c r="I64321" s="102"/>
      <c r="J64321" s="8"/>
      <c r="K64321" s="8"/>
      <c r="L64321" s="8"/>
      <c r="M64321" s="8"/>
      <c r="N64321" s="8"/>
      <c r="O64321" s="8"/>
      <c r="P64321" s="8"/>
      <c r="Q64321" s="8"/>
      <c r="R64321" s="103"/>
      <c r="S64321" s="8"/>
      <c r="T64321" s="8"/>
      <c r="U64321" s="8"/>
      <c r="V64321" s="8"/>
      <c r="W64321" s="8"/>
      <c r="X64321" s="8"/>
      <c r="Y64321" s="8"/>
      <c r="Z64321" s="8"/>
      <c r="AA64321" s="8"/>
    </row>
    <row r="64322" spans="1:27" x14ac:dyDescent="0.25">
      <c r="A64322" s="8"/>
      <c r="B64322" s="8"/>
      <c r="C64322" s="99"/>
      <c r="D64322" s="8"/>
      <c r="E64322" s="8"/>
      <c r="F64322" s="8"/>
      <c r="G64322" s="8"/>
      <c r="H64322" s="8"/>
      <c r="I64322" s="102"/>
      <c r="J64322" s="8"/>
      <c r="K64322" s="8"/>
      <c r="L64322" s="8"/>
      <c r="M64322" s="8"/>
      <c r="N64322" s="8"/>
      <c r="O64322" s="8"/>
      <c r="P64322" s="8"/>
      <c r="Q64322" s="8"/>
      <c r="R64322" s="103"/>
      <c r="S64322" s="8"/>
      <c r="T64322" s="8"/>
      <c r="U64322" s="8"/>
      <c r="V64322" s="8"/>
      <c r="W64322" s="8"/>
      <c r="X64322" s="8"/>
      <c r="Y64322" s="8"/>
      <c r="Z64322" s="8"/>
      <c r="AA64322" s="8"/>
    </row>
    <row r="64323" spans="1:27" x14ac:dyDescent="0.25">
      <c r="A64323" s="8"/>
      <c r="B64323" s="8"/>
      <c r="C64323" s="99"/>
      <c r="D64323" s="8"/>
      <c r="E64323" s="8"/>
      <c r="F64323" s="8"/>
      <c r="G64323" s="8"/>
      <c r="H64323" s="8"/>
      <c r="I64323" s="102"/>
      <c r="J64323" s="8"/>
      <c r="K64323" s="8"/>
      <c r="L64323" s="8"/>
      <c r="M64323" s="8"/>
      <c r="N64323" s="8"/>
      <c r="O64323" s="8"/>
      <c r="P64323" s="8"/>
      <c r="Q64323" s="8"/>
      <c r="R64323" s="103"/>
      <c r="S64323" s="8"/>
      <c r="T64323" s="8"/>
      <c r="U64323" s="8"/>
      <c r="V64323" s="8"/>
      <c r="W64323" s="8"/>
      <c r="X64323" s="8"/>
      <c r="Y64323" s="8"/>
      <c r="Z64323" s="8"/>
      <c r="AA64323" s="8"/>
    </row>
    <row r="64324" spans="1:27" x14ac:dyDescent="0.25">
      <c r="A64324" s="8"/>
      <c r="B64324" s="8"/>
      <c r="C64324" s="99"/>
      <c r="D64324" s="8"/>
      <c r="E64324" s="8"/>
      <c r="F64324" s="8"/>
      <c r="G64324" s="8"/>
      <c r="H64324" s="8"/>
      <c r="I64324" s="102"/>
      <c r="J64324" s="8"/>
      <c r="K64324" s="8"/>
      <c r="L64324" s="8"/>
      <c r="M64324" s="8"/>
      <c r="N64324" s="8"/>
      <c r="O64324" s="8"/>
      <c r="P64324" s="8"/>
      <c r="Q64324" s="8"/>
      <c r="R64324" s="103"/>
      <c r="S64324" s="8"/>
      <c r="T64324" s="8"/>
      <c r="U64324" s="8"/>
      <c r="V64324" s="8"/>
      <c r="W64324" s="8"/>
      <c r="X64324" s="8"/>
      <c r="Y64324" s="8"/>
      <c r="Z64324" s="8"/>
      <c r="AA64324" s="8"/>
    </row>
    <row r="64325" spans="1:27" x14ac:dyDescent="0.25">
      <c r="A64325" s="8"/>
      <c r="B64325" s="8"/>
      <c r="C64325" s="99"/>
      <c r="D64325" s="8"/>
      <c r="E64325" s="8"/>
      <c r="F64325" s="8"/>
      <c r="G64325" s="8"/>
      <c r="H64325" s="8"/>
      <c r="I64325" s="102"/>
      <c r="J64325" s="8"/>
      <c r="K64325" s="8"/>
      <c r="L64325" s="8"/>
      <c r="M64325" s="8"/>
      <c r="N64325" s="8"/>
      <c r="O64325" s="8"/>
      <c r="P64325" s="8"/>
      <c r="Q64325" s="8"/>
      <c r="R64325" s="103"/>
      <c r="S64325" s="8"/>
      <c r="T64325" s="8"/>
      <c r="U64325" s="8"/>
      <c r="V64325" s="8"/>
      <c r="W64325" s="8"/>
      <c r="X64325" s="8"/>
      <c r="Y64325" s="8"/>
      <c r="Z64325" s="8"/>
      <c r="AA64325" s="8"/>
    </row>
    <row r="64326" spans="1:27" x14ac:dyDescent="0.25">
      <c r="A64326" s="8"/>
      <c r="B64326" s="8"/>
      <c r="C64326" s="99"/>
      <c r="D64326" s="8"/>
      <c r="E64326" s="8"/>
      <c r="F64326" s="8"/>
      <c r="G64326" s="8"/>
      <c r="H64326" s="8"/>
      <c r="I64326" s="102"/>
      <c r="J64326" s="8"/>
      <c r="K64326" s="8"/>
      <c r="L64326" s="8"/>
      <c r="M64326" s="8"/>
      <c r="N64326" s="8"/>
      <c r="O64326" s="8"/>
      <c r="P64326" s="8"/>
      <c r="Q64326" s="8"/>
      <c r="R64326" s="103"/>
      <c r="S64326" s="8"/>
      <c r="T64326" s="8"/>
      <c r="U64326" s="8"/>
      <c r="V64326" s="8"/>
      <c r="W64326" s="8"/>
      <c r="X64326" s="8"/>
      <c r="Y64326" s="8"/>
      <c r="Z64326" s="8"/>
      <c r="AA64326" s="8"/>
    </row>
    <row r="64327" spans="1:27" x14ac:dyDescent="0.25">
      <c r="A64327" s="8"/>
      <c r="B64327" s="8"/>
      <c r="C64327" s="99"/>
      <c r="D64327" s="8"/>
      <c r="E64327" s="8"/>
      <c r="F64327" s="8"/>
      <c r="G64327" s="8"/>
      <c r="H64327" s="8"/>
      <c r="I64327" s="102"/>
      <c r="J64327" s="8"/>
      <c r="K64327" s="8"/>
      <c r="L64327" s="8"/>
      <c r="M64327" s="8"/>
      <c r="N64327" s="8"/>
      <c r="O64327" s="8"/>
      <c r="P64327" s="8"/>
      <c r="Q64327" s="8"/>
      <c r="R64327" s="103"/>
      <c r="S64327" s="8"/>
      <c r="T64327" s="8"/>
      <c r="U64327" s="8"/>
      <c r="V64327" s="8"/>
      <c r="W64327" s="8"/>
      <c r="X64327" s="8"/>
      <c r="Y64327" s="8"/>
      <c r="Z64327" s="8"/>
      <c r="AA64327" s="8"/>
    </row>
    <row r="64328" spans="1:27" x14ac:dyDescent="0.25">
      <c r="A64328" s="8"/>
      <c r="B64328" s="8"/>
      <c r="C64328" s="99"/>
      <c r="D64328" s="8"/>
      <c r="E64328" s="8"/>
      <c r="F64328" s="8"/>
      <c r="G64328" s="8"/>
      <c r="H64328" s="8"/>
      <c r="I64328" s="102"/>
      <c r="J64328" s="8"/>
      <c r="K64328" s="8"/>
      <c r="L64328" s="8"/>
      <c r="M64328" s="8"/>
      <c r="N64328" s="8"/>
      <c r="O64328" s="8"/>
      <c r="P64328" s="8"/>
      <c r="Q64328" s="8"/>
      <c r="R64328" s="103"/>
      <c r="S64328" s="8"/>
      <c r="T64328" s="8"/>
      <c r="U64328" s="8"/>
      <c r="V64328" s="8"/>
      <c r="W64328" s="8"/>
      <c r="X64328" s="8"/>
      <c r="Y64328" s="8"/>
      <c r="Z64328" s="8"/>
      <c r="AA64328" s="8"/>
    </row>
    <row r="64329" spans="1:27" x14ac:dyDescent="0.25">
      <c r="A64329" s="8"/>
      <c r="B64329" s="8"/>
      <c r="C64329" s="99"/>
      <c r="D64329" s="8"/>
      <c r="E64329" s="8"/>
      <c r="F64329" s="8"/>
      <c r="G64329" s="8"/>
      <c r="H64329" s="8"/>
      <c r="I64329" s="102"/>
      <c r="J64329" s="8"/>
      <c r="K64329" s="8"/>
      <c r="L64329" s="8"/>
      <c r="M64329" s="8"/>
      <c r="N64329" s="8"/>
      <c r="O64329" s="8"/>
      <c r="P64329" s="8"/>
      <c r="Q64329" s="8"/>
      <c r="R64329" s="103"/>
      <c r="S64329" s="8"/>
      <c r="T64329" s="8"/>
      <c r="U64329" s="8"/>
      <c r="V64329" s="8"/>
      <c r="W64329" s="8"/>
      <c r="X64329" s="8"/>
      <c r="Y64329" s="8"/>
      <c r="Z64329" s="8"/>
      <c r="AA64329" s="8"/>
    </row>
    <row r="64330" spans="1:27" x14ac:dyDescent="0.25">
      <c r="A64330" s="8"/>
      <c r="B64330" s="8"/>
      <c r="C64330" s="99"/>
      <c r="D64330" s="8"/>
      <c r="E64330" s="8"/>
      <c r="F64330" s="8"/>
      <c r="G64330" s="8"/>
      <c r="H64330" s="8"/>
      <c r="I64330" s="102"/>
      <c r="J64330" s="8"/>
      <c r="K64330" s="8"/>
      <c r="L64330" s="8"/>
      <c r="M64330" s="8"/>
      <c r="N64330" s="8"/>
      <c r="O64330" s="8"/>
      <c r="P64330" s="8"/>
      <c r="Q64330" s="8"/>
      <c r="R64330" s="103"/>
      <c r="S64330" s="8"/>
      <c r="T64330" s="8"/>
      <c r="U64330" s="8"/>
      <c r="V64330" s="8"/>
      <c r="W64330" s="8"/>
      <c r="X64330" s="8"/>
      <c r="Y64330" s="8"/>
      <c r="Z64330" s="8"/>
      <c r="AA64330" s="8"/>
    </row>
    <row r="64331" spans="1:27" x14ac:dyDescent="0.25">
      <c r="A64331" s="8"/>
      <c r="B64331" s="8"/>
      <c r="C64331" s="99"/>
      <c r="D64331" s="8"/>
      <c r="E64331" s="8"/>
      <c r="F64331" s="8"/>
      <c r="G64331" s="8"/>
      <c r="H64331" s="8"/>
      <c r="I64331" s="102"/>
      <c r="J64331" s="8"/>
      <c r="K64331" s="8"/>
      <c r="L64331" s="8"/>
      <c r="M64331" s="8"/>
      <c r="N64331" s="8"/>
      <c r="O64331" s="8"/>
      <c r="P64331" s="8"/>
      <c r="Q64331" s="8"/>
      <c r="R64331" s="103"/>
      <c r="S64331" s="8"/>
      <c r="T64331" s="8"/>
      <c r="U64331" s="8"/>
      <c r="V64331" s="8"/>
      <c r="W64331" s="8"/>
      <c r="X64331" s="8"/>
      <c r="Y64331" s="8"/>
      <c r="Z64331" s="8"/>
      <c r="AA64331" s="8"/>
    </row>
    <row r="64332" spans="1:27" x14ac:dyDescent="0.25">
      <c r="A64332" s="8"/>
      <c r="B64332" s="8"/>
      <c r="C64332" s="99"/>
      <c r="D64332" s="8"/>
      <c r="E64332" s="8"/>
      <c r="F64332" s="8"/>
      <c r="G64332" s="8"/>
      <c r="H64332" s="8"/>
      <c r="I64332" s="102"/>
      <c r="J64332" s="8"/>
      <c r="K64332" s="8"/>
      <c r="L64332" s="8"/>
      <c r="M64332" s="8"/>
      <c r="N64332" s="8"/>
      <c r="O64332" s="8"/>
      <c r="P64332" s="8"/>
      <c r="Q64332" s="8"/>
      <c r="R64332" s="103"/>
      <c r="S64332" s="8"/>
      <c r="T64332" s="8"/>
      <c r="U64332" s="8"/>
      <c r="V64332" s="8"/>
      <c r="W64332" s="8"/>
      <c r="X64332" s="8"/>
      <c r="Y64332" s="8"/>
      <c r="Z64332" s="8"/>
      <c r="AA64332" s="8"/>
    </row>
    <row r="64333" spans="1:27" x14ac:dyDescent="0.25">
      <c r="A64333" s="8"/>
      <c r="B64333" s="8"/>
      <c r="C64333" s="99"/>
      <c r="D64333" s="8"/>
      <c r="E64333" s="8"/>
      <c r="F64333" s="8"/>
      <c r="G64333" s="8"/>
      <c r="H64333" s="8"/>
      <c r="I64333" s="102"/>
      <c r="J64333" s="8"/>
      <c r="K64333" s="8"/>
      <c r="L64333" s="8"/>
      <c r="M64333" s="8"/>
      <c r="N64333" s="8"/>
      <c r="O64333" s="8"/>
      <c r="P64333" s="8"/>
      <c r="Q64333" s="8"/>
      <c r="R64333" s="103"/>
      <c r="S64333" s="8"/>
      <c r="T64333" s="8"/>
      <c r="U64333" s="8"/>
      <c r="V64333" s="8"/>
      <c r="W64333" s="8"/>
      <c r="X64333" s="8"/>
      <c r="Y64333" s="8"/>
      <c r="Z64333" s="8"/>
      <c r="AA64333" s="8"/>
    </row>
    <row r="64334" spans="1:27" x14ac:dyDescent="0.25">
      <c r="A64334" s="8"/>
      <c r="B64334" s="8"/>
      <c r="C64334" s="99"/>
      <c r="D64334" s="8"/>
      <c r="E64334" s="8"/>
      <c r="F64334" s="8"/>
      <c r="G64334" s="8"/>
      <c r="H64334" s="8"/>
      <c r="I64334" s="102"/>
      <c r="J64334" s="8"/>
      <c r="K64334" s="8"/>
      <c r="L64334" s="8"/>
      <c r="M64334" s="8"/>
      <c r="N64334" s="8"/>
      <c r="O64334" s="8"/>
      <c r="P64334" s="8"/>
      <c r="Q64334" s="8"/>
      <c r="R64334" s="103"/>
      <c r="S64334" s="8"/>
      <c r="T64334" s="8"/>
      <c r="U64334" s="8"/>
      <c r="V64334" s="8"/>
      <c r="W64334" s="8"/>
      <c r="X64334" s="8"/>
      <c r="Y64334" s="8"/>
      <c r="Z64334" s="8"/>
      <c r="AA64334" s="8"/>
    </row>
    <row r="64335" spans="1:27" x14ac:dyDescent="0.25">
      <c r="A64335" s="8"/>
      <c r="B64335" s="8"/>
      <c r="C64335" s="99"/>
      <c r="D64335" s="8"/>
      <c r="E64335" s="8"/>
      <c r="F64335" s="8"/>
      <c r="G64335" s="8"/>
      <c r="H64335" s="8"/>
      <c r="I64335" s="102"/>
      <c r="J64335" s="8"/>
      <c r="K64335" s="8"/>
      <c r="L64335" s="8"/>
      <c r="M64335" s="8"/>
      <c r="N64335" s="8"/>
      <c r="O64335" s="8"/>
      <c r="P64335" s="8"/>
      <c r="Q64335" s="8"/>
      <c r="R64335" s="103"/>
      <c r="S64335" s="8"/>
      <c r="T64335" s="8"/>
      <c r="U64335" s="8"/>
      <c r="V64335" s="8"/>
      <c r="W64335" s="8"/>
      <c r="X64335" s="8"/>
      <c r="Y64335" s="8"/>
      <c r="Z64335" s="8"/>
      <c r="AA64335" s="8"/>
    </row>
    <row r="64336" spans="1:27" x14ac:dyDescent="0.25">
      <c r="A64336" s="8"/>
      <c r="B64336" s="8"/>
      <c r="C64336" s="99"/>
      <c r="D64336" s="8"/>
      <c r="E64336" s="8"/>
      <c r="F64336" s="8"/>
      <c r="G64336" s="8"/>
      <c r="H64336" s="8"/>
      <c r="I64336" s="102"/>
      <c r="J64336" s="8"/>
      <c r="K64336" s="8"/>
      <c r="L64336" s="8"/>
      <c r="M64336" s="8"/>
      <c r="N64336" s="8"/>
      <c r="O64336" s="8"/>
      <c r="P64336" s="8"/>
      <c r="Q64336" s="8"/>
      <c r="R64336" s="103"/>
      <c r="S64336" s="8"/>
      <c r="T64336" s="8"/>
      <c r="U64336" s="8"/>
      <c r="V64336" s="8"/>
      <c r="W64336" s="8"/>
      <c r="X64336" s="8"/>
      <c r="Y64336" s="8"/>
      <c r="Z64336" s="8"/>
      <c r="AA64336" s="8"/>
    </row>
    <row r="64337" spans="1:27" x14ac:dyDescent="0.25">
      <c r="A64337" s="8"/>
      <c r="B64337" s="8"/>
      <c r="C64337" s="99"/>
      <c r="D64337" s="8"/>
      <c r="E64337" s="8"/>
      <c r="F64337" s="8"/>
      <c r="G64337" s="8"/>
      <c r="H64337" s="8"/>
      <c r="I64337" s="102"/>
      <c r="J64337" s="8"/>
      <c r="K64337" s="8"/>
      <c r="L64337" s="8"/>
      <c r="M64337" s="8"/>
      <c r="N64337" s="8"/>
      <c r="O64337" s="8"/>
      <c r="P64337" s="8"/>
      <c r="Q64337" s="8"/>
      <c r="R64337" s="103"/>
      <c r="S64337" s="8"/>
      <c r="T64337" s="8"/>
      <c r="U64337" s="8"/>
      <c r="V64337" s="8"/>
      <c r="W64337" s="8"/>
      <c r="X64337" s="8"/>
      <c r="Y64337" s="8"/>
      <c r="Z64337" s="8"/>
      <c r="AA64337" s="8"/>
    </row>
    <row r="64338" spans="1:27" x14ac:dyDescent="0.25">
      <c r="A64338" s="8"/>
      <c r="B64338" s="8"/>
      <c r="C64338" s="99"/>
      <c r="D64338" s="8"/>
      <c r="E64338" s="8"/>
      <c r="F64338" s="8"/>
      <c r="G64338" s="8"/>
      <c r="H64338" s="8"/>
      <c r="I64338" s="102"/>
      <c r="J64338" s="8"/>
      <c r="K64338" s="8"/>
      <c r="L64338" s="8"/>
      <c r="M64338" s="8"/>
      <c r="N64338" s="8"/>
      <c r="O64338" s="8"/>
      <c r="P64338" s="8"/>
      <c r="Q64338" s="8"/>
      <c r="R64338" s="103"/>
      <c r="S64338" s="8"/>
      <c r="T64338" s="8"/>
      <c r="U64338" s="8"/>
      <c r="V64338" s="8"/>
      <c r="W64338" s="8"/>
      <c r="X64338" s="8"/>
      <c r="Y64338" s="8"/>
      <c r="Z64338" s="8"/>
      <c r="AA64338" s="8"/>
    </row>
    <row r="64339" spans="1:27" x14ac:dyDescent="0.25">
      <c r="A64339" s="8"/>
      <c r="B64339" s="8"/>
      <c r="C64339" s="99"/>
      <c r="D64339" s="8"/>
      <c r="E64339" s="8"/>
      <c r="F64339" s="8"/>
      <c r="G64339" s="8"/>
      <c r="H64339" s="8"/>
      <c r="I64339" s="102"/>
      <c r="J64339" s="8"/>
      <c r="K64339" s="8"/>
      <c r="L64339" s="8"/>
      <c r="M64339" s="8"/>
      <c r="N64339" s="8"/>
      <c r="O64339" s="8"/>
      <c r="P64339" s="8"/>
      <c r="Q64339" s="8"/>
      <c r="R64339" s="103"/>
      <c r="S64339" s="8"/>
      <c r="T64339" s="8"/>
      <c r="U64339" s="8"/>
      <c r="V64339" s="8"/>
      <c r="W64339" s="8"/>
      <c r="X64339" s="8"/>
      <c r="Y64339" s="8"/>
      <c r="Z64339" s="8"/>
      <c r="AA64339" s="8"/>
    </row>
    <row r="64340" spans="1:27" x14ac:dyDescent="0.25">
      <c r="A64340" s="8"/>
      <c r="B64340" s="8"/>
      <c r="C64340" s="99"/>
      <c r="D64340" s="8"/>
      <c r="E64340" s="8"/>
      <c r="F64340" s="8"/>
      <c r="G64340" s="8"/>
      <c r="H64340" s="8"/>
      <c r="I64340" s="102"/>
      <c r="J64340" s="8"/>
      <c r="K64340" s="8"/>
      <c r="L64340" s="8"/>
      <c r="M64340" s="8"/>
      <c r="N64340" s="8"/>
      <c r="O64340" s="8"/>
      <c r="P64340" s="8"/>
      <c r="Q64340" s="8"/>
      <c r="R64340" s="103"/>
      <c r="S64340" s="8"/>
      <c r="T64340" s="8"/>
      <c r="U64340" s="8"/>
      <c r="V64340" s="8"/>
      <c r="W64340" s="8"/>
      <c r="X64340" s="8"/>
      <c r="Y64340" s="8"/>
      <c r="Z64340" s="8"/>
      <c r="AA64340" s="8"/>
    </row>
    <row r="64341" spans="1:27" x14ac:dyDescent="0.25">
      <c r="A64341" s="8"/>
      <c r="B64341" s="8"/>
      <c r="C64341" s="99"/>
      <c r="D64341" s="8"/>
      <c r="E64341" s="8"/>
      <c r="F64341" s="8"/>
      <c r="G64341" s="8"/>
      <c r="H64341" s="8"/>
      <c r="I64341" s="102"/>
      <c r="J64341" s="8"/>
      <c r="K64341" s="8"/>
      <c r="L64341" s="8"/>
      <c r="M64341" s="8"/>
      <c r="N64341" s="8"/>
      <c r="O64341" s="8"/>
      <c r="P64341" s="8"/>
      <c r="Q64341" s="8"/>
      <c r="R64341" s="103"/>
      <c r="S64341" s="8"/>
      <c r="T64341" s="8"/>
      <c r="U64341" s="8"/>
      <c r="V64341" s="8"/>
      <c r="W64341" s="8"/>
      <c r="X64341" s="8"/>
      <c r="Y64341" s="8"/>
      <c r="Z64341" s="8"/>
      <c r="AA64341" s="8"/>
    </row>
    <row r="64342" spans="1:27" x14ac:dyDescent="0.25">
      <c r="A64342" s="8"/>
      <c r="B64342" s="8"/>
      <c r="C64342" s="99"/>
      <c r="D64342" s="8"/>
      <c r="E64342" s="8"/>
      <c r="F64342" s="8"/>
      <c r="G64342" s="8"/>
      <c r="H64342" s="8"/>
      <c r="I64342" s="102"/>
      <c r="J64342" s="8"/>
      <c r="K64342" s="8"/>
      <c r="L64342" s="8"/>
      <c r="M64342" s="8"/>
      <c r="N64342" s="8"/>
      <c r="O64342" s="8"/>
      <c r="P64342" s="8"/>
      <c r="Q64342" s="8"/>
      <c r="R64342" s="103"/>
      <c r="S64342" s="8"/>
      <c r="T64342" s="8"/>
      <c r="U64342" s="8"/>
      <c r="V64342" s="8"/>
      <c r="W64342" s="8"/>
      <c r="X64342" s="8"/>
      <c r="Y64342" s="8"/>
      <c r="Z64342" s="8"/>
      <c r="AA64342" s="8"/>
    </row>
    <row r="64343" spans="1:27" x14ac:dyDescent="0.25">
      <c r="A64343" s="8"/>
      <c r="B64343" s="8"/>
      <c r="C64343" s="99"/>
      <c r="D64343" s="8"/>
      <c r="E64343" s="8"/>
      <c r="F64343" s="8"/>
      <c r="G64343" s="8"/>
      <c r="H64343" s="8"/>
      <c r="I64343" s="102"/>
      <c r="J64343" s="8"/>
      <c r="K64343" s="8"/>
      <c r="L64343" s="8"/>
      <c r="M64343" s="8"/>
      <c r="N64343" s="8"/>
      <c r="O64343" s="8"/>
      <c r="P64343" s="8"/>
      <c r="Q64343" s="8"/>
      <c r="R64343" s="103"/>
      <c r="S64343" s="8"/>
      <c r="T64343" s="8"/>
      <c r="U64343" s="8"/>
      <c r="V64343" s="8"/>
      <c r="W64343" s="8"/>
      <c r="X64343" s="8"/>
      <c r="Y64343" s="8"/>
      <c r="Z64343" s="8"/>
      <c r="AA64343" s="8"/>
    </row>
    <row r="64344" spans="1:27" x14ac:dyDescent="0.25">
      <c r="A64344" s="8"/>
      <c r="B64344" s="8"/>
      <c r="C64344" s="99"/>
      <c r="D64344" s="8"/>
      <c r="E64344" s="8"/>
      <c r="F64344" s="8"/>
      <c r="G64344" s="8"/>
      <c r="H64344" s="8"/>
      <c r="I64344" s="102"/>
      <c r="J64344" s="8"/>
      <c r="K64344" s="8"/>
      <c r="L64344" s="8"/>
      <c r="M64344" s="8"/>
      <c r="N64344" s="8"/>
      <c r="O64344" s="8"/>
      <c r="P64344" s="8"/>
      <c r="Q64344" s="8"/>
      <c r="R64344" s="103"/>
      <c r="S64344" s="8"/>
      <c r="T64344" s="8"/>
      <c r="U64344" s="8"/>
      <c r="V64344" s="8"/>
      <c r="W64344" s="8"/>
      <c r="X64344" s="8"/>
      <c r="Y64344" s="8"/>
      <c r="Z64344" s="8"/>
      <c r="AA64344" s="8"/>
    </row>
    <row r="64345" spans="1:27" x14ac:dyDescent="0.25">
      <c r="A64345" s="8"/>
      <c r="B64345" s="8"/>
      <c r="C64345" s="99"/>
      <c r="D64345" s="8"/>
      <c r="E64345" s="8"/>
      <c r="F64345" s="8"/>
      <c r="G64345" s="8"/>
      <c r="H64345" s="8"/>
      <c r="I64345" s="102"/>
      <c r="J64345" s="8"/>
      <c r="K64345" s="8"/>
      <c r="L64345" s="8"/>
      <c r="M64345" s="8"/>
      <c r="N64345" s="8"/>
      <c r="O64345" s="8"/>
      <c r="P64345" s="8"/>
      <c r="Q64345" s="8"/>
      <c r="R64345" s="103"/>
      <c r="S64345" s="8"/>
      <c r="T64345" s="8"/>
      <c r="U64345" s="8"/>
      <c r="V64345" s="8"/>
      <c r="W64345" s="8"/>
      <c r="X64345" s="8"/>
      <c r="Y64345" s="8"/>
      <c r="Z64345" s="8"/>
      <c r="AA64345" s="8"/>
    </row>
    <row r="64346" spans="1:27" x14ac:dyDescent="0.25">
      <c r="A64346" s="8"/>
      <c r="B64346" s="8"/>
      <c r="C64346" s="99"/>
      <c r="D64346" s="8"/>
      <c r="E64346" s="8"/>
      <c r="F64346" s="8"/>
      <c r="G64346" s="8"/>
      <c r="H64346" s="8"/>
      <c r="I64346" s="102"/>
      <c r="J64346" s="8"/>
      <c r="K64346" s="8"/>
      <c r="L64346" s="8"/>
      <c r="M64346" s="8"/>
      <c r="N64346" s="8"/>
      <c r="O64346" s="8"/>
      <c r="P64346" s="8"/>
      <c r="Q64346" s="8"/>
      <c r="R64346" s="103"/>
      <c r="S64346" s="8"/>
      <c r="T64346" s="8"/>
      <c r="U64346" s="8"/>
      <c r="V64346" s="8"/>
      <c r="W64346" s="8"/>
      <c r="X64346" s="8"/>
      <c r="Y64346" s="8"/>
      <c r="Z64346" s="8"/>
      <c r="AA64346" s="8"/>
    </row>
    <row r="64347" spans="1:27" x14ac:dyDescent="0.25">
      <c r="A64347" s="8"/>
      <c r="B64347" s="8"/>
      <c r="C64347" s="99"/>
      <c r="D64347" s="8"/>
      <c r="E64347" s="8"/>
      <c r="F64347" s="8"/>
      <c r="G64347" s="8"/>
      <c r="H64347" s="8"/>
      <c r="I64347" s="102"/>
      <c r="J64347" s="8"/>
      <c r="K64347" s="8"/>
      <c r="L64347" s="8"/>
      <c r="M64347" s="8"/>
      <c r="N64347" s="8"/>
      <c r="O64347" s="8"/>
      <c r="P64347" s="8"/>
      <c r="Q64347" s="8"/>
      <c r="R64347" s="103"/>
      <c r="S64347" s="8"/>
      <c r="T64347" s="8"/>
      <c r="U64347" s="8"/>
      <c r="V64347" s="8"/>
      <c r="W64347" s="8"/>
      <c r="X64347" s="8"/>
      <c r="Y64347" s="8"/>
      <c r="Z64347" s="8"/>
      <c r="AA64347" s="8"/>
    </row>
    <row r="64348" spans="1:27" x14ac:dyDescent="0.25">
      <c r="A64348" s="8"/>
      <c r="B64348" s="8"/>
      <c r="C64348" s="99"/>
      <c r="D64348" s="8"/>
      <c r="E64348" s="8"/>
      <c r="F64348" s="8"/>
      <c r="G64348" s="8"/>
      <c r="H64348" s="8"/>
      <c r="I64348" s="102"/>
      <c r="J64348" s="8"/>
      <c r="K64348" s="8"/>
      <c r="L64348" s="8"/>
      <c r="M64348" s="8"/>
      <c r="N64348" s="8"/>
      <c r="O64348" s="8"/>
      <c r="P64348" s="8"/>
      <c r="Q64348" s="8"/>
      <c r="R64348" s="103"/>
      <c r="S64348" s="8"/>
      <c r="T64348" s="8"/>
      <c r="U64348" s="8"/>
      <c r="V64348" s="8"/>
      <c r="W64348" s="8"/>
      <c r="X64348" s="8"/>
      <c r="Y64348" s="8"/>
      <c r="Z64348" s="8"/>
      <c r="AA64348" s="8"/>
    </row>
    <row r="64349" spans="1:27" x14ac:dyDescent="0.25">
      <c r="A64349" s="8"/>
      <c r="B64349" s="8"/>
      <c r="C64349" s="99"/>
      <c r="D64349" s="8"/>
      <c r="E64349" s="8"/>
      <c r="F64349" s="8"/>
      <c r="G64349" s="8"/>
      <c r="H64349" s="8"/>
      <c r="I64349" s="102"/>
      <c r="J64349" s="8"/>
      <c r="K64349" s="8"/>
      <c r="L64349" s="8"/>
      <c r="M64349" s="8"/>
      <c r="N64349" s="8"/>
      <c r="O64349" s="8"/>
      <c r="P64349" s="8"/>
      <c r="Q64349" s="8"/>
      <c r="R64349" s="103"/>
      <c r="S64349" s="8"/>
      <c r="T64349" s="8"/>
      <c r="U64349" s="8"/>
      <c r="V64349" s="8"/>
      <c r="W64349" s="8"/>
      <c r="X64349" s="8"/>
      <c r="Y64349" s="8"/>
      <c r="Z64349" s="8"/>
      <c r="AA64349" s="8"/>
    </row>
    <row r="64350" spans="1:27" x14ac:dyDescent="0.25">
      <c r="A64350" s="8"/>
      <c r="B64350" s="8"/>
      <c r="C64350" s="99"/>
      <c r="D64350" s="8"/>
      <c r="E64350" s="8"/>
      <c r="F64350" s="8"/>
      <c r="G64350" s="8"/>
      <c r="H64350" s="8"/>
      <c r="I64350" s="102"/>
      <c r="J64350" s="8"/>
      <c r="K64350" s="8"/>
      <c r="L64350" s="8"/>
      <c r="M64350" s="8"/>
      <c r="N64350" s="8"/>
      <c r="O64350" s="8"/>
      <c r="P64350" s="8"/>
      <c r="Q64350" s="8"/>
      <c r="R64350" s="103"/>
      <c r="S64350" s="8"/>
      <c r="T64350" s="8"/>
      <c r="U64350" s="8"/>
      <c r="V64350" s="8"/>
      <c r="W64350" s="8"/>
      <c r="X64350" s="8"/>
      <c r="Y64350" s="8"/>
      <c r="Z64350" s="8"/>
      <c r="AA64350" s="8"/>
    </row>
    <row r="64351" spans="1:27" x14ac:dyDescent="0.25">
      <c r="A64351" s="8"/>
      <c r="B64351" s="8"/>
      <c r="C64351" s="99"/>
      <c r="D64351" s="8"/>
      <c r="E64351" s="8"/>
      <c r="F64351" s="8"/>
      <c r="G64351" s="8"/>
      <c r="H64351" s="8"/>
      <c r="I64351" s="102"/>
      <c r="J64351" s="8"/>
      <c r="K64351" s="8"/>
      <c r="L64351" s="8"/>
      <c r="M64351" s="8"/>
      <c r="N64351" s="8"/>
      <c r="O64351" s="8"/>
      <c r="P64351" s="8"/>
      <c r="Q64351" s="8"/>
      <c r="R64351" s="103"/>
      <c r="S64351" s="8"/>
      <c r="T64351" s="8"/>
      <c r="U64351" s="8"/>
      <c r="V64351" s="8"/>
      <c r="W64351" s="8"/>
      <c r="X64351" s="8"/>
      <c r="Y64351" s="8"/>
      <c r="Z64351" s="8"/>
      <c r="AA64351" s="8"/>
    </row>
    <row r="64352" spans="1:27" x14ac:dyDescent="0.25">
      <c r="A64352" s="8"/>
      <c r="B64352" s="8"/>
      <c r="C64352" s="99"/>
      <c r="D64352" s="8"/>
      <c r="E64352" s="8"/>
      <c r="F64352" s="8"/>
      <c r="G64352" s="8"/>
      <c r="H64352" s="8"/>
      <c r="I64352" s="102"/>
      <c r="J64352" s="8"/>
      <c r="K64352" s="8"/>
      <c r="L64352" s="8"/>
      <c r="M64352" s="8"/>
      <c r="N64352" s="8"/>
      <c r="O64352" s="8"/>
      <c r="P64352" s="8"/>
      <c r="Q64352" s="8"/>
      <c r="R64352" s="103"/>
      <c r="S64352" s="8"/>
      <c r="T64352" s="8"/>
      <c r="U64352" s="8"/>
      <c r="V64352" s="8"/>
      <c r="W64352" s="8"/>
      <c r="X64352" s="8"/>
      <c r="Y64352" s="8"/>
      <c r="Z64352" s="8"/>
      <c r="AA64352" s="8"/>
    </row>
    <row r="64353" spans="1:27" x14ac:dyDescent="0.25">
      <c r="A64353" s="8"/>
      <c r="B64353" s="8"/>
      <c r="C64353" s="99"/>
      <c r="D64353" s="8"/>
      <c r="E64353" s="8"/>
      <c r="F64353" s="8"/>
      <c r="G64353" s="8"/>
      <c r="H64353" s="8"/>
      <c r="I64353" s="102"/>
      <c r="J64353" s="8"/>
      <c r="K64353" s="8"/>
      <c r="L64353" s="8"/>
      <c r="M64353" s="8"/>
      <c r="N64353" s="8"/>
      <c r="O64353" s="8"/>
      <c r="P64353" s="8"/>
      <c r="Q64353" s="8"/>
      <c r="R64353" s="103"/>
      <c r="S64353" s="8"/>
      <c r="T64353" s="8"/>
      <c r="U64353" s="8"/>
      <c r="V64353" s="8"/>
      <c r="W64353" s="8"/>
      <c r="X64353" s="8"/>
      <c r="Y64353" s="8"/>
      <c r="Z64353" s="8"/>
      <c r="AA64353" s="8"/>
    </row>
    <row r="64354" spans="1:27" x14ac:dyDescent="0.25">
      <c r="A64354" s="8"/>
      <c r="B64354" s="8"/>
      <c r="C64354" s="99"/>
      <c r="D64354" s="8"/>
      <c r="E64354" s="8"/>
      <c r="F64354" s="8"/>
      <c r="G64354" s="8"/>
      <c r="H64354" s="8"/>
      <c r="I64354" s="102"/>
      <c r="J64354" s="8"/>
      <c r="K64354" s="8"/>
      <c r="L64354" s="8"/>
      <c r="M64354" s="8"/>
      <c r="N64354" s="8"/>
      <c r="O64354" s="8"/>
      <c r="P64354" s="8"/>
      <c r="Q64354" s="8"/>
      <c r="R64354" s="103"/>
      <c r="S64354" s="8"/>
      <c r="T64354" s="8"/>
      <c r="U64354" s="8"/>
      <c r="V64354" s="8"/>
      <c r="W64354" s="8"/>
      <c r="X64354" s="8"/>
      <c r="Y64354" s="8"/>
      <c r="Z64354" s="8"/>
      <c r="AA64354" s="8"/>
    </row>
    <row r="64355" spans="1:27" x14ac:dyDescent="0.25">
      <c r="A64355" s="8"/>
      <c r="B64355" s="8"/>
      <c r="C64355" s="99"/>
      <c r="D64355" s="8"/>
      <c r="E64355" s="8"/>
      <c r="F64355" s="8"/>
      <c r="G64355" s="8"/>
      <c r="H64355" s="8"/>
      <c r="I64355" s="102"/>
      <c r="J64355" s="8"/>
      <c r="K64355" s="8"/>
      <c r="L64355" s="8"/>
      <c r="M64355" s="8"/>
      <c r="N64355" s="8"/>
      <c r="O64355" s="8"/>
      <c r="P64355" s="8"/>
      <c r="Q64355" s="8"/>
      <c r="R64355" s="103"/>
      <c r="S64355" s="8"/>
      <c r="T64355" s="8"/>
      <c r="U64355" s="8"/>
      <c r="V64355" s="8"/>
      <c r="W64355" s="8"/>
      <c r="X64355" s="8"/>
      <c r="Y64355" s="8"/>
      <c r="Z64355" s="8"/>
      <c r="AA64355" s="8"/>
    </row>
    <row r="64356" spans="1:27" x14ac:dyDescent="0.25">
      <c r="A64356" s="8"/>
      <c r="B64356" s="8"/>
      <c r="C64356" s="99"/>
      <c r="D64356" s="8"/>
      <c r="E64356" s="8"/>
      <c r="F64356" s="8"/>
      <c r="G64356" s="8"/>
      <c r="H64356" s="8"/>
      <c r="I64356" s="102"/>
      <c r="J64356" s="8"/>
      <c r="K64356" s="8"/>
      <c r="L64356" s="8"/>
      <c r="M64356" s="8"/>
      <c r="N64356" s="8"/>
      <c r="O64356" s="8"/>
      <c r="P64356" s="8"/>
      <c r="Q64356" s="8"/>
      <c r="R64356" s="103"/>
      <c r="S64356" s="8"/>
      <c r="T64356" s="8"/>
      <c r="U64356" s="8"/>
      <c r="V64356" s="8"/>
      <c r="W64356" s="8"/>
      <c r="X64356" s="8"/>
      <c r="Y64356" s="8"/>
      <c r="Z64356" s="8"/>
      <c r="AA64356" s="8"/>
    </row>
    <row r="64357" spans="1:27" x14ac:dyDescent="0.25">
      <c r="A64357" s="8"/>
      <c r="B64357" s="8"/>
      <c r="C64357" s="99"/>
      <c r="D64357" s="8"/>
      <c r="E64357" s="8"/>
      <c r="F64357" s="8"/>
      <c r="G64357" s="8"/>
      <c r="H64357" s="8"/>
      <c r="I64357" s="102"/>
      <c r="J64357" s="8"/>
      <c r="K64357" s="8"/>
      <c r="L64357" s="8"/>
      <c r="M64357" s="8"/>
      <c r="N64357" s="8"/>
      <c r="O64357" s="8"/>
      <c r="P64357" s="8"/>
      <c r="Q64357" s="8"/>
      <c r="R64357" s="103"/>
      <c r="S64357" s="8"/>
      <c r="T64357" s="8"/>
      <c r="U64357" s="8"/>
      <c r="V64357" s="8"/>
      <c r="W64357" s="8"/>
      <c r="X64357" s="8"/>
      <c r="Y64357" s="8"/>
      <c r="Z64357" s="8"/>
      <c r="AA64357" s="8"/>
    </row>
    <row r="64358" spans="1:27" x14ac:dyDescent="0.25">
      <c r="A64358" s="8"/>
      <c r="B64358" s="8"/>
      <c r="C64358" s="99"/>
      <c r="D64358" s="8"/>
      <c r="E64358" s="8"/>
      <c r="F64358" s="8"/>
      <c r="G64358" s="8"/>
      <c r="H64358" s="8"/>
      <c r="I64358" s="102"/>
      <c r="J64358" s="8"/>
      <c r="K64358" s="8"/>
      <c r="L64358" s="8"/>
      <c r="M64358" s="8"/>
      <c r="N64358" s="8"/>
      <c r="O64358" s="8"/>
      <c r="P64358" s="8"/>
      <c r="Q64358" s="8"/>
      <c r="R64358" s="103"/>
      <c r="S64358" s="8"/>
      <c r="T64358" s="8"/>
      <c r="U64358" s="8"/>
      <c r="V64358" s="8"/>
      <c r="W64358" s="8"/>
      <c r="X64358" s="8"/>
      <c r="Y64358" s="8"/>
      <c r="Z64358" s="8"/>
      <c r="AA64358" s="8"/>
    </row>
    <row r="64359" spans="1:27" x14ac:dyDescent="0.25">
      <c r="A64359" s="8"/>
      <c r="B64359" s="8"/>
      <c r="C64359" s="99"/>
      <c r="D64359" s="8"/>
      <c r="E64359" s="8"/>
      <c r="F64359" s="8"/>
      <c r="G64359" s="8"/>
      <c r="H64359" s="8"/>
      <c r="I64359" s="102"/>
      <c r="J64359" s="8"/>
      <c r="K64359" s="8"/>
      <c r="L64359" s="8"/>
      <c r="M64359" s="8"/>
      <c r="N64359" s="8"/>
      <c r="O64359" s="8"/>
      <c r="P64359" s="8"/>
      <c r="Q64359" s="8"/>
      <c r="R64359" s="103"/>
      <c r="S64359" s="8"/>
      <c r="T64359" s="8"/>
      <c r="U64359" s="8"/>
      <c r="V64359" s="8"/>
      <c r="W64359" s="8"/>
      <c r="X64359" s="8"/>
      <c r="Y64359" s="8"/>
      <c r="Z64359" s="8"/>
      <c r="AA64359" s="8"/>
    </row>
    <row r="64360" spans="1:27" x14ac:dyDescent="0.25">
      <c r="A64360" s="8"/>
      <c r="B64360" s="8"/>
      <c r="C64360" s="99"/>
      <c r="D64360" s="8"/>
      <c r="E64360" s="8"/>
      <c r="F64360" s="8"/>
      <c r="G64360" s="8"/>
      <c r="H64360" s="8"/>
      <c r="I64360" s="102"/>
      <c r="J64360" s="8"/>
      <c r="K64360" s="8"/>
      <c r="L64360" s="8"/>
      <c r="M64360" s="8"/>
      <c r="N64360" s="8"/>
      <c r="O64360" s="8"/>
      <c r="P64360" s="8"/>
      <c r="Q64360" s="8"/>
      <c r="R64360" s="103"/>
      <c r="S64360" s="8"/>
      <c r="T64360" s="8"/>
      <c r="U64360" s="8"/>
      <c r="V64360" s="8"/>
      <c r="W64360" s="8"/>
      <c r="X64360" s="8"/>
      <c r="Y64360" s="8"/>
      <c r="Z64360" s="8"/>
      <c r="AA64360" s="8"/>
    </row>
    <row r="64361" spans="1:27" x14ac:dyDescent="0.25">
      <c r="A64361" s="8"/>
      <c r="B64361" s="8"/>
      <c r="C64361" s="99"/>
      <c r="D64361" s="8"/>
      <c r="E64361" s="8"/>
      <c r="F64361" s="8"/>
      <c r="G64361" s="8"/>
      <c r="H64361" s="8"/>
      <c r="I64361" s="102"/>
      <c r="J64361" s="8"/>
      <c r="K64361" s="8"/>
      <c r="L64361" s="8"/>
      <c r="M64361" s="8"/>
      <c r="N64361" s="8"/>
      <c r="O64361" s="8"/>
      <c r="P64361" s="8"/>
      <c r="Q64361" s="8"/>
      <c r="R64361" s="103"/>
      <c r="S64361" s="8"/>
      <c r="T64361" s="8"/>
      <c r="U64361" s="8"/>
      <c r="V64361" s="8"/>
      <c r="W64361" s="8"/>
      <c r="X64361" s="8"/>
      <c r="Y64361" s="8"/>
      <c r="Z64361" s="8"/>
      <c r="AA64361" s="8"/>
    </row>
    <row r="64362" spans="1:27" x14ac:dyDescent="0.25">
      <c r="A64362" s="8"/>
      <c r="B64362" s="8"/>
      <c r="C64362" s="99"/>
      <c r="D64362" s="8"/>
      <c r="E64362" s="8"/>
      <c r="F64362" s="8"/>
      <c r="G64362" s="8"/>
      <c r="H64362" s="8"/>
      <c r="I64362" s="102"/>
      <c r="J64362" s="8"/>
      <c r="K64362" s="8"/>
      <c r="L64362" s="8"/>
      <c r="M64362" s="8"/>
      <c r="N64362" s="8"/>
      <c r="O64362" s="8"/>
      <c r="P64362" s="8"/>
      <c r="Q64362" s="8"/>
      <c r="R64362" s="103"/>
      <c r="S64362" s="8"/>
      <c r="T64362" s="8"/>
      <c r="U64362" s="8"/>
      <c r="V64362" s="8"/>
      <c r="W64362" s="8"/>
      <c r="X64362" s="8"/>
      <c r="Y64362" s="8"/>
      <c r="Z64362" s="8"/>
      <c r="AA64362" s="8"/>
    </row>
    <row r="64363" spans="1:27" x14ac:dyDescent="0.25">
      <c r="A64363" s="8"/>
      <c r="B64363" s="8"/>
      <c r="C64363" s="99"/>
      <c r="D64363" s="8"/>
      <c r="E64363" s="8"/>
      <c r="F64363" s="8"/>
      <c r="G64363" s="8"/>
      <c r="H64363" s="8"/>
      <c r="I64363" s="102"/>
      <c r="J64363" s="8"/>
      <c r="K64363" s="8"/>
      <c r="L64363" s="8"/>
      <c r="M64363" s="8"/>
      <c r="N64363" s="8"/>
      <c r="O64363" s="8"/>
      <c r="P64363" s="8"/>
      <c r="Q64363" s="8"/>
      <c r="R64363" s="103"/>
      <c r="S64363" s="8"/>
      <c r="T64363" s="8"/>
      <c r="U64363" s="8"/>
      <c r="V64363" s="8"/>
      <c r="W64363" s="8"/>
      <c r="X64363" s="8"/>
      <c r="Y64363" s="8"/>
      <c r="Z64363" s="8"/>
      <c r="AA64363" s="8"/>
    </row>
    <row r="64364" spans="1:27" x14ac:dyDescent="0.25">
      <c r="A64364" s="8"/>
      <c r="B64364" s="8"/>
      <c r="C64364" s="99"/>
      <c r="D64364" s="8"/>
      <c r="E64364" s="8"/>
      <c r="F64364" s="8"/>
      <c r="G64364" s="8"/>
      <c r="H64364" s="8"/>
      <c r="I64364" s="102"/>
      <c r="J64364" s="8"/>
      <c r="K64364" s="8"/>
      <c r="L64364" s="8"/>
      <c r="M64364" s="8"/>
      <c r="N64364" s="8"/>
      <c r="O64364" s="8"/>
      <c r="P64364" s="8"/>
      <c r="Q64364" s="8"/>
      <c r="R64364" s="103"/>
      <c r="S64364" s="8"/>
      <c r="T64364" s="8"/>
      <c r="U64364" s="8"/>
      <c r="V64364" s="8"/>
      <c r="W64364" s="8"/>
      <c r="X64364" s="8"/>
      <c r="Y64364" s="8"/>
      <c r="Z64364" s="8"/>
      <c r="AA64364" s="8"/>
    </row>
    <row r="64365" spans="1:27" x14ac:dyDescent="0.25">
      <c r="A64365" s="8"/>
      <c r="B64365" s="8"/>
      <c r="C64365" s="99"/>
      <c r="D64365" s="8"/>
      <c r="E64365" s="8"/>
      <c r="F64365" s="8"/>
      <c r="G64365" s="8"/>
      <c r="H64365" s="8"/>
      <c r="I64365" s="102"/>
      <c r="J64365" s="8"/>
      <c r="K64365" s="8"/>
      <c r="L64365" s="8"/>
      <c r="M64365" s="8"/>
      <c r="N64365" s="8"/>
      <c r="O64365" s="8"/>
      <c r="P64365" s="8"/>
      <c r="Q64365" s="8"/>
      <c r="R64365" s="103"/>
      <c r="S64365" s="8"/>
      <c r="T64365" s="8"/>
      <c r="U64365" s="8"/>
      <c r="V64365" s="8"/>
      <c r="W64365" s="8"/>
      <c r="X64365" s="8"/>
      <c r="Y64365" s="8"/>
      <c r="Z64365" s="8"/>
      <c r="AA64365" s="8"/>
    </row>
    <row r="64366" spans="1:27" x14ac:dyDescent="0.25">
      <c r="A64366" s="8"/>
      <c r="B64366" s="8"/>
      <c r="C64366" s="99"/>
      <c r="D64366" s="8"/>
      <c r="E64366" s="8"/>
      <c r="F64366" s="8"/>
      <c r="G64366" s="8"/>
      <c r="H64366" s="8"/>
      <c r="I64366" s="102"/>
      <c r="J64366" s="8"/>
      <c r="K64366" s="8"/>
      <c r="L64366" s="8"/>
      <c r="M64366" s="8"/>
      <c r="N64366" s="8"/>
      <c r="O64366" s="8"/>
      <c r="P64366" s="8"/>
      <c r="Q64366" s="8"/>
      <c r="R64366" s="103"/>
      <c r="S64366" s="8"/>
      <c r="T64366" s="8"/>
      <c r="U64366" s="8"/>
      <c r="V64366" s="8"/>
      <c r="W64366" s="8"/>
      <c r="X64366" s="8"/>
      <c r="Y64366" s="8"/>
      <c r="Z64366" s="8"/>
      <c r="AA64366" s="8"/>
    </row>
    <row r="64367" spans="1:27" x14ac:dyDescent="0.25">
      <c r="A64367" s="8"/>
      <c r="B64367" s="8"/>
      <c r="C64367" s="99"/>
      <c r="D64367" s="8"/>
      <c r="E64367" s="8"/>
      <c r="F64367" s="8"/>
      <c r="G64367" s="8"/>
      <c r="H64367" s="8"/>
      <c r="I64367" s="102"/>
      <c r="J64367" s="8"/>
      <c r="K64367" s="8"/>
      <c r="L64367" s="8"/>
      <c r="M64367" s="8"/>
      <c r="N64367" s="8"/>
      <c r="O64367" s="8"/>
      <c r="P64367" s="8"/>
      <c r="Q64367" s="8"/>
      <c r="R64367" s="103"/>
      <c r="S64367" s="8"/>
      <c r="T64367" s="8"/>
      <c r="U64367" s="8"/>
      <c r="V64367" s="8"/>
      <c r="W64367" s="8"/>
      <c r="X64367" s="8"/>
      <c r="Y64367" s="8"/>
      <c r="Z64367" s="8"/>
      <c r="AA64367" s="8"/>
    </row>
    <row r="64368" spans="1:27" x14ac:dyDescent="0.25">
      <c r="A64368" s="8"/>
      <c r="B64368" s="8"/>
      <c r="C64368" s="99"/>
      <c r="D64368" s="8"/>
      <c r="E64368" s="8"/>
      <c r="F64368" s="8"/>
      <c r="G64368" s="8"/>
      <c r="H64368" s="8"/>
      <c r="I64368" s="102"/>
      <c r="J64368" s="8"/>
      <c r="K64368" s="8"/>
      <c r="L64368" s="8"/>
      <c r="M64368" s="8"/>
      <c r="N64368" s="8"/>
      <c r="O64368" s="8"/>
      <c r="P64368" s="8"/>
      <c r="Q64368" s="8"/>
      <c r="R64368" s="103"/>
      <c r="S64368" s="8"/>
      <c r="T64368" s="8"/>
      <c r="U64368" s="8"/>
      <c r="V64368" s="8"/>
      <c r="W64368" s="8"/>
      <c r="X64368" s="8"/>
      <c r="Y64368" s="8"/>
      <c r="Z64368" s="8"/>
      <c r="AA64368" s="8"/>
    </row>
    <row r="64369" spans="1:27" x14ac:dyDescent="0.25">
      <c r="A64369" s="8"/>
      <c r="B64369" s="8"/>
      <c r="C64369" s="99"/>
      <c r="D64369" s="8"/>
      <c r="E64369" s="8"/>
      <c r="F64369" s="8"/>
      <c r="G64369" s="8"/>
      <c r="H64369" s="8"/>
      <c r="I64369" s="102"/>
      <c r="J64369" s="8"/>
      <c r="K64369" s="8"/>
      <c r="L64369" s="8"/>
      <c r="M64369" s="8"/>
      <c r="N64369" s="8"/>
      <c r="O64369" s="8"/>
      <c r="P64369" s="8"/>
      <c r="Q64369" s="8"/>
      <c r="R64369" s="103"/>
      <c r="S64369" s="8"/>
      <c r="T64369" s="8"/>
      <c r="U64369" s="8"/>
      <c r="V64369" s="8"/>
      <c r="W64369" s="8"/>
      <c r="X64369" s="8"/>
      <c r="Y64369" s="8"/>
      <c r="Z64369" s="8"/>
      <c r="AA64369" s="8"/>
    </row>
    <row r="64370" spans="1:27" x14ac:dyDescent="0.25">
      <c r="A64370" s="8"/>
      <c r="B64370" s="8"/>
      <c r="C64370" s="99"/>
      <c r="D64370" s="8"/>
      <c r="E64370" s="8"/>
      <c r="F64370" s="8"/>
      <c r="G64370" s="8"/>
      <c r="H64370" s="8"/>
      <c r="I64370" s="102"/>
      <c r="J64370" s="8"/>
      <c r="K64370" s="8"/>
      <c r="L64370" s="8"/>
      <c r="M64370" s="8"/>
      <c r="N64370" s="8"/>
      <c r="O64370" s="8"/>
      <c r="P64370" s="8"/>
      <c r="Q64370" s="8"/>
      <c r="R64370" s="103"/>
      <c r="S64370" s="8"/>
      <c r="T64370" s="8"/>
      <c r="U64370" s="8"/>
      <c r="V64370" s="8"/>
      <c r="W64370" s="8"/>
      <c r="X64370" s="8"/>
      <c r="Y64370" s="8"/>
      <c r="Z64370" s="8"/>
      <c r="AA64370" s="8"/>
    </row>
    <row r="64371" spans="1:27" x14ac:dyDescent="0.25">
      <c r="A64371" s="8"/>
      <c r="B64371" s="8"/>
      <c r="C64371" s="99"/>
      <c r="D64371" s="8"/>
      <c r="E64371" s="8"/>
      <c r="F64371" s="8"/>
      <c r="G64371" s="8"/>
      <c r="H64371" s="8"/>
      <c r="I64371" s="102"/>
      <c r="J64371" s="8"/>
      <c r="K64371" s="8"/>
      <c r="L64371" s="8"/>
      <c r="M64371" s="8"/>
      <c r="N64371" s="8"/>
      <c r="O64371" s="8"/>
      <c r="P64371" s="8"/>
      <c r="Q64371" s="8"/>
      <c r="R64371" s="103"/>
      <c r="S64371" s="8"/>
      <c r="T64371" s="8"/>
      <c r="U64371" s="8"/>
      <c r="V64371" s="8"/>
      <c r="W64371" s="8"/>
      <c r="X64371" s="8"/>
      <c r="Y64371" s="8"/>
      <c r="Z64371" s="8"/>
      <c r="AA64371" s="8"/>
    </row>
    <row r="64372" spans="1:27" x14ac:dyDescent="0.25">
      <c r="A64372" s="8"/>
      <c r="B64372" s="8"/>
      <c r="C64372" s="99"/>
      <c r="D64372" s="8"/>
      <c r="E64372" s="8"/>
      <c r="F64372" s="8"/>
      <c r="G64372" s="8"/>
      <c r="H64372" s="8"/>
      <c r="I64372" s="102"/>
      <c r="J64372" s="8"/>
      <c r="K64372" s="8"/>
      <c r="L64372" s="8"/>
      <c r="M64372" s="8"/>
      <c r="N64372" s="8"/>
      <c r="O64372" s="8"/>
      <c r="P64372" s="8"/>
      <c r="Q64372" s="8"/>
      <c r="R64372" s="103"/>
      <c r="S64372" s="8"/>
      <c r="T64372" s="8"/>
      <c r="U64372" s="8"/>
      <c r="V64372" s="8"/>
      <c r="W64372" s="8"/>
      <c r="X64372" s="8"/>
      <c r="Y64372" s="8"/>
      <c r="Z64372" s="8"/>
      <c r="AA64372" s="8"/>
    </row>
    <row r="64373" spans="1:27" x14ac:dyDescent="0.25">
      <c r="A64373" s="8"/>
      <c r="B64373" s="8"/>
      <c r="C64373" s="99"/>
      <c r="D64373" s="8"/>
      <c r="E64373" s="8"/>
      <c r="F64373" s="8"/>
      <c r="G64373" s="8"/>
      <c r="H64373" s="8"/>
      <c r="I64373" s="102"/>
      <c r="J64373" s="8"/>
      <c r="K64373" s="8"/>
      <c r="L64373" s="8"/>
      <c r="M64373" s="8"/>
      <c r="N64373" s="8"/>
      <c r="O64373" s="8"/>
      <c r="P64373" s="8"/>
      <c r="Q64373" s="8"/>
      <c r="R64373" s="103"/>
      <c r="S64373" s="8"/>
      <c r="T64373" s="8"/>
      <c r="U64373" s="8"/>
      <c r="V64373" s="8"/>
      <c r="W64373" s="8"/>
      <c r="X64373" s="8"/>
      <c r="Y64373" s="8"/>
      <c r="Z64373" s="8"/>
      <c r="AA64373" s="8"/>
    </row>
    <row r="64374" spans="1:27" x14ac:dyDescent="0.25">
      <c r="A64374" s="8"/>
      <c r="B64374" s="8"/>
      <c r="C64374" s="99"/>
      <c r="D64374" s="8"/>
      <c r="E64374" s="8"/>
      <c r="F64374" s="8"/>
      <c r="G64374" s="8"/>
      <c r="H64374" s="8"/>
      <c r="I64374" s="102"/>
      <c r="J64374" s="8"/>
      <c r="K64374" s="8"/>
      <c r="L64374" s="8"/>
      <c r="M64374" s="8"/>
      <c r="N64374" s="8"/>
      <c r="O64374" s="8"/>
      <c r="P64374" s="8"/>
      <c r="Q64374" s="8"/>
      <c r="R64374" s="103"/>
      <c r="S64374" s="8"/>
      <c r="T64374" s="8"/>
      <c r="U64374" s="8"/>
      <c r="V64374" s="8"/>
      <c r="W64374" s="8"/>
      <c r="X64374" s="8"/>
      <c r="Y64374" s="8"/>
      <c r="Z64374" s="8"/>
      <c r="AA64374" s="8"/>
    </row>
    <row r="64375" spans="1:27" x14ac:dyDescent="0.25">
      <c r="A64375" s="8"/>
      <c r="B64375" s="8"/>
      <c r="C64375" s="99"/>
      <c r="D64375" s="8"/>
      <c r="E64375" s="8"/>
      <c r="F64375" s="8"/>
      <c r="G64375" s="8"/>
      <c r="H64375" s="8"/>
      <c r="I64375" s="102"/>
      <c r="J64375" s="8"/>
      <c r="K64375" s="8"/>
      <c r="L64375" s="8"/>
      <c r="M64375" s="8"/>
      <c r="N64375" s="8"/>
      <c r="O64375" s="8"/>
      <c r="P64375" s="8"/>
      <c r="Q64375" s="8"/>
      <c r="R64375" s="103"/>
      <c r="S64375" s="8"/>
      <c r="T64375" s="8"/>
      <c r="U64375" s="8"/>
      <c r="V64375" s="8"/>
      <c r="W64375" s="8"/>
      <c r="X64375" s="8"/>
      <c r="Y64375" s="8"/>
      <c r="Z64375" s="8"/>
      <c r="AA64375" s="8"/>
    </row>
    <row r="64376" spans="1:27" x14ac:dyDescent="0.25">
      <c r="A64376" s="8"/>
      <c r="B64376" s="8"/>
      <c r="C64376" s="99"/>
      <c r="D64376" s="8"/>
      <c r="E64376" s="8"/>
      <c r="F64376" s="8"/>
      <c r="G64376" s="8"/>
      <c r="H64376" s="8"/>
      <c r="I64376" s="102"/>
      <c r="J64376" s="8"/>
      <c r="K64376" s="8"/>
      <c r="L64376" s="8"/>
      <c r="M64376" s="8"/>
      <c r="N64376" s="8"/>
      <c r="O64376" s="8"/>
      <c r="P64376" s="8"/>
      <c r="Q64376" s="8"/>
      <c r="R64376" s="103"/>
      <c r="S64376" s="8"/>
      <c r="T64376" s="8"/>
      <c r="U64376" s="8"/>
      <c r="V64376" s="8"/>
      <c r="W64376" s="8"/>
      <c r="X64376" s="8"/>
      <c r="Y64376" s="8"/>
      <c r="Z64376" s="8"/>
      <c r="AA64376" s="8"/>
    </row>
    <row r="64377" spans="1:27" x14ac:dyDescent="0.25">
      <c r="A64377" s="8"/>
      <c r="B64377" s="8"/>
      <c r="C64377" s="99"/>
      <c r="D64377" s="8"/>
      <c r="E64377" s="8"/>
      <c r="F64377" s="8"/>
      <c r="G64377" s="8"/>
      <c r="H64377" s="8"/>
      <c r="I64377" s="102"/>
      <c r="J64377" s="8"/>
      <c r="K64377" s="8"/>
      <c r="L64377" s="8"/>
      <c r="M64377" s="8"/>
      <c r="N64377" s="8"/>
      <c r="O64377" s="8"/>
      <c r="P64377" s="8"/>
      <c r="Q64377" s="8"/>
      <c r="R64377" s="103"/>
      <c r="S64377" s="8"/>
      <c r="T64377" s="8"/>
      <c r="U64377" s="8"/>
      <c r="V64377" s="8"/>
      <c r="W64377" s="8"/>
      <c r="X64377" s="8"/>
      <c r="Y64377" s="8"/>
      <c r="Z64377" s="8"/>
      <c r="AA64377" s="8"/>
    </row>
    <row r="64378" spans="1:27" x14ac:dyDescent="0.25">
      <c r="A64378" s="8"/>
      <c r="B64378" s="8"/>
      <c r="C64378" s="99"/>
      <c r="D64378" s="8"/>
      <c r="E64378" s="8"/>
      <c r="F64378" s="8"/>
      <c r="G64378" s="8"/>
      <c r="H64378" s="8"/>
      <c r="I64378" s="102"/>
      <c r="J64378" s="8"/>
      <c r="K64378" s="8"/>
      <c r="L64378" s="8"/>
      <c r="M64378" s="8"/>
      <c r="N64378" s="8"/>
      <c r="O64378" s="8"/>
      <c r="P64378" s="8"/>
      <c r="Q64378" s="8"/>
      <c r="R64378" s="103"/>
      <c r="S64378" s="8"/>
      <c r="T64378" s="8"/>
      <c r="U64378" s="8"/>
      <c r="V64378" s="8"/>
      <c r="W64378" s="8"/>
      <c r="X64378" s="8"/>
      <c r="Y64378" s="8"/>
      <c r="Z64378" s="8"/>
      <c r="AA64378" s="8"/>
    </row>
    <row r="64379" spans="1:27" x14ac:dyDescent="0.25">
      <c r="A64379" s="8"/>
      <c r="B64379" s="8"/>
      <c r="C64379" s="99"/>
      <c r="D64379" s="8"/>
      <c r="E64379" s="8"/>
      <c r="F64379" s="8"/>
      <c r="G64379" s="8"/>
      <c r="H64379" s="8"/>
      <c r="I64379" s="102"/>
      <c r="J64379" s="8"/>
      <c r="K64379" s="8"/>
      <c r="L64379" s="8"/>
      <c r="M64379" s="8"/>
      <c r="N64379" s="8"/>
      <c r="O64379" s="8"/>
      <c r="P64379" s="8"/>
      <c r="Q64379" s="8"/>
      <c r="R64379" s="103"/>
      <c r="S64379" s="8"/>
      <c r="T64379" s="8"/>
      <c r="U64379" s="8"/>
      <c r="V64379" s="8"/>
      <c r="W64379" s="8"/>
      <c r="X64379" s="8"/>
      <c r="Y64379" s="8"/>
      <c r="Z64379" s="8"/>
      <c r="AA64379" s="8"/>
    </row>
    <row r="64380" spans="1:27" x14ac:dyDescent="0.25">
      <c r="A64380" s="8"/>
      <c r="B64380" s="8"/>
      <c r="C64380" s="99"/>
      <c r="D64380" s="8"/>
      <c r="E64380" s="8"/>
      <c r="F64380" s="8"/>
      <c r="G64380" s="8"/>
      <c r="H64380" s="8"/>
      <c r="I64380" s="102"/>
      <c r="J64380" s="8"/>
      <c r="K64380" s="8"/>
      <c r="L64380" s="8"/>
      <c r="M64380" s="8"/>
      <c r="N64380" s="8"/>
      <c r="O64380" s="8"/>
      <c r="P64380" s="8"/>
      <c r="Q64380" s="8"/>
      <c r="R64380" s="103"/>
      <c r="S64380" s="8"/>
      <c r="T64380" s="8"/>
      <c r="U64380" s="8"/>
      <c r="V64380" s="8"/>
      <c r="W64380" s="8"/>
      <c r="X64380" s="8"/>
      <c r="Y64380" s="8"/>
      <c r="Z64380" s="8"/>
      <c r="AA64380" s="8"/>
    </row>
    <row r="64381" spans="1:27" x14ac:dyDescent="0.25">
      <c r="A64381" s="8"/>
      <c r="B64381" s="8"/>
      <c r="C64381" s="99"/>
      <c r="D64381" s="8"/>
      <c r="E64381" s="8"/>
      <c r="F64381" s="8"/>
      <c r="G64381" s="8"/>
      <c r="H64381" s="8"/>
      <c r="I64381" s="102"/>
      <c r="J64381" s="8"/>
      <c r="K64381" s="8"/>
      <c r="L64381" s="8"/>
      <c r="M64381" s="8"/>
      <c r="N64381" s="8"/>
      <c r="O64381" s="8"/>
      <c r="P64381" s="8"/>
      <c r="Q64381" s="8"/>
      <c r="R64381" s="103"/>
      <c r="S64381" s="8"/>
      <c r="T64381" s="8"/>
      <c r="U64381" s="8"/>
      <c r="V64381" s="8"/>
      <c r="W64381" s="8"/>
      <c r="X64381" s="8"/>
      <c r="Y64381" s="8"/>
      <c r="Z64381" s="8"/>
      <c r="AA64381" s="8"/>
    </row>
    <row r="64382" spans="1:27" x14ac:dyDescent="0.25">
      <c r="A64382" s="8"/>
      <c r="B64382" s="8"/>
      <c r="C64382" s="99"/>
      <c r="D64382" s="8"/>
      <c r="E64382" s="8"/>
      <c r="F64382" s="8"/>
      <c r="G64382" s="8"/>
      <c r="H64382" s="8"/>
      <c r="I64382" s="102"/>
      <c r="J64382" s="8"/>
      <c r="K64382" s="8"/>
      <c r="L64382" s="8"/>
      <c r="M64382" s="8"/>
      <c r="N64382" s="8"/>
      <c r="O64382" s="8"/>
      <c r="P64382" s="8"/>
      <c r="Q64382" s="8"/>
      <c r="R64382" s="103"/>
      <c r="S64382" s="8"/>
      <c r="T64382" s="8"/>
      <c r="U64382" s="8"/>
      <c r="V64382" s="8"/>
      <c r="W64382" s="8"/>
      <c r="X64382" s="8"/>
      <c r="Y64382" s="8"/>
      <c r="Z64382" s="8"/>
      <c r="AA64382" s="8"/>
    </row>
    <row r="64383" spans="1:27" x14ac:dyDescent="0.25">
      <c r="A64383" s="8"/>
      <c r="B64383" s="8"/>
      <c r="C64383" s="99"/>
      <c r="D64383" s="8"/>
      <c r="E64383" s="8"/>
      <c r="F64383" s="8"/>
      <c r="G64383" s="8"/>
      <c r="H64383" s="8"/>
      <c r="I64383" s="102"/>
      <c r="J64383" s="8"/>
      <c r="K64383" s="8"/>
      <c r="L64383" s="8"/>
      <c r="M64383" s="8"/>
      <c r="N64383" s="8"/>
      <c r="O64383" s="8"/>
      <c r="P64383" s="8"/>
      <c r="Q64383" s="8"/>
      <c r="R64383" s="103"/>
      <c r="S64383" s="8"/>
      <c r="T64383" s="8"/>
      <c r="U64383" s="8"/>
      <c r="V64383" s="8"/>
      <c r="W64383" s="8"/>
      <c r="X64383" s="8"/>
      <c r="Y64383" s="8"/>
      <c r="Z64383" s="8"/>
      <c r="AA64383" s="8"/>
    </row>
    <row r="64384" spans="1:27" x14ac:dyDescent="0.25">
      <c r="A64384" s="8"/>
      <c r="B64384" s="8"/>
      <c r="C64384" s="99"/>
      <c r="D64384" s="8"/>
      <c r="E64384" s="8"/>
      <c r="F64384" s="8"/>
      <c r="G64384" s="8"/>
      <c r="H64384" s="8"/>
      <c r="I64384" s="102"/>
      <c r="J64384" s="8"/>
      <c r="K64384" s="8"/>
      <c r="L64384" s="8"/>
      <c r="M64384" s="8"/>
      <c r="N64384" s="8"/>
      <c r="O64384" s="8"/>
      <c r="P64384" s="8"/>
      <c r="Q64384" s="8"/>
      <c r="R64384" s="103"/>
      <c r="S64384" s="8"/>
      <c r="T64384" s="8"/>
      <c r="U64384" s="8"/>
      <c r="V64384" s="8"/>
      <c r="W64384" s="8"/>
      <c r="X64384" s="8"/>
      <c r="Y64384" s="8"/>
      <c r="Z64384" s="8"/>
      <c r="AA64384" s="8"/>
    </row>
    <row r="64385" spans="1:27" x14ac:dyDescent="0.25">
      <c r="A64385" s="8"/>
      <c r="B64385" s="8"/>
      <c r="C64385" s="99"/>
      <c r="D64385" s="8"/>
      <c r="E64385" s="8"/>
      <c r="F64385" s="8"/>
      <c r="G64385" s="8"/>
      <c r="H64385" s="8"/>
      <c r="I64385" s="102"/>
      <c r="J64385" s="8"/>
      <c r="K64385" s="8"/>
      <c r="L64385" s="8"/>
      <c r="M64385" s="8"/>
      <c r="N64385" s="8"/>
      <c r="O64385" s="8"/>
      <c r="P64385" s="8"/>
      <c r="Q64385" s="8"/>
      <c r="R64385" s="103"/>
      <c r="S64385" s="8"/>
      <c r="T64385" s="8"/>
      <c r="U64385" s="8"/>
      <c r="V64385" s="8"/>
      <c r="W64385" s="8"/>
      <c r="X64385" s="8"/>
      <c r="Y64385" s="8"/>
      <c r="Z64385" s="8"/>
      <c r="AA64385" s="8"/>
    </row>
    <row r="64386" spans="1:27" x14ac:dyDescent="0.25">
      <c r="A64386" s="8"/>
      <c r="B64386" s="8"/>
      <c r="C64386" s="99"/>
      <c r="D64386" s="8"/>
      <c r="E64386" s="8"/>
      <c r="F64386" s="8"/>
      <c r="G64386" s="8"/>
      <c r="H64386" s="8"/>
      <c r="I64386" s="102"/>
      <c r="J64386" s="8"/>
      <c r="K64386" s="8"/>
      <c r="L64386" s="8"/>
      <c r="M64386" s="8"/>
      <c r="N64386" s="8"/>
      <c r="O64386" s="8"/>
      <c r="P64386" s="8"/>
      <c r="Q64386" s="8"/>
      <c r="R64386" s="103"/>
      <c r="S64386" s="8"/>
      <c r="T64386" s="8"/>
      <c r="U64386" s="8"/>
      <c r="V64386" s="8"/>
      <c r="W64386" s="8"/>
      <c r="X64386" s="8"/>
      <c r="Y64386" s="8"/>
      <c r="Z64386" s="8"/>
      <c r="AA64386" s="8"/>
    </row>
    <row r="64387" spans="1:27" x14ac:dyDescent="0.25">
      <c r="A64387" s="8"/>
      <c r="B64387" s="8"/>
      <c r="C64387" s="99"/>
      <c r="D64387" s="8"/>
      <c r="E64387" s="8"/>
      <c r="F64387" s="8"/>
      <c r="G64387" s="8"/>
      <c r="H64387" s="8"/>
      <c r="I64387" s="102"/>
      <c r="J64387" s="8"/>
      <c r="K64387" s="8"/>
      <c r="L64387" s="8"/>
      <c r="M64387" s="8"/>
      <c r="N64387" s="8"/>
      <c r="O64387" s="8"/>
      <c r="P64387" s="8"/>
      <c r="Q64387" s="8"/>
      <c r="R64387" s="103"/>
      <c r="S64387" s="8"/>
      <c r="T64387" s="8"/>
      <c r="U64387" s="8"/>
      <c r="V64387" s="8"/>
      <c r="W64387" s="8"/>
      <c r="X64387" s="8"/>
      <c r="Y64387" s="8"/>
      <c r="Z64387" s="8"/>
      <c r="AA64387" s="8"/>
    </row>
    <row r="64388" spans="1:27" x14ac:dyDescent="0.25">
      <c r="A64388" s="8"/>
      <c r="B64388" s="8"/>
      <c r="C64388" s="99"/>
      <c r="D64388" s="8"/>
      <c r="E64388" s="8"/>
      <c r="F64388" s="8"/>
      <c r="G64388" s="8"/>
      <c r="H64388" s="8"/>
      <c r="I64388" s="102"/>
      <c r="J64388" s="8"/>
      <c r="K64388" s="8"/>
      <c r="L64388" s="8"/>
      <c r="M64388" s="8"/>
      <c r="N64388" s="8"/>
      <c r="O64388" s="8"/>
      <c r="P64388" s="8"/>
      <c r="Q64388" s="8"/>
      <c r="R64388" s="103"/>
      <c r="S64388" s="8"/>
      <c r="T64388" s="8"/>
      <c r="U64388" s="8"/>
      <c r="V64388" s="8"/>
      <c r="W64388" s="8"/>
      <c r="X64388" s="8"/>
      <c r="Y64388" s="8"/>
      <c r="Z64388" s="8"/>
      <c r="AA64388" s="8"/>
    </row>
    <row r="64389" spans="1:27" x14ac:dyDescent="0.25">
      <c r="A64389" s="8"/>
      <c r="B64389" s="8"/>
      <c r="C64389" s="99"/>
      <c r="D64389" s="8"/>
      <c r="E64389" s="8"/>
      <c r="F64389" s="8"/>
      <c r="G64389" s="8"/>
      <c r="H64389" s="8"/>
      <c r="I64389" s="102"/>
      <c r="J64389" s="8"/>
      <c r="K64389" s="8"/>
      <c r="L64389" s="8"/>
      <c r="M64389" s="8"/>
      <c r="N64389" s="8"/>
      <c r="O64389" s="8"/>
      <c r="P64389" s="8"/>
      <c r="Q64389" s="8"/>
      <c r="R64389" s="103"/>
      <c r="S64389" s="8"/>
      <c r="T64389" s="8"/>
      <c r="U64389" s="8"/>
      <c r="V64389" s="8"/>
      <c r="W64389" s="8"/>
      <c r="X64389" s="8"/>
      <c r="Y64389" s="8"/>
      <c r="Z64389" s="8"/>
      <c r="AA64389" s="8"/>
    </row>
    <row r="64390" spans="1:27" x14ac:dyDescent="0.25">
      <c r="A64390" s="8"/>
      <c r="B64390" s="8"/>
      <c r="C64390" s="99"/>
      <c r="D64390" s="8"/>
      <c r="E64390" s="8"/>
      <c r="F64390" s="8"/>
      <c r="G64390" s="8"/>
      <c r="H64390" s="8"/>
      <c r="I64390" s="102"/>
      <c r="J64390" s="8"/>
      <c r="K64390" s="8"/>
      <c r="L64390" s="8"/>
      <c r="M64390" s="8"/>
      <c r="N64390" s="8"/>
      <c r="O64390" s="8"/>
      <c r="P64390" s="8"/>
      <c r="Q64390" s="8"/>
      <c r="R64390" s="103"/>
      <c r="S64390" s="8"/>
      <c r="T64390" s="8"/>
      <c r="U64390" s="8"/>
      <c r="V64390" s="8"/>
      <c r="W64390" s="8"/>
      <c r="X64390" s="8"/>
      <c r="Y64390" s="8"/>
      <c r="Z64390" s="8"/>
      <c r="AA64390" s="8"/>
    </row>
    <row r="64391" spans="1:27" x14ac:dyDescent="0.25">
      <c r="A64391" s="8"/>
      <c r="B64391" s="8"/>
      <c r="C64391" s="99"/>
      <c r="D64391" s="8"/>
      <c r="E64391" s="8"/>
      <c r="F64391" s="8"/>
      <c r="G64391" s="8"/>
      <c r="H64391" s="8"/>
      <c r="I64391" s="102"/>
      <c r="J64391" s="8"/>
      <c r="K64391" s="8"/>
      <c r="L64391" s="8"/>
      <c r="M64391" s="8"/>
      <c r="N64391" s="8"/>
      <c r="O64391" s="8"/>
      <c r="P64391" s="8"/>
      <c r="Q64391" s="8"/>
      <c r="R64391" s="103"/>
      <c r="S64391" s="8"/>
      <c r="T64391" s="8"/>
      <c r="U64391" s="8"/>
      <c r="V64391" s="8"/>
      <c r="W64391" s="8"/>
      <c r="X64391" s="8"/>
      <c r="Y64391" s="8"/>
      <c r="Z64391" s="8"/>
      <c r="AA64391" s="8"/>
    </row>
    <row r="64392" spans="1:27" x14ac:dyDescent="0.25">
      <c r="A64392" s="8"/>
      <c r="B64392" s="8"/>
      <c r="C64392" s="99"/>
      <c r="D64392" s="8"/>
      <c r="E64392" s="8"/>
      <c r="F64392" s="8"/>
      <c r="G64392" s="8"/>
      <c r="H64392" s="8"/>
      <c r="I64392" s="102"/>
      <c r="J64392" s="8"/>
      <c r="K64392" s="8"/>
      <c r="L64392" s="8"/>
      <c r="M64392" s="8"/>
      <c r="N64392" s="8"/>
      <c r="O64392" s="8"/>
      <c r="P64392" s="8"/>
      <c r="Q64392" s="8"/>
      <c r="R64392" s="103"/>
      <c r="S64392" s="8"/>
      <c r="T64392" s="8"/>
      <c r="U64392" s="8"/>
      <c r="V64392" s="8"/>
      <c r="W64392" s="8"/>
      <c r="X64392" s="8"/>
      <c r="Y64392" s="8"/>
      <c r="Z64392" s="8"/>
      <c r="AA64392" s="8"/>
    </row>
    <row r="64393" spans="1:27" x14ac:dyDescent="0.25">
      <c r="A64393" s="8"/>
      <c r="B64393" s="8"/>
      <c r="C64393" s="99"/>
      <c r="D64393" s="8"/>
      <c r="E64393" s="8"/>
      <c r="F64393" s="8"/>
      <c r="G64393" s="8"/>
      <c r="H64393" s="8"/>
      <c r="I64393" s="102"/>
      <c r="J64393" s="8"/>
      <c r="K64393" s="8"/>
      <c r="L64393" s="8"/>
      <c r="M64393" s="8"/>
      <c r="N64393" s="8"/>
      <c r="O64393" s="8"/>
      <c r="P64393" s="8"/>
      <c r="Q64393" s="8"/>
      <c r="R64393" s="103"/>
      <c r="S64393" s="8"/>
      <c r="T64393" s="8"/>
      <c r="U64393" s="8"/>
      <c r="V64393" s="8"/>
      <c r="W64393" s="8"/>
      <c r="X64393" s="8"/>
      <c r="Y64393" s="8"/>
      <c r="Z64393" s="8"/>
      <c r="AA64393" s="8"/>
    </row>
    <row r="64394" spans="1:27" x14ac:dyDescent="0.25">
      <c r="A64394" s="8"/>
      <c r="B64394" s="8"/>
      <c r="C64394" s="99"/>
      <c r="D64394" s="8"/>
      <c r="E64394" s="8"/>
      <c r="F64394" s="8"/>
      <c r="G64394" s="8"/>
      <c r="H64394" s="8"/>
      <c r="I64394" s="102"/>
      <c r="J64394" s="8"/>
      <c r="K64394" s="8"/>
      <c r="L64394" s="8"/>
      <c r="M64394" s="8"/>
      <c r="N64394" s="8"/>
      <c r="O64394" s="8"/>
      <c r="P64394" s="8"/>
      <c r="Q64394" s="8"/>
      <c r="R64394" s="103"/>
      <c r="S64394" s="8"/>
      <c r="T64394" s="8"/>
      <c r="U64394" s="8"/>
      <c r="V64394" s="8"/>
      <c r="W64394" s="8"/>
      <c r="X64394" s="8"/>
      <c r="Y64394" s="8"/>
      <c r="Z64394" s="8"/>
      <c r="AA64394" s="8"/>
    </row>
    <row r="64395" spans="1:27" x14ac:dyDescent="0.25">
      <c r="A64395" s="8"/>
      <c r="B64395" s="8"/>
      <c r="C64395" s="99"/>
      <c r="D64395" s="8"/>
      <c r="E64395" s="8"/>
      <c r="F64395" s="8"/>
      <c r="G64395" s="8"/>
      <c r="H64395" s="8"/>
      <c r="I64395" s="102"/>
      <c r="J64395" s="8"/>
      <c r="K64395" s="8"/>
      <c r="L64395" s="8"/>
      <c r="M64395" s="8"/>
      <c r="N64395" s="8"/>
      <c r="O64395" s="8"/>
      <c r="P64395" s="8"/>
      <c r="Q64395" s="8"/>
      <c r="R64395" s="103"/>
      <c r="S64395" s="8"/>
      <c r="T64395" s="8"/>
      <c r="U64395" s="8"/>
      <c r="V64395" s="8"/>
      <c r="W64395" s="8"/>
      <c r="X64395" s="8"/>
      <c r="Y64395" s="8"/>
      <c r="Z64395" s="8"/>
      <c r="AA64395" s="8"/>
    </row>
    <row r="64396" spans="1:27" x14ac:dyDescent="0.25">
      <c r="A64396" s="8"/>
      <c r="B64396" s="8"/>
      <c r="C64396" s="99"/>
      <c r="D64396" s="8"/>
      <c r="E64396" s="8"/>
      <c r="F64396" s="8"/>
      <c r="G64396" s="8"/>
      <c r="H64396" s="8"/>
      <c r="I64396" s="102"/>
      <c r="J64396" s="8"/>
      <c r="K64396" s="8"/>
      <c r="L64396" s="8"/>
      <c r="M64396" s="8"/>
      <c r="N64396" s="8"/>
      <c r="O64396" s="8"/>
      <c r="P64396" s="8"/>
      <c r="Q64396" s="8"/>
      <c r="R64396" s="103"/>
      <c r="S64396" s="8"/>
      <c r="T64396" s="8"/>
      <c r="U64396" s="8"/>
      <c r="V64396" s="8"/>
      <c r="W64396" s="8"/>
      <c r="X64396" s="8"/>
      <c r="Y64396" s="8"/>
      <c r="Z64396" s="8"/>
      <c r="AA64396" s="8"/>
    </row>
    <row r="64397" spans="1:27" x14ac:dyDescent="0.25">
      <c r="A64397" s="8"/>
      <c r="B64397" s="8"/>
      <c r="C64397" s="99"/>
      <c r="D64397" s="8"/>
      <c r="E64397" s="8"/>
      <c r="F64397" s="8"/>
      <c r="G64397" s="8"/>
      <c r="H64397" s="8"/>
      <c r="I64397" s="102"/>
      <c r="J64397" s="8"/>
      <c r="K64397" s="8"/>
      <c r="L64397" s="8"/>
      <c r="M64397" s="8"/>
      <c r="N64397" s="8"/>
      <c r="O64397" s="8"/>
      <c r="P64397" s="8"/>
      <c r="Q64397" s="8"/>
      <c r="R64397" s="103"/>
      <c r="S64397" s="8"/>
      <c r="T64397" s="8"/>
      <c r="U64397" s="8"/>
      <c r="V64397" s="8"/>
      <c r="W64397" s="8"/>
      <c r="X64397" s="8"/>
      <c r="Y64397" s="8"/>
      <c r="Z64397" s="8"/>
      <c r="AA64397" s="8"/>
    </row>
    <row r="64398" spans="1:27" x14ac:dyDescent="0.25">
      <c r="A64398" s="8"/>
      <c r="B64398" s="8"/>
      <c r="C64398" s="99"/>
      <c r="D64398" s="8"/>
      <c r="E64398" s="8"/>
      <c r="F64398" s="8"/>
      <c r="G64398" s="8"/>
      <c r="H64398" s="8"/>
      <c r="I64398" s="102"/>
      <c r="J64398" s="8"/>
      <c r="K64398" s="8"/>
      <c r="L64398" s="8"/>
      <c r="M64398" s="8"/>
      <c r="N64398" s="8"/>
      <c r="O64398" s="8"/>
      <c r="P64398" s="8"/>
      <c r="Q64398" s="8"/>
      <c r="R64398" s="103"/>
      <c r="S64398" s="8"/>
      <c r="T64398" s="8"/>
      <c r="U64398" s="8"/>
      <c r="V64398" s="8"/>
      <c r="W64398" s="8"/>
      <c r="X64398" s="8"/>
      <c r="Y64398" s="8"/>
      <c r="Z64398" s="8"/>
      <c r="AA64398" s="8"/>
    </row>
    <row r="64399" spans="1:27" x14ac:dyDescent="0.25">
      <c r="A64399" s="8"/>
      <c r="B64399" s="8"/>
      <c r="C64399" s="99"/>
      <c r="D64399" s="8"/>
      <c r="E64399" s="8"/>
      <c r="F64399" s="8"/>
      <c r="G64399" s="8"/>
      <c r="H64399" s="8"/>
      <c r="I64399" s="102"/>
      <c r="J64399" s="8"/>
      <c r="K64399" s="8"/>
      <c r="L64399" s="8"/>
      <c r="M64399" s="8"/>
      <c r="N64399" s="8"/>
      <c r="O64399" s="8"/>
      <c r="P64399" s="8"/>
      <c r="Q64399" s="8"/>
      <c r="R64399" s="103"/>
      <c r="S64399" s="8"/>
      <c r="T64399" s="8"/>
      <c r="U64399" s="8"/>
      <c r="V64399" s="8"/>
      <c r="W64399" s="8"/>
      <c r="X64399" s="8"/>
      <c r="Y64399" s="8"/>
      <c r="Z64399" s="8"/>
      <c r="AA64399" s="8"/>
    </row>
    <row r="64400" spans="1:27" x14ac:dyDescent="0.25">
      <c r="A64400" s="8"/>
      <c r="B64400" s="8"/>
      <c r="C64400" s="99"/>
      <c r="D64400" s="8"/>
      <c r="E64400" s="8"/>
      <c r="F64400" s="8"/>
      <c r="G64400" s="8"/>
      <c r="H64400" s="8"/>
      <c r="I64400" s="102"/>
      <c r="J64400" s="8"/>
      <c r="K64400" s="8"/>
      <c r="L64400" s="8"/>
      <c r="M64400" s="8"/>
      <c r="N64400" s="8"/>
      <c r="O64400" s="8"/>
      <c r="P64400" s="8"/>
      <c r="Q64400" s="8"/>
      <c r="R64400" s="103"/>
      <c r="S64400" s="8"/>
      <c r="T64400" s="8"/>
      <c r="U64400" s="8"/>
      <c r="V64400" s="8"/>
      <c r="W64400" s="8"/>
      <c r="X64400" s="8"/>
      <c r="Y64400" s="8"/>
      <c r="Z64400" s="8"/>
      <c r="AA64400" s="8"/>
    </row>
    <row r="64401" spans="1:27" x14ac:dyDescent="0.25">
      <c r="A64401" s="8"/>
      <c r="B64401" s="8"/>
      <c r="C64401" s="99"/>
      <c r="D64401" s="8"/>
      <c r="E64401" s="8"/>
      <c r="F64401" s="8"/>
      <c r="G64401" s="8"/>
      <c r="H64401" s="8"/>
      <c r="I64401" s="102"/>
      <c r="J64401" s="8"/>
      <c r="K64401" s="8"/>
      <c r="L64401" s="8"/>
      <c r="M64401" s="8"/>
      <c r="N64401" s="8"/>
      <c r="O64401" s="8"/>
      <c r="P64401" s="8"/>
      <c r="Q64401" s="8"/>
      <c r="R64401" s="103"/>
      <c r="S64401" s="8"/>
      <c r="T64401" s="8"/>
      <c r="U64401" s="8"/>
      <c r="V64401" s="8"/>
      <c r="W64401" s="8"/>
      <c r="X64401" s="8"/>
      <c r="Y64401" s="8"/>
      <c r="Z64401" s="8"/>
      <c r="AA64401" s="8"/>
    </row>
    <row r="64402" spans="1:27" x14ac:dyDescent="0.25">
      <c r="A64402" s="8"/>
      <c r="B64402" s="8"/>
      <c r="C64402" s="99"/>
      <c r="D64402" s="8"/>
      <c r="E64402" s="8"/>
      <c r="F64402" s="8"/>
      <c r="G64402" s="8"/>
      <c r="H64402" s="8"/>
      <c r="I64402" s="102"/>
      <c r="J64402" s="8"/>
      <c r="K64402" s="8"/>
      <c r="L64402" s="8"/>
      <c r="M64402" s="8"/>
      <c r="N64402" s="8"/>
      <c r="O64402" s="8"/>
      <c r="P64402" s="8"/>
      <c r="Q64402" s="8"/>
      <c r="R64402" s="103"/>
      <c r="S64402" s="8"/>
      <c r="T64402" s="8"/>
      <c r="U64402" s="8"/>
      <c r="V64402" s="8"/>
      <c r="W64402" s="8"/>
      <c r="X64402" s="8"/>
      <c r="Y64402" s="8"/>
      <c r="Z64402" s="8"/>
      <c r="AA64402" s="8"/>
    </row>
    <row r="64403" spans="1:27" x14ac:dyDescent="0.25">
      <c r="A64403" s="8"/>
      <c r="B64403" s="8"/>
      <c r="C64403" s="99"/>
      <c r="D64403" s="8"/>
      <c r="E64403" s="8"/>
      <c r="F64403" s="8"/>
      <c r="G64403" s="8"/>
      <c r="H64403" s="8"/>
      <c r="I64403" s="102"/>
      <c r="J64403" s="8"/>
      <c r="K64403" s="8"/>
      <c r="L64403" s="8"/>
      <c r="M64403" s="8"/>
      <c r="N64403" s="8"/>
      <c r="O64403" s="8"/>
      <c r="P64403" s="8"/>
      <c r="Q64403" s="8"/>
      <c r="R64403" s="103"/>
      <c r="S64403" s="8"/>
      <c r="T64403" s="8"/>
      <c r="U64403" s="8"/>
      <c r="V64403" s="8"/>
      <c r="W64403" s="8"/>
      <c r="X64403" s="8"/>
      <c r="Y64403" s="8"/>
      <c r="Z64403" s="8"/>
      <c r="AA64403" s="8"/>
    </row>
    <row r="64404" spans="1:27" x14ac:dyDescent="0.25">
      <c r="A64404" s="8"/>
      <c r="B64404" s="8"/>
      <c r="C64404" s="99"/>
      <c r="D64404" s="8"/>
      <c r="E64404" s="8"/>
      <c r="F64404" s="8"/>
      <c r="G64404" s="8"/>
      <c r="H64404" s="8"/>
      <c r="I64404" s="102"/>
      <c r="J64404" s="8"/>
      <c r="K64404" s="8"/>
      <c r="L64404" s="8"/>
      <c r="M64404" s="8"/>
      <c r="N64404" s="8"/>
      <c r="O64404" s="8"/>
      <c r="P64404" s="8"/>
      <c r="Q64404" s="8"/>
      <c r="R64404" s="103"/>
      <c r="S64404" s="8"/>
      <c r="T64404" s="8"/>
      <c r="U64404" s="8"/>
      <c r="V64404" s="8"/>
      <c r="W64404" s="8"/>
      <c r="X64404" s="8"/>
      <c r="Y64404" s="8"/>
      <c r="Z64404" s="8"/>
      <c r="AA64404" s="8"/>
    </row>
    <row r="64405" spans="1:27" x14ac:dyDescent="0.25">
      <c r="A64405" s="8"/>
      <c r="B64405" s="8"/>
      <c r="C64405" s="99"/>
      <c r="D64405" s="8"/>
      <c r="E64405" s="8"/>
      <c r="F64405" s="8"/>
      <c r="G64405" s="8"/>
      <c r="H64405" s="8"/>
      <c r="I64405" s="102"/>
      <c r="J64405" s="8"/>
      <c r="K64405" s="8"/>
      <c r="L64405" s="8"/>
      <c r="M64405" s="8"/>
      <c r="N64405" s="8"/>
      <c r="O64405" s="8"/>
      <c r="P64405" s="8"/>
      <c r="Q64405" s="8"/>
      <c r="R64405" s="103"/>
      <c r="S64405" s="8"/>
      <c r="T64405" s="8"/>
      <c r="U64405" s="8"/>
      <c r="V64405" s="8"/>
      <c r="W64405" s="8"/>
      <c r="X64405" s="8"/>
      <c r="Y64405" s="8"/>
      <c r="Z64405" s="8"/>
      <c r="AA64405" s="8"/>
    </row>
    <row r="64406" spans="1:27" x14ac:dyDescent="0.25">
      <c r="A64406" s="8"/>
      <c r="B64406" s="8"/>
      <c r="C64406" s="99"/>
      <c r="D64406" s="8"/>
      <c r="E64406" s="8"/>
      <c r="F64406" s="8"/>
      <c r="G64406" s="8"/>
      <c r="H64406" s="8"/>
      <c r="I64406" s="102"/>
      <c r="J64406" s="8"/>
      <c r="K64406" s="8"/>
      <c r="L64406" s="8"/>
      <c r="M64406" s="8"/>
      <c r="N64406" s="8"/>
      <c r="O64406" s="8"/>
      <c r="P64406" s="8"/>
      <c r="Q64406" s="8"/>
      <c r="R64406" s="103"/>
      <c r="S64406" s="8"/>
      <c r="T64406" s="8"/>
      <c r="U64406" s="8"/>
      <c r="V64406" s="8"/>
      <c r="W64406" s="8"/>
      <c r="X64406" s="8"/>
      <c r="Y64406" s="8"/>
      <c r="Z64406" s="8"/>
      <c r="AA64406" s="8"/>
    </row>
    <row r="64407" spans="1:27" x14ac:dyDescent="0.25">
      <c r="A64407" s="8"/>
      <c r="B64407" s="8"/>
      <c r="C64407" s="99"/>
      <c r="D64407" s="8"/>
      <c r="E64407" s="8"/>
      <c r="F64407" s="8"/>
      <c r="G64407" s="8"/>
      <c r="H64407" s="8"/>
      <c r="I64407" s="102"/>
      <c r="J64407" s="8"/>
      <c r="K64407" s="8"/>
      <c r="L64407" s="8"/>
      <c r="M64407" s="8"/>
      <c r="N64407" s="8"/>
      <c r="O64407" s="8"/>
      <c r="P64407" s="8"/>
      <c r="Q64407" s="8"/>
      <c r="R64407" s="103"/>
      <c r="S64407" s="8"/>
      <c r="T64407" s="8"/>
      <c r="U64407" s="8"/>
      <c r="V64407" s="8"/>
      <c r="W64407" s="8"/>
      <c r="X64407" s="8"/>
      <c r="Y64407" s="8"/>
      <c r="Z64407" s="8"/>
      <c r="AA64407" s="8"/>
    </row>
    <row r="64408" spans="1:27" x14ac:dyDescent="0.25">
      <c r="A64408" s="8"/>
      <c r="B64408" s="8"/>
      <c r="C64408" s="99"/>
      <c r="D64408" s="8"/>
      <c r="E64408" s="8"/>
      <c r="F64408" s="8"/>
      <c r="G64408" s="8"/>
      <c r="H64408" s="8"/>
      <c r="I64408" s="102"/>
      <c r="J64408" s="8"/>
      <c r="K64408" s="8"/>
      <c r="L64408" s="8"/>
      <c r="M64408" s="8"/>
      <c r="N64408" s="8"/>
      <c r="O64408" s="8"/>
      <c r="P64408" s="8"/>
      <c r="Q64408" s="8"/>
      <c r="R64408" s="103"/>
      <c r="S64408" s="8"/>
      <c r="T64408" s="8"/>
      <c r="U64408" s="8"/>
      <c r="V64408" s="8"/>
      <c r="W64408" s="8"/>
      <c r="X64408" s="8"/>
      <c r="Y64408" s="8"/>
      <c r="Z64408" s="8"/>
      <c r="AA64408" s="8"/>
    </row>
    <row r="64409" spans="1:27" x14ac:dyDescent="0.25">
      <c r="A64409" s="8"/>
      <c r="B64409" s="8"/>
      <c r="C64409" s="99"/>
      <c r="D64409" s="8"/>
      <c r="E64409" s="8"/>
      <c r="F64409" s="8"/>
      <c r="G64409" s="8"/>
      <c r="H64409" s="8"/>
      <c r="I64409" s="102"/>
      <c r="J64409" s="8"/>
      <c r="K64409" s="8"/>
      <c r="L64409" s="8"/>
      <c r="M64409" s="8"/>
      <c r="N64409" s="8"/>
      <c r="O64409" s="8"/>
      <c r="P64409" s="8"/>
      <c r="Q64409" s="8"/>
      <c r="R64409" s="103"/>
      <c r="S64409" s="8"/>
      <c r="T64409" s="8"/>
      <c r="U64409" s="8"/>
      <c r="V64409" s="8"/>
      <c r="W64409" s="8"/>
      <c r="X64409" s="8"/>
      <c r="Y64409" s="8"/>
      <c r="Z64409" s="8"/>
      <c r="AA64409" s="8"/>
    </row>
    <row r="64410" spans="1:27" x14ac:dyDescent="0.25">
      <c r="A64410" s="8"/>
      <c r="B64410" s="8"/>
      <c r="C64410" s="99"/>
      <c r="D64410" s="8"/>
      <c r="E64410" s="8"/>
      <c r="F64410" s="8"/>
      <c r="G64410" s="8"/>
      <c r="H64410" s="8"/>
      <c r="I64410" s="102"/>
      <c r="J64410" s="8"/>
      <c r="K64410" s="8"/>
      <c r="L64410" s="8"/>
      <c r="M64410" s="8"/>
      <c r="N64410" s="8"/>
      <c r="O64410" s="8"/>
      <c r="P64410" s="8"/>
      <c r="Q64410" s="8"/>
      <c r="R64410" s="103"/>
      <c r="S64410" s="8"/>
      <c r="T64410" s="8"/>
      <c r="U64410" s="8"/>
      <c r="V64410" s="8"/>
      <c r="W64410" s="8"/>
      <c r="X64410" s="8"/>
      <c r="Y64410" s="8"/>
      <c r="Z64410" s="8"/>
      <c r="AA64410" s="8"/>
    </row>
    <row r="64411" spans="1:27" x14ac:dyDescent="0.25">
      <c r="A64411" s="8"/>
      <c r="B64411" s="8"/>
      <c r="C64411" s="99"/>
      <c r="D64411" s="8"/>
      <c r="E64411" s="8"/>
      <c r="F64411" s="8"/>
      <c r="G64411" s="8"/>
      <c r="H64411" s="8"/>
      <c r="I64411" s="102"/>
      <c r="J64411" s="8"/>
      <c r="K64411" s="8"/>
      <c r="L64411" s="8"/>
      <c r="M64411" s="8"/>
      <c r="N64411" s="8"/>
      <c r="O64411" s="8"/>
      <c r="P64411" s="8"/>
      <c r="Q64411" s="8"/>
      <c r="R64411" s="103"/>
      <c r="S64411" s="8"/>
      <c r="T64411" s="8"/>
      <c r="U64411" s="8"/>
      <c r="V64411" s="8"/>
      <c r="W64411" s="8"/>
      <c r="X64411" s="8"/>
      <c r="Y64411" s="8"/>
      <c r="Z64411" s="8"/>
      <c r="AA64411" s="8"/>
    </row>
    <row r="64412" spans="1:27" x14ac:dyDescent="0.25">
      <c r="A64412" s="8"/>
      <c r="B64412" s="8"/>
      <c r="C64412" s="99"/>
      <c r="D64412" s="8"/>
      <c r="E64412" s="8"/>
      <c r="F64412" s="8"/>
      <c r="G64412" s="8"/>
      <c r="H64412" s="8"/>
      <c r="I64412" s="102"/>
      <c r="J64412" s="8"/>
      <c r="K64412" s="8"/>
      <c r="L64412" s="8"/>
      <c r="M64412" s="8"/>
      <c r="N64412" s="8"/>
      <c r="O64412" s="8"/>
      <c r="P64412" s="8"/>
      <c r="Q64412" s="8"/>
      <c r="R64412" s="103"/>
      <c r="S64412" s="8"/>
      <c r="T64412" s="8"/>
      <c r="U64412" s="8"/>
      <c r="V64412" s="8"/>
      <c r="W64412" s="8"/>
      <c r="X64412" s="8"/>
      <c r="Y64412" s="8"/>
      <c r="Z64412" s="8"/>
      <c r="AA64412" s="8"/>
    </row>
    <row r="64413" spans="1:27" x14ac:dyDescent="0.25">
      <c r="A64413" s="8"/>
      <c r="B64413" s="8"/>
      <c r="C64413" s="99"/>
      <c r="D64413" s="8"/>
      <c r="E64413" s="8"/>
      <c r="F64413" s="8"/>
      <c r="G64413" s="8"/>
      <c r="H64413" s="8"/>
      <c r="I64413" s="102"/>
      <c r="J64413" s="8"/>
      <c r="K64413" s="8"/>
      <c r="L64413" s="8"/>
      <c r="M64413" s="8"/>
      <c r="N64413" s="8"/>
      <c r="O64413" s="8"/>
      <c r="P64413" s="8"/>
      <c r="Q64413" s="8"/>
      <c r="R64413" s="103"/>
      <c r="S64413" s="8"/>
      <c r="T64413" s="8"/>
      <c r="U64413" s="8"/>
      <c r="V64413" s="8"/>
      <c r="W64413" s="8"/>
      <c r="X64413" s="8"/>
      <c r="Y64413" s="8"/>
      <c r="Z64413" s="8"/>
      <c r="AA64413" s="8"/>
    </row>
    <row r="64414" spans="1:27" x14ac:dyDescent="0.25">
      <c r="A64414" s="8"/>
      <c r="B64414" s="8"/>
      <c r="C64414" s="99"/>
      <c r="D64414" s="8"/>
      <c r="E64414" s="8"/>
      <c r="F64414" s="8"/>
      <c r="G64414" s="8"/>
      <c r="H64414" s="8"/>
      <c r="I64414" s="102"/>
      <c r="J64414" s="8"/>
      <c r="K64414" s="8"/>
      <c r="L64414" s="8"/>
      <c r="M64414" s="8"/>
      <c r="N64414" s="8"/>
      <c r="O64414" s="8"/>
      <c r="P64414" s="8"/>
      <c r="Q64414" s="8"/>
      <c r="R64414" s="103"/>
      <c r="S64414" s="8"/>
      <c r="T64414" s="8"/>
      <c r="U64414" s="8"/>
      <c r="V64414" s="8"/>
      <c r="W64414" s="8"/>
      <c r="X64414" s="8"/>
      <c r="Y64414" s="8"/>
      <c r="Z64414" s="8"/>
      <c r="AA64414" s="8"/>
    </row>
    <row r="64415" spans="1:27" x14ac:dyDescent="0.25">
      <c r="A64415" s="8"/>
      <c r="B64415" s="8"/>
      <c r="C64415" s="99"/>
      <c r="D64415" s="8"/>
      <c r="E64415" s="8"/>
      <c r="F64415" s="8"/>
      <c r="G64415" s="8"/>
      <c r="H64415" s="8"/>
      <c r="I64415" s="102"/>
      <c r="J64415" s="8"/>
      <c r="K64415" s="8"/>
      <c r="L64415" s="8"/>
      <c r="M64415" s="8"/>
      <c r="N64415" s="8"/>
      <c r="O64415" s="8"/>
      <c r="P64415" s="8"/>
      <c r="Q64415" s="8"/>
      <c r="R64415" s="103"/>
      <c r="S64415" s="8"/>
      <c r="T64415" s="8"/>
      <c r="U64415" s="8"/>
      <c r="V64415" s="8"/>
      <c r="W64415" s="8"/>
      <c r="X64415" s="8"/>
      <c r="Y64415" s="8"/>
      <c r="Z64415" s="8"/>
      <c r="AA64415" s="8"/>
    </row>
    <row r="64416" spans="1:27" x14ac:dyDescent="0.25">
      <c r="A64416" s="8"/>
      <c r="B64416" s="8"/>
      <c r="C64416" s="99"/>
      <c r="D64416" s="8"/>
      <c r="E64416" s="8"/>
      <c r="F64416" s="8"/>
      <c r="G64416" s="8"/>
      <c r="H64416" s="8"/>
      <c r="I64416" s="102"/>
      <c r="J64416" s="8"/>
      <c r="K64416" s="8"/>
      <c r="L64416" s="8"/>
      <c r="M64416" s="8"/>
      <c r="N64416" s="8"/>
      <c r="O64416" s="8"/>
      <c r="P64416" s="8"/>
      <c r="Q64416" s="8"/>
      <c r="R64416" s="103"/>
      <c r="S64416" s="8"/>
      <c r="T64416" s="8"/>
      <c r="U64416" s="8"/>
      <c r="V64416" s="8"/>
      <c r="W64416" s="8"/>
      <c r="X64416" s="8"/>
      <c r="Y64416" s="8"/>
      <c r="Z64416" s="8"/>
      <c r="AA64416" s="8"/>
    </row>
    <row r="64417" spans="1:27" x14ac:dyDescent="0.25">
      <c r="A64417" s="8"/>
      <c r="B64417" s="8"/>
      <c r="C64417" s="99"/>
      <c r="D64417" s="8"/>
      <c r="E64417" s="8"/>
      <c r="F64417" s="8"/>
      <c r="G64417" s="8"/>
      <c r="H64417" s="8"/>
      <c r="I64417" s="102"/>
      <c r="J64417" s="8"/>
      <c r="K64417" s="8"/>
      <c r="L64417" s="8"/>
      <c r="M64417" s="8"/>
      <c r="N64417" s="8"/>
      <c r="O64417" s="8"/>
      <c r="P64417" s="8"/>
      <c r="Q64417" s="8"/>
      <c r="R64417" s="103"/>
      <c r="S64417" s="8"/>
      <c r="T64417" s="8"/>
      <c r="U64417" s="8"/>
      <c r="V64417" s="8"/>
      <c r="W64417" s="8"/>
      <c r="X64417" s="8"/>
      <c r="Y64417" s="8"/>
      <c r="Z64417" s="8"/>
      <c r="AA64417" s="8"/>
    </row>
    <row r="64418" spans="1:27" x14ac:dyDescent="0.25">
      <c r="A64418" s="8"/>
      <c r="B64418" s="8"/>
      <c r="C64418" s="99"/>
      <c r="D64418" s="8"/>
      <c r="E64418" s="8"/>
      <c r="F64418" s="8"/>
      <c r="G64418" s="8"/>
      <c r="H64418" s="8"/>
      <c r="I64418" s="102"/>
      <c r="J64418" s="8"/>
      <c r="K64418" s="8"/>
      <c r="L64418" s="8"/>
      <c r="M64418" s="8"/>
      <c r="N64418" s="8"/>
      <c r="O64418" s="8"/>
      <c r="P64418" s="8"/>
      <c r="Q64418" s="8"/>
      <c r="R64418" s="103"/>
      <c r="S64418" s="8"/>
      <c r="T64418" s="8"/>
      <c r="U64418" s="8"/>
      <c r="V64418" s="8"/>
      <c r="W64418" s="8"/>
      <c r="X64418" s="8"/>
      <c r="Y64418" s="8"/>
      <c r="Z64418" s="8"/>
      <c r="AA64418" s="8"/>
    </row>
    <row r="64419" spans="1:27" x14ac:dyDescent="0.25">
      <c r="A64419" s="8"/>
      <c r="B64419" s="8"/>
      <c r="C64419" s="99"/>
      <c r="D64419" s="8"/>
      <c r="E64419" s="8"/>
      <c r="F64419" s="8"/>
      <c r="G64419" s="8"/>
      <c r="H64419" s="8"/>
      <c r="I64419" s="102"/>
      <c r="J64419" s="8"/>
      <c r="K64419" s="8"/>
      <c r="L64419" s="8"/>
      <c r="M64419" s="8"/>
      <c r="N64419" s="8"/>
      <c r="O64419" s="8"/>
      <c r="P64419" s="8"/>
      <c r="Q64419" s="8"/>
      <c r="R64419" s="103"/>
      <c r="S64419" s="8"/>
      <c r="T64419" s="8"/>
      <c r="U64419" s="8"/>
      <c r="V64419" s="8"/>
      <c r="W64419" s="8"/>
      <c r="X64419" s="8"/>
      <c r="Y64419" s="8"/>
      <c r="Z64419" s="8"/>
      <c r="AA64419" s="8"/>
    </row>
    <row r="64420" spans="1:27" x14ac:dyDescent="0.25">
      <c r="A64420" s="8"/>
      <c r="B64420" s="8"/>
      <c r="C64420" s="99"/>
      <c r="D64420" s="8"/>
      <c r="E64420" s="8"/>
      <c r="F64420" s="8"/>
      <c r="G64420" s="8"/>
      <c r="H64420" s="8"/>
      <c r="I64420" s="102"/>
      <c r="J64420" s="8"/>
      <c r="K64420" s="8"/>
      <c r="L64420" s="8"/>
      <c r="M64420" s="8"/>
      <c r="N64420" s="8"/>
      <c r="O64420" s="8"/>
      <c r="P64420" s="8"/>
      <c r="Q64420" s="8"/>
      <c r="R64420" s="103"/>
      <c r="S64420" s="8"/>
      <c r="T64420" s="8"/>
      <c r="U64420" s="8"/>
      <c r="V64420" s="8"/>
      <c r="W64420" s="8"/>
      <c r="X64420" s="8"/>
      <c r="Y64420" s="8"/>
      <c r="Z64420" s="8"/>
      <c r="AA64420" s="8"/>
    </row>
    <row r="64421" spans="1:27" x14ac:dyDescent="0.25">
      <c r="A64421" s="8"/>
      <c r="B64421" s="8"/>
      <c r="C64421" s="99"/>
      <c r="D64421" s="8"/>
      <c r="E64421" s="8"/>
      <c r="F64421" s="8"/>
      <c r="G64421" s="8"/>
      <c r="H64421" s="8"/>
      <c r="I64421" s="102"/>
      <c r="J64421" s="8"/>
      <c r="K64421" s="8"/>
      <c r="L64421" s="8"/>
      <c r="M64421" s="8"/>
      <c r="N64421" s="8"/>
      <c r="O64421" s="8"/>
      <c r="P64421" s="8"/>
      <c r="Q64421" s="8"/>
      <c r="R64421" s="103"/>
      <c r="S64421" s="8"/>
      <c r="T64421" s="8"/>
      <c r="U64421" s="8"/>
      <c r="V64421" s="8"/>
      <c r="W64421" s="8"/>
      <c r="X64421" s="8"/>
      <c r="Y64421" s="8"/>
      <c r="Z64421" s="8"/>
      <c r="AA64421" s="8"/>
    </row>
    <row r="64422" spans="1:27" x14ac:dyDescent="0.25">
      <c r="A64422" s="8"/>
      <c r="B64422" s="8"/>
      <c r="C64422" s="99"/>
      <c r="D64422" s="8"/>
      <c r="E64422" s="8"/>
      <c r="F64422" s="8"/>
      <c r="G64422" s="8"/>
      <c r="H64422" s="8"/>
      <c r="I64422" s="102"/>
      <c r="J64422" s="8"/>
      <c r="K64422" s="8"/>
      <c r="L64422" s="8"/>
      <c r="M64422" s="8"/>
      <c r="N64422" s="8"/>
      <c r="O64422" s="8"/>
      <c r="P64422" s="8"/>
      <c r="Q64422" s="8"/>
      <c r="R64422" s="103"/>
      <c r="S64422" s="8"/>
      <c r="T64422" s="8"/>
      <c r="U64422" s="8"/>
      <c r="V64422" s="8"/>
      <c r="W64422" s="8"/>
      <c r="X64422" s="8"/>
      <c r="Y64422" s="8"/>
      <c r="Z64422" s="8"/>
      <c r="AA64422" s="8"/>
    </row>
    <row r="64423" spans="1:27" x14ac:dyDescent="0.25">
      <c r="A64423" s="8"/>
      <c r="B64423" s="8"/>
      <c r="C64423" s="99"/>
      <c r="D64423" s="8"/>
      <c r="E64423" s="8"/>
      <c r="F64423" s="8"/>
      <c r="G64423" s="8"/>
      <c r="H64423" s="8"/>
      <c r="I64423" s="102"/>
      <c r="J64423" s="8"/>
      <c r="K64423" s="8"/>
      <c r="L64423" s="8"/>
      <c r="M64423" s="8"/>
      <c r="N64423" s="8"/>
      <c r="O64423" s="8"/>
      <c r="P64423" s="8"/>
      <c r="Q64423" s="8"/>
      <c r="R64423" s="103"/>
      <c r="S64423" s="8"/>
      <c r="T64423" s="8"/>
      <c r="U64423" s="8"/>
      <c r="V64423" s="8"/>
      <c r="W64423" s="8"/>
      <c r="X64423" s="8"/>
      <c r="Y64423" s="8"/>
      <c r="Z64423" s="8"/>
      <c r="AA64423" s="8"/>
    </row>
    <row r="64424" spans="1:27" x14ac:dyDescent="0.25">
      <c r="A64424" s="8"/>
      <c r="B64424" s="8"/>
      <c r="C64424" s="99"/>
      <c r="D64424" s="8"/>
      <c r="E64424" s="8"/>
      <c r="F64424" s="8"/>
      <c r="G64424" s="8"/>
      <c r="H64424" s="8"/>
      <c r="I64424" s="102"/>
      <c r="J64424" s="8"/>
      <c r="K64424" s="8"/>
      <c r="L64424" s="8"/>
      <c r="M64424" s="8"/>
      <c r="N64424" s="8"/>
      <c r="O64424" s="8"/>
      <c r="P64424" s="8"/>
      <c r="Q64424" s="8"/>
      <c r="R64424" s="103"/>
      <c r="S64424" s="8"/>
      <c r="T64424" s="8"/>
      <c r="U64424" s="8"/>
      <c r="V64424" s="8"/>
      <c r="W64424" s="8"/>
      <c r="X64424" s="8"/>
      <c r="Y64424" s="8"/>
      <c r="Z64424" s="8"/>
      <c r="AA64424" s="8"/>
    </row>
    <row r="64425" spans="1:27" x14ac:dyDescent="0.25">
      <c r="A64425" s="8"/>
      <c r="B64425" s="8"/>
      <c r="C64425" s="99"/>
      <c r="D64425" s="8"/>
      <c r="E64425" s="8"/>
      <c r="F64425" s="8"/>
      <c r="G64425" s="8"/>
      <c r="H64425" s="8"/>
      <c r="I64425" s="102"/>
      <c r="J64425" s="8"/>
      <c r="K64425" s="8"/>
      <c r="L64425" s="8"/>
      <c r="M64425" s="8"/>
      <c r="N64425" s="8"/>
      <c r="O64425" s="8"/>
      <c r="P64425" s="8"/>
      <c r="Q64425" s="8"/>
      <c r="R64425" s="103"/>
      <c r="S64425" s="8"/>
      <c r="T64425" s="8"/>
      <c r="U64425" s="8"/>
      <c r="V64425" s="8"/>
      <c r="W64425" s="8"/>
      <c r="X64425" s="8"/>
      <c r="Y64425" s="8"/>
      <c r="Z64425" s="8"/>
      <c r="AA64425" s="8"/>
    </row>
    <row r="64426" spans="1:27" x14ac:dyDescent="0.25">
      <c r="A64426" s="8"/>
      <c r="B64426" s="8"/>
      <c r="C64426" s="99"/>
      <c r="D64426" s="8"/>
      <c r="E64426" s="8"/>
      <c r="F64426" s="8"/>
      <c r="G64426" s="8"/>
      <c r="H64426" s="8"/>
      <c r="I64426" s="102"/>
      <c r="J64426" s="8"/>
      <c r="K64426" s="8"/>
      <c r="L64426" s="8"/>
      <c r="M64426" s="8"/>
      <c r="N64426" s="8"/>
      <c r="O64426" s="8"/>
      <c r="P64426" s="8"/>
      <c r="Q64426" s="8"/>
      <c r="R64426" s="103"/>
      <c r="S64426" s="8"/>
      <c r="T64426" s="8"/>
      <c r="U64426" s="8"/>
      <c r="V64426" s="8"/>
      <c r="W64426" s="8"/>
      <c r="X64426" s="8"/>
      <c r="Y64426" s="8"/>
      <c r="Z64426" s="8"/>
      <c r="AA64426" s="8"/>
    </row>
    <row r="64427" spans="1:27" x14ac:dyDescent="0.25">
      <c r="A64427" s="8"/>
      <c r="B64427" s="8"/>
      <c r="C64427" s="99"/>
      <c r="D64427" s="8"/>
      <c r="E64427" s="8"/>
      <c r="F64427" s="8"/>
      <c r="G64427" s="8"/>
      <c r="H64427" s="8"/>
      <c r="I64427" s="102"/>
      <c r="J64427" s="8"/>
      <c r="K64427" s="8"/>
      <c r="L64427" s="8"/>
      <c r="M64427" s="8"/>
      <c r="N64427" s="8"/>
      <c r="O64427" s="8"/>
      <c r="P64427" s="8"/>
      <c r="Q64427" s="8"/>
      <c r="R64427" s="103"/>
      <c r="S64427" s="8"/>
      <c r="T64427" s="8"/>
      <c r="U64427" s="8"/>
      <c r="V64427" s="8"/>
      <c r="W64427" s="8"/>
      <c r="X64427" s="8"/>
      <c r="Y64427" s="8"/>
      <c r="Z64427" s="8"/>
      <c r="AA64427" s="8"/>
    </row>
    <row r="64428" spans="1:27" x14ac:dyDescent="0.25">
      <c r="A64428" s="8"/>
      <c r="B64428" s="8"/>
      <c r="C64428" s="99"/>
      <c r="D64428" s="8"/>
      <c r="E64428" s="8"/>
      <c r="F64428" s="8"/>
      <c r="G64428" s="8"/>
      <c r="H64428" s="8"/>
      <c r="I64428" s="102"/>
      <c r="J64428" s="8"/>
      <c r="K64428" s="8"/>
      <c r="L64428" s="8"/>
      <c r="M64428" s="8"/>
      <c r="N64428" s="8"/>
      <c r="O64428" s="8"/>
      <c r="P64428" s="8"/>
      <c r="Q64428" s="8"/>
      <c r="R64428" s="103"/>
      <c r="S64428" s="8"/>
      <c r="T64428" s="8"/>
      <c r="U64428" s="8"/>
      <c r="V64428" s="8"/>
      <c r="W64428" s="8"/>
      <c r="X64428" s="8"/>
      <c r="Y64428" s="8"/>
      <c r="Z64428" s="8"/>
      <c r="AA64428" s="8"/>
    </row>
    <row r="64429" spans="1:27" x14ac:dyDescent="0.25">
      <c r="A64429" s="8"/>
      <c r="B64429" s="8"/>
      <c r="C64429" s="99"/>
      <c r="D64429" s="8"/>
      <c r="E64429" s="8"/>
      <c r="F64429" s="8"/>
      <c r="G64429" s="8"/>
      <c r="H64429" s="8"/>
      <c r="I64429" s="102"/>
      <c r="J64429" s="8"/>
      <c r="K64429" s="8"/>
      <c r="L64429" s="8"/>
      <c r="M64429" s="8"/>
      <c r="N64429" s="8"/>
      <c r="O64429" s="8"/>
      <c r="P64429" s="8"/>
      <c r="Q64429" s="8"/>
      <c r="R64429" s="103"/>
      <c r="S64429" s="8"/>
      <c r="T64429" s="8"/>
      <c r="U64429" s="8"/>
      <c r="V64429" s="8"/>
      <c r="W64429" s="8"/>
      <c r="X64429" s="8"/>
      <c r="Y64429" s="8"/>
      <c r="Z64429" s="8"/>
      <c r="AA64429" s="8"/>
    </row>
    <row r="64430" spans="1:27" x14ac:dyDescent="0.25">
      <c r="A64430" s="8"/>
      <c r="B64430" s="8"/>
      <c r="C64430" s="99"/>
      <c r="D64430" s="8"/>
      <c r="E64430" s="8"/>
      <c r="F64430" s="8"/>
      <c r="G64430" s="8"/>
      <c r="H64430" s="8"/>
      <c r="I64430" s="102"/>
      <c r="J64430" s="8"/>
      <c r="K64430" s="8"/>
      <c r="L64430" s="8"/>
      <c r="M64430" s="8"/>
      <c r="N64430" s="8"/>
      <c r="O64430" s="8"/>
      <c r="P64430" s="8"/>
      <c r="Q64430" s="8"/>
      <c r="R64430" s="103"/>
      <c r="S64430" s="8"/>
      <c r="T64430" s="8"/>
      <c r="U64430" s="8"/>
      <c r="V64430" s="8"/>
      <c r="W64430" s="8"/>
      <c r="X64430" s="8"/>
      <c r="Y64430" s="8"/>
      <c r="Z64430" s="8"/>
      <c r="AA64430" s="8"/>
    </row>
    <row r="64431" spans="1:27" x14ac:dyDescent="0.25">
      <c r="A64431" s="8"/>
      <c r="B64431" s="8"/>
      <c r="C64431" s="99"/>
      <c r="D64431" s="8"/>
      <c r="E64431" s="8"/>
      <c r="F64431" s="8"/>
      <c r="G64431" s="8"/>
      <c r="H64431" s="8"/>
      <c r="I64431" s="102"/>
      <c r="J64431" s="8"/>
      <c r="K64431" s="8"/>
      <c r="L64431" s="8"/>
      <c r="M64431" s="8"/>
      <c r="N64431" s="8"/>
      <c r="O64431" s="8"/>
      <c r="P64431" s="8"/>
      <c r="Q64431" s="8"/>
      <c r="R64431" s="103"/>
      <c r="S64431" s="8"/>
      <c r="T64431" s="8"/>
      <c r="U64431" s="8"/>
      <c r="V64431" s="8"/>
      <c r="W64431" s="8"/>
      <c r="X64431" s="8"/>
      <c r="Y64431" s="8"/>
      <c r="Z64431" s="8"/>
      <c r="AA64431" s="8"/>
    </row>
    <row r="64432" spans="1:27" x14ac:dyDescent="0.25">
      <c r="A64432" s="8"/>
      <c r="B64432" s="8"/>
      <c r="C64432" s="99"/>
      <c r="D64432" s="8"/>
      <c r="E64432" s="8"/>
      <c r="F64432" s="8"/>
      <c r="G64432" s="8"/>
      <c r="H64432" s="8"/>
      <c r="I64432" s="102"/>
      <c r="J64432" s="8"/>
      <c r="K64432" s="8"/>
      <c r="L64432" s="8"/>
      <c r="M64432" s="8"/>
      <c r="N64432" s="8"/>
      <c r="O64432" s="8"/>
      <c r="P64432" s="8"/>
      <c r="Q64432" s="8"/>
      <c r="R64432" s="103"/>
      <c r="S64432" s="8"/>
      <c r="T64432" s="8"/>
      <c r="U64432" s="8"/>
      <c r="V64432" s="8"/>
      <c r="W64432" s="8"/>
      <c r="X64432" s="8"/>
      <c r="Y64432" s="8"/>
      <c r="Z64432" s="8"/>
      <c r="AA64432" s="8"/>
    </row>
    <row r="64433" spans="1:27" x14ac:dyDescent="0.25">
      <c r="A64433" s="8"/>
      <c r="B64433" s="8"/>
      <c r="C64433" s="99"/>
      <c r="D64433" s="8"/>
      <c r="E64433" s="8"/>
      <c r="F64433" s="8"/>
      <c r="G64433" s="8"/>
      <c r="H64433" s="8"/>
      <c r="I64433" s="102"/>
      <c r="J64433" s="8"/>
      <c r="K64433" s="8"/>
      <c r="L64433" s="8"/>
      <c r="M64433" s="8"/>
      <c r="N64433" s="8"/>
      <c r="O64433" s="8"/>
      <c r="P64433" s="8"/>
      <c r="Q64433" s="8"/>
      <c r="R64433" s="103"/>
      <c r="S64433" s="8"/>
      <c r="T64433" s="8"/>
      <c r="U64433" s="8"/>
      <c r="V64433" s="8"/>
      <c r="W64433" s="8"/>
      <c r="X64433" s="8"/>
      <c r="Y64433" s="8"/>
      <c r="Z64433" s="8"/>
      <c r="AA64433" s="8"/>
    </row>
    <row r="64434" spans="1:27" x14ac:dyDescent="0.25">
      <c r="A64434" s="8"/>
      <c r="B64434" s="8"/>
      <c r="C64434" s="99"/>
      <c r="D64434" s="8"/>
      <c r="E64434" s="8"/>
      <c r="F64434" s="8"/>
      <c r="G64434" s="8"/>
      <c r="H64434" s="8"/>
      <c r="I64434" s="102"/>
      <c r="J64434" s="8"/>
      <c r="K64434" s="8"/>
      <c r="L64434" s="8"/>
      <c r="M64434" s="8"/>
      <c r="N64434" s="8"/>
      <c r="O64434" s="8"/>
      <c r="P64434" s="8"/>
      <c r="Q64434" s="8"/>
      <c r="R64434" s="103"/>
      <c r="S64434" s="8"/>
      <c r="T64434" s="8"/>
      <c r="U64434" s="8"/>
      <c r="V64434" s="8"/>
      <c r="W64434" s="8"/>
      <c r="X64434" s="8"/>
      <c r="Y64434" s="8"/>
      <c r="Z64434" s="8"/>
      <c r="AA64434" s="8"/>
    </row>
    <row r="64435" spans="1:27" x14ac:dyDescent="0.25">
      <c r="A64435" s="8"/>
      <c r="B64435" s="8"/>
      <c r="C64435" s="99"/>
      <c r="D64435" s="8"/>
      <c r="E64435" s="8"/>
      <c r="F64435" s="8"/>
      <c r="G64435" s="8"/>
      <c r="H64435" s="8"/>
      <c r="I64435" s="102"/>
      <c r="J64435" s="8"/>
      <c r="K64435" s="8"/>
      <c r="L64435" s="8"/>
      <c r="M64435" s="8"/>
      <c r="N64435" s="8"/>
      <c r="O64435" s="8"/>
      <c r="P64435" s="8"/>
      <c r="Q64435" s="8"/>
      <c r="R64435" s="103"/>
      <c r="S64435" s="8"/>
      <c r="T64435" s="8"/>
      <c r="U64435" s="8"/>
      <c r="V64435" s="8"/>
      <c r="W64435" s="8"/>
      <c r="X64435" s="8"/>
      <c r="Y64435" s="8"/>
      <c r="Z64435" s="8"/>
      <c r="AA64435" s="8"/>
    </row>
    <row r="64436" spans="1:27" x14ac:dyDescent="0.25">
      <c r="A64436" s="8"/>
      <c r="B64436" s="8"/>
      <c r="C64436" s="99"/>
      <c r="D64436" s="8"/>
      <c r="E64436" s="8"/>
      <c r="F64436" s="8"/>
      <c r="G64436" s="8"/>
      <c r="H64436" s="8"/>
      <c r="I64436" s="102"/>
      <c r="J64436" s="8"/>
      <c r="K64436" s="8"/>
      <c r="L64436" s="8"/>
      <c r="M64436" s="8"/>
      <c r="N64436" s="8"/>
      <c r="O64436" s="8"/>
      <c r="P64436" s="8"/>
      <c r="Q64436" s="8"/>
      <c r="R64436" s="103"/>
      <c r="S64436" s="8"/>
      <c r="T64436" s="8"/>
      <c r="U64436" s="8"/>
      <c r="V64436" s="8"/>
      <c r="W64436" s="8"/>
      <c r="X64436" s="8"/>
      <c r="Y64436" s="8"/>
      <c r="Z64436" s="8"/>
      <c r="AA64436" s="8"/>
    </row>
    <row r="64437" spans="1:27" x14ac:dyDescent="0.25">
      <c r="A64437" s="8"/>
      <c r="B64437" s="8"/>
      <c r="C64437" s="99"/>
      <c r="D64437" s="8"/>
      <c r="E64437" s="8"/>
      <c r="F64437" s="8"/>
      <c r="G64437" s="8"/>
      <c r="H64437" s="8"/>
      <c r="I64437" s="102"/>
      <c r="J64437" s="8"/>
      <c r="K64437" s="8"/>
      <c r="L64437" s="8"/>
      <c r="M64437" s="8"/>
      <c r="N64437" s="8"/>
      <c r="O64437" s="8"/>
      <c r="P64437" s="8"/>
      <c r="Q64437" s="8"/>
      <c r="R64437" s="103"/>
      <c r="S64437" s="8"/>
      <c r="T64437" s="8"/>
      <c r="U64437" s="8"/>
      <c r="V64437" s="8"/>
      <c r="W64437" s="8"/>
      <c r="X64437" s="8"/>
      <c r="Y64437" s="8"/>
      <c r="Z64437" s="8"/>
      <c r="AA64437" s="8"/>
    </row>
    <row r="64438" spans="1:27" x14ac:dyDescent="0.25">
      <c r="A64438" s="8"/>
      <c r="B64438" s="8"/>
      <c r="C64438" s="99"/>
      <c r="D64438" s="8"/>
      <c r="E64438" s="8"/>
      <c r="F64438" s="8"/>
      <c r="G64438" s="8"/>
      <c r="H64438" s="8"/>
      <c r="I64438" s="102"/>
      <c r="J64438" s="8"/>
      <c r="K64438" s="8"/>
      <c r="L64438" s="8"/>
      <c r="M64438" s="8"/>
      <c r="N64438" s="8"/>
      <c r="O64438" s="8"/>
      <c r="P64438" s="8"/>
      <c r="Q64438" s="8"/>
      <c r="R64438" s="103"/>
      <c r="S64438" s="8"/>
      <c r="T64438" s="8"/>
      <c r="U64438" s="8"/>
      <c r="V64438" s="8"/>
      <c r="W64438" s="8"/>
      <c r="X64438" s="8"/>
      <c r="Y64438" s="8"/>
      <c r="Z64438" s="8"/>
      <c r="AA64438" s="8"/>
    </row>
    <row r="64439" spans="1:27" x14ac:dyDescent="0.25">
      <c r="A64439" s="8"/>
      <c r="B64439" s="8"/>
      <c r="C64439" s="99"/>
      <c r="D64439" s="8"/>
      <c r="E64439" s="8"/>
      <c r="F64439" s="8"/>
      <c r="G64439" s="8"/>
      <c r="H64439" s="8"/>
      <c r="I64439" s="102"/>
      <c r="J64439" s="8"/>
      <c r="K64439" s="8"/>
      <c r="L64439" s="8"/>
      <c r="M64439" s="8"/>
      <c r="N64439" s="8"/>
      <c r="O64439" s="8"/>
      <c r="P64439" s="8"/>
      <c r="Q64439" s="8"/>
      <c r="R64439" s="103"/>
      <c r="S64439" s="8"/>
      <c r="T64439" s="8"/>
      <c r="U64439" s="8"/>
      <c r="V64439" s="8"/>
      <c r="W64439" s="8"/>
      <c r="X64439" s="8"/>
      <c r="Y64439" s="8"/>
      <c r="Z64439" s="8"/>
      <c r="AA64439" s="8"/>
    </row>
    <row r="64440" spans="1:27" x14ac:dyDescent="0.25">
      <c r="A64440" s="8"/>
      <c r="B64440" s="8"/>
      <c r="C64440" s="99"/>
      <c r="D64440" s="8"/>
      <c r="E64440" s="8"/>
      <c r="F64440" s="8"/>
      <c r="G64440" s="8"/>
      <c r="H64440" s="8"/>
      <c r="I64440" s="102"/>
      <c r="J64440" s="8"/>
      <c r="K64440" s="8"/>
      <c r="L64440" s="8"/>
      <c r="M64440" s="8"/>
      <c r="N64440" s="8"/>
      <c r="O64440" s="8"/>
      <c r="P64440" s="8"/>
      <c r="Q64440" s="8"/>
      <c r="R64440" s="103"/>
      <c r="S64440" s="8"/>
      <c r="T64440" s="8"/>
      <c r="U64440" s="8"/>
      <c r="V64440" s="8"/>
      <c r="W64440" s="8"/>
      <c r="X64440" s="8"/>
      <c r="Y64440" s="8"/>
      <c r="Z64440" s="8"/>
      <c r="AA64440" s="8"/>
    </row>
    <row r="64441" spans="1:27" x14ac:dyDescent="0.25">
      <c r="A64441" s="8"/>
      <c r="B64441" s="8"/>
      <c r="C64441" s="99"/>
      <c r="D64441" s="8"/>
      <c r="E64441" s="8"/>
      <c r="F64441" s="8"/>
      <c r="G64441" s="8"/>
      <c r="H64441" s="8"/>
      <c r="I64441" s="102"/>
      <c r="J64441" s="8"/>
      <c r="K64441" s="8"/>
      <c r="L64441" s="8"/>
      <c r="M64441" s="8"/>
      <c r="N64441" s="8"/>
      <c r="O64441" s="8"/>
      <c r="P64441" s="8"/>
      <c r="Q64441" s="8"/>
      <c r="R64441" s="103"/>
      <c r="S64441" s="8"/>
      <c r="T64441" s="8"/>
      <c r="U64441" s="8"/>
      <c r="V64441" s="8"/>
      <c r="W64441" s="8"/>
      <c r="X64441" s="8"/>
      <c r="Y64441" s="8"/>
      <c r="Z64441" s="8"/>
      <c r="AA64441" s="8"/>
    </row>
    <row r="64442" spans="1:27" x14ac:dyDescent="0.25">
      <c r="A64442" s="8"/>
      <c r="B64442" s="8"/>
      <c r="C64442" s="99"/>
      <c r="D64442" s="8"/>
      <c r="E64442" s="8"/>
      <c r="F64442" s="8"/>
      <c r="G64442" s="8"/>
      <c r="H64442" s="8"/>
      <c r="I64442" s="102"/>
      <c r="J64442" s="8"/>
      <c r="K64442" s="8"/>
      <c r="L64442" s="8"/>
      <c r="M64442" s="8"/>
      <c r="N64442" s="8"/>
      <c r="O64442" s="8"/>
      <c r="P64442" s="8"/>
      <c r="Q64442" s="8"/>
      <c r="R64442" s="103"/>
      <c r="S64442" s="8"/>
      <c r="T64442" s="8"/>
      <c r="U64442" s="8"/>
      <c r="V64442" s="8"/>
      <c r="W64442" s="8"/>
      <c r="X64442" s="8"/>
      <c r="Y64442" s="8"/>
      <c r="Z64442" s="8"/>
      <c r="AA64442" s="8"/>
    </row>
    <row r="64443" spans="1:27" x14ac:dyDescent="0.25">
      <c r="A64443" s="8"/>
      <c r="B64443" s="8"/>
      <c r="C64443" s="99"/>
      <c r="D64443" s="8"/>
      <c r="E64443" s="8"/>
      <c r="F64443" s="8"/>
      <c r="G64443" s="8"/>
      <c r="H64443" s="8"/>
      <c r="I64443" s="102"/>
      <c r="J64443" s="8"/>
      <c r="K64443" s="8"/>
      <c r="L64443" s="8"/>
      <c r="M64443" s="8"/>
      <c r="N64443" s="8"/>
      <c r="O64443" s="8"/>
      <c r="P64443" s="8"/>
      <c r="Q64443" s="8"/>
      <c r="R64443" s="103"/>
      <c r="S64443" s="8"/>
      <c r="T64443" s="8"/>
      <c r="U64443" s="8"/>
      <c r="V64443" s="8"/>
      <c r="W64443" s="8"/>
      <c r="X64443" s="8"/>
      <c r="Y64443" s="8"/>
      <c r="Z64443" s="8"/>
      <c r="AA64443" s="8"/>
    </row>
    <row r="64444" spans="1:27" x14ac:dyDescent="0.25">
      <c r="A64444" s="8"/>
      <c r="B64444" s="8"/>
      <c r="C64444" s="99"/>
      <c r="D64444" s="8"/>
      <c r="E64444" s="8"/>
      <c r="F64444" s="8"/>
      <c r="G64444" s="8"/>
      <c r="H64444" s="8"/>
      <c r="I64444" s="102"/>
      <c r="J64444" s="8"/>
      <c r="K64444" s="8"/>
      <c r="L64444" s="8"/>
      <c r="M64444" s="8"/>
      <c r="N64444" s="8"/>
      <c r="O64444" s="8"/>
      <c r="P64444" s="8"/>
      <c r="Q64444" s="8"/>
      <c r="R64444" s="103"/>
      <c r="S64444" s="8"/>
      <c r="T64444" s="8"/>
      <c r="U64444" s="8"/>
      <c r="V64444" s="8"/>
      <c r="W64444" s="8"/>
      <c r="X64444" s="8"/>
      <c r="Y64444" s="8"/>
      <c r="Z64444" s="8"/>
      <c r="AA64444" s="8"/>
    </row>
    <row r="64445" spans="1:27" x14ac:dyDescent="0.25">
      <c r="A64445" s="8"/>
      <c r="B64445" s="8"/>
      <c r="C64445" s="99"/>
      <c r="D64445" s="8"/>
      <c r="E64445" s="8"/>
      <c r="F64445" s="8"/>
      <c r="G64445" s="8"/>
      <c r="H64445" s="8"/>
      <c r="I64445" s="102"/>
      <c r="J64445" s="8"/>
      <c r="K64445" s="8"/>
      <c r="L64445" s="8"/>
      <c r="M64445" s="8"/>
      <c r="N64445" s="8"/>
      <c r="O64445" s="8"/>
      <c r="P64445" s="8"/>
      <c r="Q64445" s="8"/>
      <c r="R64445" s="103"/>
      <c r="S64445" s="8"/>
      <c r="T64445" s="8"/>
      <c r="U64445" s="8"/>
      <c r="V64445" s="8"/>
      <c r="W64445" s="8"/>
      <c r="X64445" s="8"/>
      <c r="Y64445" s="8"/>
      <c r="Z64445" s="8"/>
      <c r="AA64445" s="8"/>
    </row>
    <row r="64446" spans="1:27" x14ac:dyDescent="0.25">
      <c r="A64446" s="8"/>
      <c r="B64446" s="8"/>
      <c r="C64446" s="99"/>
      <c r="D64446" s="8"/>
      <c r="E64446" s="8"/>
      <c r="F64446" s="8"/>
      <c r="G64446" s="8"/>
      <c r="H64446" s="8"/>
      <c r="I64446" s="102"/>
      <c r="J64446" s="8"/>
      <c r="K64446" s="8"/>
      <c r="L64446" s="8"/>
      <c r="M64446" s="8"/>
      <c r="N64446" s="8"/>
      <c r="O64446" s="8"/>
      <c r="P64446" s="8"/>
      <c r="Q64446" s="8"/>
      <c r="R64446" s="103"/>
      <c r="S64446" s="8"/>
      <c r="T64446" s="8"/>
      <c r="U64446" s="8"/>
      <c r="V64446" s="8"/>
      <c r="W64446" s="8"/>
      <c r="X64446" s="8"/>
      <c r="Y64446" s="8"/>
      <c r="Z64446" s="8"/>
      <c r="AA64446" s="8"/>
    </row>
    <row r="64447" spans="1:27" x14ac:dyDescent="0.25">
      <c r="A64447" s="8"/>
      <c r="B64447" s="8"/>
      <c r="C64447" s="99"/>
      <c r="D64447" s="8"/>
      <c r="E64447" s="8"/>
      <c r="F64447" s="8"/>
      <c r="G64447" s="8"/>
      <c r="H64447" s="8"/>
      <c r="I64447" s="102"/>
      <c r="J64447" s="8"/>
      <c r="K64447" s="8"/>
      <c r="L64447" s="8"/>
      <c r="M64447" s="8"/>
      <c r="N64447" s="8"/>
      <c r="O64447" s="8"/>
      <c r="P64447" s="8"/>
      <c r="Q64447" s="8"/>
      <c r="R64447" s="103"/>
      <c r="S64447" s="8"/>
      <c r="T64447" s="8"/>
      <c r="U64447" s="8"/>
      <c r="V64447" s="8"/>
      <c r="W64447" s="8"/>
      <c r="X64447" s="8"/>
      <c r="Y64447" s="8"/>
      <c r="Z64447" s="8"/>
      <c r="AA64447" s="8"/>
    </row>
    <row r="64448" spans="1:27" x14ac:dyDescent="0.25">
      <c r="A64448" s="8"/>
      <c r="B64448" s="8"/>
      <c r="C64448" s="99"/>
      <c r="D64448" s="8"/>
      <c r="E64448" s="8"/>
      <c r="F64448" s="8"/>
      <c r="G64448" s="8"/>
      <c r="H64448" s="8"/>
      <c r="I64448" s="102"/>
      <c r="J64448" s="8"/>
      <c r="K64448" s="8"/>
      <c r="L64448" s="8"/>
      <c r="M64448" s="8"/>
      <c r="N64448" s="8"/>
      <c r="O64448" s="8"/>
      <c r="P64448" s="8"/>
      <c r="Q64448" s="8"/>
      <c r="R64448" s="103"/>
      <c r="S64448" s="8"/>
      <c r="T64448" s="8"/>
      <c r="U64448" s="8"/>
      <c r="V64448" s="8"/>
      <c r="W64448" s="8"/>
      <c r="X64448" s="8"/>
      <c r="Y64448" s="8"/>
      <c r="Z64448" s="8"/>
      <c r="AA64448" s="8"/>
    </row>
    <row r="64449" spans="1:27" x14ac:dyDescent="0.25">
      <c r="A64449" s="8"/>
      <c r="B64449" s="8"/>
      <c r="C64449" s="99"/>
      <c r="D64449" s="8"/>
      <c r="E64449" s="8"/>
      <c r="F64449" s="8"/>
      <c r="G64449" s="8"/>
      <c r="H64449" s="8"/>
      <c r="I64449" s="102"/>
      <c r="J64449" s="8"/>
      <c r="K64449" s="8"/>
      <c r="L64449" s="8"/>
      <c r="M64449" s="8"/>
      <c r="N64449" s="8"/>
      <c r="O64449" s="8"/>
      <c r="P64449" s="8"/>
      <c r="Q64449" s="8"/>
      <c r="R64449" s="103"/>
      <c r="S64449" s="8"/>
      <c r="T64449" s="8"/>
      <c r="U64449" s="8"/>
      <c r="V64449" s="8"/>
      <c r="W64449" s="8"/>
      <c r="X64449" s="8"/>
      <c r="Y64449" s="8"/>
      <c r="Z64449" s="8"/>
      <c r="AA64449" s="8"/>
    </row>
    <row r="64450" spans="1:27" x14ac:dyDescent="0.25">
      <c r="A64450" s="8"/>
      <c r="B64450" s="8"/>
      <c r="C64450" s="99"/>
      <c r="D64450" s="8"/>
      <c r="E64450" s="8"/>
      <c r="F64450" s="8"/>
      <c r="G64450" s="8"/>
      <c r="H64450" s="8"/>
      <c r="I64450" s="102"/>
      <c r="J64450" s="8"/>
      <c r="K64450" s="8"/>
      <c r="L64450" s="8"/>
      <c r="M64450" s="8"/>
      <c r="N64450" s="8"/>
      <c r="O64450" s="8"/>
      <c r="P64450" s="8"/>
      <c r="Q64450" s="8"/>
      <c r="R64450" s="103"/>
      <c r="S64450" s="8"/>
      <c r="T64450" s="8"/>
      <c r="U64450" s="8"/>
      <c r="V64450" s="8"/>
      <c r="W64450" s="8"/>
      <c r="X64450" s="8"/>
      <c r="Y64450" s="8"/>
      <c r="Z64450" s="8"/>
      <c r="AA64450" s="8"/>
    </row>
    <row r="64451" spans="1:27" x14ac:dyDescent="0.25">
      <c r="A64451" s="8"/>
      <c r="B64451" s="8"/>
      <c r="C64451" s="99"/>
      <c r="D64451" s="8"/>
      <c r="E64451" s="8"/>
      <c r="F64451" s="8"/>
      <c r="G64451" s="8"/>
      <c r="H64451" s="8"/>
      <c r="I64451" s="102"/>
      <c r="J64451" s="8"/>
      <c r="K64451" s="8"/>
      <c r="L64451" s="8"/>
      <c r="M64451" s="8"/>
      <c r="N64451" s="8"/>
      <c r="O64451" s="8"/>
      <c r="P64451" s="8"/>
      <c r="Q64451" s="8"/>
      <c r="R64451" s="103"/>
      <c r="S64451" s="8"/>
      <c r="T64451" s="8"/>
      <c r="U64451" s="8"/>
      <c r="V64451" s="8"/>
      <c r="W64451" s="8"/>
      <c r="X64451" s="8"/>
      <c r="Y64451" s="8"/>
      <c r="Z64451" s="8"/>
      <c r="AA64451" s="8"/>
    </row>
    <row r="64452" spans="1:27" x14ac:dyDescent="0.25">
      <c r="A64452" s="8"/>
      <c r="B64452" s="8"/>
      <c r="C64452" s="99"/>
      <c r="D64452" s="8"/>
      <c r="E64452" s="8"/>
      <c r="F64452" s="8"/>
      <c r="G64452" s="8"/>
      <c r="H64452" s="8"/>
      <c r="I64452" s="102"/>
      <c r="J64452" s="8"/>
      <c r="K64452" s="8"/>
      <c r="L64452" s="8"/>
      <c r="M64452" s="8"/>
      <c r="N64452" s="8"/>
      <c r="O64452" s="8"/>
      <c r="P64452" s="8"/>
      <c r="Q64452" s="8"/>
      <c r="R64452" s="103"/>
      <c r="S64452" s="8"/>
      <c r="T64452" s="8"/>
      <c r="U64452" s="8"/>
      <c r="V64452" s="8"/>
      <c r="W64452" s="8"/>
      <c r="X64452" s="8"/>
      <c r="Y64452" s="8"/>
      <c r="Z64452" s="8"/>
      <c r="AA64452" s="8"/>
    </row>
    <row r="64453" spans="1:27" x14ac:dyDescent="0.25">
      <c r="A64453" s="8"/>
      <c r="B64453" s="8"/>
      <c r="C64453" s="99"/>
      <c r="D64453" s="8"/>
      <c r="E64453" s="8"/>
      <c r="F64453" s="8"/>
      <c r="G64453" s="8"/>
      <c r="H64453" s="8"/>
      <c r="I64453" s="102"/>
      <c r="J64453" s="8"/>
      <c r="K64453" s="8"/>
      <c r="L64453" s="8"/>
      <c r="M64453" s="8"/>
      <c r="N64453" s="8"/>
      <c r="O64453" s="8"/>
      <c r="P64453" s="8"/>
      <c r="Q64453" s="8"/>
      <c r="R64453" s="103"/>
      <c r="S64453" s="8"/>
      <c r="T64453" s="8"/>
      <c r="U64453" s="8"/>
      <c r="V64453" s="8"/>
      <c r="W64453" s="8"/>
      <c r="X64453" s="8"/>
      <c r="Y64453" s="8"/>
      <c r="Z64453" s="8"/>
      <c r="AA64453" s="8"/>
    </row>
    <row r="64454" spans="1:27" x14ac:dyDescent="0.25">
      <c r="A64454" s="8"/>
      <c r="B64454" s="8"/>
      <c r="C64454" s="99"/>
      <c r="D64454" s="8"/>
      <c r="E64454" s="8"/>
      <c r="F64454" s="8"/>
      <c r="G64454" s="8"/>
      <c r="H64454" s="8"/>
      <c r="I64454" s="102"/>
      <c r="J64454" s="8"/>
      <c r="K64454" s="8"/>
      <c r="L64454" s="8"/>
      <c r="M64454" s="8"/>
      <c r="N64454" s="8"/>
      <c r="O64454" s="8"/>
      <c r="P64454" s="8"/>
      <c r="Q64454" s="8"/>
      <c r="R64454" s="103"/>
      <c r="S64454" s="8"/>
      <c r="T64454" s="8"/>
      <c r="U64454" s="8"/>
      <c r="V64454" s="8"/>
      <c r="W64454" s="8"/>
      <c r="X64454" s="8"/>
      <c r="Y64454" s="8"/>
      <c r="Z64454" s="8"/>
      <c r="AA64454" s="8"/>
    </row>
    <row r="64455" spans="1:27" x14ac:dyDescent="0.25">
      <c r="A64455" s="8"/>
      <c r="B64455" s="8"/>
      <c r="C64455" s="99"/>
      <c r="D64455" s="8"/>
      <c r="E64455" s="8"/>
      <c r="F64455" s="8"/>
      <c r="G64455" s="8"/>
      <c r="H64455" s="8"/>
      <c r="I64455" s="102"/>
      <c r="J64455" s="8"/>
      <c r="K64455" s="8"/>
      <c r="L64455" s="8"/>
      <c r="M64455" s="8"/>
      <c r="N64455" s="8"/>
      <c r="O64455" s="8"/>
      <c r="P64455" s="8"/>
      <c r="Q64455" s="8"/>
      <c r="R64455" s="103"/>
      <c r="S64455" s="8"/>
      <c r="T64455" s="8"/>
      <c r="U64455" s="8"/>
      <c r="V64455" s="8"/>
      <c r="W64455" s="8"/>
      <c r="X64455" s="8"/>
      <c r="Y64455" s="8"/>
      <c r="Z64455" s="8"/>
      <c r="AA64455" s="8"/>
    </row>
    <row r="64456" spans="1:27" x14ac:dyDescent="0.25">
      <c r="A64456" s="8"/>
      <c r="B64456" s="8"/>
      <c r="C64456" s="99"/>
      <c r="D64456" s="8"/>
      <c r="E64456" s="8"/>
      <c r="F64456" s="8"/>
      <c r="G64456" s="8"/>
      <c r="H64456" s="8"/>
      <c r="I64456" s="102"/>
      <c r="J64456" s="8"/>
      <c r="K64456" s="8"/>
      <c r="L64456" s="8"/>
      <c r="M64456" s="8"/>
      <c r="N64456" s="8"/>
      <c r="O64456" s="8"/>
      <c r="P64456" s="8"/>
      <c r="Q64456" s="8"/>
      <c r="R64456" s="103"/>
      <c r="S64456" s="8"/>
      <c r="T64456" s="8"/>
      <c r="U64456" s="8"/>
      <c r="V64456" s="8"/>
      <c r="W64456" s="8"/>
      <c r="X64456" s="8"/>
      <c r="Y64456" s="8"/>
      <c r="Z64456" s="8"/>
      <c r="AA64456" s="8"/>
    </row>
    <row r="64457" spans="1:27" x14ac:dyDescent="0.25">
      <c r="A64457" s="8"/>
      <c r="B64457" s="8"/>
      <c r="C64457" s="99"/>
      <c r="D64457" s="8"/>
      <c r="E64457" s="8"/>
      <c r="F64457" s="8"/>
      <c r="G64457" s="8"/>
      <c r="H64457" s="8"/>
      <c r="I64457" s="102"/>
      <c r="J64457" s="8"/>
      <c r="K64457" s="8"/>
      <c r="L64457" s="8"/>
      <c r="M64457" s="8"/>
      <c r="N64457" s="8"/>
      <c r="O64457" s="8"/>
      <c r="P64457" s="8"/>
      <c r="Q64457" s="8"/>
      <c r="R64457" s="103"/>
      <c r="S64457" s="8"/>
      <c r="T64457" s="8"/>
      <c r="U64457" s="8"/>
      <c r="V64457" s="8"/>
      <c r="W64457" s="8"/>
      <c r="X64457" s="8"/>
      <c r="Y64457" s="8"/>
      <c r="Z64457" s="8"/>
      <c r="AA64457" s="8"/>
    </row>
    <row r="64458" spans="1:27" x14ac:dyDescent="0.25">
      <c r="A64458" s="8"/>
      <c r="B64458" s="8"/>
      <c r="C64458" s="99"/>
      <c r="D64458" s="8"/>
      <c r="E64458" s="8"/>
      <c r="F64458" s="8"/>
      <c r="G64458" s="8"/>
      <c r="H64458" s="8"/>
      <c r="I64458" s="102"/>
      <c r="J64458" s="8"/>
      <c r="K64458" s="8"/>
      <c r="L64458" s="8"/>
      <c r="M64458" s="8"/>
      <c r="N64458" s="8"/>
      <c r="O64458" s="8"/>
      <c r="P64458" s="8"/>
      <c r="Q64458" s="8"/>
      <c r="R64458" s="103"/>
      <c r="S64458" s="8"/>
      <c r="T64458" s="8"/>
      <c r="U64458" s="8"/>
      <c r="V64458" s="8"/>
      <c r="W64458" s="8"/>
      <c r="X64458" s="8"/>
      <c r="Y64458" s="8"/>
      <c r="Z64458" s="8"/>
      <c r="AA64458" s="8"/>
    </row>
    <row r="64459" spans="1:27" x14ac:dyDescent="0.25">
      <c r="A64459" s="8"/>
      <c r="B64459" s="8"/>
      <c r="C64459" s="99"/>
      <c r="D64459" s="8"/>
      <c r="E64459" s="8"/>
      <c r="F64459" s="8"/>
      <c r="G64459" s="8"/>
      <c r="H64459" s="8"/>
      <c r="I64459" s="102"/>
      <c r="J64459" s="8"/>
      <c r="K64459" s="8"/>
      <c r="L64459" s="8"/>
      <c r="M64459" s="8"/>
      <c r="N64459" s="8"/>
      <c r="O64459" s="8"/>
      <c r="P64459" s="8"/>
      <c r="Q64459" s="8"/>
      <c r="R64459" s="103"/>
      <c r="S64459" s="8"/>
      <c r="T64459" s="8"/>
      <c r="U64459" s="8"/>
      <c r="V64459" s="8"/>
      <c r="W64459" s="8"/>
      <c r="X64459" s="8"/>
      <c r="Y64459" s="8"/>
      <c r="Z64459" s="8"/>
      <c r="AA64459" s="8"/>
    </row>
    <row r="64460" spans="1:27" x14ac:dyDescent="0.25">
      <c r="A64460" s="8"/>
      <c r="B64460" s="8"/>
      <c r="C64460" s="99"/>
      <c r="D64460" s="8"/>
      <c r="E64460" s="8"/>
      <c r="F64460" s="8"/>
      <c r="G64460" s="8"/>
      <c r="H64460" s="8"/>
      <c r="I64460" s="102"/>
      <c r="J64460" s="8"/>
      <c r="K64460" s="8"/>
      <c r="L64460" s="8"/>
      <c r="M64460" s="8"/>
      <c r="N64460" s="8"/>
      <c r="O64460" s="8"/>
      <c r="P64460" s="8"/>
      <c r="Q64460" s="8"/>
      <c r="R64460" s="103"/>
      <c r="S64460" s="8"/>
      <c r="T64460" s="8"/>
      <c r="U64460" s="8"/>
      <c r="V64460" s="8"/>
      <c r="W64460" s="8"/>
      <c r="X64460" s="8"/>
      <c r="Y64460" s="8"/>
      <c r="Z64460" s="8"/>
      <c r="AA64460" s="8"/>
    </row>
    <row r="64461" spans="1:27" x14ac:dyDescent="0.25">
      <c r="A64461" s="8"/>
      <c r="B64461" s="8"/>
      <c r="C64461" s="99"/>
      <c r="D64461" s="8"/>
      <c r="E64461" s="8"/>
      <c r="F64461" s="8"/>
      <c r="G64461" s="8"/>
      <c r="H64461" s="8"/>
      <c r="I64461" s="102"/>
      <c r="J64461" s="8"/>
      <c r="K64461" s="8"/>
      <c r="L64461" s="8"/>
      <c r="M64461" s="8"/>
      <c r="N64461" s="8"/>
      <c r="O64461" s="8"/>
      <c r="P64461" s="8"/>
      <c r="Q64461" s="8"/>
      <c r="R64461" s="103"/>
      <c r="S64461" s="8"/>
      <c r="T64461" s="8"/>
      <c r="U64461" s="8"/>
      <c r="V64461" s="8"/>
      <c r="W64461" s="8"/>
      <c r="X64461" s="8"/>
      <c r="Y64461" s="8"/>
      <c r="Z64461" s="8"/>
      <c r="AA64461" s="8"/>
    </row>
    <row r="64462" spans="1:27" x14ac:dyDescent="0.25">
      <c r="A64462" s="8"/>
      <c r="B64462" s="8"/>
      <c r="C64462" s="99"/>
      <c r="D64462" s="8"/>
      <c r="E64462" s="8"/>
      <c r="F64462" s="8"/>
      <c r="G64462" s="8"/>
      <c r="H64462" s="8"/>
      <c r="I64462" s="102"/>
      <c r="J64462" s="8"/>
      <c r="K64462" s="8"/>
      <c r="L64462" s="8"/>
      <c r="M64462" s="8"/>
      <c r="N64462" s="8"/>
      <c r="O64462" s="8"/>
      <c r="P64462" s="8"/>
      <c r="Q64462" s="8"/>
      <c r="R64462" s="103"/>
      <c r="S64462" s="8"/>
      <c r="T64462" s="8"/>
      <c r="U64462" s="8"/>
      <c r="V64462" s="8"/>
      <c r="W64462" s="8"/>
      <c r="X64462" s="8"/>
      <c r="Y64462" s="8"/>
      <c r="Z64462" s="8"/>
      <c r="AA64462" s="8"/>
    </row>
    <row r="64463" spans="1:27" x14ac:dyDescent="0.25">
      <c r="A64463" s="8"/>
      <c r="B64463" s="8"/>
      <c r="C64463" s="99"/>
      <c r="D64463" s="8"/>
      <c r="E64463" s="8"/>
      <c r="F64463" s="8"/>
      <c r="G64463" s="8"/>
      <c r="H64463" s="8"/>
      <c r="I64463" s="102"/>
      <c r="J64463" s="8"/>
      <c r="K64463" s="8"/>
      <c r="L64463" s="8"/>
      <c r="M64463" s="8"/>
      <c r="N64463" s="8"/>
      <c r="O64463" s="8"/>
      <c r="P64463" s="8"/>
      <c r="Q64463" s="8"/>
      <c r="R64463" s="103"/>
      <c r="S64463" s="8"/>
      <c r="T64463" s="8"/>
      <c r="U64463" s="8"/>
      <c r="V64463" s="8"/>
      <c r="W64463" s="8"/>
      <c r="X64463" s="8"/>
      <c r="Y64463" s="8"/>
      <c r="Z64463" s="8"/>
      <c r="AA64463" s="8"/>
    </row>
    <row r="64464" spans="1:27" x14ac:dyDescent="0.25">
      <c r="A64464" s="8"/>
      <c r="B64464" s="8"/>
      <c r="C64464" s="99"/>
      <c r="D64464" s="8"/>
      <c r="E64464" s="8"/>
      <c r="F64464" s="8"/>
      <c r="G64464" s="8"/>
      <c r="H64464" s="8"/>
      <c r="I64464" s="102"/>
      <c r="J64464" s="8"/>
      <c r="K64464" s="8"/>
      <c r="L64464" s="8"/>
      <c r="M64464" s="8"/>
      <c r="N64464" s="8"/>
      <c r="O64464" s="8"/>
      <c r="P64464" s="8"/>
      <c r="Q64464" s="8"/>
      <c r="R64464" s="103"/>
      <c r="S64464" s="8"/>
      <c r="T64464" s="8"/>
      <c r="U64464" s="8"/>
      <c r="V64464" s="8"/>
      <c r="W64464" s="8"/>
      <c r="X64464" s="8"/>
      <c r="Y64464" s="8"/>
      <c r="Z64464" s="8"/>
      <c r="AA64464" s="8"/>
    </row>
    <row r="64465" spans="1:27" x14ac:dyDescent="0.25">
      <c r="A64465" s="8"/>
      <c r="B64465" s="8"/>
      <c r="C64465" s="99"/>
      <c r="D64465" s="8"/>
      <c r="E64465" s="8"/>
      <c r="F64465" s="8"/>
      <c r="G64465" s="8"/>
      <c r="H64465" s="8"/>
      <c r="I64465" s="102"/>
      <c r="J64465" s="8"/>
      <c r="K64465" s="8"/>
      <c r="L64465" s="8"/>
      <c r="M64465" s="8"/>
      <c r="N64465" s="8"/>
      <c r="O64465" s="8"/>
      <c r="P64465" s="8"/>
      <c r="Q64465" s="8"/>
      <c r="R64465" s="103"/>
      <c r="S64465" s="8"/>
      <c r="T64465" s="8"/>
      <c r="U64465" s="8"/>
      <c r="V64465" s="8"/>
      <c r="W64465" s="8"/>
      <c r="X64465" s="8"/>
      <c r="Y64465" s="8"/>
      <c r="Z64465" s="8"/>
      <c r="AA64465" s="8"/>
    </row>
    <row r="64466" spans="1:27" x14ac:dyDescent="0.25">
      <c r="A64466" s="8"/>
      <c r="B64466" s="8"/>
      <c r="C64466" s="99"/>
      <c r="D64466" s="8"/>
      <c r="E64466" s="8"/>
      <c r="F64466" s="8"/>
      <c r="G64466" s="8"/>
      <c r="H64466" s="8"/>
      <c r="I64466" s="102"/>
      <c r="J64466" s="8"/>
      <c r="K64466" s="8"/>
      <c r="L64466" s="8"/>
      <c r="M64466" s="8"/>
      <c r="N64466" s="8"/>
      <c r="O64466" s="8"/>
      <c r="P64466" s="8"/>
      <c r="Q64466" s="8"/>
      <c r="R64466" s="103"/>
      <c r="S64466" s="8"/>
      <c r="T64466" s="8"/>
      <c r="U64466" s="8"/>
      <c r="V64466" s="8"/>
      <c r="W64466" s="8"/>
      <c r="X64466" s="8"/>
      <c r="Y64466" s="8"/>
      <c r="Z64466" s="8"/>
      <c r="AA64466" s="8"/>
    </row>
    <row r="64467" spans="1:27" x14ac:dyDescent="0.25">
      <c r="A64467" s="8"/>
      <c r="B64467" s="8"/>
      <c r="C64467" s="99"/>
      <c r="D64467" s="8"/>
      <c r="E64467" s="8"/>
      <c r="F64467" s="8"/>
      <c r="G64467" s="8"/>
      <c r="H64467" s="8"/>
      <c r="I64467" s="102"/>
      <c r="J64467" s="8"/>
      <c r="K64467" s="8"/>
      <c r="L64467" s="8"/>
      <c r="M64467" s="8"/>
      <c r="N64467" s="8"/>
      <c r="O64467" s="8"/>
      <c r="P64467" s="8"/>
      <c r="Q64467" s="8"/>
      <c r="R64467" s="103"/>
      <c r="S64467" s="8"/>
      <c r="T64467" s="8"/>
      <c r="U64467" s="8"/>
      <c r="V64467" s="8"/>
      <c r="W64467" s="8"/>
      <c r="X64467" s="8"/>
      <c r="Y64467" s="8"/>
      <c r="Z64467" s="8"/>
      <c r="AA64467" s="8"/>
    </row>
    <row r="64468" spans="1:27" x14ac:dyDescent="0.25">
      <c r="A64468" s="8"/>
      <c r="B64468" s="8"/>
      <c r="C64468" s="99"/>
      <c r="D64468" s="8"/>
      <c r="E64468" s="8"/>
      <c r="F64468" s="8"/>
      <c r="G64468" s="8"/>
      <c r="H64468" s="8"/>
      <c r="I64468" s="102"/>
      <c r="J64468" s="8"/>
      <c r="K64468" s="8"/>
      <c r="L64468" s="8"/>
      <c r="M64468" s="8"/>
      <c r="N64468" s="8"/>
      <c r="O64468" s="8"/>
      <c r="P64468" s="8"/>
      <c r="Q64468" s="8"/>
      <c r="R64468" s="103"/>
      <c r="S64468" s="8"/>
      <c r="T64468" s="8"/>
      <c r="U64468" s="8"/>
      <c r="V64468" s="8"/>
      <c r="W64468" s="8"/>
      <c r="X64468" s="8"/>
      <c r="Y64468" s="8"/>
      <c r="Z64468" s="8"/>
      <c r="AA64468" s="8"/>
    </row>
    <row r="64469" spans="1:27" x14ac:dyDescent="0.25">
      <c r="A64469" s="8"/>
      <c r="B64469" s="8"/>
      <c r="C64469" s="99"/>
      <c r="D64469" s="8"/>
      <c r="E64469" s="8"/>
      <c r="F64469" s="8"/>
      <c r="G64469" s="8"/>
      <c r="H64469" s="8"/>
      <c r="I64469" s="102"/>
      <c r="J64469" s="8"/>
      <c r="K64469" s="8"/>
      <c r="L64469" s="8"/>
      <c r="M64469" s="8"/>
      <c r="N64469" s="8"/>
      <c r="O64469" s="8"/>
      <c r="P64469" s="8"/>
      <c r="Q64469" s="8"/>
      <c r="R64469" s="103"/>
      <c r="S64469" s="8"/>
      <c r="T64469" s="8"/>
      <c r="U64469" s="8"/>
      <c r="V64469" s="8"/>
      <c r="W64469" s="8"/>
      <c r="X64469" s="8"/>
      <c r="Y64469" s="8"/>
      <c r="Z64469" s="8"/>
      <c r="AA64469" s="8"/>
    </row>
    <row r="64470" spans="1:27" x14ac:dyDescent="0.25">
      <c r="A64470" s="8"/>
      <c r="B64470" s="8"/>
      <c r="C64470" s="99"/>
      <c r="D64470" s="8"/>
      <c r="E64470" s="8"/>
      <c r="F64470" s="8"/>
      <c r="G64470" s="8"/>
      <c r="H64470" s="8"/>
      <c r="I64470" s="102"/>
      <c r="J64470" s="8"/>
      <c r="K64470" s="8"/>
      <c r="L64470" s="8"/>
      <c r="M64470" s="8"/>
      <c r="N64470" s="8"/>
      <c r="O64470" s="8"/>
      <c r="P64470" s="8"/>
      <c r="Q64470" s="8"/>
      <c r="R64470" s="103"/>
      <c r="S64470" s="8"/>
      <c r="T64470" s="8"/>
      <c r="U64470" s="8"/>
      <c r="V64470" s="8"/>
      <c r="W64470" s="8"/>
      <c r="X64470" s="8"/>
      <c r="Y64470" s="8"/>
      <c r="Z64470" s="8"/>
      <c r="AA64470" s="8"/>
    </row>
    <row r="64471" spans="1:27" x14ac:dyDescent="0.25">
      <c r="A64471" s="8"/>
      <c r="B64471" s="8"/>
      <c r="C64471" s="99"/>
      <c r="D64471" s="8"/>
      <c r="E64471" s="8"/>
      <c r="F64471" s="8"/>
      <c r="G64471" s="8"/>
      <c r="H64471" s="8"/>
      <c r="I64471" s="102"/>
      <c r="J64471" s="8"/>
      <c r="K64471" s="8"/>
      <c r="L64471" s="8"/>
      <c r="M64471" s="8"/>
      <c r="N64471" s="8"/>
      <c r="O64471" s="8"/>
      <c r="P64471" s="8"/>
      <c r="Q64471" s="8"/>
      <c r="R64471" s="103"/>
      <c r="S64471" s="8"/>
      <c r="T64471" s="8"/>
      <c r="U64471" s="8"/>
      <c r="V64471" s="8"/>
      <c r="W64471" s="8"/>
      <c r="X64471" s="8"/>
      <c r="Y64471" s="8"/>
      <c r="Z64471" s="8"/>
      <c r="AA64471" s="8"/>
    </row>
    <row r="64472" spans="1:27" x14ac:dyDescent="0.25">
      <c r="A64472" s="8"/>
      <c r="B64472" s="8"/>
      <c r="C64472" s="99"/>
      <c r="D64472" s="8"/>
      <c r="E64472" s="8"/>
      <c r="F64472" s="8"/>
      <c r="G64472" s="8"/>
      <c r="H64472" s="8"/>
      <c r="I64472" s="102"/>
      <c r="J64472" s="8"/>
      <c r="K64472" s="8"/>
      <c r="L64472" s="8"/>
      <c r="M64472" s="8"/>
      <c r="N64472" s="8"/>
      <c r="O64472" s="8"/>
      <c r="P64472" s="8"/>
      <c r="Q64472" s="8"/>
      <c r="R64472" s="103"/>
      <c r="S64472" s="8"/>
      <c r="T64472" s="8"/>
      <c r="U64472" s="8"/>
      <c r="V64472" s="8"/>
      <c r="W64472" s="8"/>
      <c r="X64472" s="8"/>
      <c r="Y64472" s="8"/>
      <c r="Z64472" s="8"/>
      <c r="AA64472" s="8"/>
    </row>
    <row r="64473" spans="1:27" x14ac:dyDescent="0.25">
      <c r="A64473" s="8"/>
      <c r="B64473" s="8"/>
      <c r="C64473" s="99"/>
      <c r="D64473" s="8"/>
      <c r="E64473" s="8"/>
      <c r="F64473" s="8"/>
      <c r="G64473" s="8"/>
      <c r="H64473" s="8"/>
      <c r="I64473" s="102"/>
      <c r="J64473" s="8"/>
      <c r="K64473" s="8"/>
      <c r="L64473" s="8"/>
      <c r="M64473" s="8"/>
      <c r="N64473" s="8"/>
      <c r="O64473" s="8"/>
      <c r="P64473" s="8"/>
      <c r="Q64473" s="8"/>
      <c r="R64473" s="103"/>
      <c r="S64473" s="8"/>
      <c r="T64473" s="8"/>
      <c r="U64473" s="8"/>
      <c r="V64473" s="8"/>
      <c r="W64473" s="8"/>
      <c r="X64473" s="8"/>
      <c r="Y64473" s="8"/>
      <c r="Z64473" s="8"/>
      <c r="AA64473" s="8"/>
    </row>
    <row r="64474" spans="1:27" x14ac:dyDescent="0.25">
      <c r="A64474" s="8"/>
      <c r="B64474" s="8"/>
      <c r="C64474" s="99"/>
      <c r="D64474" s="8"/>
      <c r="E64474" s="8"/>
      <c r="F64474" s="8"/>
      <c r="G64474" s="8"/>
      <c r="H64474" s="8"/>
      <c r="I64474" s="102"/>
      <c r="J64474" s="8"/>
      <c r="K64474" s="8"/>
      <c r="L64474" s="8"/>
      <c r="M64474" s="8"/>
      <c r="N64474" s="8"/>
      <c r="O64474" s="8"/>
      <c r="P64474" s="8"/>
      <c r="Q64474" s="8"/>
      <c r="R64474" s="103"/>
      <c r="S64474" s="8"/>
      <c r="T64474" s="8"/>
      <c r="U64474" s="8"/>
      <c r="V64474" s="8"/>
      <c r="W64474" s="8"/>
      <c r="X64474" s="8"/>
      <c r="Y64474" s="8"/>
      <c r="Z64474" s="8"/>
      <c r="AA64474" s="8"/>
    </row>
    <row r="64475" spans="1:27" x14ac:dyDescent="0.25">
      <c r="A64475" s="8"/>
      <c r="B64475" s="8"/>
      <c r="C64475" s="99"/>
      <c r="D64475" s="8"/>
      <c r="E64475" s="8"/>
      <c r="F64475" s="8"/>
      <c r="G64475" s="8"/>
      <c r="H64475" s="8"/>
      <c r="I64475" s="102"/>
      <c r="J64475" s="8"/>
      <c r="K64475" s="8"/>
      <c r="L64475" s="8"/>
      <c r="M64475" s="8"/>
      <c r="N64475" s="8"/>
      <c r="O64475" s="8"/>
      <c r="P64475" s="8"/>
      <c r="Q64475" s="8"/>
      <c r="R64475" s="103"/>
      <c r="S64475" s="8"/>
      <c r="T64475" s="8"/>
      <c r="U64475" s="8"/>
      <c r="V64475" s="8"/>
      <c r="W64475" s="8"/>
      <c r="X64475" s="8"/>
      <c r="Y64475" s="8"/>
      <c r="Z64475" s="8"/>
      <c r="AA64475" s="8"/>
    </row>
    <row r="64476" spans="1:27" x14ac:dyDescent="0.25">
      <c r="A64476" s="8"/>
      <c r="B64476" s="8"/>
      <c r="C64476" s="99"/>
      <c r="D64476" s="8"/>
      <c r="E64476" s="8"/>
      <c r="F64476" s="8"/>
      <c r="G64476" s="8"/>
      <c r="H64476" s="8"/>
      <c r="I64476" s="102"/>
      <c r="J64476" s="8"/>
      <c r="K64476" s="8"/>
      <c r="L64476" s="8"/>
      <c r="M64476" s="8"/>
      <c r="N64476" s="8"/>
      <c r="O64476" s="8"/>
      <c r="P64476" s="8"/>
      <c r="Q64476" s="8"/>
      <c r="R64476" s="103"/>
      <c r="S64476" s="8"/>
      <c r="T64476" s="8"/>
      <c r="U64476" s="8"/>
      <c r="V64476" s="8"/>
      <c r="W64476" s="8"/>
      <c r="X64476" s="8"/>
      <c r="Y64476" s="8"/>
      <c r="Z64476" s="8"/>
      <c r="AA64476" s="8"/>
    </row>
    <row r="64477" spans="1:27" x14ac:dyDescent="0.25">
      <c r="A64477" s="8"/>
      <c r="B64477" s="8"/>
      <c r="C64477" s="99"/>
      <c r="D64477" s="8"/>
      <c r="E64477" s="8"/>
      <c r="F64477" s="8"/>
      <c r="G64477" s="8"/>
      <c r="H64477" s="8"/>
      <c r="I64477" s="102"/>
      <c r="J64477" s="8"/>
      <c r="K64477" s="8"/>
      <c r="L64477" s="8"/>
      <c r="M64477" s="8"/>
      <c r="N64477" s="8"/>
      <c r="O64477" s="8"/>
      <c r="P64477" s="8"/>
      <c r="Q64477" s="8"/>
      <c r="R64477" s="103"/>
      <c r="S64477" s="8"/>
      <c r="T64477" s="8"/>
      <c r="U64477" s="8"/>
      <c r="V64477" s="8"/>
      <c r="W64477" s="8"/>
      <c r="X64477" s="8"/>
      <c r="Y64477" s="8"/>
      <c r="Z64477" s="8"/>
      <c r="AA64477" s="8"/>
    </row>
    <row r="64478" spans="1:27" x14ac:dyDescent="0.25">
      <c r="A64478" s="8"/>
      <c r="B64478" s="8"/>
      <c r="C64478" s="99"/>
      <c r="D64478" s="8"/>
      <c r="E64478" s="8"/>
      <c r="F64478" s="8"/>
      <c r="G64478" s="8"/>
      <c r="H64478" s="8"/>
      <c r="I64478" s="102"/>
      <c r="J64478" s="8"/>
      <c r="K64478" s="8"/>
      <c r="L64478" s="8"/>
      <c r="M64478" s="8"/>
      <c r="N64478" s="8"/>
      <c r="O64478" s="8"/>
      <c r="P64478" s="8"/>
      <c r="Q64478" s="8"/>
      <c r="R64478" s="103"/>
      <c r="S64478" s="8"/>
      <c r="T64478" s="8"/>
      <c r="U64478" s="8"/>
      <c r="V64478" s="8"/>
      <c r="W64478" s="8"/>
      <c r="X64478" s="8"/>
      <c r="Y64478" s="8"/>
      <c r="Z64478" s="8"/>
      <c r="AA64478" s="8"/>
    </row>
    <row r="64479" spans="1:27" x14ac:dyDescent="0.25">
      <c r="A64479" s="8"/>
      <c r="B64479" s="8"/>
      <c r="C64479" s="99"/>
      <c r="D64479" s="8"/>
      <c r="E64479" s="8"/>
      <c r="F64479" s="8"/>
      <c r="G64479" s="8"/>
      <c r="H64479" s="8"/>
      <c r="I64479" s="102"/>
      <c r="J64479" s="8"/>
      <c r="K64479" s="8"/>
      <c r="L64479" s="8"/>
      <c r="M64479" s="8"/>
      <c r="N64479" s="8"/>
      <c r="O64479" s="8"/>
      <c r="P64479" s="8"/>
      <c r="Q64479" s="8"/>
      <c r="R64479" s="103"/>
      <c r="S64479" s="8"/>
      <c r="T64479" s="8"/>
      <c r="U64479" s="8"/>
      <c r="V64479" s="8"/>
      <c r="W64479" s="8"/>
      <c r="X64479" s="8"/>
      <c r="Y64479" s="8"/>
      <c r="Z64479" s="8"/>
      <c r="AA64479" s="8"/>
    </row>
    <row r="64480" spans="1:27" x14ac:dyDescent="0.25">
      <c r="A64480" s="8"/>
      <c r="B64480" s="8"/>
      <c r="C64480" s="99"/>
      <c r="D64480" s="8"/>
      <c r="E64480" s="8"/>
      <c r="F64480" s="8"/>
      <c r="G64480" s="8"/>
      <c r="H64480" s="8"/>
      <c r="I64480" s="102"/>
      <c r="J64480" s="8"/>
      <c r="K64480" s="8"/>
      <c r="L64480" s="8"/>
      <c r="M64480" s="8"/>
      <c r="N64480" s="8"/>
      <c r="O64480" s="8"/>
      <c r="P64480" s="8"/>
      <c r="Q64480" s="8"/>
      <c r="R64480" s="103"/>
      <c r="S64480" s="8"/>
      <c r="T64480" s="8"/>
      <c r="U64480" s="8"/>
      <c r="V64480" s="8"/>
      <c r="W64480" s="8"/>
      <c r="X64480" s="8"/>
      <c r="Y64480" s="8"/>
      <c r="Z64480" s="8"/>
      <c r="AA64480" s="8"/>
    </row>
    <row r="64481" spans="1:27" x14ac:dyDescent="0.25">
      <c r="A64481" s="8"/>
      <c r="B64481" s="8"/>
      <c r="C64481" s="99"/>
      <c r="D64481" s="8"/>
      <c r="E64481" s="8"/>
      <c r="F64481" s="8"/>
      <c r="G64481" s="8"/>
      <c r="H64481" s="8"/>
      <c r="I64481" s="102"/>
      <c r="J64481" s="8"/>
      <c r="K64481" s="8"/>
      <c r="L64481" s="8"/>
      <c r="M64481" s="8"/>
      <c r="N64481" s="8"/>
      <c r="O64481" s="8"/>
      <c r="P64481" s="8"/>
      <c r="Q64481" s="8"/>
      <c r="R64481" s="103"/>
      <c r="S64481" s="8"/>
      <c r="T64481" s="8"/>
      <c r="U64481" s="8"/>
      <c r="V64481" s="8"/>
      <c r="W64481" s="8"/>
      <c r="X64481" s="8"/>
      <c r="Y64481" s="8"/>
      <c r="Z64481" s="8"/>
      <c r="AA64481" s="8"/>
    </row>
    <row r="64482" spans="1:27" x14ac:dyDescent="0.25">
      <c r="A64482" s="8"/>
      <c r="B64482" s="8"/>
      <c r="C64482" s="99"/>
      <c r="D64482" s="8"/>
      <c r="E64482" s="8"/>
      <c r="F64482" s="8"/>
      <c r="G64482" s="8"/>
      <c r="H64482" s="8"/>
      <c r="I64482" s="102"/>
      <c r="J64482" s="8"/>
      <c r="K64482" s="8"/>
      <c r="L64482" s="8"/>
      <c r="M64482" s="8"/>
      <c r="N64482" s="8"/>
      <c r="O64482" s="8"/>
      <c r="P64482" s="8"/>
      <c r="Q64482" s="8"/>
      <c r="R64482" s="103"/>
      <c r="S64482" s="8"/>
      <c r="T64482" s="8"/>
      <c r="U64482" s="8"/>
      <c r="V64482" s="8"/>
      <c r="W64482" s="8"/>
      <c r="X64482" s="8"/>
      <c r="Y64482" s="8"/>
      <c r="Z64482" s="8"/>
      <c r="AA64482" s="8"/>
    </row>
    <row r="64483" spans="1:27" x14ac:dyDescent="0.25">
      <c r="A64483" s="8"/>
      <c r="B64483" s="8"/>
      <c r="C64483" s="99"/>
      <c r="D64483" s="8"/>
      <c r="E64483" s="8"/>
      <c r="F64483" s="8"/>
      <c r="G64483" s="8"/>
      <c r="H64483" s="8"/>
      <c r="I64483" s="102"/>
      <c r="J64483" s="8"/>
      <c r="K64483" s="8"/>
      <c r="L64483" s="8"/>
      <c r="M64483" s="8"/>
      <c r="N64483" s="8"/>
      <c r="O64483" s="8"/>
      <c r="P64483" s="8"/>
      <c r="Q64483" s="8"/>
      <c r="R64483" s="103"/>
      <c r="S64483" s="8"/>
      <c r="T64483" s="8"/>
      <c r="U64483" s="8"/>
      <c r="V64483" s="8"/>
      <c r="W64483" s="8"/>
      <c r="X64483" s="8"/>
      <c r="Y64483" s="8"/>
      <c r="Z64483" s="8"/>
      <c r="AA64483" s="8"/>
    </row>
    <row r="64484" spans="1:27" x14ac:dyDescent="0.25">
      <c r="A64484" s="8"/>
      <c r="B64484" s="8"/>
      <c r="C64484" s="99"/>
      <c r="D64484" s="8"/>
      <c r="E64484" s="8"/>
      <c r="F64484" s="8"/>
      <c r="G64484" s="8"/>
      <c r="H64484" s="8"/>
      <c r="I64484" s="102"/>
      <c r="J64484" s="8"/>
      <c r="K64484" s="8"/>
      <c r="L64484" s="8"/>
      <c r="M64484" s="8"/>
      <c r="N64484" s="8"/>
      <c r="O64484" s="8"/>
      <c r="P64484" s="8"/>
      <c r="Q64484" s="8"/>
      <c r="R64484" s="103"/>
      <c r="S64484" s="8"/>
      <c r="T64484" s="8"/>
      <c r="U64484" s="8"/>
      <c r="V64484" s="8"/>
      <c r="W64484" s="8"/>
      <c r="X64484" s="8"/>
      <c r="Y64484" s="8"/>
      <c r="Z64484" s="8"/>
      <c r="AA64484" s="8"/>
    </row>
    <row r="64485" spans="1:27" x14ac:dyDescent="0.25">
      <c r="A64485" s="8"/>
      <c r="B64485" s="8"/>
      <c r="C64485" s="99"/>
      <c r="D64485" s="8"/>
      <c r="E64485" s="8"/>
      <c r="F64485" s="8"/>
      <c r="G64485" s="8"/>
      <c r="H64485" s="8"/>
      <c r="I64485" s="102"/>
      <c r="J64485" s="8"/>
      <c r="K64485" s="8"/>
      <c r="L64485" s="8"/>
      <c r="M64485" s="8"/>
      <c r="N64485" s="8"/>
      <c r="O64485" s="8"/>
      <c r="P64485" s="8"/>
      <c r="Q64485" s="8"/>
      <c r="R64485" s="103"/>
      <c r="S64485" s="8"/>
      <c r="T64485" s="8"/>
      <c r="U64485" s="8"/>
      <c r="V64485" s="8"/>
      <c r="W64485" s="8"/>
      <c r="X64485" s="8"/>
      <c r="Y64485" s="8"/>
      <c r="Z64485" s="8"/>
      <c r="AA64485" s="8"/>
    </row>
    <row r="64486" spans="1:27" x14ac:dyDescent="0.25">
      <c r="A64486" s="8"/>
      <c r="B64486" s="8"/>
      <c r="C64486" s="99"/>
      <c r="D64486" s="8"/>
      <c r="E64486" s="8"/>
      <c r="F64486" s="8"/>
      <c r="G64486" s="8"/>
      <c r="H64486" s="8"/>
      <c r="I64486" s="102"/>
      <c r="J64486" s="8"/>
      <c r="K64486" s="8"/>
      <c r="L64486" s="8"/>
      <c r="M64486" s="8"/>
      <c r="N64486" s="8"/>
      <c r="O64486" s="8"/>
      <c r="P64486" s="8"/>
      <c r="Q64486" s="8"/>
      <c r="R64486" s="103"/>
      <c r="S64486" s="8"/>
      <c r="T64486" s="8"/>
      <c r="U64486" s="8"/>
      <c r="V64486" s="8"/>
      <c r="W64486" s="8"/>
      <c r="X64486" s="8"/>
      <c r="Y64486" s="8"/>
      <c r="Z64486" s="8"/>
      <c r="AA64486" s="8"/>
    </row>
    <row r="64487" spans="1:27" x14ac:dyDescent="0.25">
      <c r="A64487" s="8"/>
      <c r="B64487" s="8"/>
      <c r="C64487" s="99"/>
      <c r="D64487" s="8"/>
      <c r="E64487" s="8"/>
      <c r="F64487" s="8"/>
      <c r="G64487" s="8"/>
      <c r="H64487" s="8"/>
      <c r="I64487" s="102"/>
      <c r="J64487" s="8"/>
      <c r="K64487" s="8"/>
      <c r="L64487" s="8"/>
      <c r="M64487" s="8"/>
      <c r="N64487" s="8"/>
      <c r="O64487" s="8"/>
      <c r="P64487" s="8"/>
      <c r="Q64487" s="8"/>
      <c r="R64487" s="103"/>
      <c r="S64487" s="8"/>
      <c r="T64487" s="8"/>
      <c r="U64487" s="8"/>
      <c r="V64487" s="8"/>
      <c r="W64487" s="8"/>
      <c r="X64487" s="8"/>
      <c r="Y64487" s="8"/>
      <c r="Z64487" s="8"/>
      <c r="AA64487" s="8"/>
    </row>
    <row r="64488" spans="1:27" x14ac:dyDescent="0.25">
      <c r="A64488" s="8"/>
      <c r="B64488" s="8"/>
      <c r="C64488" s="99"/>
      <c r="D64488" s="8"/>
      <c r="E64488" s="8"/>
      <c r="F64488" s="8"/>
      <c r="G64488" s="8"/>
      <c r="H64488" s="8"/>
      <c r="I64488" s="102"/>
      <c r="J64488" s="8"/>
      <c r="K64488" s="8"/>
      <c r="L64488" s="8"/>
      <c r="M64488" s="8"/>
      <c r="N64488" s="8"/>
      <c r="O64488" s="8"/>
      <c r="P64488" s="8"/>
      <c r="Q64488" s="8"/>
      <c r="R64488" s="103"/>
      <c r="S64488" s="8"/>
      <c r="T64488" s="8"/>
      <c r="U64488" s="8"/>
      <c r="V64488" s="8"/>
      <c r="W64488" s="8"/>
      <c r="X64488" s="8"/>
      <c r="Y64488" s="8"/>
      <c r="Z64488" s="8"/>
      <c r="AA64488" s="8"/>
    </row>
    <row r="64489" spans="1:27" x14ac:dyDescent="0.25">
      <c r="A64489" s="8"/>
      <c r="B64489" s="8"/>
      <c r="C64489" s="99"/>
      <c r="D64489" s="8"/>
      <c r="E64489" s="8"/>
      <c r="F64489" s="8"/>
      <c r="G64489" s="8"/>
      <c r="H64489" s="8"/>
      <c r="I64489" s="102"/>
      <c r="J64489" s="8"/>
      <c r="K64489" s="8"/>
      <c r="L64489" s="8"/>
      <c r="M64489" s="8"/>
      <c r="N64489" s="8"/>
      <c r="O64489" s="8"/>
      <c r="P64489" s="8"/>
      <c r="Q64489" s="8"/>
      <c r="R64489" s="103"/>
      <c r="S64489" s="8"/>
      <c r="T64489" s="8"/>
      <c r="U64489" s="8"/>
      <c r="V64489" s="8"/>
      <c r="W64489" s="8"/>
      <c r="X64489" s="8"/>
      <c r="Y64489" s="8"/>
      <c r="Z64489" s="8"/>
      <c r="AA64489" s="8"/>
    </row>
    <row r="64490" spans="1:27" x14ac:dyDescent="0.25">
      <c r="A64490" s="8"/>
      <c r="B64490" s="8"/>
      <c r="C64490" s="99"/>
      <c r="D64490" s="8"/>
      <c r="E64490" s="8"/>
      <c r="F64490" s="8"/>
      <c r="G64490" s="8"/>
      <c r="H64490" s="8"/>
      <c r="I64490" s="102"/>
      <c r="J64490" s="8"/>
      <c r="K64490" s="8"/>
      <c r="L64490" s="8"/>
      <c r="M64490" s="8"/>
      <c r="N64490" s="8"/>
      <c r="O64490" s="8"/>
      <c r="P64490" s="8"/>
      <c r="Q64490" s="8"/>
      <c r="R64490" s="103"/>
      <c r="S64490" s="8"/>
      <c r="T64490" s="8"/>
      <c r="U64490" s="8"/>
      <c r="V64490" s="8"/>
      <c r="W64490" s="8"/>
      <c r="X64490" s="8"/>
      <c r="Y64490" s="8"/>
      <c r="Z64490" s="8"/>
      <c r="AA64490" s="8"/>
    </row>
    <row r="64491" spans="1:27" x14ac:dyDescent="0.25">
      <c r="A64491" s="8"/>
      <c r="B64491" s="8"/>
      <c r="C64491" s="99"/>
      <c r="D64491" s="8"/>
      <c r="E64491" s="8"/>
      <c r="F64491" s="8"/>
      <c r="G64491" s="8"/>
      <c r="H64491" s="8"/>
      <c r="I64491" s="102"/>
      <c r="J64491" s="8"/>
      <c r="K64491" s="8"/>
      <c r="L64491" s="8"/>
      <c r="M64491" s="8"/>
      <c r="N64491" s="8"/>
      <c r="O64491" s="8"/>
      <c r="P64491" s="8"/>
      <c r="Q64491" s="8"/>
      <c r="R64491" s="103"/>
      <c r="S64491" s="8"/>
      <c r="T64491" s="8"/>
      <c r="U64491" s="8"/>
      <c r="V64491" s="8"/>
      <c r="W64491" s="8"/>
      <c r="X64491" s="8"/>
      <c r="Y64491" s="8"/>
      <c r="Z64491" s="8"/>
      <c r="AA64491" s="8"/>
    </row>
    <row r="64492" spans="1:27" x14ac:dyDescent="0.25">
      <c r="A64492" s="8"/>
      <c r="B64492" s="8"/>
      <c r="C64492" s="99"/>
      <c r="D64492" s="8"/>
      <c r="E64492" s="8"/>
      <c r="F64492" s="8"/>
      <c r="G64492" s="8"/>
      <c r="H64492" s="8"/>
      <c r="I64492" s="102"/>
      <c r="J64492" s="8"/>
      <c r="K64492" s="8"/>
      <c r="L64492" s="8"/>
      <c r="M64492" s="8"/>
      <c r="N64492" s="8"/>
      <c r="O64492" s="8"/>
      <c r="P64492" s="8"/>
      <c r="Q64492" s="8"/>
      <c r="R64492" s="103"/>
      <c r="S64492" s="8"/>
      <c r="T64492" s="8"/>
      <c r="U64492" s="8"/>
      <c r="V64492" s="8"/>
      <c r="W64492" s="8"/>
      <c r="X64492" s="8"/>
      <c r="Y64492" s="8"/>
      <c r="Z64492" s="8"/>
      <c r="AA64492" s="8"/>
    </row>
    <row r="64493" spans="1:27" x14ac:dyDescent="0.25">
      <c r="A64493" s="8"/>
      <c r="B64493" s="8"/>
      <c r="C64493" s="99"/>
      <c r="D64493" s="8"/>
      <c r="E64493" s="8"/>
      <c r="F64493" s="8"/>
      <c r="G64493" s="8"/>
      <c r="H64493" s="8"/>
      <c r="I64493" s="102"/>
      <c r="J64493" s="8"/>
      <c r="K64493" s="8"/>
      <c r="L64493" s="8"/>
      <c r="M64493" s="8"/>
      <c r="N64493" s="8"/>
      <c r="O64493" s="8"/>
      <c r="P64493" s="8"/>
      <c r="Q64493" s="8"/>
      <c r="R64493" s="103"/>
      <c r="S64493" s="8"/>
      <c r="T64493" s="8"/>
      <c r="U64493" s="8"/>
      <c r="V64493" s="8"/>
      <c r="W64493" s="8"/>
      <c r="X64493" s="8"/>
      <c r="Y64493" s="8"/>
      <c r="Z64493" s="8"/>
      <c r="AA64493" s="8"/>
    </row>
    <row r="64494" spans="1:27" x14ac:dyDescent="0.25">
      <c r="A64494" s="8"/>
      <c r="B64494" s="8"/>
      <c r="C64494" s="99"/>
      <c r="D64494" s="8"/>
      <c r="E64494" s="8"/>
      <c r="F64494" s="8"/>
      <c r="G64494" s="8"/>
      <c r="H64494" s="8"/>
      <c r="I64494" s="102"/>
      <c r="J64494" s="8"/>
      <c r="K64494" s="8"/>
      <c r="L64494" s="8"/>
      <c r="M64494" s="8"/>
      <c r="N64494" s="8"/>
      <c r="O64494" s="8"/>
      <c r="P64494" s="8"/>
      <c r="Q64494" s="8"/>
      <c r="R64494" s="103"/>
      <c r="S64494" s="8"/>
      <c r="T64494" s="8"/>
      <c r="U64494" s="8"/>
      <c r="V64494" s="8"/>
      <c r="W64494" s="8"/>
      <c r="X64494" s="8"/>
      <c r="Y64494" s="8"/>
      <c r="Z64494" s="8"/>
      <c r="AA64494" s="8"/>
    </row>
    <row r="64495" spans="1:27" x14ac:dyDescent="0.25">
      <c r="A64495" s="8"/>
      <c r="B64495" s="8"/>
      <c r="C64495" s="99"/>
      <c r="D64495" s="8"/>
      <c r="E64495" s="8"/>
      <c r="F64495" s="8"/>
      <c r="G64495" s="8"/>
      <c r="H64495" s="8"/>
      <c r="I64495" s="102"/>
      <c r="J64495" s="8"/>
      <c r="K64495" s="8"/>
      <c r="L64495" s="8"/>
      <c r="M64495" s="8"/>
      <c r="N64495" s="8"/>
      <c r="O64495" s="8"/>
      <c r="P64495" s="8"/>
      <c r="Q64495" s="8"/>
      <c r="R64495" s="103"/>
      <c r="S64495" s="8"/>
      <c r="T64495" s="8"/>
      <c r="U64495" s="8"/>
      <c r="V64495" s="8"/>
      <c r="W64495" s="8"/>
      <c r="X64495" s="8"/>
      <c r="Y64495" s="8"/>
      <c r="Z64495" s="8"/>
      <c r="AA64495" s="8"/>
    </row>
    <row r="64496" spans="1:27" x14ac:dyDescent="0.25">
      <c r="A64496" s="8"/>
      <c r="B64496" s="8"/>
      <c r="C64496" s="99"/>
      <c r="D64496" s="8"/>
      <c r="E64496" s="8"/>
      <c r="F64496" s="8"/>
      <c r="G64496" s="8"/>
      <c r="H64496" s="8"/>
      <c r="I64496" s="102"/>
      <c r="J64496" s="8"/>
      <c r="K64496" s="8"/>
      <c r="L64496" s="8"/>
      <c r="M64496" s="8"/>
      <c r="N64496" s="8"/>
      <c r="O64496" s="8"/>
      <c r="P64496" s="8"/>
      <c r="Q64496" s="8"/>
      <c r="R64496" s="103"/>
      <c r="S64496" s="8"/>
      <c r="T64496" s="8"/>
      <c r="U64496" s="8"/>
      <c r="V64496" s="8"/>
      <c r="W64496" s="8"/>
      <c r="X64496" s="8"/>
      <c r="Y64496" s="8"/>
      <c r="Z64496" s="8"/>
      <c r="AA64496" s="8"/>
    </row>
    <row r="64497" spans="1:27" x14ac:dyDescent="0.25">
      <c r="A64497" s="8"/>
      <c r="B64497" s="8"/>
      <c r="C64497" s="99"/>
      <c r="D64497" s="8"/>
      <c r="E64497" s="8"/>
      <c r="F64497" s="8"/>
      <c r="G64497" s="8"/>
      <c r="H64497" s="8"/>
      <c r="I64497" s="102"/>
      <c r="J64497" s="8"/>
      <c r="K64497" s="8"/>
      <c r="L64497" s="8"/>
      <c r="M64497" s="8"/>
      <c r="N64497" s="8"/>
      <c r="O64497" s="8"/>
      <c r="P64497" s="8"/>
      <c r="Q64497" s="8"/>
      <c r="R64497" s="103"/>
      <c r="S64497" s="8"/>
      <c r="T64497" s="8"/>
      <c r="U64497" s="8"/>
      <c r="V64497" s="8"/>
      <c r="W64497" s="8"/>
      <c r="X64497" s="8"/>
      <c r="Y64497" s="8"/>
      <c r="Z64497" s="8"/>
      <c r="AA64497" s="8"/>
    </row>
    <row r="64498" spans="1:27" x14ac:dyDescent="0.25">
      <c r="A64498" s="8"/>
      <c r="B64498" s="8"/>
      <c r="C64498" s="99"/>
      <c r="D64498" s="8"/>
      <c r="E64498" s="8"/>
      <c r="F64498" s="8"/>
      <c r="G64498" s="8"/>
      <c r="H64498" s="8"/>
      <c r="I64498" s="102"/>
      <c r="J64498" s="8"/>
      <c r="K64498" s="8"/>
      <c r="L64498" s="8"/>
      <c r="M64498" s="8"/>
      <c r="N64498" s="8"/>
      <c r="O64498" s="8"/>
      <c r="P64498" s="8"/>
      <c r="Q64498" s="8"/>
      <c r="R64498" s="103"/>
      <c r="S64498" s="8"/>
      <c r="T64498" s="8"/>
      <c r="U64498" s="8"/>
      <c r="V64498" s="8"/>
      <c r="W64498" s="8"/>
      <c r="X64498" s="8"/>
      <c r="Y64498" s="8"/>
      <c r="Z64498" s="8"/>
      <c r="AA64498" s="8"/>
    </row>
    <row r="64499" spans="1:27" x14ac:dyDescent="0.25">
      <c r="A64499" s="8"/>
      <c r="B64499" s="8"/>
      <c r="C64499" s="99"/>
      <c r="D64499" s="8"/>
      <c r="E64499" s="8"/>
      <c r="F64499" s="8"/>
      <c r="G64499" s="8"/>
      <c r="H64499" s="8"/>
      <c r="I64499" s="102"/>
      <c r="J64499" s="8"/>
      <c r="K64499" s="8"/>
      <c r="L64499" s="8"/>
      <c r="M64499" s="8"/>
      <c r="N64499" s="8"/>
      <c r="O64499" s="8"/>
      <c r="P64499" s="8"/>
      <c r="Q64499" s="8"/>
      <c r="R64499" s="103"/>
      <c r="S64499" s="8"/>
      <c r="T64499" s="8"/>
      <c r="U64499" s="8"/>
      <c r="V64499" s="8"/>
      <c r="W64499" s="8"/>
      <c r="X64499" s="8"/>
      <c r="Y64499" s="8"/>
      <c r="Z64499" s="8"/>
      <c r="AA64499" s="8"/>
    </row>
    <row r="64500" spans="1:27" x14ac:dyDescent="0.25">
      <c r="A64500" s="8"/>
      <c r="B64500" s="8"/>
      <c r="C64500" s="99"/>
      <c r="D64500" s="8"/>
      <c r="E64500" s="8"/>
      <c r="F64500" s="8"/>
      <c r="G64500" s="8"/>
      <c r="H64500" s="8"/>
      <c r="I64500" s="102"/>
      <c r="J64500" s="8"/>
      <c r="K64500" s="8"/>
      <c r="L64500" s="8"/>
      <c r="M64500" s="8"/>
      <c r="N64500" s="8"/>
      <c r="O64500" s="8"/>
      <c r="P64500" s="8"/>
      <c r="Q64500" s="8"/>
      <c r="R64500" s="103"/>
      <c r="S64500" s="8"/>
      <c r="T64500" s="8"/>
      <c r="U64500" s="8"/>
      <c r="V64500" s="8"/>
      <c r="W64500" s="8"/>
      <c r="X64500" s="8"/>
      <c r="Y64500" s="8"/>
      <c r="Z64500" s="8"/>
      <c r="AA64500" s="8"/>
    </row>
    <row r="64501" spans="1:27" x14ac:dyDescent="0.25">
      <c r="A64501" s="8"/>
      <c r="B64501" s="8"/>
      <c r="C64501" s="99"/>
      <c r="D64501" s="8"/>
      <c r="E64501" s="8"/>
      <c r="F64501" s="8"/>
      <c r="G64501" s="8"/>
      <c r="H64501" s="8"/>
      <c r="I64501" s="102"/>
      <c r="J64501" s="8"/>
      <c r="K64501" s="8"/>
      <c r="L64501" s="8"/>
      <c r="M64501" s="8"/>
      <c r="N64501" s="8"/>
      <c r="O64501" s="8"/>
      <c r="P64501" s="8"/>
      <c r="Q64501" s="8"/>
      <c r="R64501" s="103"/>
      <c r="S64501" s="8"/>
      <c r="T64501" s="8"/>
      <c r="U64501" s="8"/>
      <c r="V64501" s="8"/>
      <c r="W64501" s="8"/>
      <c r="X64501" s="8"/>
      <c r="Y64501" s="8"/>
      <c r="Z64501" s="8"/>
      <c r="AA64501" s="8"/>
    </row>
    <row r="64502" spans="1:27" x14ac:dyDescent="0.25">
      <c r="A64502" s="8"/>
      <c r="B64502" s="8"/>
      <c r="C64502" s="99"/>
      <c r="D64502" s="8"/>
      <c r="E64502" s="8"/>
      <c r="F64502" s="8"/>
      <c r="G64502" s="8"/>
      <c r="H64502" s="8"/>
      <c r="I64502" s="102"/>
      <c r="J64502" s="8"/>
      <c r="K64502" s="8"/>
      <c r="L64502" s="8"/>
      <c r="M64502" s="8"/>
      <c r="N64502" s="8"/>
      <c r="O64502" s="8"/>
      <c r="P64502" s="8"/>
      <c r="Q64502" s="8"/>
      <c r="R64502" s="103"/>
      <c r="S64502" s="8"/>
      <c r="T64502" s="8"/>
      <c r="U64502" s="8"/>
      <c r="V64502" s="8"/>
      <c r="W64502" s="8"/>
      <c r="X64502" s="8"/>
      <c r="Y64502" s="8"/>
      <c r="Z64502" s="8"/>
      <c r="AA64502" s="8"/>
    </row>
    <row r="64503" spans="1:27" x14ac:dyDescent="0.25">
      <c r="A64503" s="8"/>
      <c r="B64503" s="8"/>
      <c r="C64503" s="99"/>
      <c r="D64503" s="8"/>
      <c r="E64503" s="8"/>
      <c r="F64503" s="8"/>
      <c r="G64503" s="8"/>
      <c r="H64503" s="8"/>
      <c r="I64503" s="102"/>
      <c r="J64503" s="8"/>
      <c r="K64503" s="8"/>
      <c r="L64503" s="8"/>
      <c r="M64503" s="8"/>
      <c r="N64503" s="8"/>
      <c r="O64503" s="8"/>
      <c r="P64503" s="8"/>
      <c r="Q64503" s="8"/>
      <c r="R64503" s="103"/>
      <c r="S64503" s="8"/>
      <c r="T64503" s="8"/>
      <c r="U64503" s="8"/>
      <c r="V64503" s="8"/>
      <c r="W64503" s="8"/>
      <c r="X64503" s="8"/>
      <c r="Y64503" s="8"/>
      <c r="Z64503" s="8"/>
      <c r="AA64503" s="8"/>
    </row>
    <row r="64504" spans="1:27" x14ac:dyDescent="0.25">
      <c r="A64504" s="8"/>
      <c r="B64504" s="8"/>
      <c r="C64504" s="99"/>
      <c r="D64504" s="8"/>
      <c r="E64504" s="8"/>
      <c r="F64504" s="8"/>
      <c r="G64504" s="8"/>
      <c r="H64504" s="8"/>
      <c r="I64504" s="102"/>
      <c r="J64504" s="8"/>
      <c r="K64504" s="8"/>
      <c r="L64504" s="8"/>
      <c r="M64504" s="8"/>
      <c r="N64504" s="8"/>
      <c r="O64504" s="8"/>
      <c r="P64504" s="8"/>
      <c r="Q64504" s="8"/>
      <c r="R64504" s="103"/>
      <c r="S64504" s="8"/>
      <c r="T64504" s="8"/>
      <c r="U64504" s="8"/>
      <c r="V64504" s="8"/>
      <c r="W64504" s="8"/>
      <c r="X64504" s="8"/>
      <c r="Y64504" s="8"/>
      <c r="Z64504" s="8"/>
      <c r="AA64504" s="8"/>
    </row>
    <row r="64505" spans="1:27" x14ac:dyDescent="0.25">
      <c r="A64505" s="8"/>
      <c r="B64505" s="8"/>
      <c r="C64505" s="99"/>
      <c r="D64505" s="8"/>
      <c r="E64505" s="8"/>
      <c r="F64505" s="8"/>
      <c r="G64505" s="8"/>
      <c r="H64505" s="8"/>
      <c r="I64505" s="102"/>
      <c r="J64505" s="8"/>
      <c r="K64505" s="8"/>
      <c r="L64505" s="8"/>
      <c r="M64505" s="8"/>
      <c r="N64505" s="8"/>
      <c r="O64505" s="8"/>
      <c r="P64505" s="8"/>
      <c r="Q64505" s="8"/>
      <c r="R64505" s="103"/>
      <c r="S64505" s="8"/>
      <c r="T64505" s="8"/>
      <c r="U64505" s="8"/>
      <c r="V64505" s="8"/>
      <c r="W64505" s="8"/>
      <c r="X64505" s="8"/>
      <c r="Y64505" s="8"/>
      <c r="Z64505" s="8"/>
      <c r="AA64505" s="8"/>
    </row>
    <row r="64506" spans="1:27" x14ac:dyDescent="0.25">
      <c r="A64506" s="8"/>
      <c r="B64506" s="8"/>
      <c r="C64506" s="99"/>
      <c r="D64506" s="8"/>
      <c r="E64506" s="8"/>
      <c r="F64506" s="8"/>
      <c r="G64506" s="8"/>
      <c r="H64506" s="8"/>
      <c r="I64506" s="102"/>
      <c r="J64506" s="8"/>
      <c r="K64506" s="8"/>
      <c r="L64506" s="8"/>
      <c r="M64506" s="8"/>
      <c r="N64506" s="8"/>
      <c r="O64506" s="8"/>
      <c r="P64506" s="8"/>
      <c r="Q64506" s="8"/>
      <c r="R64506" s="103"/>
      <c r="S64506" s="8"/>
      <c r="T64506" s="8"/>
      <c r="U64506" s="8"/>
      <c r="V64506" s="8"/>
      <c r="W64506" s="8"/>
      <c r="X64506" s="8"/>
      <c r="Y64506" s="8"/>
      <c r="Z64506" s="8"/>
      <c r="AA64506" s="8"/>
    </row>
    <row r="64507" spans="1:27" x14ac:dyDescent="0.25">
      <c r="A64507" s="8"/>
      <c r="B64507" s="8"/>
      <c r="C64507" s="99"/>
      <c r="D64507" s="8"/>
      <c r="E64507" s="8"/>
      <c r="F64507" s="8"/>
      <c r="G64507" s="8"/>
      <c r="H64507" s="8"/>
      <c r="I64507" s="102"/>
      <c r="J64507" s="8"/>
      <c r="K64507" s="8"/>
      <c r="L64507" s="8"/>
      <c r="M64507" s="8"/>
      <c r="N64507" s="8"/>
      <c r="O64507" s="8"/>
      <c r="P64507" s="8"/>
      <c r="Q64507" s="8"/>
      <c r="R64507" s="103"/>
      <c r="S64507" s="8"/>
      <c r="T64507" s="8"/>
      <c r="U64507" s="8"/>
      <c r="V64507" s="8"/>
      <c r="W64507" s="8"/>
      <c r="X64507" s="8"/>
      <c r="Y64507" s="8"/>
      <c r="Z64507" s="8"/>
      <c r="AA64507" s="8"/>
    </row>
    <row r="64508" spans="1:27" x14ac:dyDescent="0.25">
      <c r="A64508" s="8"/>
      <c r="B64508" s="8"/>
      <c r="C64508" s="99"/>
      <c r="D64508" s="8"/>
      <c r="E64508" s="8"/>
      <c r="F64508" s="8"/>
      <c r="G64508" s="8"/>
      <c r="H64508" s="8"/>
      <c r="I64508" s="102"/>
      <c r="J64508" s="8"/>
      <c r="K64508" s="8"/>
      <c r="L64508" s="8"/>
      <c r="M64508" s="8"/>
      <c r="N64508" s="8"/>
      <c r="O64508" s="8"/>
      <c r="P64508" s="8"/>
      <c r="Q64508" s="8"/>
      <c r="R64508" s="103"/>
      <c r="S64508" s="8"/>
      <c r="T64508" s="8"/>
      <c r="U64508" s="8"/>
      <c r="V64508" s="8"/>
      <c r="W64508" s="8"/>
      <c r="X64508" s="8"/>
      <c r="Y64508" s="8"/>
      <c r="Z64508" s="8"/>
      <c r="AA64508" s="8"/>
    </row>
    <row r="64509" spans="1:27" x14ac:dyDescent="0.25">
      <c r="A64509" s="8"/>
      <c r="B64509" s="8"/>
      <c r="C64509" s="99"/>
      <c r="D64509" s="8"/>
      <c r="E64509" s="8"/>
      <c r="F64509" s="8"/>
      <c r="G64509" s="8"/>
      <c r="H64509" s="8"/>
      <c r="I64509" s="102"/>
      <c r="J64509" s="8"/>
      <c r="K64509" s="8"/>
      <c r="L64509" s="8"/>
      <c r="M64509" s="8"/>
      <c r="N64509" s="8"/>
      <c r="O64509" s="8"/>
      <c r="P64509" s="8"/>
      <c r="Q64509" s="8"/>
      <c r="R64509" s="103"/>
      <c r="S64509" s="8"/>
      <c r="T64509" s="8"/>
      <c r="U64509" s="8"/>
      <c r="V64509" s="8"/>
      <c r="W64509" s="8"/>
      <c r="X64509" s="8"/>
      <c r="Y64509" s="8"/>
      <c r="Z64509" s="8"/>
      <c r="AA64509" s="8"/>
    </row>
    <row r="64510" spans="1:27" x14ac:dyDescent="0.25">
      <c r="A64510" s="8"/>
      <c r="B64510" s="8"/>
      <c r="C64510" s="99"/>
      <c r="D64510" s="8"/>
      <c r="E64510" s="8"/>
      <c r="F64510" s="8"/>
      <c r="G64510" s="8"/>
      <c r="H64510" s="8"/>
      <c r="I64510" s="102"/>
      <c r="J64510" s="8"/>
      <c r="K64510" s="8"/>
      <c r="L64510" s="8"/>
      <c r="M64510" s="8"/>
      <c r="N64510" s="8"/>
      <c r="O64510" s="8"/>
      <c r="P64510" s="8"/>
      <c r="Q64510" s="8"/>
      <c r="R64510" s="103"/>
      <c r="S64510" s="8"/>
      <c r="T64510" s="8"/>
      <c r="U64510" s="8"/>
      <c r="V64510" s="8"/>
      <c r="W64510" s="8"/>
      <c r="X64510" s="8"/>
      <c r="Y64510" s="8"/>
      <c r="Z64510" s="8"/>
      <c r="AA64510" s="8"/>
    </row>
    <row r="64511" spans="1:27" x14ac:dyDescent="0.25">
      <c r="A64511" s="8"/>
      <c r="B64511" s="8"/>
      <c r="C64511" s="99"/>
      <c r="D64511" s="8"/>
      <c r="E64511" s="8"/>
      <c r="F64511" s="8"/>
      <c r="G64511" s="8"/>
      <c r="H64511" s="8"/>
      <c r="I64511" s="102"/>
      <c r="J64511" s="8"/>
      <c r="K64511" s="8"/>
      <c r="L64511" s="8"/>
      <c r="M64511" s="8"/>
      <c r="N64511" s="8"/>
      <c r="O64511" s="8"/>
      <c r="P64511" s="8"/>
      <c r="Q64511" s="8"/>
      <c r="R64511" s="103"/>
      <c r="S64511" s="8"/>
      <c r="T64511" s="8"/>
      <c r="U64511" s="8"/>
      <c r="V64511" s="8"/>
      <c r="W64511" s="8"/>
      <c r="X64511" s="8"/>
      <c r="Y64511" s="8"/>
      <c r="Z64511" s="8"/>
      <c r="AA64511" s="8"/>
    </row>
    <row r="64512" spans="1:27" x14ac:dyDescent="0.25">
      <c r="A64512" s="8"/>
      <c r="B64512" s="8"/>
      <c r="C64512" s="99"/>
      <c r="D64512" s="8"/>
      <c r="E64512" s="8"/>
      <c r="F64512" s="8"/>
      <c r="G64512" s="8"/>
      <c r="H64512" s="8"/>
      <c r="I64512" s="102"/>
      <c r="J64512" s="8"/>
      <c r="K64512" s="8"/>
      <c r="L64512" s="8"/>
      <c r="M64512" s="8"/>
      <c r="N64512" s="8"/>
      <c r="O64512" s="8"/>
      <c r="P64512" s="8"/>
      <c r="Q64512" s="8"/>
      <c r="R64512" s="103"/>
      <c r="S64512" s="8"/>
      <c r="T64512" s="8"/>
      <c r="U64512" s="8"/>
      <c r="V64512" s="8"/>
      <c r="W64512" s="8"/>
      <c r="X64512" s="8"/>
      <c r="Y64512" s="8"/>
      <c r="Z64512" s="8"/>
      <c r="AA64512" s="8"/>
    </row>
    <row r="64513" spans="1:27" x14ac:dyDescent="0.25">
      <c r="A64513" s="8"/>
      <c r="B64513" s="8"/>
      <c r="C64513" s="99"/>
      <c r="D64513" s="8"/>
      <c r="E64513" s="8"/>
      <c r="F64513" s="8"/>
      <c r="G64513" s="8"/>
      <c r="H64513" s="8"/>
      <c r="I64513" s="102"/>
      <c r="J64513" s="8"/>
      <c r="K64513" s="8"/>
      <c r="L64513" s="8"/>
      <c r="M64513" s="8"/>
      <c r="N64513" s="8"/>
      <c r="O64513" s="8"/>
      <c r="P64513" s="8"/>
      <c r="Q64513" s="8"/>
      <c r="R64513" s="103"/>
      <c r="S64513" s="8"/>
      <c r="T64513" s="8"/>
      <c r="U64513" s="8"/>
      <c r="V64513" s="8"/>
      <c r="W64513" s="8"/>
      <c r="X64513" s="8"/>
      <c r="Y64513" s="8"/>
      <c r="Z64513" s="8"/>
      <c r="AA64513" s="8"/>
    </row>
    <row r="64514" spans="1:27" x14ac:dyDescent="0.25">
      <c r="A64514" s="8"/>
      <c r="B64514" s="8"/>
      <c r="C64514" s="99"/>
      <c r="D64514" s="8"/>
      <c r="E64514" s="8"/>
      <c r="F64514" s="8"/>
      <c r="G64514" s="8"/>
      <c r="H64514" s="8"/>
      <c r="I64514" s="102"/>
      <c r="J64514" s="8"/>
      <c r="K64514" s="8"/>
      <c r="L64514" s="8"/>
      <c r="M64514" s="8"/>
      <c r="N64514" s="8"/>
      <c r="O64514" s="8"/>
      <c r="P64514" s="8"/>
      <c r="Q64514" s="8"/>
      <c r="R64514" s="103"/>
      <c r="S64514" s="8"/>
      <c r="T64514" s="8"/>
      <c r="U64514" s="8"/>
      <c r="V64514" s="8"/>
      <c r="W64514" s="8"/>
      <c r="X64514" s="8"/>
      <c r="Y64514" s="8"/>
      <c r="Z64514" s="8"/>
      <c r="AA64514" s="8"/>
    </row>
    <row r="64515" spans="1:27" x14ac:dyDescent="0.25">
      <c r="A64515" s="8"/>
      <c r="B64515" s="8"/>
      <c r="C64515" s="99"/>
      <c r="D64515" s="8"/>
      <c r="E64515" s="8"/>
      <c r="F64515" s="8"/>
      <c r="G64515" s="8"/>
      <c r="H64515" s="8"/>
      <c r="I64515" s="102"/>
      <c r="J64515" s="8"/>
      <c r="K64515" s="8"/>
      <c r="L64515" s="8"/>
      <c r="M64515" s="8"/>
      <c r="N64515" s="8"/>
      <c r="O64515" s="8"/>
      <c r="P64515" s="8"/>
      <c r="Q64515" s="8"/>
      <c r="R64515" s="103"/>
      <c r="S64515" s="8"/>
      <c r="T64515" s="8"/>
      <c r="U64515" s="8"/>
      <c r="V64515" s="8"/>
      <c r="W64515" s="8"/>
      <c r="X64515" s="8"/>
      <c r="Y64515" s="8"/>
      <c r="Z64515" s="8"/>
      <c r="AA64515" s="8"/>
    </row>
    <row r="64516" spans="1:27" x14ac:dyDescent="0.25">
      <c r="A64516" s="8"/>
      <c r="B64516" s="8"/>
      <c r="C64516" s="99"/>
      <c r="D64516" s="8"/>
      <c r="E64516" s="8"/>
      <c r="F64516" s="8"/>
      <c r="G64516" s="8"/>
      <c r="H64516" s="8"/>
      <c r="I64516" s="102"/>
      <c r="J64516" s="8"/>
      <c r="K64516" s="8"/>
      <c r="L64516" s="8"/>
      <c r="M64516" s="8"/>
      <c r="N64516" s="8"/>
      <c r="O64516" s="8"/>
      <c r="P64516" s="8"/>
      <c r="Q64516" s="8"/>
      <c r="R64516" s="103"/>
      <c r="S64516" s="8"/>
      <c r="T64516" s="8"/>
      <c r="U64516" s="8"/>
      <c r="V64516" s="8"/>
      <c r="W64516" s="8"/>
      <c r="X64516" s="8"/>
      <c r="Y64516" s="8"/>
      <c r="Z64516" s="8"/>
      <c r="AA64516" s="8"/>
    </row>
    <row r="64517" spans="1:27" x14ac:dyDescent="0.25">
      <c r="A64517" s="8"/>
      <c r="B64517" s="8"/>
      <c r="C64517" s="99"/>
      <c r="D64517" s="8"/>
      <c r="E64517" s="8"/>
      <c r="F64517" s="8"/>
      <c r="G64517" s="8"/>
      <c r="H64517" s="8"/>
      <c r="I64517" s="102"/>
      <c r="J64517" s="8"/>
      <c r="K64517" s="8"/>
      <c r="L64517" s="8"/>
      <c r="M64517" s="8"/>
      <c r="N64517" s="8"/>
      <c r="O64517" s="8"/>
      <c r="P64517" s="8"/>
      <c r="Q64517" s="8"/>
      <c r="R64517" s="103"/>
      <c r="S64517" s="8"/>
      <c r="T64517" s="8"/>
      <c r="U64517" s="8"/>
      <c r="V64517" s="8"/>
      <c r="W64517" s="8"/>
      <c r="X64517" s="8"/>
      <c r="Y64517" s="8"/>
      <c r="Z64517" s="8"/>
      <c r="AA64517" s="8"/>
    </row>
    <row r="64518" spans="1:27" x14ac:dyDescent="0.25">
      <c r="A64518" s="8"/>
      <c r="B64518" s="8"/>
      <c r="C64518" s="99"/>
      <c r="D64518" s="8"/>
      <c r="E64518" s="8"/>
      <c r="F64518" s="8"/>
      <c r="G64518" s="8"/>
      <c r="H64518" s="8"/>
      <c r="I64518" s="102"/>
      <c r="J64518" s="8"/>
      <c r="K64518" s="8"/>
      <c r="L64518" s="8"/>
      <c r="M64518" s="8"/>
      <c r="N64518" s="8"/>
      <c r="O64518" s="8"/>
      <c r="P64518" s="8"/>
      <c r="Q64518" s="8"/>
      <c r="R64518" s="103"/>
      <c r="S64518" s="8"/>
      <c r="T64518" s="8"/>
      <c r="U64518" s="8"/>
      <c r="V64518" s="8"/>
      <c r="W64518" s="8"/>
      <c r="X64518" s="8"/>
      <c r="Y64518" s="8"/>
      <c r="Z64518" s="8"/>
      <c r="AA64518" s="8"/>
    </row>
    <row r="64519" spans="1:27" x14ac:dyDescent="0.25">
      <c r="A64519" s="8"/>
      <c r="B64519" s="8"/>
      <c r="C64519" s="99"/>
      <c r="D64519" s="8"/>
      <c r="E64519" s="8"/>
      <c r="F64519" s="8"/>
      <c r="G64519" s="8"/>
      <c r="H64519" s="8"/>
      <c r="I64519" s="102"/>
      <c r="J64519" s="8"/>
      <c r="K64519" s="8"/>
      <c r="L64519" s="8"/>
      <c r="M64519" s="8"/>
      <c r="N64519" s="8"/>
      <c r="O64519" s="8"/>
      <c r="P64519" s="8"/>
      <c r="Q64519" s="8"/>
      <c r="R64519" s="103"/>
      <c r="S64519" s="8"/>
      <c r="T64519" s="8"/>
      <c r="U64519" s="8"/>
      <c r="V64519" s="8"/>
      <c r="W64519" s="8"/>
      <c r="X64519" s="8"/>
      <c r="Y64519" s="8"/>
      <c r="Z64519" s="8"/>
      <c r="AA64519" s="8"/>
    </row>
    <row r="64520" spans="1:27" x14ac:dyDescent="0.25">
      <c r="A64520" s="8"/>
      <c r="B64520" s="8"/>
      <c r="C64520" s="99"/>
      <c r="D64520" s="8"/>
      <c r="E64520" s="8"/>
      <c r="F64520" s="8"/>
      <c r="G64520" s="8"/>
      <c r="H64520" s="8"/>
      <c r="I64520" s="102"/>
      <c r="J64520" s="8"/>
      <c r="K64520" s="8"/>
      <c r="L64520" s="8"/>
      <c r="M64520" s="8"/>
      <c r="N64520" s="8"/>
      <c r="O64520" s="8"/>
      <c r="P64520" s="8"/>
      <c r="Q64520" s="8"/>
      <c r="R64520" s="103"/>
      <c r="S64520" s="8"/>
      <c r="T64520" s="8"/>
      <c r="U64520" s="8"/>
      <c r="V64520" s="8"/>
      <c r="W64520" s="8"/>
      <c r="X64520" s="8"/>
      <c r="Y64520" s="8"/>
      <c r="Z64520" s="8"/>
      <c r="AA64520" s="8"/>
    </row>
    <row r="64521" spans="1:27" x14ac:dyDescent="0.25">
      <c r="A64521" s="8"/>
      <c r="B64521" s="8"/>
      <c r="C64521" s="99"/>
      <c r="D64521" s="8"/>
      <c r="E64521" s="8"/>
      <c r="F64521" s="8"/>
      <c r="G64521" s="8"/>
      <c r="H64521" s="8"/>
      <c r="I64521" s="102"/>
      <c r="J64521" s="8"/>
      <c r="K64521" s="8"/>
      <c r="L64521" s="8"/>
      <c r="M64521" s="8"/>
      <c r="N64521" s="8"/>
      <c r="O64521" s="8"/>
      <c r="P64521" s="8"/>
      <c r="Q64521" s="8"/>
      <c r="R64521" s="103"/>
      <c r="S64521" s="8"/>
      <c r="T64521" s="8"/>
      <c r="U64521" s="8"/>
      <c r="V64521" s="8"/>
      <c r="W64521" s="8"/>
      <c r="X64521" s="8"/>
      <c r="Y64521" s="8"/>
      <c r="Z64521" s="8"/>
      <c r="AA64521" s="8"/>
    </row>
    <row r="64522" spans="1:27" x14ac:dyDescent="0.25">
      <c r="A64522" s="8"/>
      <c r="B64522" s="8"/>
      <c r="C64522" s="99"/>
      <c r="D64522" s="8"/>
      <c r="E64522" s="8"/>
      <c r="F64522" s="8"/>
      <c r="G64522" s="8"/>
      <c r="H64522" s="8"/>
      <c r="I64522" s="102"/>
      <c r="J64522" s="8"/>
      <c r="K64522" s="8"/>
      <c r="L64522" s="8"/>
      <c r="M64522" s="8"/>
      <c r="N64522" s="8"/>
      <c r="O64522" s="8"/>
      <c r="P64522" s="8"/>
      <c r="Q64522" s="8"/>
      <c r="R64522" s="103"/>
      <c r="S64522" s="8"/>
      <c r="T64522" s="8"/>
      <c r="U64522" s="8"/>
      <c r="V64522" s="8"/>
      <c r="W64522" s="8"/>
      <c r="X64522" s="8"/>
      <c r="Y64522" s="8"/>
      <c r="Z64522" s="8"/>
      <c r="AA64522" s="8"/>
    </row>
    <row r="64523" spans="1:27" x14ac:dyDescent="0.25">
      <c r="A64523" s="8"/>
      <c r="B64523" s="8"/>
      <c r="C64523" s="99"/>
      <c r="D64523" s="8"/>
      <c r="E64523" s="8"/>
      <c r="F64523" s="8"/>
      <c r="G64523" s="8"/>
      <c r="H64523" s="8"/>
      <c r="I64523" s="102"/>
      <c r="J64523" s="8"/>
      <c r="K64523" s="8"/>
      <c r="L64523" s="8"/>
      <c r="M64523" s="8"/>
      <c r="N64523" s="8"/>
      <c r="O64523" s="8"/>
      <c r="P64523" s="8"/>
      <c r="Q64523" s="8"/>
      <c r="R64523" s="103"/>
      <c r="S64523" s="8"/>
      <c r="T64523" s="8"/>
      <c r="U64523" s="8"/>
      <c r="V64523" s="8"/>
      <c r="W64523" s="8"/>
      <c r="X64523" s="8"/>
      <c r="Y64523" s="8"/>
      <c r="Z64523" s="8"/>
      <c r="AA64523" s="8"/>
    </row>
    <row r="64524" spans="1:27" x14ac:dyDescent="0.25">
      <c r="A64524" s="8"/>
      <c r="B64524" s="8"/>
      <c r="C64524" s="99"/>
      <c r="D64524" s="8"/>
      <c r="E64524" s="8"/>
      <c r="F64524" s="8"/>
      <c r="G64524" s="8"/>
      <c r="H64524" s="8"/>
      <c r="I64524" s="102"/>
      <c r="J64524" s="8"/>
      <c r="K64524" s="8"/>
      <c r="L64524" s="8"/>
      <c r="M64524" s="8"/>
      <c r="N64524" s="8"/>
      <c r="O64524" s="8"/>
      <c r="P64524" s="8"/>
      <c r="Q64524" s="8"/>
      <c r="R64524" s="103"/>
      <c r="S64524" s="8"/>
      <c r="T64524" s="8"/>
      <c r="U64524" s="8"/>
      <c r="V64524" s="8"/>
      <c r="W64524" s="8"/>
      <c r="X64524" s="8"/>
      <c r="Y64524" s="8"/>
      <c r="Z64524" s="8"/>
      <c r="AA64524" s="8"/>
    </row>
    <row r="64525" spans="1:27" x14ac:dyDescent="0.25">
      <c r="A64525" s="8"/>
      <c r="B64525" s="8"/>
      <c r="C64525" s="99"/>
      <c r="D64525" s="8"/>
      <c r="E64525" s="8"/>
      <c r="F64525" s="8"/>
      <c r="G64525" s="8"/>
      <c r="H64525" s="8"/>
      <c r="I64525" s="102"/>
      <c r="J64525" s="8"/>
      <c r="K64525" s="8"/>
      <c r="L64525" s="8"/>
      <c r="M64525" s="8"/>
      <c r="N64525" s="8"/>
      <c r="O64525" s="8"/>
      <c r="P64525" s="8"/>
      <c r="Q64525" s="8"/>
      <c r="R64525" s="103"/>
      <c r="S64525" s="8"/>
      <c r="T64525" s="8"/>
      <c r="U64525" s="8"/>
      <c r="V64525" s="8"/>
      <c r="W64525" s="8"/>
      <c r="X64525" s="8"/>
      <c r="Y64525" s="8"/>
      <c r="Z64525" s="8"/>
      <c r="AA64525" s="8"/>
    </row>
    <row r="64526" spans="1:27" x14ac:dyDescent="0.25">
      <c r="A64526" s="8"/>
      <c r="B64526" s="8"/>
      <c r="C64526" s="99"/>
      <c r="D64526" s="8"/>
      <c r="E64526" s="8"/>
      <c r="F64526" s="8"/>
      <c r="G64526" s="8"/>
      <c r="H64526" s="8"/>
      <c r="I64526" s="102"/>
      <c r="J64526" s="8"/>
      <c r="K64526" s="8"/>
      <c r="L64526" s="8"/>
      <c r="M64526" s="8"/>
      <c r="N64526" s="8"/>
      <c r="O64526" s="8"/>
      <c r="P64526" s="8"/>
      <c r="Q64526" s="8"/>
      <c r="R64526" s="103"/>
      <c r="S64526" s="8"/>
      <c r="T64526" s="8"/>
      <c r="U64526" s="8"/>
      <c r="V64526" s="8"/>
      <c r="W64526" s="8"/>
      <c r="X64526" s="8"/>
      <c r="Y64526" s="8"/>
      <c r="Z64526" s="8"/>
      <c r="AA64526" s="8"/>
    </row>
    <row r="64527" spans="1:27" x14ac:dyDescent="0.25">
      <c r="A64527" s="8"/>
      <c r="B64527" s="8"/>
      <c r="C64527" s="99"/>
      <c r="D64527" s="8"/>
      <c r="E64527" s="8"/>
      <c r="F64527" s="8"/>
      <c r="G64527" s="8"/>
      <c r="H64527" s="8"/>
      <c r="I64527" s="102"/>
      <c r="J64527" s="8"/>
      <c r="K64527" s="8"/>
      <c r="L64527" s="8"/>
      <c r="M64527" s="8"/>
      <c r="N64527" s="8"/>
      <c r="O64527" s="8"/>
      <c r="P64527" s="8"/>
      <c r="Q64527" s="8"/>
      <c r="R64527" s="103"/>
      <c r="S64527" s="8"/>
      <c r="T64527" s="8"/>
      <c r="U64527" s="8"/>
      <c r="V64527" s="8"/>
      <c r="W64527" s="8"/>
      <c r="X64527" s="8"/>
      <c r="Y64527" s="8"/>
      <c r="Z64527" s="8"/>
      <c r="AA64527" s="8"/>
    </row>
    <row r="64528" spans="1:27" x14ac:dyDescent="0.25">
      <c r="A64528" s="8"/>
      <c r="B64528" s="8"/>
      <c r="C64528" s="99"/>
      <c r="D64528" s="8"/>
      <c r="E64528" s="8"/>
      <c r="F64528" s="8"/>
      <c r="G64528" s="8"/>
      <c r="H64528" s="8"/>
      <c r="I64528" s="102"/>
      <c r="J64528" s="8"/>
      <c r="K64528" s="8"/>
      <c r="L64528" s="8"/>
      <c r="M64528" s="8"/>
      <c r="N64528" s="8"/>
      <c r="O64528" s="8"/>
      <c r="P64528" s="8"/>
      <c r="Q64528" s="8"/>
      <c r="R64528" s="103"/>
      <c r="S64528" s="8"/>
      <c r="T64528" s="8"/>
      <c r="U64528" s="8"/>
      <c r="V64528" s="8"/>
      <c r="W64528" s="8"/>
      <c r="X64528" s="8"/>
      <c r="Y64528" s="8"/>
      <c r="Z64528" s="8"/>
      <c r="AA64528" s="8"/>
    </row>
    <row r="64529" spans="1:27" x14ac:dyDescent="0.25">
      <c r="A64529" s="8"/>
      <c r="B64529" s="8"/>
      <c r="C64529" s="99"/>
      <c r="D64529" s="8"/>
      <c r="E64529" s="8"/>
      <c r="F64529" s="8"/>
      <c r="G64529" s="8"/>
      <c r="H64529" s="8"/>
      <c r="I64529" s="102"/>
      <c r="J64529" s="8"/>
      <c r="K64529" s="8"/>
      <c r="L64529" s="8"/>
      <c r="M64529" s="8"/>
      <c r="N64529" s="8"/>
      <c r="O64529" s="8"/>
      <c r="P64529" s="8"/>
      <c r="Q64529" s="8"/>
      <c r="R64529" s="103"/>
      <c r="S64529" s="8"/>
      <c r="T64529" s="8"/>
      <c r="U64529" s="8"/>
      <c r="V64529" s="8"/>
      <c r="W64529" s="8"/>
      <c r="X64529" s="8"/>
      <c r="Y64529" s="8"/>
      <c r="Z64529" s="8"/>
      <c r="AA64529" s="8"/>
    </row>
    <row r="64530" spans="1:27" x14ac:dyDescent="0.25">
      <c r="A64530" s="8"/>
      <c r="B64530" s="8"/>
      <c r="C64530" s="99"/>
      <c r="D64530" s="8"/>
      <c r="E64530" s="8"/>
      <c r="F64530" s="8"/>
      <c r="G64530" s="8"/>
      <c r="H64530" s="8"/>
      <c r="I64530" s="102"/>
      <c r="J64530" s="8"/>
      <c r="K64530" s="8"/>
      <c r="L64530" s="8"/>
      <c r="M64530" s="8"/>
      <c r="N64530" s="8"/>
      <c r="O64530" s="8"/>
      <c r="P64530" s="8"/>
      <c r="Q64530" s="8"/>
      <c r="R64530" s="103"/>
      <c r="S64530" s="8"/>
      <c r="T64530" s="8"/>
      <c r="U64530" s="8"/>
      <c r="V64530" s="8"/>
      <c r="W64530" s="8"/>
      <c r="X64530" s="8"/>
      <c r="Y64530" s="8"/>
      <c r="Z64530" s="8"/>
      <c r="AA64530" s="8"/>
    </row>
    <row r="64531" spans="1:27" x14ac:dyDescent="0.25">
      <c r="A64531" s="8"/>
      <c r="B64531" s="8"/>
      <c r="C64531" s="99"/>
      <c r="D64531" s="8"/>
      <c r="E64531" s="8"/>
      <c r="F64531" s="8"/>
      <c r="G64531" s="8"/>
      <c r="H64531" s="8"/>
      <c r="I64531" s="102"/>
      <c r="J64531" s="8"/>
      <c r="K64531" s="8"/>
      <c r="L64531" s="8"/>
      <c r="M64531" s="8"/>
      <c r="N64531" s="8"/>
      <c r="O64531" s="8"/>
      <c r="P64531" s="8"/>
      <c r="Q64531" s="8"/>
      <c r="R64531" s="103"/>
      <c r="S64531" s="8"/>
      <c r="T64531" s="8"/>
      <c r="U64531" s="8"/>
      <c r="V64531" s="8"/>
      <c r="W64531" s="8"/>
      <c r="X64531" s="8"/>
      <c r="Y64531" s="8"/>
      <c r="Z64531" s="8"/>
      <c r="AA64531" s="8"/>
    </row>
    <row r="64532" spans="1:27" x14ac:dyDescent="0.25">
      <c r="A64532" s="8"/>
      <c r="B64532" s="8"/>
      <c r="C64532" s="99"/>
      <c r="D64532" s="8"/>
      <c r="E64532" s="8"/>
      <c r="F64532" s="8"/>
      <c r="G64532" s="8"/>
      <c r="H64532" s="8"/>
      <c r="I64532" s="102"/>
      <c r="J64532" s="8"/>
      <c r="K64532" s="8"/>
      <c r="L64532" s="8"/>
      <c r="M64532" s="8"/>
      <c r="N64532" s="8"/>
      <c r="O64532" s="8"/>
      <c r="P64532" s="8"/>
      <c r="Q64532" s="8"/>
      <c r="R64532" s="103"/>
      <c r="S64532" s="8"/>
      <c r="T64532" s="8"/>
      <c r="U64532" s="8"/>
      <c r="V64532" s="8"/>
      <c r="W64532" s="8"/>
      <c r="X64532" s="8"/>
      <c r="Y64532" s="8"/>
      <c r="Z64532" s="8"/>
      <c r="AA64532" s="8"/>
    </row>
    <row r="64533" spans="1:27" x14ac:dyDescent="0.25">
      <c r="A64533" s="8"/>
      <c r="B64533" s="8"/>
      <c r="C64533" s="99"/>
      <c r="D64533" s="8"/>
      <c r="E64533" s="8"/>
      <c r="F64533" s="8"/>
      <c r="G64533" s="8"/>
      <c r="H64533" s="8"/>
      <c r="I64533" s="102"/>
      <c r="J64533" s="8"/>
      <c r="K64533" s="8"/>
      <c r="L64533" s="8"/>
      <c r="M64533" s="8"/>
      <c r="N64533" s="8"/>
      <c r="O64533" s="8"/>
      <c r="P64533" s="8"/>
      <c r="Q64533" s="8"/>
      <c r="R64533" s="103"/>
      <c r="S64533" s="8"/>
      <c r="T64533" s="8"/>
      <c r="U64533" s="8"/>
      <c r="V64533" s="8"/>
      <c r="W64533" s="8"/>
      <c r="X64533" s="8"/>
      <c r="Y64533" s="8"/>
      <c r="Z64533" s="8"/>
      <c r="AA64533" s="8"/>
    </row>
    <row r="64534" spans="1:27" x14ac:dyDescent="0.25">
      <c r="A64534" s="8"/>
      <c r="B64534" s="8"/>
      <c r="C64534" s="99"/>
      <c r="D64534" s="8"/>
      <c r="E64534" s="8"/>
      <c r="F64534" s="8"/>
      <c r="G64534" s="8"/>
      <c r="H64534" s="8"/>
      <c r="I64534" s="102"/>
      <c r="J64534" s="8"/>
      <c r="K64534" s="8"/>
      <c r="L64534" s="8"/>
      <c r="M64534" s="8"/>
      <c r="N64534" s="8"/>
      <c r="O64534" s="8"/>
      <c r="P64534" s="8"/>
      <c r="Q64534" s="8"/>
      <c r="R64534" s="103"/>
      <c r="S64534" s="8"/>
      <c r="T64534" s="8"/>
      <c r="U64534" s="8"/>
      <c r="V64534" s="8"/>
      <c r="W64534" s="8"/>
      <c r="X64534" s="8"/>
      <c r="Y64534" s="8"/>
      <c r="Z64534" s="8"/>
      <c r="AA64534" s="8"/>
    </row>
    <row r="64535" spans="1:27" x14ac:dyDescent="0.25">
      <c r="A64535" s="8"/>
      <c r="B64535" s="8"/>
      <c r="C64535" s="99"/>
      <c r="D64535" s="8"/>
      <c r="E64535" s="8"/>
      <c r="F64535" s="8"/>
      <c r="G64535" s="8"/>
      <c r="H64535" s="8"/>
      <c r="I64535" s="102"/>
      <c r="J64535" s="8"/>
      <c r="K64535" s="8"/>
      <c r="L64535" s="8"/>
      <c r="M64535" s="8"/>
      <c r="N64535" s="8"/>
      <c r="O64535" s="8"/>
      <c r="P64535" s="8"/>
      <c r="Q64535" s="8"/>
      <c r="R64535" s="103"/>
      <c r="S64535" s="8"/>
      <c r="T64535" s="8"/>
      <c r="U64535" s="8"/>
      <c r="V64535" s="8"/>
      <c r="W64535" s="8"/>
      <c r="X64535" s="8"/>
      <c r="Y64535" s="8"/>
      <c r="Z64535" s="8"/>
      <c r="AA64535" s="8"/>
    </row>
    <row r="64536" spans="1:27" x14ac:dyDescent="0.25">
      <c r="A64536" s="8"/>
      <c r="B64536" s="8"/>
      <c r="C64536" s="99"/>
      <c r="D64536" s="8"/>
      <c r="E64536" s="8"/>
      <c r="F64536" s="8"/>
      <c r="G64536" s="8"/>
      <c r="H64536" s="8"/>
      <c r="I64536" s="102"/>
      <c r="J64536" s="8"/>
      <c r="K64536" s="8"/>
      <c r="L64536" s="8"/>
      <c r="M64536" s="8"/>
      <c r="N64536" s="8"/>
      <c r="O64536" s="8"/>
      <c r="P64536" s="8"/>
      <c r="Q64536" s="8"/>
      <c r="R64536" s="103"/>
      <c r="S64536" s="8"/>
      <c r="T64536" s="8"/>
      <c r="U64536" s="8"/>
      <c r="V64536" s="8"/>
      <c r="W64536" s="8"/>
      <c r="X64536" s="8"/>
      <c r="Y64536" s="8"/>
      <c r="Z64536" s="8"/>
      <c r="AA64536" s="8"/>
    </row>
    <row r="64537" spans="1:27" x14ac:dyDescent="0.25">
      <c r="A64537" s="8"/>
      <c r="B64537" s="8"/>
      <c r="C64537" s="99"/>
      <c r="D64537" s="8"/>
      <c r="E64537" s="8"/>
      <c r="F64537" s="8"/>
      <c r="G64537" s="8"/>
      <c r="H64537" s="8"/>
      <c r="I64537" s="102"/>
      <c r="J64537" s="8"/>
      <c r="K64537" s="8"/>
      <c r="L64537" s="8"/>
      <c r="M64537" s="8"/>
      <c r="N64537" s="8"/>
      <c r="O64537" s="8"/>
      <c r="P64537" s="8"/>
      <c r="Q64537" s="8"/>
      <c r="R64537" s="103"/>
      <c r="S64537" s="8"/>
      <c r="T64537" s="8"/>
      <c r="U64537" s="8"/>
      <c r="V64537" s="8"/>
      <c r="W64537" s="8"/>
      <c r="X64537" s="8"/>
      <c r="Y64537" s="8"/>
      <c r="Z64537" s="8"/>
      <c r="AA64537" s="8"/>
    </row>
    <row r="64538" spans="1:27" x14ac:dyDescent="0.25">
      <c r="A64538" s="8"/>
      <c r="B64538" s="8"/>
      <c r="C64538" s="99"/>
      <c r="D64538" s="8"/>
      <c r="E64538" s="8"/>
      <c r="F64538" s="8"/>
      <c r="G64538" s="8"/>
      <c r="H64538" s="8"/>
      <c r="I64538" s="102"/>
      <c r="J64538" s="8"/>
      <c r="K64538" s="8"/>
      <c r="L64538" s="8"/>
      <c r="M64538" s="8"/>
      <c r="N64538" s="8"/>
      <c r="O64538" s="8"/>
      <c r="P64538" s="8"/>
      <c r="Q64538" s="8"/>
      <c r="R64538" s="103"/>
      <c r="S64538" s="8"/>
      <c r="T64538" s="8"/>
      <c r="U64538" s="8"/>
      <c r="V64538" s="8"/>
      <c r="W64538" s="8"/>
      <c r="X64538" s="8"/>
      <c r="Y64538" s="8"/>
      <c r="Z64538" s="8"/>
      <c r="AA64538" s="8"/>
    </row>
    <row r="64539" spans="1:27" x14ac:dyDescent="0.25">
      <c r="A64539" s="8"/>
      <c r="B64539" s="8"/>
      <c r="C64539" s="99"/>
      <c r="D64539" s="8"/>
      <c r="E64539" s="8"/>
      <c r="F64539" s="8"/>
      <c r="G64539" s="8"/>
      <c r="H64539" s="8"/>
      <c r="I64539" s="102"/>
      <c r="J64539" s="8"/>
      <c r="K64539" s="8"/>
      <c r="L64539" s="8"/>
      <c r="M64539" s="8"/>
      <c r="N64539" s="8"/>
      <c r="O64539" s="8"/>
      <c r="P64539" s="8"/>
      <c r="Q64539" s="8"/>
      <c r="R64539" s="103"/>
      <c r="S64539" s="8"/>
      <c r="T64539" s="8"/>
      <c r="U64539" s="8"/>
      <c r="V64539" s="8"/>
      <c r="W64539" s="8"/>
      <c r="X64539" s="8"/>
      <c r="Y64539" s="8"/>
      <c r="Z64539" s="8"/>
      <c r="AA64539" s="8"/>
    </row>
    <row r="64540" spans="1:27" x14ac:dyDescent="0.25">
      <c r="A64540" s="8"/>
      <c r="B64540" s="8"/>
      <c r="C64540" s="99"/>
      <c r="D64540" s="8"/>
      <c r="E64540" s="8"/>
      <c r="F64540" s="8"/>
      <c r="G64540" s="8"/>
      <c r="H64540" s="8"/>
      <c r="I64540" s="102"/>
      <c r="J64540" s="8"/>
      <c r="K64540" s="8"/>
      <c r="L64540" s="8"/>
      <c r="M64540" s="8"/>
      <c r="N64540" s="8"/>
      <c r="O64540" s="8"/>
      <c r="P64540" s="8"/>
      <c r="Q64540" s="8"/>
      <c r="R64540" s="103"/>
      <c r="S64540" s="8"/>
      <c r="T64540" s="8"/>
      <c r="U64540" s="8"/>
      <c r="V64540" s="8"/>
      <c r="W64540" s="8"/>
      <c r="X64540" s="8"/>
      <c r="Y64540" s="8"/>
      <c r="Z64540" s="8"/>
      <c r="AA64540" s="8"/>
    </row>
    <row r="64541" spans="1:27" x14ac:dyDescent="0.25">
      <c r="A64541" s="8"/>
      <c r="B64541" s="8"/>
      <c r="C64541" s="99"/>
      <c r="D64541" s="8"/>
      <c r="E64541" s="8"/>
      <c r="F64541" s="8"/>
      <c r="G64541" s="8"/>
      <c r="H64541" s="8"/>
      <c r="I64541" s="102"/>
      <c r="J64541" s="8"/>
      <c r="K64541" s="8"/>
      <c r="L64541" s="8"/>
      <c r="M64541" s="8"/>
      <c r="N64541" s="8"/>
      <c r="O64541" s="8"/>
      <c r="P64541" s="8"/>
      <c r="Q64541" s="8"/>
      <c r="R64541" s="103"/>
      <c r="S64541" s="8"/>
      <c r="T64541" s="8"/>
      <c r="U64541" s="8"/>
      <c r="V64541" s="8"/>
      <c r="W64541" s="8"/>
      <c r="X64541" s="8"/>
      <c r="Y64541" s="8"/>
      <c r="Z64541" s="8"/>
      <c r="AA64541" s="8"/>
    </row>
    <row r="64542" spans="1:27" x14ac:dyDescent="0.25">
      <c r="A64542" s="8"/>
      <c r="B64542" s="8"/>
      <c r="C64542" s="99"/>
      <c r="D64542" s="8"/>
      <c r="E64542" s="8"/>
      <c r="F64542" s="8"/>
      <c r="G64542" s="8"/>
      <c r="H64542" s="8"/>
      <c r="I64542" s="102"/>
      <c r="J64542" s="8"/>
      <c r="K64542" s="8"/>
      <c r="L64542" s="8"/>
      <c r="M64542" s="8"/>
      <c r="N64542" s="8"/>
      <c r="O64542" s="8"/>
      <c r="P64542" s="8"/>
      <c r="Q64542" s="8"/>
      <c r="R64542" s="103"/>
      <c r="S64542" s="8"/>
      <c r="T64542" s="8"/>
      <c r="U64542" s="8"/>
      <c r="V64542" s="8"/>
      <c r="W64542" s="8"/>
      <c r="X64542" s="8"/>
      <c r="Y64542" s="8"/>
      <c r="Z64542" s="8"/>
      <c r="AA64542" s="8"/>
    </row>
    <row r="64543" spans="1:27" x14ac:dyDescent="0.25">
      <c r="A64543" s="8"/>
      <c r="B64543" s="8"/>
      <c r="C64543" s="99"/>
      <c r="D64543" s="8"/>
      <c r="E64543" s="8"/>
      <c r="F64543" s="8"/>
      <c r="G64543" s="8"/>
      <c r="H64543" s="8"/>
      <c r="I64543" s="102"/>
      <c r="J64543" s="8"/>
      <c r="K64543" s="8"/>
      <c r="L64543" s="8"/>
      <c r="M64543" s="8"/>
      <c r="N64543" s="8"/>
      <c r="O64543" s="8"/>
      <c r="P64543" s="8"/>
      <c r="Q64543" s="8"/>
      <c r="R64543" s="103"/>
      <c r="S64543" s="8"/>
      <c r="T64543" s="8"/>
      <c r="U64543" s="8"/>
      <c r="V64543" s="8"/>
      <c r="W64543" s="8"/>
      <c r="X64543" s="8"/>
      <c r="Y64543" s="8"/>
      <c r="Z64543" s="8"/>
      <c r="AA64543" s="8"/>
    </row>
    <row r="64544" spans="1:27" x14ac:dyDescent="0.25">
      <c r="A64544" s="8"/>
      <c r="B64544" s="8"/>
      <c r="C64544" s="99"/>
      <c r="D64544" s="8"/>
      <c r="E64544" s="8"/>
      <c r="F64544" s="8"/>
      <c r="G64544" s="8"/>
      <c r="H64544" s="8"/>
      <c r="I64544" s="102"/>
      <c r="J64544" s="8"/>
      <c r="K64544" s="8"/>
      <c r="L64544" s="8"/>
      <c r="M64544" s="8"/>
      <c r="N64544" s="8"/>
      <c r="O64544" s="8"/>
      <c r="P64544" s="8"/>
      <c r="Q64544" s="8"/>
      <c r="R64544" s="103"/>
      <c r="S64544" s="8"/>
      <c r="T64544" s="8"/>
      <c r="U64544" s="8"/>
      <c r="V64544" s="8"/>
      <c r="W64544" s="8"/>
      <c r="X64544" s="8"/>
      <c r="Y64544" s="8"/>
      <c r="Z64544" s="8"/>
      <c r="AA64544" s="8"/>
    </row>
    <row r="64545" spans="1:27" x14ac:dyDescent="0.25">
      <c r="A64545" s="8"/>
      <c r="B64545" s="8"/>
      <c r="C64545" s="99"/>
      <c r="D64545" s="8"/>
      <c r="E64545" s="8"/>
      <c r="F64545" s="8"/>
      <c r="G64545" s="8"/>
      <c r="H64545" s="8"/>
      <c r="I64545" s="102"/>
      <c r="J64545" s="8"/>
      <c r="K64545" s="8"/>
      <c r="L64545" s="8"/>
      <c r="M64545" s="8"/>
      <c r="N64545" s="8"/>
      <c r="O64545" s="8"/>
      <c r="P64545" s="8"/>
      <c r="Q64545" s="8"/>
      <c r="R64545" s="103"/>
      <c r="S64545" s="8"/>
      <c r="T64545" s="8"/>
      <c r="U64545" s="8"/>
      <c r="V64545" s="8"/>
      <c r="W64545" s="8"/>
      <c r="X64545" s="8"/>
      <c r="Y64545" s="8"/>
      <c r="Z64545" s="8"/>
      <c r="AA64545" s="8"/>
    </row>
    <row r="64546" spans="1:27" x14ac:dyDescent="0.25">
      <c r="A64546" s="8"/>
      <c r="B64546" s="8"/>
      <c r="C64546" s="99"/>
      <c r="D64546" s="8"/>
      <c r="E64546" s="8"/>
      <c r="F64546" s="8"/>
      <c r="G64546" s="8"/>
      <c r="H64546" s="8"/>
      <c r="I64546" s="102"/>
      <c r="J64546" s="8"/>
      <c r="K64546" s="8"/>
      <c r="L64546" s="8"/>
      <c r="M64546" s="8"/>
      <c r="N64546" s="8"/>
      <c r="O64546" s="8"/>
      <c r="P64546" s="8"/>
      <c r="Q64546" s="8"/>
      <c r="R64546" s="103"/>
      <c r="S64546" s="8"/>
      <c r="T64546" s="8"/>
      <c r="U64546" s="8"/>
      <c r="V64546" s="8"/>
      <c r="W64546" s="8"/>
      <c r="X64546" s="8"/>
      <c r="Y64546" s="8"/>
      <c r="Z64546" s="8"/>
      <c r="AA64546" s="8"/>
    </row>
    <row r="64547" spans="1:27" x14ac:dyDescent="0.25">
      <c r="A64547" s="8"/>
      <c r="B64547" s="8"/>
      <c r="C64547" s="99"/>
      <c r="D64547" s="8"/>
      <c r="E64547" s="8"/>
      <c r="F64547" s="8"/>
      <c r="G64547" s="8"/>
      <c r="H64547" s="8"/>
      <c r="I64547" s="102"/>
      <c r="J64547" s="8"/>
      <c r="K64547" s="8"/>
      <c r="L64547" s="8"/>
      <c r="M64547" s="8"/>
      <c r="N64547" s="8"/>
      <c r="O64547" s="8"/>
      <c r="P64547" s="8"/>
      <c r="Q64547" s="8"/>
      <c r="R64547" s="103"/>
      <c r="S64547" s="8"/>
      <c r="T64547" s="8"/>
      <c r="U64547" s="8"/>
      <c r="V64547" s="8"/>
      <c r="W64547" s="8"/>
      <c r="X64547" s="8"/>
      <c r="Y64547" s="8"/>
      <c r="Z64547" s="8"/>
      <c r="AA64547" s="8"/>
    </row>
    <row r="64548" spans="1:27" x14ac:dyDescent="0.25">
      <c r="A64548" s="8"/>
      <c r="B64548" s="8"/>
      <c r="C64548" s="99"/>
      <c r="D64548" s="8"/>
      <c r="E64548" s="8"/>
      <c r="F64548" s="8"/>
      <c r="G64548" s="8"/>
      <c r="H64548" s="8"/>
      <c r="I64548" s="102"/>
      <c r="J64548" s="8"/>
      <c r="K64548" s="8"/>
      <c r="L64548" s="8"/>
      <c r="M64548" s="8"/>
      <c r="N64548" s="8"/>
      <c r="O64548" s="8"/>
      <c r="P64548" s="8"/>
      <c r="Q64548" s="8"/>
      <c r="R64548" s="103"/>
      <c r="S64548" s="8"/>
      <c r="T64548" s="8"/>
      <c r="U64548" s="8"/>
      <c r="V64548" s="8"/>
      <c r="W64548" s="8"/>
      <c r="X64548" s="8"/>
      <c r="Y64548" s="8"/>
      <c r="Z64548" s="8"/>
      <c r="AA64548" s="8"/>
    </row>
    <row r="64549" spans="1:27" x14ac:dyDescent="0.25">
      <c r="A64549" s="8"/>
      <c r="B64549" s="8"/>
      <c r="C64549" s="99"/>
      <c r="D64549" s="8"/>
      <c r="E64549" s="8"/>
      <c r="F64549" s="8"/>
      <c r="G64549" s="8"/>
      <c r="H64549" s="8"/>
      <c r="I64549" s="102"/>
      <c r="J64549" s="8"/>
      <c r="K64549" s="8"/>
      <c r="L64549" s="8"/>
      <c r="M64549" s="8"/>
      <c r="N64549" s="8"/>
      <c r="O64549" s="8"/>
      <c r="P64549" s="8"/>
      <c r="Q64549" s="8"/>
      <c r="R64549" s="103"/>
      <c r="S64549" s="8"/>
      <c r="T64549" s="8"/>
      <c r="U64549" s="8"/>
      <c r="V64549" s="8"/>
      <c r="W64549" s="8"/>
      <c r="X64549" s="8"/>
      <c r="Y64549" s="8"/>
      <c r="Z64549" s="8"/>
      <c r="AA64549" s="8"/>
    </row>
    <row r="64550" spans="1:27" x14ac:dyDescent="0.25">
      <c r="A64550" s="8"/>
      <c r="B64550" s="8"/>
      <c r="C64550" s="99"/>
      <c r="D64550" s="8"/>
      <c r="E64550" s="8"/>
      <c r="F64550" s="8"/>
      <c r="G64550" s="8"/>
      <c r="H64550" s="8"/>
      <c r="I64550" s="102"/>
      <c r="J64550" s="8"/>
      <c r="K64550" s="8"/>
      <c r="L64550" s="8"/>
      <c r="M64550" s="8"/>
      <c r="N64550" s="8"/>
      <c r="O64550" s="8"/>
      <c r="P64550" s="8"/>
      <c r="Q64550" s="8"/>
      <c r="R64550" s="103"/>
      <c r="S64550" s="8"/>
      <c r="T64550" s="8"/>
      <c r="U64550" s="8"/>
      <c r="V64550" s="8"/>
      <c r="W64550" s="8"/>
      <c r="X64550" s="8"/>
      <c r="Y64550" s="8"/>
      <c r="Z64550" s="8"/>
      <c r="AA64550" s="8"/>
    </row>
    <row r="64551" spans="1:27" x14ac:dyDescent="0.25">
      <c r="A64551" s="8"/>
      <c r="B64551" s="8"/>
      <c r="C64551" s="99"/>
      <c r="D64551" s="8"/>
      <c r="E64551" s="8"/>
      <c r="F64551" s="8"/>
      <c r="G64551" s="8"/>
      <c r="H64551" s="8"/>
      <c r="I64551" s="102"/>
      <c r="J64551" s="8"/>
      <c r="K64551" s="8"/>
      <c r="L64551" s="8"/>
      <c r="M64551" s="8"/>
      <c r="N64551" s="8"/>
      <c r="O64551" s="8"/>
      <c r="P64551" s="8"/>
      <c r="Q64551" s="8"/>
      <c r="R64551" s="103"/>
      <c r="S64551" s="8"/>
      <c r="T64551" s="8"/>
      <c r="U64551" s="8"/>
      <c r="V64551" s="8"/>
      <c r="W64551" s="8"/>
      <c r="X64551" s="8"/>
      <c r="Y64551" s="8"/>
      <c r="Z64551" s="8"/>
      <c r="AA64551" s="8"/>
    </row>
    <row r="64552" spans="1:27" x14ac:dyDescent="0.25">
      <c r="A64552" s="8"/>
      <c r="B64552" s="8"/>
      <c r="C64552" s="99"/>
      <c r="D64552" s="8"/>
      <c r="E64552" s="8"/>
      <c r="F64552" s="8"/>
      <c r="G64552" s="8"/>
      <c r="H64552" s="8"/>
      <c r="I64552" s="102"/>
      <c r="J64552" s="8"/>
      <c r="K64552" s="8"/>
      <c r="L64552" s="8"/>
      <c r="M64552" s="8"/>
      <c r="N64552" s="8"/>
      <c r="O64552" s="8"/>
      <c r="P64552" s="8"/>
      <c r="Q64552" s="8"/>
      <c r="R64552" s="103"/>
      <c r="S64552" s="8"/>
      <c r="T64552" s="8"/>
      <c r="U64552" s="8"/>
      <c r="V64552" s="8"/>
      <c r="W64552" s="8"/>
      <c r="X64552" s="8"/>
      <c r="Y64552" s="8"/>
      <c r="Z64552" s="8"/>
      <c r="AA64552" s="8"/>
    </row>
    <row r="64553" spans="1:27" x14ac:dyDescent="0.25">
      <c r="A64553" s="8"/>
      <c r="B64553" s="8"/>
      <c r="C64553" s="99"/>
      <c r="D64553" s="8"/>
      <c r="E64553" s="8"/>
      <c r="F64553" s="8"/>
      <c r="G64553" s="8"/>
      <c r="H64553" s="8"/>
      <c r="I64553" s="102"/>
      <c r="J64553" s="8"/>
      <c r="K64553" s="8"/>
      <c r="L64553" s="8"/>
      <c r="M64553" s="8"/>
      <c r="N64553" s="8"/>
      <c r="O64553" s="8"/>
      <c r="P64553" s="8"/>
      <c r="Q64553" s="8"/>
      <c r="R64553" s="103"/>
      <c r="S64553" s="8"/>
      <c r="T64553" s="8"/>
      <c r="U64553" s="8"/>
      <c r="V64553" s="8"/>
      <c r="W64553" s="8"/>
      <c r="X64553" s="8"/>
      <c r="Y64553" s="8"/>
      <c r="Z64553" s="8"/>
      <c r="AA64553" s="8"/>
    </row>
    <row r="64554" spans="1:27" x14ac:dyDescent="0.25">
      <c r="A64554" s="8"/>
      <c r="B64554" s="8"/>
      <c r="C64554" s="99"/>
      <c r="D64554" s="8"/>
      <c r="E64554" s="8"/>
      <c r="F64554" s="8"/>
      <c r="G64554" s="8"/>
      <c r="H64554" s="8"/>
      <c r="I64554" s="102"/>
      <c r="J64554" s="8"/>
      <c r="K64554" s="8"/>
      <c r="L64554" s="8"/>
      <c r="M64554" s="8"/>
      <c r="N64554" s="8"/>
      <c r="O64554" s="8"/>
      <c r="P64554" s="8"/>
      <c r="Q64554" s="8"/>
      <c r="R64554" s="103"/>
      <c r="S64554" s="8"/>
      <c r="T64554" s="8"/>
      <c r="U64554" s="8"/>
      <c r="V64554" s="8"/>
      <c r="W64554" s="8"/>
      <c r="X64554" s="8"/>
      <c r="Y64554" s="8"/>
      <c r="Z64554" s="8"/>
      <c r="AA64554" s="8"/>
    </row>
    <row r="64555" spans="1:27" x14ac:dyDescent="0.25">
      <c r="A64555" s="8"/>
      <c r="B64555" s="8"/>
      <c r="C64555" s="99"/>
      <c r="D64555" s="8"/>
      <c r="E64555" s="8"/>
      <c r="F64555" s="8"/>
      <c r="G64555" s="8"/>
      <c r="H64555" s="8"/>
      <c r="I64555" s="102"/>
      <c r="J64555" s="8"/>
      <c r="K64555" s="8"/>
      <c r="L64555" s="8"/>
      <c r="M64555" s="8"/>
      <c r="N64555" s="8"/>
      <c r="O64555" s="8"/>
      <c r="P64555" s="8"/>
      <c r="Q64555" s="8"/>
      <c r="R64555" s="103"/>
      <c r="S64555" s="8"/>
      <c r="T64555" s="8"/>
      <c r="U64555" s="8"/>
      <c r="V64555" s="8"/>
      <c r="W64555" s="8"/>
      <c r="X64555" s="8"/>
      <c r="Y64555" s="8"/>
      <c r="Z64555" s="8"/>
      <c r="AA64555" s="8"/>
    </row>
    <row r="64556" spans="1:27" x14ac:dyDescent="0.25">
      <c r="A64556" s="8"/>
      <c r="B64556" s="8"/>
      <c r="C64556" s="99"/>
      <c r="D64556" s="8"/>
      <c r="E64556" s="8"/>
      <c r="F64556" s="8"/>
      <c r="G64556" s="8"/>
      <c r="H64556" s="8"/>
      <c r="I64556" s="102"/>
      <c r="J64556" s="8"/>
      <c r="K64556" s="8"/>
      <c r="L64556" s="8"/>
      <c r="M64556" s="8"/>
      <c r="N64556" s="8"/>
      <c r="O64556" s="8"/>
      <c r="P64556" s="8"/>
      <c r="Q64556" s="8"/>
      <c r="R64556" s="103"/>
      <c r="S64556" s="8"/>
      <c r="T64556" s="8"/>
      <c r="U64556" s="8"/>
      <c r="V64556" s="8"/>
      <c r="W64556" s="8"/>
      <c r="X64556" s="8"/>
      <c r="Y64556" s="8"/>
      <c r="Z64556" s="8"/>
      <c r="AA64556" s="8"/>
    </row>
    <row r="64557" spans="1:27" x14ac:dyDescent="0.25">
      <c r="A64557" s="8"/>
      <c r="B64557" s="8"/>
      <c r="C64557" s="99"/>
      <c r="D64557" s="8"/>
      <c r="E64557" s="8"/>
      <c r="F64557" s="8"/>
      <c r="G64557" s="8"/>
      <c r="H64557" s="8"/>
      <c r="I64557" s="102"/>
      <c r="J64557" s="8"/>
      <c r="K64557" s="8"/>
      <c r="L64557" s="8"/>
      <c r="M64557" s="8"/>
      <c r="N64557" s="8"/>
      <c r="O64557" s="8"/>
      <c r="P64557" s="8"/>
      <c r="Q64557" s="8"/>
      <c r="R64557" s="103"/>
      <c r="S64557" s="8"/>
      <c r="T64557" s="8"/>
      <c r="U64557" s="8"/>
      <c r="V64557" s="8"/>
      <c r="W64557" s="8"/>
      <c r="X64557" s="8"/>
      <c r="Y64557" s="8"/>
      <c r="Z64557" s="8"/>
      <c r="AA64557" s="8"/>
    </row>
    <row r="64558" spans="1:27" x14ac:dyDescent="0.25">
      <c r="A64558" s="8"/>
      <c r="B64558" s="8"/>
      <c r="C64558" s="99"/>
      <c r="D64558" s="8"/>
      <c r="E64558" s="8"/>
      <c r="F64558" s="8"/>
      <c r="G64558" s="8"/>
      <c r="H64558" s="8"/>
      <c r="I64558" s="102"/>
      <c r="J64558" s="8"/>
      <c r="K64558" s="8"/>
      <c r="L64558" s="8"/>
      <c r="M64558" s="8"/>
      <c r="N64558" s="8"/>
      <c r="O64558" s="8"/>
      <c r="P64558" s="8"/>
      <c r="Q64558" s="8"/>
      <c r="R64558" s="103"/>
      <c r="S64558" s="8"/>
      <c r="T64558" s="8"/>
      <c r="U64558" s="8"/>
      <c r="V64558" s="8"/>
      <c r="W64558" s="8"/>
      <c r="X64558" s="8"/>
      <c r="Y64558" s="8"/>
      <c r="Z64558" s="8"/>
      <c r="AA64558" s="8"/>
    </row>
    <row r="64559" spans="1:27" x14ac:dyDescent="0.25">
      <c r="A64559" s="8"/>
      <c r="B64559" s="8"/>
      <c r="C64559" s="99"/>
      <c r="D64559" s="8"/>
      <c r="E64559" s="8"/>
      <c r="F64559" s="8"/>
      <c r="G64559" s="8"/>
      <c r="H64559" s="8"/>
      <c r="I64559" s="102"/>
      <c r="J64559" s="8"/>
      <c r="K64559" s="8"/>
      <c r="L64559" s="8"/>
      <c r="M64559" s="8"/>
      <c r="N64559" s="8"/>
      <c r="O64559" s="8"/>
      <c r="P64559" s="8"/>
      <c r="Q64559" s="8"/>
      <c r="R64559" s="103"/>
      <c r="S64559" s="8"/>
      <c r="T64559" s="8"/>
      <c r="U64559" s="8"/>
      <c r="V64559" s="8"/>
      <c r="W64559" s="8"/>
      <c r="X64559" s="8"/>
      <c r="Y64559" s="8"/>
      <c r="Z64559" s="8"/>
      <c r="AA64559" s="8"/>
    </row>
    <row r="64560" spans="1:27" x14ac:dyDescent="0.25">
      <c r="A64560" s="8"/>
      <c r="B64560" s="8"/>
      <c r="C64560" s="99"/>
      <c r="D64560" s="8"/>
      <c r="E64560" s="8"/>
      <c r="F64560" s="8"/>
      <c r="G64560" s="8"/>
      <c r="H64560" s="8"/>
      <c r="I64560" s="102"/>
      <c r="J64560" s="8"/>
      <c r="K64560" s="8"/>
      <c r="L64560" s="8"/>
      <c r="M64560" s="8"/>
      <c r="N64560" s="8"/>
      <c r="O64560" s="8"/>
      <c r="P64560" s="8"/>
      <c r="Q64560" s="8"/>
      <c r="R64560" s="103"/>
      <c r="S64560" s="8"/>
      <c r="T64560" s="8"/>
      <c r="U64560" s="8"/>
      <c r="V64560" s="8"/>
      <c r="W64560" s="8"/>
      <c r="X64560" s="8"/>
      <c r="Y64560" s="8"/>
      <c r="Z64560" s="8"/>
      <c r="AA64560" s="8"/>
    </row>
    <row r="64561" spans="1:27" x14ac:dyDescent="0.25">
      <c r="A64561" s="8"/>
      <c r="B64561" s="8"/>
      <c r="C64561" s="99"/>
      <c r="D64561" s="8"/>
      <c r="E64561" s="8"/>
      <c r="F64561" s="8"/>
      <c r="G64561" s="8"/>
      <c r="H64561" s="8"/>
      <c r="I64561" s="102"/>
      <c r="J64561" s="8"/>
      <c r="K64561" s="8"/>
      <c r="L64561" s="8"/>
      <c r="M64561" s="8"/>
      <c r="N64561" s="8"/>
      <c r="O64561" s="8"/>
      <c r="P64561" s="8"/>
      <c r="Q64561" s="8"/>
      <c r="R64561" s="103"/>
      <c r="S64561" s="8"/>
      <c r="T64561" s="8"/>
      <c r="U64561" s="8"/>
      <c r="V64561" s="8"/>
      <c r="W64561" s="8"/>
      <c r="X64561" s="8"/>
      <c r="Y64561" s="8"/>
      <c r="Z64561" s="8"/>
      <c r="AA64561" s="8"/>
    </row>
    <row r="64562" spans="1:27" x14ac:dyDescent="0.25">
      <c r="A64562" s="8"/>
      <c r="B64562" s="8"/>
      <c r="C64562" s="99"/>
      <c r="D64562" s="8"/>
      <c r="E64562" s="8"/>
      <c r="F64562" s="8"/>
      <c r="G64562" s="8"/>
      <c r="H64562" s="8"/>
      <c r="I64562" s="102"/>
      <c r="J64562" s="8"/>
      <c r="K64562" s="8"/>
      <c r="L64562" s="8"/>
      <c r="M64562" s="8"/>
      <c r="N64562" s="8"/>
      <c r="O64562" s="8"/>
      <c r="P64562" s="8"/>
      <c r="Q64562" s="8"/>
      <c r="R64562" s="103"/>
      <c r="S64562" s="8"/>
      <c r="T64562" s="8"/>
      <c r="U64562" s="8"/>
      <c r="V64562" s="8"/>
      <c r="W64562" s="8"/>
      <c r="X64562" s="8"/>
      <c r="Y64562" s="8"/>
      <c r="Z64562" s="8"/>
      <c r="AA64562" s="8"/>
    </row>
    <row r="64563" spans="1:27" x14ac:dyDescent="0.25">
      <c r="A64563" s="8"/>
      <c r="B64563" s="8"/>
      <c r="C64563" s="99"/>
      <c r="D64563" s="8"/>
      <c r="E64563" s="8"/>
      <c r="F64563" s="8"/>
      <c r="G64563" s="8"/>
      <c r="H64563" s="8"/>
      <c r="I64563" s="102"/>
      <c r="J64563" s="8"/>
      <c r="K64563" s="8"/>
      <c r="L64563" s="8"/>
      <c r="M64563" s="8"/>
      <c r="N64563" s="8"/>
      <c r="O64563" s="8"/>
      <c r="P64563" s="8"/>
      <c r="Q64563" s="8"/>
      <c r="R64563" s="103"/>
      <c r="S64563" s="8"/>
      <c r="T64563" s="8"/>
      <c r="U64563" s="8"/>
      <c r="V64563" s="8"/>
      <c r="W64563" s="8"/>
      <c r="X64563" s="8"/>
      <c r="Y64563" s="8"/>
      <c r="Z64563" s="8"/>
      <c r="AA64563" s="8"/>
    </row>
    <row r="64564" spans="1:27" x14ac:dyDescent="0.25">
      <c r="A64564" s="8"/>
      <c r="B64564" s="8"/>
      <c r="C64564" s="99"/>
      <c r="D64564" s="8"/>
      <c r="E64564" s="8"/>
      <c r="F64564" s="8"/>
      <c r="G64564" s="8"/>
      <c r="H64564" s="8"/>
      <c r="I64564" s="102"/>
      <c r="J64564" s="8"/>
      <c r="K64564" s="8"/>
      <c r="L64564" s="8"/>
      <c r="M64564" s="8"/>
      <c r="N64564" s="8"/>
      <c r="O64564" s="8"/>
      <c r="P64564" s="8"/>
      <c r="Q64564" s="8"/>
      <c r="R64564" s="103"/>
      <c r="S64564" s="8"/>
      <c r="T64564" s="8"/>
      <c r="U64564" s="8"/>
      <c r="V64564" s="8"/>
      <c r="W64564" s="8"/>
      <c r="X64564" s="8"/>
      <c r="Y64564" s="8"/>
      <c r="Z64564" s="8"/>
      <c r="AA64564" s="8"/>
    </row>
    <row r="64565" spans="1:27" x14ac:dyDescent="0.25">
      <c r="A64565" s="8"/>
      <c r="B64565" s="8"/>
      <c r="C64565" s="99"/>
      <c r="D64565" s="8"/>
      <c r="E64565" s="8"/>
      <c r="F64565" s="8"/>
      <c r="G64565" s="8"/>
      <c r="H64565" s="8"/>
      <c r="I64565" s="102"/>
      <c r="J64565" s="8"/>
      <c r="K64565" s="8"/>
      <c r="L64565" s="8"/>
      <c r="M64565" s="8"/>
      <c r="N64565" s="8"/>
      <c r="O64565" s="8"/>
      <c r="P64565" s="8"/>
      <c r="Q64565" s="8"/>
      <c r="R64565" s="103"/>
      <c r="S64565" s="8"/>
      <c r="T64565" s="8"/>
      <c r="U64565" s="8"/>
      <c r="V64565" s="8"/>
      <c r="W64565" s="8"/>
      <c r="X64565" s="8"/>
      <c r="Y64565" s="8"/>
      <c r="Z64565" s="8"/>
      <c r="AA64565" s="8"/>
    </row>
    <row r="64566" spans="1:27" x14ac:dyDescent="0.25">
      <c r="A64566" s="8"/>
      <c r="B64566" s="8"/>
      <c r="C64566" s="99"/>
      <c r="D64566" s="8"/>
      <c r="E64566" s="8"/>
      <c r="F64566" s="8"/>
      <c r="G64566" s="8"/>
      <c r="H64566" s="8"/>
      <c r="I64566" s="102"/>
      <c r="J64566" s="8"/>
      <c r="K64566" s="8"/>
      <c r="L64566" s="8"/>
      <c r="M64566" s="8"/>
      <c r="N64566" s="8"/>
      <c r="O64566" s="8"/>
      <c r="P64566" s="8"/>
      <c r="Q64566" s="8"/>
      <c r="R64566" s="103"/>
      <c r="S64566" s="8"/>
      <c r="T64566" s="8"/>
      <c r="U64566" s="8"/>
      <c r="V64566" s="8"/>
      <c r="W64566" s="8"/>
      <c r="X64566" s="8"/>
      <c r="Y64566" s="8"/>
      <c r="Z64566" s="8"/>
      <c r="AA64566" s="8"/>
    </row>
    <row r="64567" spans="1:27" x14ac:dyDescent="0.25">
      <c r="A64567" s="8"/>
      <c r="B64567" s="8"/>
      <c r="C64567" s="99"/>
      <c r="D64567" s="8"/>
      <c r="E64567" s="8"/>
      <c r="F64567" s="8"/>
      <c r="G64567" s="8"/>
      <c r="H64567" s="8"/>
      <c r="I64567" s="102"/>
      <c r="J64567" s="8"/>
      <c r="K64567" s="8"/>
      <c r="L64567" s="8"/>
      <c r="M64567" s="8"/>
      <c r="N64567" s="8"/>
      <c r="O64567" s="8"/>
      <c r="P64567" s="8"/>
      <c r="Q64567" s="8"/>
      <c r="R64567" s="103"/>
      <c r="S64567" s="8"/>
      <c r="T64567" s="8"/>
      <c r="U64567" s="8"/>
      <c r="V64567" s="8"/>
      <c r="W64567" s="8"/>
      <c r="X64567" s="8"/>
      <c r="Y64567" s="8"/>
      <c r="Z64567" s="8"/>
      <c r="AA64567" s="8"/>
    </row>
    <row r="64568" spans="1:27" x14ac:dyDescent="0.25">
      <c r="A64568" s="8"/>
      <c r="B64568" s="8"/>
      <c r="C64568" s="99"/>
      <c r="D64568" s="8"/>
      <c r="E64568" s="8"/>
      <c r="F64568" s="8"/>
      <c r="G64568" s="8"/>
      <c r="H64568" s="8"/>
      <c r="I64568" s="102"/>
      <c r="J64568" s="8"/>
      <c r="K64568" s="8"/>
      <c r="L64568" s="8"/>
      <c r="M64568" s="8"/>
      <c r="N64568" s="8"/>
      <c r="O64568" s="8"/>
      <c r="P64568" s="8"/>
      <c r="Q64568" s="8"/>
      <c r="R64568" s="103"/>
      <c r="S64568" s="8"/>
      <c r="T64568" s="8"/>
      <c r="U64568" s="8"/>
      <c r="V64568" s="8"/>
      <c r="W64568" s="8"/>
      <c r="X64568" s="8"/>
      <c r="Y64568" s="8"/>
      <c r="Z64568" s="8"/>
      <c r="AA64568" s="8"/>
    </row>
    <row r="64569" spans="1:27" x14ac:dyDescent="0.25">
      <c r="A64569" s="8"/>
      <c r="B64569" s="8"/>
      <c r="C64569" s="99"/>
      <c r="D64569" s="8"/>
      <c r="E64569" s="8"/>
      <c r="F64569" s="8"/>
      <c r="G64569" s="8"/>
      <c r="H64569" s="8"/>
      <c r="I64569" s="102"/>
      <c r="J64569" s="8"/>
      <c r="K64569" s="8"/>
      <c r="L64569" s="8"/>
      <c r="M64569" s="8"/>
      <c r="N64569" s="8"/>
      <c r="O64569" s="8"/>
      <c r="P64569" s="8"/>
      <c r="Q64569" s="8"/>
      <c r="R64569" s="103"/>
      <c r="S64569" s="8"/>
      <c r="T64569" s="8"/>
      <c r="U64569" s="8"/>
      <c r="V64569" s="8"/>
      <c r="W64569" s="8"/>
      <c r="X64569" s="8"/>
      <c r="Y64569" s="8"/>
      <c r="Z64569" s="8"/>
      <c r="AA64569" s="8"/>
    </row>
    <row r="64570" spans="1:27" x14ac:dyDescent="0.25">
      <c r="A64570" s="8"/>
      <c r="B64570" s="8"/>
      <c r="C64570" s="99"/>
      <c r="D64570" s="8"/>
      <c r="E64570" s="8"/>
      <c r="F64570" s="8"/>
      <c r="G64570" s="8"/>
      <c r="H64570" s="8"/>
      <c r="I64570" s="102"/>
      <c r="J64570" s="8"/>
      <c r="K64570" s="8"/>
      <c r="L64570" s="8"/>
      <c r="M64570" s="8"/>
      <c r="N64570" s="8"/>
      <c r="O64570" s="8"/>
      <c r="P64570" s="8"/>
      <c r="Q64570" s="8"/>
      <c r="R64570" s="103"/>
      <c r="S64570" s="8"/>
      <c r="T64570" s="8"/>
      <c r="U64570" s="8"/>
      <c r="V64570" s="8"/>
      <c r="W64570" s="8"/>
      <c r="X64570" s="8"/>
      <c r="Y64570" s="8"/>
      <c r="Z64570" s="8"/>
      <c r="AA64570" s="8"/>
    </row>
    <row r="64571" spans="1:27" x14ac:dyDescent="0.25">
      <c r="A64571" s="8"/>
      <c r="B64571" s="8"/>
      <c r="C64571" s="99"/>
      <c r="D64571" s="8"/>
      <c r="E64571" s="8"/>
      <c r="F64571" s="8"/>
      <c r="G64571" s="8"/>
      <c r="H64571" s="8"/>
      <c r="I64571" s="102"/>
      <c r="J64571" s="8"/>
      <c r="K64571" s="8"/>
      <c r="L64571" s="8"/>
      <c r="M64571" s="8"/>
      <c r="N64571" s="8"/>
      <c r="O64571" s="8"/>
      <c r="P64571" s="8"/>
      <c r="Q64571" s="8"/>
      <c r="R64571" s="103"/>
      <c r="S64571" s="8"/>
      <c r="T64571" s="8"/>
      <c r="U64571" s="8"/>
      <c r="V64571" s="8"/>
      <c r="W64571" s="8"/>
      <c r="X64571" s="8"/>
      <c r="Y64571" s="8"/>
      <c r="Z64571" s="8"/>
      <c r="AA64571" s="8"/>
    </row>
    <row r="64572" spans="1:27" x14ac:dyDescent="0.25">
      <c r="A64572" s="8"/>
      <c r="B64572" s="8"/>
      <c r="C64572" s="99"/>
      <c r="D64572" s="8"/>
      <c r="E64572" s="8"/>
      <c r="F64572" s="8"/>
      <c r="G64572" s="8"/>
      <c r="H64572" s="8"/>
      <c r="I64572" s="102"/>
      <c r="J64572" s="8"/>
      <c r="K64572" s="8"/>
      <c r="L64572" s="8"/>
      <c r="M64572" s="8"/>
      <c r="N64572" s="8"/>
      <c r="O64572" s="8"/>
      <c r="P64572" s="8"/>
      <c r="Q64572" s="8"/>
      <c r="R64572" s="103"/>
      <c r="S64572" s="8"/>
      <c r="T64572" s="8"/>
      <c r="U64572" s="8"/>
      <c r="V64572" s="8"/>
      <c r="W64572" s="8"/>
      <c r="X64572" s="8"/>
      <c r="Y64572" s="8"/>
      <c r="Z64572" s="8"/>
      <c r="AA64572" s="8"/>
    </row>
    <row r="64573" spans="1:27" x14ac:dyDescent="0.25">
      <c r="A64573" s="8"/>
      <c r="B64573" s="8"/>
      <c r="C64573" s="99"/>
      <c r="D64573" s="8"/>
      <c r="E64573" s="8"/>
      <c r="F64573" s="8"/>
      <c r="G64573" s="8"/>
      <c r="H64573" s="8"/>
      <c r="I64573" s="102"/>
      <c r="J64573" s="8"/>
      <c r="K64573" s="8"/>
      <c r="L64573" s="8"/>
      <c r="M64573" s="8"/>
      <c r="N64573" s="8"/>
      <c r="O64573" s="8"/>
      <c r="P64573" s="8"/>
      <c r="Q64573" s="8"/>
      <c r="R64573" s="103"/>
      <c r="S64573" s="8"/>
      <c r="T64573" s="8"/>
      <c r="U64573" s="8"/>
      <c r="V64573" s="8"/>
      <c r="W64573" s="8"/>
      <c r="X64573" s="8"/>
      <c r="Y64573" s="8"/>
      <c r="Z64573" s="8"/>
      <c r="AA64573" s="8"/>
    </row>
    <row r="64574" spans="1:27" x14ac:dyDescent="0.25">
      <c r="A64574" s="8"/>
      <c r="B64574" s="8"/>
      <c r="C64574" s="99"/>
      <c r="D64574" s="8"/>
      <c r="E64574" s="8"/>
      <c r="F64574" s="8"/>
      <c r="G64574" s="8"/>
      <c r="H64574" s="8"/>
      <c r="I64574" s="102"/>
      <c r="J64574" s="8"/>
      <c r="K64574" s="8"/>
      <c r="L64574" s="8"/>
      <c r="M64574" s="8"/>
      <c r="N64574" s="8"/>
      <c r="O64574" s="8"/>
      <c r="P64574" s="8"/>
      <c r="Q64574" s="8"/>
      <c r="R64574" s="103"/>
      <c r="S64574" s="8"/>
      <c r="T64574" s="8"/>
      <c r="U64574" s="8"/>
      <c r="V64574" s="8"/>
      <c r="W64574" s="8"/>
      <c r="X64574" s="8"/>
      <c r="Y64574" s="8"/>
      <c r="Z64574" s="8"/>
      <c r="AA64574" s="8"/>
    </row>
    <row r="64575" spans="1:27" x14ac:dyDescent="0.25">
      <c r="A64575" s="8"/>
      <c r="B64575" s="8"/>
      <c r="C64575" s="99"/>
      <c r="D64575" s="8"/>
      <c r="E64575" s="8"/>
      <c r="F64575" s="8"/>
      <c r="G64575" s="8"/>
      <c r="H64575" s="8"/>
      <c r="I64575" s="102"/>
      <c r="J64575" s="8"/>
      <c r="K64575" s="8"/>
      <c r="L64575" s="8"/>
      <c r="M64575" s="8"/>
      <c r="N64575" s="8"/>
      <c r="O64575" s="8"/>
      <c r="P64575" s="8"/>
      <c r="Q64575" s="8"/>
      <c r="R64575" s="103"/>
      <c r="S64575" s="8"/>
      <c r="T64575" s="8"/>
      <c r="U64575" s="8"/>
      <c r="V64575" s="8"/>
      <c r="W64575" s="8"/>
      <c r="X64575" s="8"/>
      <c r="Y64575" s="8"/>
      <c r="Z64575" s="8"/>
      <c r="AA64575" s="8"/>
    </row>
    <row r="64576" spans="1:27" x14ac:dyDescent="0.25">
      <c r="A64576" s="8"/>
      <c r="B64576" s="8"/>
      <c r="C64576" s="99"/>
      <c r="D64576" s="8"/>
      <c r="E64576" s="8"/>
      <c r="F64576" s="8"/>
      <c r="G64576" s="8"/>
      <c r="H64576" s="8"/>
      <c r="I64576" s="102"/>
      <c r="J64576" s="8"/>
      <c r="K64576" s="8"/>
      <c r="L64576" s="8"/>
      <c r="M64576" s="8"/>
      <c r="N64576" s="8"/>
      <c r="O64576" s="8"/>
      <c r="P64576" s="8"/>
      <c r="Q64576" s="8"/>
      <c r="R64576" s="103"/>
      <c r="S64576" s="8"/>
      <c r="T64576" s="8"/>
      <c r="U64576" s="8"/>
      <c r="V64576" s="8"/>
      <c r="W64576" s="8"/>
      <c r="X64576" s="8"/>
      <c r="Y64576" s="8"/>
      <c r="Z64576" s="8"/>
      <c r="AA64576" s="8"/>
    </row>
    <row r="64577" spans="1:27" x14ac:dyDescent="0.25">
      <c r="A64577" s="8"/>
      <c r="B64577" s="8"/>
      <c r="C64577" s="99"/>
      <c r="D64577" s="8"/>
      <c r="E64577" s="8"/>
      <c r="F64577" s="8"/>
      <c r="G64577" s="8"/>
      <c r="H64577" s="8"/>
      <c r="I64577" s="102"/>
      <c r="J64577" s="8"/>
      <c r="K64577" s="8"/>
      <c r="L64577" s="8"/>
      <c r="M64577" s="8"/>
      <c r="N64577" s="8"/>
      <c r="O64577" s="8"/>
      <c r="P64577" s="8"/>
      <c r="Q64577" s="8"/>
      <c r="R64577" s="103"/>
      <c r="S64577" s="8"/>
      <c r="T64577" s="8"/>
      <c r="U64577" s="8"/>
      <c r="V64577" s="8"/>
      <c r="W64577" s="8"/>
      <c r="X64577" s="8"/>
      <c r="Y64577" s="8"/>
      <c r="Z64577" s="8"/>
      <c r="AA64577" s="8"/>
    </row>
    <row r="64578" spans="1:27" x14ac:dyDescent="0.25">
      <c r="A64578" s="8"/>
      <c r="B64578" s="8"/>
      <c r="C64578" s="99"/>
      <c r="D64578" s="8"/>
      <c r="E64578" s="8"/>
      <c r="F64578" s="8"/>
      <c r="G64578" s="8"/>
      <c r="H64578" s="8"/>
      <c r="I64578" s="102"/>
      <c r="J64578" s="8"/>
      <c r="K64578" s="8"/>
      <c r="L64578" s="8"/>
      <c r="M64578" s="8"/>
      <c r="N64578" s="8"/>
      <c r="O64578" s="8"/>
      <c r="P64578" s="8"/>
      <c r="Q64578" s="8"/>
      <c r="R64578" s="103"/>
      <c r="S64578" s="8"/>
      <c r="T64578" s="8"/>
      <c r="U64578" s="8"/>
      <c r="V64578" s="8"/>
      <c r="W64578" s="8"/>
      <c r="X64578" s="8"/>
      <c r="Y64578" s="8"/>
      <c r="Z64578" s="8"/>
      <c r="AA64578" s="8"/>
    </row>
    <row r="64579" spans="1:27" x14ac:dyDescent="0.25">
      <c r="A64579" s="8"/>
      <c r="B64579" s="8"/>
      <c r="C64579" s="99"/>
      <c r="D64579" s="8"/>
      <c r="E64579" s="8"/>
      <c r="F64579" s="8"/>
      <c r="G64579" s="8"/>
      <c r="H64579" s="8"/>
      <c r="I64579" s="102"/>
      <c r="J64579" s="8"/>
      <c r="K64579" s="8"/>
      <c r="L64579" s="8"/>
      <c r="M64579" s="8"/>
      <c r="N64579" s="8"/>
      <c r="O64579" s="8"/>
      <c r="P64579" s="8"/>
      <c r="Q64579" s="8"/>
      <c r="R64579" s="103"/>
      <c r="S64579" s="8"/>
      <c r="T64579" s="8"/>
      <c r="U64579" s="8"/>
      <c r="V64579" s="8"/>
      <c r="W64579" s="8"/>
      <c r="X64579" s="8"/>
      <c r="Y64579" s="8"/>
      <c r="Z64579" s="8"/>
      <c r="AA64579" s="8"/>
    </row>
    <row r="64580" spans="1:27" x14ac:dyDescent="0.25">
      <c r="A64580" s="8"/>
      <c r="B64580" s="8"/>
      <c r="C64580" s="99"/>
      <c r="D64580" s="8"/>
      <c r="E64580" s="8"/>
      <c r="F64580" s="8"/>
      <c r="G64580" s="8"/>
      <c r="H64580" s="8"/>
      <c r="I64580" s="102"/>
      <c r="J64580" s="8"/>
      <c r="K64580" s="8"/>
      <c r="L64580" s="8"/>
      <c r="M64580" s="8"/>
      <c r="N64580" s="8"/>
      <c r="O64580" s="8"/>
      <c r="P64580" s="8"/>
      <c r="Q64580" s="8"/>
      <c r="R64580" s="103"/>
      <c r="S64580" s="8"/>
      <c r="T64580" s="8"/>
      <c r="U64580" s="8"/>
      <c r="V64580" s="8"/>
      <c r="W64580" s="8"/>
      <c r="X64580" s="8"/>
      <c r="Y64580" s="8"/>
      <c r="Z64580" s="8"/>
      <c r="AA64580" s="8"/>
    </row>
    <row r="64581" spans="1:27" x14ac:dyDescent="0.25">
      <c r="A64581" s="8"/>
      <c r="B64581" s="8"/>
      <c r="C64581" s="99"/>
      <c r="D64581" s="8"/>
      <c r="E64581" s="8"/>
      <c r="F64581" s="8"/>
      <c r="G64581" s="8"/>
      <c r="H64581" s="8"/>
      <c r="I64581" s="102"/>
      <c r="J64581" s="8"/>
      <c r="K64581" s="8"/>
      <c r="L64581" s="8"/>
      <c r="M64581" s="8"/>
      <c r="N64581" s="8"/>
      <c r="O64581" s="8"/>
      <c r="P64581" s="8"/>
      <c r="Q64581" s="8"/>
      <c r="R64581" s="103"/>
      <c r="S64581" s="8"/>
      <c r="T64581" s="8"/>
      <c r="U64581" s="8"/>
      <c r="V64581" s="8"/>
      <c r="W64581" s="8"/>
      <c r="X64581" s="8"/>
      <c r="Y64581" s="8"/>
      <c r="Z64581" s="8"/>
      <c r="AA64581" s="8"/>
    </row>
    <row r="64582" spans="1:27" x14ac:dyDescent="0.25">
      <c r="A64582" s="8"/>
      <c r="B64582" s="8"/>
      <c r="C64582" s="99"/>
      <c r="D64582" s="8"/>
      <c r="E64582" s="8"/>
      <c r="F64582" s="8"/>
      <c r="G64582" s="8"/>
      <c r="H64582" s="8"/>
      <c r="I64582" s="102"/>
      <c r="J64582" s="8"/>
      <c r="K64582" s="8"/>
      <c r="L64582" s="8"/>
      <c r="M64582" s="8"/>
      <c r="N64582" s="8"/>
      <c r="O64582" s="8"/>
      <c r="P64582" s="8"/>
      <c r="Q64582" s="8"/>
      <c r="R64582" s="103"/>
      <c r="S64582" s="8"/>
      <c r="T64582" s="8"/>
      <c r="U64582" s="8"/>
      <c r="V64582" s="8"/>
      <c r="W64582" s="8"/>
      <c r="X64582" s="8"/>
      <c r="Y64582" s="8"/>
      <c r="Z64582" s="8"/>
      <c r="AA64582" s="8"/>
    </row>
    <row r="64583" spans="1:27" x14ac:dyDescent="0.25">
      <c r="A64583" s="8"/>
      <c r="B64583" s="8"/>
      <c r="C64583" s="99"/>
      <c r="D64583" s="8"/>
      <c r="E64583" s="8"/>
      <c r="F64583" s="8"/>
      <c r="G64583" s="8"/>
      <c r="H64583" s="8"/>
      <c r="I64583" s="102"/>
      <c r="J64583" s="8"/>
      <c r="K64583" s="8"/>
      <c r="L64583" s="8"/>
      <c r="M64583" s="8"/>
      <c r="N64583" s="8"/>
      <c r="O64583" s="8"/>
      <c r="P64583" s="8"/>
      <c r="Q64583" s="8"/>
      <c r="R64583" s="103"/>
      <c r="S64583" s="8"/>
      <c r="T64583" s="8"/>
      <c r="U64583" s="8"/>
      <c r="V64583" s="8"/>
      <c r="W64583" s="8"/>
      <c r="X64583" s="8"/>
      <c r="Y64583" s="8"/>
      <c r="Z64583" s="8"/>
      <c r="AA64583" s="8"/>
    </row>
    <row r="64584" spans="1:27" x14ac:dyDescent="0.25">
      <c r="A64584" s="8"/>
      <c r="B64584" s="8"/>
      <c r="C64584" s="99"/>
      <c r="D64584" s="8"/>
      <c r="E64584" s="8"/>
      <c r="F64584" s="8"/>
      <c r="G64584" s="8"/>
      <c r="H64584" s="8"/>
      <c r="I64584" s="102"/>
      <c r="J64584" s="8"/>
      <c r="K64584" s="8"/>
      <c r="L64584" s="8"/>
      <c r="M64584" s="8"/>
      <c r="N64584" s="8"/>
      <c r="O64584" s="8"/>
      <c r="P64584" s="8"/>
      <c r="Q64584" s="8"/>
      <c r="R64584" s="103"/>
      <c r="S64584" s="8"/>
      <c r="T64584" s="8"/>
      <c r="U64584" s="8"/>
      <c r="V64584" s="8"/>
      <c r="W64584" s="8"/>
      <c r="X64584" s="8"/>
      <c r="Y64584" s="8"/>
      <c r="Z64584" s="8"/>
      <c r="AA64584" s="8"/>
    </row>
    <row r="64585" spans="1:27" x14ac:dyDescent="0.25">
      <c r="A64585" s="8"/>
      <c r="B64585" s="8"/>
      <c r="C64585" s="99"/>
      <c r="D64585" s="8"/>
      <c r="E64585" s="8"/>
      <c r="F64585" s="8"/>
      <c r="G64585" s="8"/>
      <c r="H64585" s="8"/>
      <c r="I64585" s="102"/>
      <c r="J64585" s="8"/>
      <c r="K64585" s="8"/>
      <c r="L64585" s="8"/>
      <c r="M64585" s="8"/>
      <c r="N64585" s="8"/>
      <c r="O64585" s="8"/>
      <c r="P64585" s="8"/>
      <c r="Q64585" s="8"/>
      <c r="R64585" s="103"/>
      <c r="S64585" s="8"/>
      <c r="T64585" s="8"/>
      <c r="U64585" s="8"/>
      <c r="V64585" s="8"/>
      <c r="W64585" s="8"/>
      <c r="X64585" s="8"/>
      <c r="Y64585" s="8"/>
      <c r="Z64585" s="8"/>
      <c r="AA64585" s="8"/>
    </row>
    <row r="64586" spans="1:27" x14ac:dyDescent="0.25">
      <c r="A64586" s="8"/>
      <c r="B64586" s="8"/>
      <c r="C64586" s="99"/>
      <c r="D64586" s="8"/>
      <c r="E64586" s="8"/>
      <c r="F64586" s="8"/>
      <c r="G64586" s="8"/>
      <c r="H64586" s="8"/>
      <c r="I64586" s="102"/>
      <c r="J64586" s="8"/>
      <c r="K64586" s="8"/>
      <c r="L64586" s="8"/>
      <c r="M64586" s="8"/>
      <c r="N64586" s="8"/>
      <c r="O64586" s="8"/>
      <c r="P64586" s="8"/>
      <c r="Q64586" s="8"/>
      <c r="R64586" s="103"/>
      <c r="S64586" s="8"/>
      <c r="T64586" s="8"/>
      <c r="U64586" s="8"/>
      <c r="V64586" s="8"/>
      <c r="W64586" s="8"/>
      <c r="X64586" s="8"/>
      <c r="Y64586" s="8"/>
      <c r="Z64586" s="8"/>
      <c r="AA64586" s="8"/>
    </row>
    <row r="64587" spans="1:27" x14ac:dyDescent="0.25">
      <c r="A64587" s="8"/>
      <c r="B64587" s="8"/>
      <c r="C64587" s="99"/>
      <c r="D64587" s="8"/>
      <c r="E64587" s="8"/>
      <c r="F64587" s="8"/>
      <c r="G64587" s="8"/>
      <c r="H64587" s="8"/>
      <c r="I64587" s="102"/>
      <c r="J64587" s="8"/>
      <c r="K64587" s="8"/>
      <c r="L64587" s="8"/>
      <c r="M64587" s="8"/>
      <c r="N64587" s="8"/>
      <c r="O64587" s="8"/>
      <c r="P64587" s="8"/>
      <c r="Q64587" s="8"/>
      <c r="R64587" s="103"/>
      <c r="S64587" s="8"/>
      <c r="T64587" s="8"/>
      <c r="U64587" s="8"/>
      <c r="V64587" s="8"/>
      <c r="W64587" s="8"/>
      <c r="X64587" s="8"/>
      <c r="Y64587" s="8"/>
      <c r="Z64587" s="8"/>
      <c r="AA64587" s="8"/>
    </row>
    <row r="64588" spans="1:27" x14ac:dyDescent="0.25">
      <c r="A64588" s="8"/>
      <c r="B64588" s="8"/>
      <c r="C64588" s="99"/>
      <c r="D64588" s="8"/>
      <c r="E64588" s="8"/>
      <c r="F64588" s="8"/>
      <c r="G64588" s="8"/>
      <c r="H64588" s="8"/>
      <c r="I64588" s="102"/>
      <c r="J64588" s="8"/>
      <c r="K64588" s="8"/>
      <c r="L64588" s="8"/>
      <c r="M64588" s="8"/>
      <c r="N64588" s="8"/>
      <c r="O64588" s="8"/>
      <c r="P64588" s="8"/>
      <c r="Q64588" s="8"/>
      <c r="R64588" s="103"/>
      <c r="S64588" s="8"/>
      <c r="T64588" s="8"/>
      <c r="U64588" s="8"/>
      <c r="V64588" s="8"/>
      <c r="W64588" s="8"/>
      <c r="X64588" s="8"/>
      <c r="Y64588" s="8"/>
      <c r="Z64588" s="8"/>
      <c r="AA64588" s="8"/>
    </row>
    <row r="64589" spans="1:27" x14ac:dyDescent="0.25">
      <c r="A64589" s="8"/>
      <c r="B64589" s="8"/>
      <c r="C64589" s="99"/>
      <c r="D64589" s="8"/>
      <c r="E64589" s="8"/>
      <c r="F64589" s="8"/>
      <c r="G64589" s="8"/>
      <c r="H64589" s="8"/>
      <c r="I64589" s="102"/>
      <c r="J64589" s="8"/>
      <c r="K64589" s="8"/>
      <c r="L64589" s="8"/>
      <c r="M64589" s="8"/>
      <c r="N64589" s="8"/>
      <c r="O64589" s="8"/>
      <c r="P64589" s="8"/>
      <c r="Q64589" s="8"/>
      <c r="R64589" s="103"/>
      <c r="S64589" s="8"/>
      <c r="T64589" s="8"/>
      <c r="U64589" s="8"/>
      <c r="V64589" s="8"/>
      <c r="W64589" s="8"/>
      <c r="X64589" s="8"/>
      <c r="Y64589" s="8"/>
      <c r="Z64589" s="8"/>
      <c r="AA64589" s="8"/>
    </row>
    <row r="64590" spans="1:27" x14ac:dyDescent="0.25">
      <c r="A64590" s="8"/>
      <c r="B64590" s="8"/>
      <c r="C64590" s="99"/>
      <c r="D64590" s="8"/>
      <c r="E64590" s="8"/>
      <c r="F64590" s="8"/>
      <c r="G64590" s="8"/>
      <c r="H64590" s="8"/>
      <c r="I64590" s="102"/>
      <c r="J64590" s="8"/>
      <c r="K64590" s="8"/>
      <c r="L64590" s="8"/>
      <c r="M64590" s="8"/>
      <c r="N64590" s="8"/>
      <c r="O64590" s="8"/>
      <c r="P64590" s="8"/>
      <c r="Q64590" s="8"/>
      <c r="R64590" s="103"/>
      <c r="S64590" s="8"/>
      <c r="T64590" s="8"/>
      <c r="U64590" s="8"/>
      <c r="V64590" s="8"/>
      <c r="W64590" s="8"/>
      <c r="X64590" s="8"/>
      <c r="Y64590" s="8"/>
      <c r="Z64590" s="8"/>
      <c r="AA64590" s="8"/>
    </row>
    <row r="64591" spans="1:27" x14ac:dyDescent="0.25">
      <c r="A64591" s="8"/>
      <c r="B64591" s="8"/>
      <c r="C64591" s="99"/>
      <c r="D64591" s="8"/>
      <c r="E64591" s="8"/>
      <c r="F64591" s="8"/>
      <c r="G64591" s="8"/>
      <c r="H64591" s="8"/>
      <c r="I64591" s="102"/>
      <c r="J64591" s="8"/>
      <c r="K64591" s="8"/>
      <c r="L64591" s="8"/>
      <c r="M64591" s="8"/>
      <c r="N64591" s="8"/>
      <c r="O64591" s="8"/>
      <c r="P64591" s="8"/>
      <c r="Q64591" s="8"/>
      <c r="R64591" s="103"/>
      <c r="S64591" s="8"/>
      <c r="T64591" s="8"/>
      <c r="U64591" s="8"/>
      <c r="V64591" s="8"/>
      <c r="W64591" s="8"/>
      <c r="X64591" s="8"/>
      <c r="Y64591" s="8"/>
      <c r="Z64591" s="8"/>
      <c r="AA64591" s="8"/>
    </row>
    <row r="64592" spans="1:27" x14ac:dyDescent="0.25">
      <c r="A64592" s="8"/>
      <c r="B64592" s="8"/>
      <c r="C64592" s="99"/>
      <c r="D64592" s="8"/>
      <c r="E64592" s="8"/>
      <c r="F64592" s="8"/>
      <c r="G64592" s="8"/>
      <c r="H64592" s="8"/>
      <c r="I64592" s="102"/>
      <c r="J64592" s="8"/>
      <c r="K64592" s="8"/>
      <c r="L64592" s="8"/>
      <c r="M64592" s="8"/>
      <c r="N64592" s="8"/>
      <c r="O64592" s="8"/>
      <c r="P64592" s="8"/>
      <c r="Q64592" s="8"/>
      <c r="R64592" s="103"/>
      <c r="S64592" s="8"/>
      <c r="T64592" s="8"/>
      <c r="U64592" s="8"/>
      <c r="V64592" s="8"/>
      <c r="W64592" s="8"/>
      <c r="X64592" s="8"/>
      <c r="Y64592" s="8"/>
      <c r="Z64592" s="8"/>
      <c r="AA64592" s="8"/>
    </row>
    <row r="64593" spans="1:27" x14ac:dyDescent="0.25">
      <c r="A64593" s="8"/>
      <c r="B64593" s="8"/>
      <c r="C64593" s="99"/>
      <c r="D64593" s="8"/>
      <c r="E64593" s="8"/>
      <c r="F64593" s="8"/>
      <c r="G64593" s="8"/>
      <c r="H64593" s="8"/>
      <c r="I64593" s="102"/>
      <c r="J64593" s="8"/>
      <c r="K64593" s="8"/>
      <c r="L64593" s="8"/>
      <c r="M64593" s="8"/>
      <c r="N64593" s="8"/>
      <c r="O64593" s="8"/>
      <c r="P64593" s="8"/>
      <c r="Q64593" s="8"/>
      <c r="R64593" s="103"/>
      <c r="S64593" s="8"/>
      <c r="T64593" s="8"/>
      <c r="U64593" s="8"/>
      <c r="V64593" s="8"/>
      <c r="W64593" s="8"/>
      <c r="X64593" s="8"/>
      <c r="Y64593" s="8"/>
      <c r="Z64593" s="8"/>
      <c r="AA64593" s="8"/>
    </row>
    <row r="64594" spans="1:27" x14ac:dyDescent="0.25">
      <c r="A64594" s="8"/>
      <c r="B64594" s="8"/>
      <c r="C64594" s="99"/>
      <c r="D64594" s="8"/>
      <c r="E64594" s="8"/>
      <c r="F64594" s="8"/>
      <c r="G64594" s="8"/>
      <c r="H64594" s="8"/>
      <c r="I64594" s="102"/>
      <c r="J64594" s="8"/>
      <c r="K64594" s="8"/>
      <c r="L64594" s="8"/>
      <c r="M64594" s="8"/>
      <c r="N64594" s="8"/>
      <c r="O64594" s="8"/>
      <c r="P64594" s="8"/>
      <c r="Q64594" s="8"/>
      <c r="R64594" s="103"/>
      <c r="S64594" s="8"/>
      <c r="T64594" s="8"/>
      <c r="U64594" s="8"/>
      <c r="V64594" s="8"/>
      <c r="W64594" s="8"/>
      <c r="X64594" s="8"/>
      <c r="Y64594" s="8"/>
      <c r="Z64594" s="8"/>
      <c r="AA64594" s="8"/>
    </row>
    <row r="64595" spans="1:27" x14ac:dyDescent="0.25">
      <c r="A64595" s="8"/>
      <c r="B64595" s="8"/>
      <c r="C64595" s="99"/>
      <c r="D64595" s="8"/>
      <c r="E64595" s="8"/>
      <c r="F64595" s="8"/>
      <c r="G64595" s="8"/>
      <c r="H64595" s="8"/>
      <c r="I64595" s="102"/>
      <c r="J64595" s="8"/>
      <c r="K64595" s="8"/>
      <c r="L64595" s="8"/>
      <c r="M64595" s="8"/>
      <c r="N64595" s="8"/>
      <c r="O64595" s="8"/>
      <c r="P64595" s="8"/>
      <c r="Q64595" s="8"/>
      <c r="R64595" s="103"/>
      <c r="S64595" s="8"/>
      <c r="T64595" s="8"/>
      <c r="U64595" s="8"/>
      <c r="V64595" s="8"/>
      <c r="W64595" s="8"/>
      <c r="X64595" s="8"/>
      <c r="Y64595" s="8"/>
      <c r="Z64595" s="8"/>
      <c r="AA64595" s="8"/>
    </row>
    <row r="64596" spans="1:27" x14ac:dyDescent="0.25">
      <c r="A64596" s="8"/>
      <c r="B64596" s="8"/>
      <c r="C64596" s="99"/>
      <c r="D64596" s="8"/>
      <c r="E64596" s="8"/>
      <c r="F64596" s="8"/>
      <c r="G64596" s="8"/>
      <c r="H64596" s="8"/>
      <c r="I64596" s="102"/>
      <c r="J64596" s="8"/>
      <c r="K64596" s="8"/>
      <c r="L64596" s="8"/>
      <c r="M64596" s="8"/>
      <c r="N64596" s="8"/>
      <c r="O64596" s="8"/>
      <c r="P64596" s="8"/>
      <c r="Q64596" s="8"/>
      <c r="R64596" s="103"/>
      <c r="S64596" s="8"/>
      <c r="T64596" s="8"/>
      <c r="U64596" s="8"/>
      <c r="V64596" s="8"/>
      <c r="W64596" s="8"/>
      <c r="X64596" s="8"/>
      <c r="Y64596" s="8"/>
      <c r="Z64596" s="8"/>
      <c r="AA64596" s="8"/>
    </row>
    <row r="64597" spans="1:27" x14ac:dyDescent="0.25">
      <c r="A64597" s="8"/>
      <c r="B64597" s="8"/>
      <c r="C64597" s="99"/>
      <c r="D64597" s="8"/>
      <c r="E64597" s="8"/>
      <c r="F64597" s="8"/>
      <c r="G64597" s="8"/>
      <c r="H64597" s="8"/>
      <c r="I64597" s="102"/>
      <c r="J64597" s="8"/>
      <c r="K64597" s="8"/>
      <c r="L64597" s="8"/>
      <c r="M64597" s="8"/>
      <c r="N64597" s="8"/>
      <c r="O64597" s="8"/>
      <c r="P64597" s="8"/>
      <c r="Q64597" s="8"/>
      <c r="R64597" s="103"/>
      <c r="S64597" s="8"/>
      <c r="T64597" s="8"/>
      <c r="U64597" s="8"/>
      <c r="V64597" s="8"/>
      <c r="W64597" s="8"/>
      <c r="X64597" s="8"/>
      <c r="Y64597" s="8"/>
      <c r="Z64597" s="8"/>
      <c r="AA64597" s="8"/>
    </row>
    <row r="64598" spans="1:27" x14ac:dyDescent="0.25">
      <c r="A64598" s="8"/>
      <c r="B64598" s="8"/>
      <c r="C64598" s="99"/>
      <c r="D64598" s="8"/>
      <c r="E64598" s="8"/>
      <c r="F64598" s="8"/>
      <c r="G64598" s="8"/>
      <c r="H64598" s="8"/>
      <c r="I64598" s="102"/>
      <c r="J64598" s="8"/>
      <c r="K64598" s="8"/>
      <c r="L64598" s="8"/>
      <c r="M64598" s="8"/>
      <c r="N64598" s="8"/>
      <c r="O64598" s="8"/>
      <c r="P64598" s="8"/>
      <c r="Q64598" s="8"/>
      <c r="R64598" s="103"/>
      <c r="S64598" s="8"/>
      <c r="T64598" s="8"/>
      <c r="U64598" s="8"/>
      <c r="V64598" s="8"/>
      <c r="W64598" s="8"/>
      <c r="X64598" s="8"/>
      <c r="Y64598" s="8"/>
      <c r="Z64598" s="8"/>
      <c r="AA64598" s="8"/>
    </row>
    <row r="64599" spans="1:27" x14ac:dyDescent="0.25">
      <c r="A64599" s="8"/>
      <c r="B64599" s="8"/>
      <c r="C64599" s="99"/>
      <c r="D64599" s="8"/>
      <c r="E64599" s="8"/>
      <c r="F64599" s="8"/>
      <c r="G64599" s="8"/>
      <c r="H64599" s="8"/>
      <c r="I64599" s="102"/>
      <c r="J64599" s="8"/>
      <c r="K64599" s="8"/>
      <c r="L64599" s="8"/>
      <c r="M64599" s="8"/>
      <c r="N64599" s="8"/>
      <c r="O64599" s="8"/>
      <c r="P64599" s="8"/>
      <c r="Q64599" s="8"/>
      <c r="R64599" s="103"/>
      <c r="S64599" s="8"/>
      <c r="T64599" s="8"/>
      <c r="U64599" s="8"/>
      <c r="V64599" s="8"/>
      <c r="W64599" s="8"/>
      <c r="X64599" s="8"/>
      <c r="Y64599" s="8"/>
      <c r="Z64599" s="8"/>
      <c r="AA64599" s="8"/>
    </row>
    <row r="64600" spans="1:27" x14ac:dyDescent="0.25">
      <c r="A64600" s="8"/>
      <c r="B64600" s="8"/>
      <c r="C64600" s="99"/>
      <c r="D64600" s="8"/>
      <c r="E64600" s="8"/>
      <c r="F64600" s="8"/>
      <c r="G64600" s="8"/>
      <c r="H64600" s="8"/>
      <c r="I64600" s="102"/>
      <c r="J64600" s="8"/>
      <c r="K64600" s="8"/>
      <c r="L64600" s="8"/>
      <c r="M64600" s="8"/>
      <c r="N64600" s="8"/>
      <c r="O64600" s="8"/>
      <c r="P64600" s="8"/>
      <c r="Q64600" s="8"/>
      <c r="R64600" s="103"/>
      <c r="S64600" s="8"/>
      <c r="T64600" s="8"/>
      <c r="U64600" s="8"/>
      <c r="V64600" s="8"/>
      <c r="W64600" s="8"/>
      <c r="X64600" s="8"/>
      <c r="Y64600" s="8"/>
      <c r="Z64600" s="8"/>
      <c r="AA64600" s="8"/>
    </row>
    <row r="64601" spans="1:27" x14ac:dyDescent="0.25">
      <c r="A64601" s="8"/>
      <c r="B64601" s="8"/>
      <c r="C64601" s="99"/>
      <c r="D64601" s="8"/>
      <c r="E64601" s="8"/>
      <c r="F64601" s="8"/>
      <c r="G64601" s="8"/>
      <c r="H64601" s="8"/>
      <c r="I64601" s="102"/>
      <c r="J64601" s="8"/>
      <c r="K64601" s="8"/>
      <c r="L64601" s="8"/>
      <c r="M64601" s="8"/>
      <c r="N64601" s="8"/>
      <c r="O64601" s="8"/>
      <c r="P64601" s="8"/>
      <c r="Q64601" s="8"/>
      <c r="R64601" s="103"/>
      <c r="S64601" s="8"/>
      <c r="T64601" s="8"/>
      <c r="U64601" s="8"/>
      <c r="V64601" s="8"/>
      <c r="W64601" s="8"/>
      <c r="X64601" s="8"/>
      <c r="Y64601" s="8"/>
      <c r="Z64601" s="8"/>
      <c r="AA64601" s="8"/>
    </row>
    <row r="64602" spans="1:27" x14ac:dyDescent="0.25">
      <c r="A64602" s="8"/>
      <c r="B64602" s="8"/>
      <c r="C64602" s="99"/>
      <c r="D64602" s="8"/>
      <c r="E64602" s="8"/>
      <c r="F64602" s="8"/>
      <c r="G64602" s="8"/>
      <c r="H64602" s="8"/>
      <c r="I64602" s="102"/>
      <c r="J64602" s="8"/>
      <c r="K64602" s="8"/>
      <c r="L64602" s="8"/>
      <c r="M64602" s="8"/>
      <c r="N64602" s="8"/>
      <c r="O64602" s="8"/>
      <c r="P64602" s="8"/>
      <c r="Q64602" s="8"/>
      <c r="R64602" s="103"/>
      <c r="S64602" s="8"/>
      <c r="T64602" s="8"/>
      <c r="U64602" s="8"/>
      <c r="V64602" s="8"/>
      <c r="W64602" s="8"/>
      <c r="X64602" s="8"/>
      <c r="Y64602" s="8"/>
      <c r="Z64602" s="8"/>
      <c r="AA64602" s="8"/>
    </row>
    <row r="64603" spans="1:27" x14ac:dyDescent="0.25">
      <c r="A64603" s="8"/>
      <c r="B64603" s="8"/>
      <c r="C64603" s="99"/>
      <c r="D64603" s="8"/>
      <c r="E64603" s="8"/>
      <c r="F64603" s="8"/>
      <c r="G64603" s="8"/>
      <c r="H64603" s="8"/>
      <c r="I64603" s="102"/>
      <c r="J64603" s="8"/>
      <c r="K64603" s="8"/>
      <c r="L64603" s="8"/>
      <c r="M64603" s="8"/>
      <c r="N64603" s="8"/>
      <c r="O64603" s="8"/>
      <c r="P64603" s="8"/>
      <c r="Q64603" s="8"/>
      <c r="R64603" s="103"/>
      <c r="S64603" s="8"/>
      <c r="T64603" s="8"/>
      <c r="U64603" s="8"/>
      <c r="V64603" s="8"/>
      <c r="W64603" s="8"/>
      <c r="X64603" s="8"/>
      <c r="Y64603" s="8"/>
      <c r="Z64603" s="8"/>
      <c r="AA64603" s="8"/>
    </row>
    <row r="64604" spans="1:27" x14ac:dyDescent="0.25">
      <c r="A64604" s="8"/>
      <c r="B64604" s="8"/>
      <c r="C64604" s="99"/>
      <c r="D64604" s="8"/>
      <c r="E64604" s="8"/>
      <c r="F64604" s="8"/>
      <c r="G64604" s="8"/>
      <c r="H64604" s="8"/>
      <c r="I64604" s="102"/>
      <c r="J64604" s="8"/>
      <c r="K64604" s="8"/>
      <c r="L64604" s="8"/>
      <c r="M64604" s="8"/>
      <c r="N64604" s="8"/>
      <c r="O64604" s="8"/>
      <c r="P64604" s="8"/>
      <c r="Q64604" s="8"/>
      <c r="R64604" s="103"/>
      <c r="S64604" s="8"/>
      <c r="T64604" s="8"/>
      <c r="U64604" s="8"/>
      <c r="V64604" s="8"/>
      <c r="W64604" s="8"/>
      <c r="X64604" s="8"/>
      <c r="Y64604" s="8"/>
      <c r="Z64604" s="8"/>
      <c r="AA64604" s="8"/>
    </row>
    <row r="64605" spans="1:27" x14ac:dyDescent="0.25">
      <c r="A64605" s="8"/>
      <c r="B64605" s="8"/>
      <c r="C64605" s="99"/>
      <c r="D64605" s="8"/>
      <c r="E64605" s="8"/>
      <c r="F64605" s="8"/>
      <c r="G64605" s="8"/>
      <c r="H64605" s="8"/>
      <c r="I64605" s="102"/>
      <c r="J64605" s="8"/>
      <c r="K64605" s="8"/>
      <c r="L64605" s="8"/>
      <c r="M64605" s="8"/>
      <c r="N64605" s="8"/>
      <c r="O64605" s="8"/>
      <c r="P64605" s="8"/>
      <c r="Q64605" s="8"/>
      <c r="R64605" s="103"/>
      <c r="S64605" s="8"/>
      <c r="T64605" s="8"/>
      <c r="U64605" s="8"/>
      <c r="V64605" s="8"/>
      <c r="W64605" s="8"/>
      <c r="X64605" s="8"/>
      <c r="Y64605" s="8"/>
      <c r="Z64605" s="8"/>
      <c r="AA64605" s="8"/>
    </row>
    <row r="64606" spans="1:27" x14ac:dyDescent="0.25">
      <c r="A64606" s="8"/>
      <c r="B64606" s="8"/>
      <c r="C64606" s="99"/>
      <c r="D64606" s="8"/>
      <c r="E64606" s="8"/>
      <c r="F64606" s="8"/>
      <c r="G64606" s="8"/>
      <c r="H64606" s="8"/>
      <c r="I64606" s="102"/>
      <c r="J64606" s="8"/>
      <c r="K64606" s="8"/>
      <c r="L64606" s="8"/>
      <c r="M64606" s="8"/>
      <c r="N64606" s="8"/>
      <c r="O64606" s="8"/>
      <c r="P64606" s="8"/>
      <c r="Q64606" s="8"/>
      <c r="R64606" s="103"/>
      <c r="S64606" s="8"/>
      <c r="T64606" s="8"/>
      <c r="U64606" s="8"/>
      <c r="V64606" s="8"/>
      <c r="W64606" s="8"/>
      <c r="X64606" s="8"/>
      <c r="Y64606" s="8"/>
      <c r="Z64606" s="8"/>
      <c r="AA64606" s="8"/>
    </row>
    <row r="64607" spans="1:27" x14ac:dyDescent="0.25">
      <c r="A64607" s="8"/>
      <c r="B64607" s="8"/>
      <c r="C64607" s="99"/>
      <c r="D64607" s="8"/>
      <c r="E64607" s="8"/>
      <c r="F64607" s="8"/>
      <c r="G64607" s="8"/>
      <c r="H64607" s="8"/>
      <c r="I64607" s="102"/>
      <c r="J64607" s="8"/>
      <c r="K64607" s="8"/>
      <c r="L64607" s="8"/>
      <c r="M64607" s="8"/>
      <c r="N64607" s="8"/>
      <c r="O64607" s="8"/>
      <c r="P64607" s="8"/>
      <c r="Q64607" s="8"/>
      <c r="R64607" s="103"/>
      <c r="S64607" s="8"/>
      <c r="T64607" s="8"/>
      <c r="U64607" s="8"/>
      <c r="V64607" s="8"/>
      <c r="W64607" s="8"/>
      <c r="X64607" s="8"/>
      <c r="Y64607" s="8"/>
      <c r="Z64607" s="8"/>
      <c r="AA64607" s="8"/>
    </row>
    <row r="64608" spans="1:27" x14ac:dyDescent="0.25">
      <c r="A64608" s="8"/>
      <c r="B64608" s="8"/>
      <c r="C64608" s="99"/>
      <c r="D64608" s="8"/>
      <c r="E64608" s="8"/>
      <c r="F64608" s="8"/>
      <c r="G64608" s="8"/>
      <c r="H64608" s="8"/>
      <c r="I64608" s="102"/>
      <c r="J64608" s="8"/>
      <c r="K64608" s="8"/>
      <c r="L64608" s="8"/>
      <c r="M64608" s="8"/>
      <c r="N64608" s="8"/>
      <c r="O64608" s="8"/>
      <c r="P64608" s="8"/>
      <c r="Q64608" s="8"/>
      <c r="R64608" s="103"/>
      <c r="S64608" s="8"/>
      <c r="T64608" s="8"/>
      <c r="U64608" s="8"/>
      <c r="V64608" s="8"/>
      <c r="W64608" s="8"/>
      <c r="X64608" s="8"/>
      <c r="Y64608" s="8"/>
      <c r="Z64608" s="8"/>
      <c r="AA64608" s="8"/>
    </row>
    <row r="64609" spans="1:27" x14ac:dyDescent="0.25">
      <c r="A64609" s="8"/>
      <c r="B64609" s="8"/>
      <c r="C64609" s="99"/>
      <c r="D64609" s="8"/>
      <c r="E64609" s="8"/>
      <c r="F64609" s="8"/>
      <c r="G64609" s="8"/>
      <c r="H64609" s="8"/>
      <c r="I64609" s="102"/>
      <c r="J64609" s="8"/>
      <c r="K64609" s="8"/>
      <c r="L64609" s="8"/>
      <c r="M64609" s="8"/>
      <c r="N64609" s="8"/>
      <c r="O64609" s="8"/>
      <c r="P64609" s="8"/>
      <c r="Q64609" s="8"/>
      <c r="R64609" s="103"/>
      <c r="S64609" s="8"/>
      <c r="T64609" s="8"/>
      <c r="U64609" s="8"/>
      <c r="V64609" s="8"/>
      <c r="W64609" s="8"/>
      <c r="X64609" s="8"/>
      <c r="Y64609" s="8"/>
      <c r="Z64609" s="8"/>
      <c r="AA64609" s="8"/>
    </row>
    <row r="64610" spans="1:27" x14ac:dyDescent="0.25">
      <c r="A64610" s="8"/>
      <c r="B64610" s="8"/>
      <c r="C64610" s="99"/>
      <c r="D64610" s="8"/>
      <c r="E64610" s="8"/>
      <c r="F64610" s="8"/>
      <c r="G64610" s="8"/>
      <c r="H64610" s="8"/>
      <c r="I64610" s="102"/>
      <c r="J64610" s="8"/>
      <c r="K64610" s="8"/>
      <c r="L64610" s="8"/>
      <c r="M64610" s="8"/>
      <c r="N64610" s="8"/>
      <c r="O64610" s="8"/>
      <c r="P64610" s="8"/>
      <c r="Q64610" s="8"/>
      <c r="R64610" s="103"/>
      <c r="S64610" s="8"/>
      <c r="T64610" s="8"/>
      <c r="U64610" s="8"/>
      <c r="V64610" s="8"/>
      <c r="W64610" s="8"/>
      <c r="X64610" s="8"/>
      <c r="Y64610" s="8"/>
      <c r="Z64610" s="8"/>
      <c r="AA64610" s="8"/>
    </row>
    <row r="64611" spans="1:27" x14ac:dyDescent="0.25">
      <c r="A64611" s="8"/>
      <c r="B64611" s="8"/>
      <c r="C64611" s="99"/>
      <c r="D64611" s="8"/>
      <c r="E64611" s="8"/>
      <c r="F64611" s="8"/>
      <c r="G64611" s="8"/>
      <c r="H64611" s="8"/>
      <c r="I64611" s="102"/>
      <c r="J64611" s="8"/>
      <c r="K64611" s="8"/>
      <c r="L64611" s="8"/>
      <c r="M64611" s="8"/>
      <c r="N64611" s="8"/>
      <c r="O64611" s="8"/>
      <c r="P64611" s="8"/>
      <c r="Q64611" s="8"/>
      <c r="R64611" s="103"/>
      <c r="S64611" s="8"/>
      <c r="T64611" s="8"/>
      <c r="U64611" s="8"/>
      <c r="V64611" s="8"/>
      <c r="W64611" s="8"/>
      <c r="X64611" s="8"/>
      <c r="Y64611" s="8"/>
      <c r="Z64611" s="8"/>
      <c r="AA64611" s="8"/>
    </row>
    <row r="64612" spans="1:27" x14ac:dyDescent="0.25">
      <c r="A64612" s="8"/>
      <c r="B64612" s="8"/>
      <c r="C64612" s="99"/>
      <c r="D64612" s="8"/>
      <c r="E64612" s="8"/>
      <c r="F64612" s="8"/>
      <c r="G64612" s="8"/>
      <c r="H64612" s="8"/>
      <c r="I64612" s="102"/>
      <c r="J64612" s="8"/>
      <c r="K64612" s="8"/>
      <c r="L64612" s="8"/>
      <c r="M64612" s="8"/>
      <c r="N64612" s="8"/>
      <c r="O64612" s="8"/>
      <c r="P64612" s="8"/>
      <c r="Q64612" s="8"/>
      <c r="R64612" s="103"/>
      <c r="S64612" s="8"/>
      <c r="T64612" s="8"/>
      <c r="U64612" s="8"/>
      <c r="V64612" s="8"/>
      <c r="W64612" s="8"/>
      <c r="X64612" s="8"/>
      <c r="Y64612" s="8"/>
      <c r="Z64612" s="8"/>
      <c r="AA64612" s="8"/>
    </row>
    <row r="64613" spans="1:27" x14ac:dyDescent="0.25">
      <c r="A64613" s="8"/>
      <c r="B64613" s="8"/>
      <c r="C64613" s="99"/>
      <c r="D64613" s="8"/>
      <c r="E64613" s="8"/>
      <c r="F64613" s="8"/>
      <c r="G64613" s="8"/>
      <c r="H64613" s="8"/>
      <c r="I64613" s="102"/>
      <c r="J64613" s="8"/>
      <c r="K64613" s="8"/>
      <c r="L64613" s="8"/>
      <c r="M64613" s="8"/>
      <c r="N64613" s="8"/>
      <c r="O64613" s="8"/>
      <c r="P64613" s="8"/>
      <c r="Q64613" s="8"/>
      <c r="R64613" s="103"/>
      <c r="S64613" s="8"/>
      <c r="T64613" s="8"/>
      <c r="U64613" s="8"/>
      <c r="V64613" s="8"/>
      <c r="W64613" s="8"/>
      <c r="X64613" s="8"/>
      <c r="Y64613" s="8"/>
      <c r="Z64613" s="8"/>
      <c r="AA64613" s="8"/>
    </row>
    <row r="64614" spans="1:27" x14ac:dyDescent="0.25">
      <c r="A64614" s="8"/>
      <c r="B64614" s="8"/>
      <c r="C64614" s="99"/>
      <c r="D64614" s="8"/>
      <c r="E64614" s="8"/>
      <c r="F64614" s="8"/>
      <c r="G64614" s="8"/>
      <c r="H64614" s="8"/>
      <c r="I64614" s="102"/>
      <c r="J64614" s="8"/>
      <c r="K64614" s="8"/>
      <c r="L64614" s="8"/>
      <c r="M64614" s="8"/>
      <c r="N64614" s="8"/>
      <c r="O64614" s="8"/>
      <c r="P64614" s="8"/>
      <c r="Q64614" s="8"/>
      <c r="R64614" s="103"/>
      <c r="S64614" s="8"/>
      <c r="T64614" s="8"/>
      <c r="U64614" s="8"/>
      <c r="V64614" s="8"/>
      <c r="W64614" s="8"/>
      <c r="X64614" s="8"/>
      <c r="Y64614" s="8"/>
      <c r="Z64614" s="8"/>
      <c r="AA64614" s="8"/>
    </row>
    <row r="64615" spans="1:27" x14ac:dyDescent="0.25">
      <c r="A64615" s="8"/>
      <c r="B64615" s="8"/>
      <c r="C64615" s="99"/>
      <c r="D64615" s="8"/>
      <c r="E64615" s="8"/>
      <c r="F64615" s="8"/>
      <c r="G64615" s="8"/>
      <c r="H64615" s="8"/>
      <c r="I64615" s="102"/>
      <c r="J64615" s="8"/>
      <c r="K64615" s="8"/>
      <c r="L64615" s="8"/>
      <c r="M64615" s="8"/>
      <c r="N64615" s="8"/>
      <c r="O64615" s="8"/>
      <c r="P64615" s="8"/>
      <c r="Q64615" s="8"/>
      <c r="R64615" s="103"/>
      <c r="S64615" s="8"/>
      <c r="T64615" s="8"/>
      <c r="U64615" s="8"/>
      <c r="V64615" s="8"/>
      <c r="W64615" s="8"/>
      <c r="X64615" s="8"/>
      <c r="Y64615" s="8"/>
      <c r="Z64615" s="8"/>
      <c r="AA64615" s="8"/>
    </row>
    <row r="64616" spans="1:27" x14ac:dyDescent="0.25">
      <c r="A64616" s="8"/>
      <c r="B64616" s="8"/>
      <c r="C64616" s="99"/>
      <c r="D64616" s="8"/>
      <c r="E64616" s="8"/>
      <c r="F64616" s="8"/>
      <c r="G64616" s="8"/>
      <c r="H64616" s="8"/>
      <c r="I64616" s="102"/>
      <c r="J64616" s="8"/>
      <c r="K64616" s="8"/>
      <c r="L64616" s="8"/>
      <c r="M64616" s="8"/>
      <c r="N64616" s="8"/>
      <c r="O64616" s="8"/>
      <c r="P64616" s="8"/>
      <c r="Q64616" s="8"/>
      <c r="R64616" s="103"/>
      <c r="S64616" s="8"/>
      <c r="T64616" s="8"/>
      <c r="U64616" s="8"/>
      <c r="V64616" s="8"/>
      <c r="W64616" s="8"/>
      <c r="X64616" s="8"/>
      <c r="Y64616" s="8"/>
      <c r="Z64616" s="8"/>
      <c r="AA64616" s="8"/>
    </row>
    <row r="64617" spans="1:27" x14ac:dyDescent="0.25">
      <c r="A64617" s="8"/>
      <c r="B64617" s="8"/>
      <c r="C64617" s="99"/>
      <c r="D64617" s="8"/>
      <c r="E64617" s="8"/>
      <c r="F64617" s="8"/>
      <c r="G64617" s="8"/>
      <c r="H64617" s="8"/>
      <c r="I64617" s="102"/>
      <c r="J64617" s="8"/>
      <c r="K64617" s="8"/>
      <c r="L64617" s="8"/>
      <c r="M64617" s="8"/>
      <c r="N64617" s="8"/>
      <c r="O64617" s="8"/>
      <c r="P64617" s="8"/>
      <c r="Q64617" s="8"/>
      <c r="R64617" s="103"/>
      <c r="S64617" s="8"/>
      <c r="T64617" s="8"/>
      <c r="U64617" s="8"/>
      <c r="V64617" s="8"/>
      <c r="W64617" s="8"/>
      <c r="X64617" s="8"/>
      <c r="Y64617" s="8"/>
      <c r="Z64617" s="8"/>
      <c r="AA64617" s="8"/>
    </row>
    <row r="64618" spans="1:27" x14ac:dyDescent="0.25">
      <c r="A64618" s="8"/>
      <c r="B64618" s="8"/>
      <c r="C64618" s="99"/>
      <c r="D64618" s="8"/>
      <c r="E64618" s="8"/>
      <c r="F64618" s="8"/>
      <c r="G64618" s="8"/>
      <c r="H64618" s="8"/>
      <c r="I64618" s="102"/>
      <c r="J64618" s="8"/>
      <c r="K64618" s="8"/>
      <c r="L64618" s="8"/>
      <c r="M64618" s="8"/>
      <c r="N64618" s="8"/>
      <c r="O64618" s="8"/>
      <c r="P64618" s="8"/>
      <c r="Q64618" s="8"/>
      <c r="R64618" s="103"/>
      <c r="S64618" s="8"/>
      <c r="T64618" s="8"/>
      <c r="U64618" s="8"/>
      <c r="V64618" s="8"/>
      <c r="W64618" s="8"/>
      <c r="X64618" s="8"/>
      <c r="Y64618" s="8"/>
      <c r="Z64618" s="8"/>
      <c r="AA64618" s="8"/>
    </row>
    <row r="64619" spans="1:27" x14ac:dyDescent="0.25">
      <c r="A64619" s="8"/>
      <c r="B64619" s="8"/>
      <c r="C64619" s="99"/>
      <c r="D64619" s="8"/>
      <c r="E64619" s="8"/>
      <c r="F64619" s="8"/>
      <c r="G64619" s="8"/>
      <c r="H64619" s="8"/>
      <c r="I64619" s="102"/>
      <c r="J64619" s="8"/>
      <c r="K64619" s="8"/>
      <c r="L64619" s="8"/>
      <c r="M64619" s="8"/>
      <c r="N64619" s="8"/>
      <c r="O64619" s="8"/>
      <c r="P64619" s="8"/>
      <c r="Q64619" s="8"/>
      <c r="R64619" s="103"/>
      <c r="S64619" s="8"/>
      <c r="T64619" s="8"/>
      <c r="U64619" s="8"/>
      <c r="V64619" s="8"/>
      <c r="W64619" s="8"/>
      <c r="X64619" s="8"/>
      <c r="Y64619" s="8"/>
      <c r="Z64619" s="8"/>
      <c r="AA64619" s="8"/>
    </row>
    <row r="64620" spans="1:27" x14ac:dyDescent="0.25">
      <c r="A64620" s="8"/>
      <c r="B64620" s="8"/>
      <c r="C64620" s="99"/>
      <c r="D64620" s="8"/>
      <c r="E64620" s="8"/>
      <c r="F64620" s="8"/>
      <c r="G64620" s="8"/>
      <c r="H64620" s="8"/>
      <c r="I64620" s="102"/>
      <c r="J64620" s="8"/>
      <c r="K64620" s="8"/>
      <c r="L64620" s="8"/>
      <c r="M64620" s="8"/>
      <c r="N64620" s="8"/>
      <c r="O64620" s="8"/>
      <c r="P64620" s="8"/>
      <c r="Q64620" s="8"/>
      <c r="R64620" s="103"/>
      <c r="S64620" s="8"/>
      <c r="T64620" s="8"/>
      <c r="U64620" s="8"/>
      <c r="V64620" s="8"/>
      <c r="W64620" s="8"/>
      <c r="X64620" s="8"/>
      <c r="Y64620" s="8"/>
      <c r="Z64620" s="8"/>
      <c r="AA64620" s="8"/>
    </row>
    <row r="64621" spans="1:27" x14ac:dyDescent="0.25">
      <c r="A64621" s="8"/>
      <c r="B64621" s="8"/>
      <c r="C64621" s="99"/>
      <c r="D64621" s="8"/>
      <c r="E64621" s="8"/>
      <c r="F64621" s="8"/>
      <c r="G64621" s="8"/>
      <c r="H64621" s="8"/>
      <c r="I64621" s="102"/>
      <c r="J64621" s="8"/>
      <c r="K64621" s="8"/>
      <c r="L64621" s="8"/>
      <c r="M64621" s="8"/>
      <c r="N64621" s="8"/>
      <c r="O64621" s="8"/>
      <c r="P64621" s="8"/>
      <c r="Q64621" s="8"/>
      <c r="R64621" s="103"/>
      <c r="S64621" s="8"/>
      <c r="T64621" s="8"/>
      <c r="U64621" s="8"/>
      <c r="V64621" s="8"/>
      <c r="W64621" s="8"/>
      <c r="X64621" s="8"/>
      <c r="Y64621" s="8"/>
      <c r="Z64621" s="8"/>
      <c r="AA64621" s="8"/>
    </row>
    <row r="64622" spans="1:27" x14ac:dyDescent="0.25">
      <c r="A64622" s="8"/>
      <c r="B64622" s="8"/>
      <c r="C64622" s="99"/>
      <c r="D64622" s="8"/>
      <c r="E64622" s="8"/>
      <c r="F64622" s="8"/>
      <c r="G64622" s="8"/>
      <c r="H64622" s="8"/>
      <c r="I64622" s="102"/>
      <c r="J64622" s="8"/>
      <c r="K64622" s="8"/>
      <c r="L64622" s="8"/>
      <c r="M64622" s="8"/>
      <c r="N64622" s="8"/>
      <c r="O64622" s="8"/>
      <c r="P64622" s="8"/>
      <c r="Q64622" s="8"/>
      <c r="R64622" s="103"/>
      <c r="S64622" s="8"/>
      <c r="T64622" s="8"/>
      <c r="U64622" s="8"/>
      <c r="V64622" s="8"/>
      <c r="W64622" s="8"/>
      <c r="X64622" s="8"/>
      <c r="Y64622" s="8"/>
      <c r="Z64622" s="8"/>
      <c r="AA64622" s="8"/>
    </row>
    <row r="64623" spans="1:27" x14ac:dyDescent="0.25">
      <c r="A64623" s="8"/>
      <c r="B64623" s="8"/>
      <c r="C64623" s="99"/>
      <c r="D64623" s="8"/>
      <c r="E64623" s="8"/>
      <c r="F64623" s="8"/>
      <c r="G64623" s="8"/>
      <c r="H64623" s="8"/>
      <c r="I64623" s="102"/>
      <c r="J64623" s="8"/>
      <c r="K64623" s="8"/>
      <c r="L64623" s="8"/>
      <c r="M64623" s="8"/>
      <c r="N64623" s="8"/>
      <c r="O64623" s="8"/>
      <c r="P64623" s="8"/>
      <c r="Q64623" s="8"/>
      <c r="R64623" s="103"/>
      <c r="S64623" s="8"/>
      <c r="T64623" s="8"/>
      <c r="U64623" s="8"/>
      <c r="V64623" s="8"/>
      <c r="W64623" s="8"/>
      <c r="X64623" s="8"/>
      <c r="Y64623" s="8"/>
      <c r="Z64623" s="8"/>
      <c r="AA64623" s="8"/>
    </row>
    <row r="64624" spans="1:27" x14ac:dyDescent="0.25">
      <c r="A64624" s="8"/>
      <c r="B64624" s="8"/>
      <c r="C64624" s="99"/>
      <c r="D64624" s="8"/>
      <c r="E64624" s="8"/>
      <c r="F64624" s="8"/>
      <c r="G64624" s="8"/>
      <c r="H64624" s="8"/>
      <c r="I64624" s="102"/>
      <c r="J64624" s="8"/>
      <c r="K64624" s="8"/>
      <c r="L64624" s="8"/>
      <c r="M64624" s="8"/>
      <c r="N64624" s="8"/>
      <c r="O64624" s="8"/>
      <c r="P64624" s="8"/>
      <c r="Q64624" s="8"/>
      <c r="R64624" s="103"/>
      <c r="S64624" s="8"/>
      <c r="T64624" s="8"/>
      <c r="U64624" s="8"/>
      <c r="V64624" s="8"/>
      <c r="W64624" s="8"/>
      <c r="X64624" s="8"/>
      <c r="Y64624" s="8"/>
      <c r="Z64624" s="8"/>
      <c r="AA64624" s="8"/>
    </row>
    <row r="64625" spans="1:27" x14ac:dyDescent="0.25">
      <c r="A64625" s="8"/>
      <c r="B64625" s="8"/>
      <c r="C64625" s="99"/>
      <c r="D64625" s="8"/>
      <c r="E64625" s="8"/>
      <c r="F64625" s="8"/>
      <c r="G64625" s="8"/>
      <c r="H64625" s="8"/>
      <c r="I64625" s="102"/>
      <c r="J64625" s="8"/>
      <c r="K64625" s="8"/>
      <c r="L64625" s="8"/>
      <c r="M64625" s="8"/>
      <c r="N64625" s="8"/>
      <c r="O64625" s="8"/>
      <c r="P64625" s="8"/>
      <c r="Q64625" s="8"/>
      <c r="R64625" s="103"/>
      <c r="S64625" s="8"/>
      <c r="T64625" s="8"/>
      <c r="U64625" s="8"/>
      <c r="V64625" s="8"/>
      <c r="W64625" s="8"/>
      <c r="X64625" s="8"/>
      <c r="Y64625" s="8"/>
      <c r="Z64625" s="8"/>
      <c r="AA64625" s="8"/>
    </row>
    <row r="64626" spans="1:27" x14ac:dyDescent="0.25">
      <c r="A64626" s="8"/>
      <c r="B64626" s="8"/>
      <c r="C64626" s="99"/>
      <c r="D64626" s="8"/>
      <c r="E64626" s="8"/>
      <c r="F64626" s="8"/>
      <c r="G64626" s="8"/>
      <c r="H64626" s="8"/>
      <c r="I64626" s="102"/>
      <c r="J64626" s="8"/>
      <c r="K64626" s="8"/>
      <c r="L64626" s="8"/>
      <c r="M64626" s="8"/>
      <c r="N64626" s="8"/>
      <c r="O64626" s="8"/>
      <c r="P64626" s="8"/>
      <c r="Q64626" s="8"/>
      <c r="R64626" s="103"/>
      <c r="S64626" s="8"/>
      <c r="T64626" s="8"/>
      <c r="U64626" s="8"/>
      <c r="V64626" s="8"/>
      <c r="W64626" s="8"/>
      <c r="X64626" s="8"/>
      <c r="Y64626" s="8"/>
      <c r="Z64626" s="8"/>
      <c r="AA64626" s="8"/>
    </row>
    <row r="64627" spans="1:27" x14ac:dyDescent="0.25">
      <c r="A64627" s="8"/>
      <c r="B64627" s="8"/>
      <c r="C64627" s="99"/>
      <c r="D64627" s="8"/>
      <c r="E64627" s="8"/>
      <c r="F64627" s="8"/>
      <c r="G64627" s="8"/>
      <c r="H64627" s="8"/>
      <c r="I64627" s="102"/>
      <c r="J64627" s="8"/>
      <c r="K64627" s="8"/>
      <c r="L64627" s="8"/>
      <c r="M64627" s="8"/>
      <c r="N64627" s="8"/>
      <c r="O64627" s="8"/>
      <c r="P64627" s="8"/>
      <c r="Q64627" s="8"/>
      <c r="R64627" s="103"/>
      <c r="S64627" s="8"/>
      <c r="T64627" s="8"/>
      <c r="U64627" s="8"/>
      <c r="V64627" s="8"/>
      <c r="W64627" s="8"/>
      <c r="X64627" s="8"/>
      <c r="Y64627" s="8"/>
      <c r="Z64627" s="8"/>
      <c r="AA64627" s="8"/>
    </row>
    <row r="64628" spans="1:27" x14ac:dyDescent="0.25">
      <c r="A64628" s="8"/>
      <c r="B64628" s="8"/>
      <c r="C64628" s="99"/>
      <c r="D64628" s="8"/>
      <c r="E64628" s="8"/>
      <c r="F64628" s="8"/>
      <c r="G64628" s="8"/>
      <c r="H64628" s="8"/>
      <c r="I64628" s="102"/>
      <c r="J64628" s="8"/>
      <c r="K64628" s="8"/>
      <c r="L64628" s="8"/>
      <c r="M64628" s="8"/>
      <c r="N64628" s="8"/>
      <c r="O64628" s="8"/>
      <c r="P64628" s="8"/>
      <c r="Q64628" s="8"/>
      <c r="R64628" s="103"/>
      <c r="S64628" s="8"/>
      <c r="T64628" s="8"/>
      <c r="U64628" s="8"/>
      <c r="V64628" s="8"/>
      <c r="W64628" s="8"/>
      <c r="X64628" s="8"/>
      <c r="Y64628" s="8"/>
      <c r="Z64628" s="8"/>
      <c r="AA64628" s="8"/>
    </row>
    <row r="64629" spans="1:27" x14ac:dyDescent="0.25">
      <c r="A64629" s="8"/>
      <c r="B64629" s="8"/>
      <c r="C64629" s="99"/>
      <c r="D64629" s="8"/>
      <c r="E64629" s="8"/>
      <c r="F64629" s="8"/>
      <c r="G64629" s="8"/>
      <c r="H64629" s="8"/>
      <c r="I64629" s="102"/>
      <c r="J64629" s="8"/>
      <c r="K64629" s="8"/>
      <c r="L64629" s="8"/>
      <c r="M64629" s="8"/>
      <c r="N64629" s="8"/>
      <c r="O64629" s="8"/>
      <c r="P64629" s="8"/>
      <c r="Q64629" s="8"/>
      <c r="R64629" s="103"/>
      <c r="S64629" s="8"/>
      <c r="T64629" s="8"/>
      <c r="U64629" s="8"/>
      <c r="V64629" s="8"/>
      <c r="W64629" s="8"/>
      <c r="X64629" s="8"/>
      <c r="Y64629" s="8"/>
      <c r="Z64629" s="8"/>
      <c r="AA64629" s="8"/>
    </row>
    <row r="64630" spans="1:27" x14ac:dyDescent="0.25">
      <c r="A64630" s="8"/>
      <c r="B64630" s="8"/>
      <c r="C64630" s="99"/>
      <c r="D64630" s="8"/>
      <c r="E64630" s="8"/>
      <c r="F64630" s="8"/>
      <c r="G64630" s="8"/>
      <c r="H64630" s="8"/>
      <c r="I64630" s="102"/>
      <c r="J64630" s="8"/>
      <c r="K64630" s="8"/>
      <c r="L64630" s="8"/>
      <c r="M64630" s="8"/>
      <c r="N64630" s="8"/>
      <c r="O64630" s="8"/>
      <c r="P64630" s="8"/>
      <c r="Q64630" s="8"/>
      <c r="R64630" s="103"/>
      <c r="S64630" s="8"/>
      <c r="T64630" s="8"/>
      <c r="U64630" s="8"/>
      <c r="V64630" s="8"/>
      <c r="W64630" s="8"/>
      <c r="X64630" s="8"/>
      <c r="Y64630" s="8"/>
      <c r="Z64630" s="8"/>
      <c r="AA64630" s="8"/>
    </row>
    <row r="64631" spans="1:27" x14ac:dyDescent="0.25">
      <c r="A64631" s="8"/>
      <c r="B64631" s="8"/>
      <c r="C64631" s="99"/>
      <c r="D64631" s="8"/>
      <c r="E64631" s="8"/>
      <c r="F64631" s="8"/>
      <c r="G64631" s="8"/>
      <c r="H64631" s="8"/>
      <c r="I64631" s="102"/>
      <c r="J64631" s="8"/>
      <c r="K64631" s="8"/>
      <c r="L64631" s="8"/>
      <c r="M64631" s="8"/>
      <c r="N64631" s="8"/>
      <c r="O64631" s="8"/>
      <c r="P64631" s="8"/>
      <c r="Q64631" s="8"/>
      <c r="R64631" s="103"/>
      <c r="S64631" s="8"/>
      <c r="T64631" s="8"/>
      <c r="U64631" s="8"/>
      <c r="V64631" s="8"/>
      <c r="W64631" s="8"/>
      <c r="X64631" s="8"/>
      <c r="Y64631" s="8"/>
      <c r="Z64631" s="8"/>
      <c r="AA64631" s="8"/>
    </row>
    <row r="64632" spans="1:27" x14ac:dyDescent="0.25">
      <c r="A64632" s="8"/>
      <c r="B64632" s="8"/>
      <c r="C64632" s="99"/>
      <c r="D64632" s="8"/>
      <c r="E64632" s="8"/>
      <c r="F64632" s="8"/>
      <c r="G64632" s="8"/>
      <c r="H64632" s="8"/>
      <c r="I64632" s="102"/>
      <c r="J64632" s="8"/>
      <c r="K64632" s="8"/>
      <c r="L64632" s="8"/>
      <c r="M64632" s="8"/>
      <c r="N64632" s="8"/>
      <c r="O64632" s="8"/>
      <c r="P64632" s="8"/>
      <c r="Q64632" s="8"/>
      <c r="R64632" s="103"/>
      <c r="S64632" s="8"/>
      <c r="T64632" s="8"/>
      <c r="U64632" s="8"/>
      <c r="V64632" s="8"/>
      <c r="W64632" s="8"/>
      <c r="X64632" s="8"/>
      <c r="Y64632" s="8"/>
      <c r="Z64632" s="8"/>
      <c r="AA64632" s="8"/>
    </row>
    <row r="64633" spans="1:27" x14ac:dyDescent="0.25">
      <c r="A64633" s="8"/>
      <c r="B64633" s="8"/>
      <c r="C64633" s="99"/>
      <c r="D64633" s="8"/>
      <c r="E64633" s="8"/>
      <c r="F64633" s="8"/>
      <c r="G64633" s="8"/>
      <c r="H64633" s="8"/>
      <c r="I64633" s="102"/>
      <c r="J64633" s="8"/>
      <c r="K64633" s="8"/>
      <c r="L64633" s="8"/>
      <c r="M64633" s="8"/>
      <c r="N64633" s="8"/>
      <c r="O64633" s="8"/>
      <c r="P64633" s="8"/>
      <c r="Q64633" s="8"/>
      <c r="R64633" s="103"/>
      <c r="S64633" s="8"/>
      <c r="T64633" s="8"/>
      <c r="U64633" s="8"/>
      <c r="V64633" s="8"/>
      <c r="W64633" s="8"/>
      <c r="X64633" s="8"/>
      <c r="Y64633" s="8"/>
      <c r="Z64633" s="8"/>
      <c r="AA64633" s="8"/>
    </row>
    <row r="64634" spans="1:27" x14ac:dyDescent="0.25">
      <c r="A64634" s="8"/>
      <c r="B64634" s="8"/>
      <c r="C64634" s="99"/>
      <c r="D64634" s="8"/>
      <c r="E64634" s="8"/>
      <c r="F64634" s="8"/>
      <c r="G64634" s="8"/>
      <c r="H64634" s="8"/>
      <c r="I64634" s="102"/>
      <c r="J64634" s="8"/>
      <c r="K64634" s="8"/>
      <c r="L64634" s="8"/>
      <c r="M64634" s="8"/>
      <c r="N64634" s="8"/>
      <c r="O64634" s="8"/>
      <c r="P64634" s="8"/>
      <c r="Q64634" s="8"/>
      <c r="R64634" s="103"/>
      <c r="S64634" s="8"/>
      <c r="T64634" s="8"/>
      <c r="U64634" s="8"/>
      <c r="V64634" s="8"/>
      <c r="W64634" s="8"/>
      <c r="X64634" s="8"/>
      <c r="Y64634" s="8"/>
      <c r="Z64634" s="8"/>
      <c r="AA64634" s="8"/>
    </row>
    <row r="64635" spans="1:27" x14ac:dyDescent="0.25">
      <c r="A64635" s="8"/>
      <c r="B64635" s="8"/>
      <c r="C64635" s="99"/>
      <c r="D64635" s="8"/>
      <c r="E64635" s="8"/>
      <c r="F64635" s="8"/>
      <c r="G64635" s="8"/>
      <c r="H64635" s="8"/>
      <c r="I64635" s="102"/>
      <c r="J64635" s="8"/>
      <c r="K64635" s="8"/>
      <c r="L64635" s="8"/>
      <c r="M64635" s="8"/>
      <c r="N64635" s="8"/>
      <c r="O64635" s="8"/>
      <c r="P64635" s="8"/>
      <c r="Q64635" s="8"/>
      <c r="R64635" s="103"/>
      <c r="S64635" s="8"/>
      <c r="T64635" s="8"/>
      <c r="U64635" s="8"/>
      <c r="V64635" s="8"/>
      <c r="W64635" s="8"/>
      <c r="X64635" s="8"/>
      <c r="Y64635" s="8"/>
      <c r="Z64635" s="8"/>
      <c r="AA64635" s="8"/>
    </row>
    <row r="64636" spans="1:27" x14ac:dyDescent="0.25">
      <c r="A64636" s="8"/>
      <c r="B64636" s="8"/>
      <c r="C64636" s="99"/>
      <c r="D64636" s="8"/>
      <c r="E64636" s="8"/>
      <c r="F64636" s="8"/>
      <c r="G64636" s="8"/>
      <c r="H64636" s="8"/>
      <c r="I64636" s="102"/>
      <c r="J64636" s="8"/>
      <c r="K64636" s="8"/>
      <c r="L64636" s="8"/>
      <c r="M64636" s="8"/>
      <c r="N64636" s="8"/>
      <c r="O64636" s="8"/>
      <c r="P64636" s="8"/>
      <c r="Q64636" s="8"/>
      <c r="R64636" s="103"/>
      <c r="S64636" s="8"/>
      <c r="T64636" s="8"/>
      <c r="U64636" s="8"/>
      <c r="V64636" s="8"/>
      <c r="W64636" s="8"/>
      <c r="X64636" s="8"/>
      <c r="Y64636" s="8"/>
      <c r="Z64636" s="8"/>
      <c r="AA64636" s="8"/>
    </row>
    <row r="64637" spans="1:27" x14ac:dyDescent="0.25">
      <c r="A64637" s="8"/>
      <c r="B64637" s="8"/>
      <c r="C64637" s="99"/>
      <c r="D64637" s="8"/>
      <c r="E64637" s="8"/>
      <c r="F64637" s="8"/>
      <c r="G64637" s="8"/>
      <c r="H64637" s="8"/>
      <c r="I64637" s="102"/>
      <c r="J64637" s="8"/>
      <c r="K64637" s="8"/>
      <c r="L64637" s="8"/>
      <c r="M64637" s="8"/>
      <c r="N64637" s="8"/>
      <c r="O64637" s="8"/>
      <c r="P64637" s="8"/>
      <c r="Q64637" s="8"/>
      <c r="R64637" s="103"/>
      <c r="S64637" s="8"/>
      <c r="T64637" s="8"/>
      <c r="U64637" s="8"/>
      <c r="V64637" s="8"/>
      <c r="W64637" s="8"/>
      <c r="X64637" s="8"/>
      <c r="Y64637" s="8"/>
      <c r="Z64637" s="8"/>
      <c r="AA64637" s="8"/>
    </row>
    <row r="64638" spans="1:27" x14ac:dyDescent="0.25">
      <c r="A64638" s="8"/>
      <c r="B64638" s="8"/>
      <c r="C64638" s="99"/>
      <c r="D64638" s="8"/>
      <c r="E64638" s="8"/>
      <c r="F64638" s="8"/>
      <c r="G64638" s="8"/>
      <c r="H64638" s="8"/>
      <c r="I64638" s="102"/>
      <c r="J64638" s="8"/>
      <c r="K64638" s="8"/>
      <c r="L64638" s="8"/>
      <c r="M64638" s="8"/>
      <c r="N64638" s="8"/>
      <c r="O64638" s="8"/>
      <c r="P64638" s="8"/>
      <c r="Q64638" s="8"/>
      <c r="R64638" s="103"/>
      <c r="S64638" s="8"/>
      <c r="T64638" s="8"/>
      <c r="U64638" s="8"/>
      <c r="V64638" s="8"/>
      <c r="W64638" s="8"/>
      <c r="X64638" s="8"/>
      <c r="Y64638" s="8"/>
      <c r="Z64638" s="8"/>
      <c r="AA64638" s="8"/>
    </row>
    <row r="64639" spans="1:27" x14ac:dyDescent="0.25">
      <c r="A64639" s="8"/>
      <c r="B64639" s="8"/>
      <c r="C64639" s="99"/>
      <c r="D64639" s="8"/>
      <c r="E64639" s="8"/>
      <c r="F64639" s="8"/>
      <c r="G64639" s="8"/>
      <c r="H64639" s="8"/>
      <c r="I64639" s="102"/>
      <c r="J64639" s="8"/>
      <c r="K64639" s="8"/>
      <c r="L64639" s="8"/>
      <c r="M64639" s="8"/>
      <c r="N64639" s="8"/>
      <c r="O64639" s="8"/>
      <c r="P64639" s="8"/>
      <c r="Q64639" s="8"/>
      <c r="R64639" s="103"/>
      <c r="S64639" s="8"/>
      <c r="T64639" s="8"/>
      <c r="U64639" s="8"/>
      <c r="V64639" s="8"/>
      <c r="W64639" s="8"/>
      <c r="X64639" s="8"/>
      <c r="Y64639" s="8"/>
      <c r="Z64639" s="8"/>
      <c r="AA64639" s="8"/>
    </row>
    <row r="64640" spans="1:27" x14ac:dyDescent="0.25">
      <c r="A64640" s="8"/>
      <c r="B64640" s="8"/>
      <c r="C64640" s="99"/>
      <c r="D64640" s="8"/>
      <c r="E64640" s="8"/>
      <c r="F64640" s="8"/>
      <c r="G64640" s="8"/>
      <c r="H64640" s="8"/>
      <c r="I64640" s="102"/>
      <c r="J64640" s="8"/>
      <c r="K64640" s="8"/>
      <c r="L64640" s="8"/>
      <c r="M64640" s="8"/>
      <c r="N64640" s="8"/>
      <c r="O64640" s="8"/>
      <c r="P64640" s="8"/>
      <c r="Q64640" s="8"/>
      <c r="R64640" s="103"/>
      <c r="S64640" s="8"/>
      <c r="T64640" s="8"/>
      <c r="U64640" s="8"/>
      <c r="V64640" s="8"/>
      <c r="W64640" s="8"/>
      <c r="X64640" s="8"/>
      <c r="Y64640" s="8"/>
      <c r="Z64640" s="8"/>
      <c r="AA64640" s="8"/>
    </row>
    <row r="64641" spans="1:27" x14ac:dyDescent="0.25">
      <c r="A64641" s="8"/>
      <c r="B64641" s="8"/>
      <c r="C64641" s="99"/>
      <c r="D64641" s="8"/>
      <c r="E64641" s="8"/>
      <c r="F64641" s="8"/>
      <c r="G64641" s="8"/>
      <c r="H64641" s="8"/>
      <c r="I64641" s="102"/>
      <c r="J64641" s="8"/>
      <c r="K64641" s="8"/>
      <c r="L64641" s="8"/>
      <c r="M64641" s="8"/>
      <c r="N64641" s="8"/>
      <c r="O64641" s="8"/>
      <c r="P64641" s="8"/>
      <c r="Q64641" s="8"/>
      <c r="R64641" s="103"/>
      <c r="S64641" s="8"/>
      <c r="T64641" s="8"/>
      <c r="U64641" s="8"/>
      <c r="V64641" s="8"/>
      <c r="W64641" s="8"/>
      <c r="X64641" s="8"/>
      <c r="Y64641" s="8"/>
      <c r="Z64641" s="8"/>
      <c r="AA64641" s="8"/>
    </row>
    <row r="64642" spans="1:27" x14ac:dyDescent="0.25">
      <c r="A64642" s="8"/>
      <c r="B64642" s="8"/>
      <c r="C64642" s="99"/>
      <c r="D64642" s="8"/>
      <c r="E64642" s="8"/>
      <c r="F64642" s="8"/>
      <c r="G64642" s="8"/>
      <c r="H64642" s="8"/>
      <c r="I64642" s="102"/>
      <c r="J64642" s="8"/>
      <c r="K64642" s="8"/>
      <c r="L64642" s="8"/>
      <c r="M64642" s="8"/>
      <c r="N64642" s="8"/>
      <c r="O64642" s="8"/>
      <c r="P64642" s="8"/>
      <c r="Q64642" s="8"/>
      <c r="R64642" s="103"/>
      <c r="S64642" s="8"/>
      <c r="T64642" s="8"/>
      <c r="U64642" s="8"/>
      <c r="V64642" s="8"/>
      <c r="W64642" s="8"/>
      <c r="X64642" s="8"/>
      <c r="Y64642" s="8"/>
      <c r="Z64642" s="8"/>
      <c r="AA64642" s="8"/>
    </row>
    <row r="64643" spans="1:27" x14ac:dyDescent="0.25">
      <c r="A64643" s="8"/>
      <c r="B64643" s="8"/>
      <c r="C64643" s="99"/>
      <c r="D64643" s="8"/>
      <c r="E64643" s="8"/>
      <c r="F64643" s="8"/>
      <c r="G64643" s="8"/>
      <c r="H64643" s="8"/>
      <c r="I64643" s="102"/>
      <c r="J64643" s="8"/>
      <c r="K64643" s="8"/>
      <c r="L64643" s="8"/>
      <c r="M64643" s="8"/>
      <c r="N64643" s="8"/>
      <c r="O64643" s="8"/>
      <c r="P64643" s="8"/>
      <c r="Q64643" s="8"/>
      <c r="R64643" s="103"/>
      <c r="S64643" s="8"/>
      <c r="T64643" s="8"/>
      <c r="U64643" s="8"/>
      <c r="V64643" s="8"/>
      <c r="W64643" s="8"/>
      <c r="X64643" s="8"/>
      <c r="Y64643" s="8"/>
      <c r="Z64643" s="8"/>
      <c r="AA64643" s="8"/>
    </row>
    <row r="64644" spans="1:27" x14ac:dyDescent="0.25">
      <c r="A64644" s="8"/>
      <c r="B64644" s="8"/>
      <c r="C64644" s="99"/>
      <c r="D64644" s="8"/>
      <c r="E64644" s="8"/>
      <c r="F64644" s="8"/>
      <c r="G64644" s="8"/>
      <c r="H64644" s="8"/>
      <c r="I64644" s="102"/>
      <c r="J64644" s="8"/>
      <c r="K64644" s="8"/>
      <c r="L64644" s="8"/>
      <c r="M64644" s="8"/>
      <c r="N64644" s="8"/>
      <c r="O64644" s="8"/>
      <c r="P64644" s="8"/>
      <c r="Q64644" s="8"/>
      <c r="R64644" s="103"/>
      <c r="S64644" s="8"/>
      <c r="T64644" s="8"/>
      <c r="U64644" s="8"/>
      <c r="V64644" s="8"/>
      <c r="W64644" s="8"/>
      <c r="X64644" s="8"/>
      <c r="Y64644" s="8"/>
      <c r="Z64644" s="8"/>
      <c r="AA64644" s="8"/>
    </row>
    <row r="64645" spans="1:27" x14ac:dyDescent="0.25">
      <c r="A64645" s="8"/>
      <c r="B64645" s="8"/>
      <c r="C64645" s="99"/>
      <c r="D64645" s="8"/>
      <c r="E64645" s="8"/>
      <c r="F64645" s="8"/>
      <c r="G64645" s="8"/>
      <c r="H64645" s="8"/>
      <c r="I64645" s="102"/>
      <c r="J64645" s="8"/>
      <c r="K64645" s="8"/>
      <c r="L64645" s="8"/>
      <c r="M64645" s="8"/>
      <c r="N64645" s="8"/>
      <c r="O64645" s="8"/>
      <c r="P64645" s="8"/>
      <c r="Q64645" s="8"/>
      <c r="R64645" s="103"/>
      <c r="S64645" s="8"/>
      <c r="T64645" s="8"/>
      <c r="U64645" s="8"/>
      <c r="V64645" s="8"/>
      <c r="W64645" s="8"/>
      <c r="X64645" s="8"/>
      <c r="Y64645" s="8"/>
      <c r="Z64645" s="8"/>
      <c r="AA64645" s="8"/>
    </row>
    <row r="64646" spans="1:27" x14ac:dyDescent="0.25">
      <c r="A64646" s="8"/>
      <c r="B64646" s="8"/>
      <c r="C64646" s="99"/>
      <c r="D64646" s="8"/>
      <c r="E64646" s="8"/>
      <c r="F64646" s="8"/>
      <c r="G64646" s="8"/>
      <c r="H64646" s="8"/>
      <c r="I64646" s="102"/>
      <c r="J64646" s="8"/>
      <c r="K64646" s="8"/>
      <c r="L64646" s="8"/>
      <c r="M64646" s="8"/>
      <c r="N64646" s="8"/>
      <c r="O64646" s="8"/>
      <c r="P64646" s="8"/>
      <c r="Q64646" s="8"/>
      <c r="R64646" s="103"/>
      <c r="S64646" s="8"/>
      <c r="T64646" s="8"/>
      <c r="U64646" s="8"/>
      <c r="V64646" s="8"/>
      <c r="W64646" s="8"/>
      <c r="X64646" s="8"/>
      <c r="Y64646" s="8"/>
      <c r="Z64646" s="8"/>
      <c r="AA64646" s="8"/>
    </row>
    <row r="64647" spans="1:27" x14ac:dyDescent="0.25">
      <c r="A64647" s="8"/>
      <c r="B64647" s="8"/>
      <c r="C64647" s="99"/>
      <c r="D64647" s="8"/>
      <c r="E64647" s="8"/>
      <c r="F64647" s="8"/>
      <c r="G64647" s="8"/>
      <c r="H64647" s="8"/>
      <c r="I64647" s="102"/>
      <c r="J64647" s="8"/>
      <c r="K64647" s="8"/>
      <c r="L64647" s="8"/>
      <c r="M64647" s="8"/>
      <c r="N64647" s="8"/>
      <c r="O64647" s="8"/>
      <c r="P64647" s="8"/>
      <c r="Q64647" s="8"/>
      <c r="R64647" s="103"/>
      <c r="S64647" s="8"/>
      <c r="T64647" s="8"/>
      <c r="U64647" s="8"/>
      <c r="V64647" s="8"/>
      <c r="W64647" s="8"/>
      <c r="X64647" s="8"/>
      <c r="Y64647" s="8"/>
      <c r="Z64647" s="8"/>
      <c r="AA64647" s="8"/>
    </row>
    <row r="64648" spans="1:27" x14ac:dyDescent="0.25">
      <c r="A64648" s="8"/>
      <c r="B64648" s="8"/>
      <c r="C64648" s="99"/>
      <c r="D64648" s="8"/>
      <c r="E64648" s="8"/>
      <c r="F64648" s="8"/>
      <c r="G64648" s="8"/>
      <c r="H64648" s="8"/>
      <c r="I64648" s="102"/>
      <c r="J64648" s="8"/>
      <c r="K64648" s="8"/>
      <c r="L64648" s="8"/>
      <c r="M64648" s="8"/>
      <c r="N64648" s="8"/>
      <c r="O64648" s="8"/>
      <c r="P64648" s="8"/>
      <c r="Q64648" s="8"/>
      <c r="R64648" s="103"/>
      <c r="S64648" s="8"/>
      <c r="T64648" s="8"/>
      <c r="U64648" s="8"/>
      <c r="V64648" s="8"/>
      <c r="W64648" s="8"/>
      <c r="X64648" s="8"/>
      <c r="Y64648" s="8"/>
      <c r="Z64648" s="8"/>
      <c r="AA64648" s="8"/>
    </row>
    <row r="64649" spans="1:27" x14ac:dyDescent="0.25">
      <c r="A64649" s="8"/>
      <c r="B64649" s="8"/>
      <c r="C64649" s="99"/>
      <c r="D64649" s="8"/>
      <c r="E64649" s="8"/>
      <c r="F64649" s="8"/>
      <c r="G64649" s="8"/>
      <c r="H64649" s="8"/>
      <c r="I64649" s="102"/>
      <c r="J64649" s="8"/>
      <c r="K64649" s="8"/>
      <c r="L64649" s="8"/>
      <c r="M64649" s="8"/>
      <c r="N64649" s="8"/>
      <c r="O64649" s="8"/>
      <c r="P64649" s="8"/>
      <c r="Q64649" s="8"/>
      <c r="R64649" s="103"/>
      <c r="S64649" s="8"/>
      <c r="T64649" s="8"/>
      <c r="U64649" s="8"/>
      <c r="V64649" s="8"/>
      <c r="W64649" s="8"/>
      <c r="X64649" s="8"/>
      <c r="Y64649" s="8"/>
      <c r="Z64649" s="8"/>
      <c r="AA64649" s="8"/>
    </row>
    <row r="64650" spans="1:27" x14ac:dyDescent="0.25">
      <c r="A64650" s="8"/>
      <c r="B64650" s="8"/>
      <c r="C64650" s="99"/>
      <c r="D64650" s="8"/>
      <c r="E64650" s="8"/>
      <c r="F64650" s="8"/>
      <c r="G64650" s="8"/>
      <c r="H64650" s="8"/>
      <c r="I64650" s="102"/>
      <c r="J64650" s="8"/>
      <c r="K64650" s="8"/>
      <c r="L64650" s="8"/>
      <c r="M64650" s="8"/>
      <c r="N64650" s="8"/>
      <c r="O64650" s="8"/>
      <c r="P64650" s="8"/>
      <c r="Q64650" s="8"/>
      <c r="R64650" s="103"/>
      <c r="S64650" s="8"/>
      <c r="T64650" s="8"/>
      <c r="U64650" s="8"/>
      <c r="V64650" s="8"/>
      <c r="W64650" s="8"/>
      <c r="X64650" s="8"/>
      <c r="Y64650" s="8"/>
      <c r="Z64650" s="8"/>
      <c r="AA64650" s="8"/>
    </row>
    <row r="64651" spans="1:27" x14ac:dyDescent="0.25">
      <c r="A64651" s="8"/>
      <c r="B64651" s="8"/>
      <c r="C64651" s="99"/>
      <c r="D64651" s="8"/>
      <c r="E64651" s="8"/>
      <c r="F64651" s="8"/>
      <c r="G64651" s="8"/>
      <c r="H64651" s="8"/>
      <c r="I64651" s="102"/>
      <c r="J64651" s="8"/>
      <c r="K64651" s="8"/>
      <c r="L64651" s="8"/>
      <c r="M64651" s="8"/>
      <c r="N64651" s="8"/>
      <c r="O64651" s="8"/>
      <c r="P64651" s="8"/>
      <c r="Q64651" s="8"/>
      <c r="R64651" s="103"/>
      <c r="S64651" s="8"/>
      <c r="T64651" s="8"/>
      <c r="U64651" s="8"/>
      <c r="V64651" s="8"/>
      <c r="W64651" s="8"/>
      <c r="X64651" s="8"/>
      <c r="Y64651" s="8"/>
      <c r="Z64651" s="8"/>
      <c r="AA64651" s="8"/>
    </row>
    <row r="64652" spans="1:27" x14ac:dyDescent="0.25">
      <c r="A64652" s="8"/>
      <c r="B64652" s="8"/>
      <c r="C64652" s="99"/>
      <c r="D64652" s="8"/>
      <c r="E64652" s="8"/>
      <c r="F64652" s="8"/>
      <c r="G64652" s="8"/>
      <c r="H64652" s="8"/>
      <c r="I64652" s="102"/>
      <c r="J64652" s="8"/>
      <c r="K64652" s="8"/>
      <c r="L64652" s="8"/>
      <c r="M64652" s="8"/>
      <c r="N64652" s="8"/>
      <c r="O64652" s="8"/>
      <c r="P64652" s="8"/>
      <c r="Q64652" s="8"/>
      <c r="R64652" s="103"/>
      <c r="S64652" s="8"/>
      <c r="T64652" s="8"/>
      <c r="U64652" s="8"/>
      <c r="V64652" s="8"/>
      <c r="W64652" s="8"/>
      <c r="X64652" s="8"/>
      <c r="Y64652" s="8"/>
      <c r="Z64652" s="8"/>
      <c r="AA64652" s="8"/>
    </row>
    <row r="64653" spans="1:27" x14ac:dyDescent="0.25">
      <c r="A64653" s="8"/>
      <c r="B64653" s="8"/>
      <c r="C64653" s="99"/>
      <c r="D64653" s="8"/>
      <c r="E64653" s="8"/>
      <c r="F64653" s="8"/>
      <c r="G64653" s="8"/>
      <c r="H64653" s="8"/>
      <c r="I64653" s="102"/>
      <c r="J64653" s="8"/>
      <c r="K64653" s="8"/>
      <c r="L64653" s="8"/>
      <c r="M64653" s="8"/>
      <c r="N64653" s="8"/>
      <c r="O64653" s="8"/>
      <c r="P64653" s="8"/>
      <c r="Q64653" s="8"/>
      <c r="R64653" s="103"/>
      <c r="S64653" s="8"/>
      <c r="T64653" s="8"/>
      <c r="U64653" s="8"/>
      <c r="V64653" s="8"/>
      <c r="W64653" s="8"/>
      <c r="X64653" s="8"/>
      <c r="Y64653" s="8"/>
      <c r="Z64653" s="8"/>
      <c r="AA64653" s="8"/>
    </row>
    <row r="64654" spans="1:27" x14ac:dyDescent="0.25">
      <c r="A64654" s="8"/>
      <c r="B64654" s="8"/>
      <c r="C64654" s="99"/>
      <c r="D64654" s="8"/>
      <c r="E64654" s="8"/>
      <c r="F64654" s="8"/>
      <c r="G64654" s="8"/>
      <c r="H64654" s="8"/>
      <c r="I64654" s="102"/>
      <c r="J64654" s="8"/>
      <c r="K64654" s="8"/>
      <c r="L64654" s="8"/>
      <c r="M64654" s="8"/>
      <c r="N64654" s="8"/>
      <c r="O64654" s="8"/>
      <c r="P64654" s="8"/>
      <c r="Q64654" s="8"/>
      <c r="R64654" s="103"/>
      <c r="S64654" s="8"/>
      <c r="T64654" s="8"/>
      <c r="U64654" s="8"/>
      <c r="V64654" s="8"/>
      <c r="W64654" s="8"/>
      <c r="X64654" s="8"/>
      <c r="Y64654" s="8"/>
      <c r="Z64654" s="8"/>
      <c r="AA64654" s="8"/>
    </row>
    <row r="64655" spans="1:27" x14ac:dyDescent="0.25">
      <c r="A64655" s="8"/>
      <c r="B64655" s="8"/>
      <c r="C64655" s="99"/>
      <c r="D64655" s="8"/>
      <c r="E64655" s="8"/>
      <c r="F64655" s="8"/>
      <c r="G64655" s="8"/>
      <c r="H64655" s="8"/>
      <c r="I64655" s="102"/>
      <c r="J64655" s="8"/>
      <c r="K64655" s="8"/>
      <c r="L64655" s="8"/>
      <c r="M64655" s="8"/>
      <c r="N64655" s="8"/>
      <c r="O64655" s="8"/>
      <c r="P64655" s="8"/>
      <c r="Q64655" s="8"/>
      <c r="R64655" s="103"/>
      <c r="S64655" s="8"/>
      <c r="T64655" s="8"/>
      <c r="U64655" s="8"/>
      <c r="V64655" s="8"/>
      <c r="W64655" s="8"/>
      <c r="X64655" s="8"/>
      <c r="Y64655" s="8"/>
      <c r="Z64655" s="8"/>
      <c r="AA64655" s="8"/>
    </row>
    <row r="64656" spans="1:27" x14ac:dyDescent="0.25">
      <c r="A64656" s="8"/>
      <c r="B64656" s="8"/>
      <c r="C64656" s="99"/>
      <c r="D64656" s="8"/>
      <c r="E64656" s="8"/>
      <c r="F64656" s="8"/>
      <c r="G64656" s="8"/>
      <c r="H64656" s="8"/>
      <c r="I64656" s="102"/>
      <c r="J64656" s="8"/>
      <c r="K64656" s="8"/>
      <c r="L64656" s="8"/>
      <c r="M64656" s="8"/>
      <c r="N64656" s="8"/>
      <c r="O64656" s="8"/>
      <c r="P64656" s="8"/>
      <c r="Q64656" s="8"/>
      <c r="R64656" s="103"/>
      <c r="S64656" s="8"/>
      <c r="T64656" s="8"/>
      <c r="U64656" s="8"/>
      <c r="V64656" s="8"/>
      <c r="W64656" s="8"/>
      <c r="X64656" s="8"/>
      <c r="Y64656" s="8"/>
      <c r="Z64656" s="8"/>
      <c r="AA64656" s="8"/>
    </row>
    <row r="64657" spans="1:27" x14ac:dyDescent="0.25">
      <c r="A64657" s="8"/>
      <c r="B64657" s="8"/>
      <c r="C64657" s="99"/>
      <c r="D64657" s="8"/>
      <c r="E64657" s="8"/>
      <c r="F64657" s="8"/>
      <c r="G64657" s="8"/>
      <c r="H64657" s="8"/>
      <c r="I64657" s="102"/>
      <c r="J64657" s="8"/>
      <c r="K64657" s="8"/>
      <c r="L64657" s="8"/>
      <c r="M64657" s="8"/>
      <c r="N64657" s="8"/>
      <c r="O64657" s="8"/>
      <c r="P64657" s="8"/>
      <c r="Q64657" s="8"/>
      <c r="R64657" s="103"/>
      <c r="S64657" s="8"/>
      <c r="T64657" s="8"/>
      <c r="U64657" s="8"/>
      <c r="V64657" s="8"/>
      <c r="W64657" s="8"/>
      <c r="X64657" s="8"/>
      <c r="Y64657" s="8"/>
      <c r="Z64657" s="8"/>
      <c r="AA64657" s="8"/>
    </row>
    <row r="64658" spans="1:27" x14ac:dyDescent="0.25">
      <c r="A64658" s="8"/>
      <c r="B64658" s="8"/>
      <c r="C64658" s="99"/>
      <c r="D64658" s="8"/>
      <c r="E64658" s="8"/>
      <c r="F64658" s="8"/>
      <c r="G64658" s="8"/>
      <c r="H64658" s="8"/>
      <c r="I64658" s="102"/>
      <c r="J64658" s="8"/>
      <c r="K64658" s="8"/>
      <c r="L64658" s="8"/>
      <c r="M64658" s="8"/>
      <c r="N64658" s="8"/>
      <c r="O64658" s="8"/>
      <c r="P64658" s="8"/>
      <c r="Q64658" s="8"/>
      <c r="R64658" s="103"/>
      <c r="S64658" s="8"/>
      <c r="T64658" s="8"/>
      <c r="U64658" s="8"/>
      <c r="V64658" s="8"/>
      <c r="W64658" s="8"/>
      <c r="X64658" s="8"/>
      <c r="Y64658" s="8"/>
      <c r="Z64658" s="8"/>
      <c r="AA64658" s="8"/>
    </row>
    <row r="64659" spans="1:27" x14ac:dyDescent="0.25">
      <c r="A64659" s="8"/>
      <c r="B64659" s="8"/>
      <c r="C64659" s="99"/>
      <c r="D64659" s="8"/>
      <c r="E64659" s="8"/>
      <c r="F64659" s="8"/>
      <c r="G64659" s="8"/>
      <c r="H64659" s="8"/>
      <c r="I64659" s="102"/>
      <c r="J64659" s="8"/>
      <c r="K64659" s="8"/>
      <c r="L64659" s="8"/>
      <c r="M64659" s="8"/>
      <c r="N64659" s="8"/>
      <c r="O64659" s="8"/>
      <c r="P64659" s="8"/>
      <c r="Q64659" s="8"/>
      <c r="R64659" s="103"/>
      <c r="S64659" s="8"/>
      <c r="T64659" s="8"/>
      <c r="U64659" s="8"/>
      <c r="V64659" s="8"/>
      <c r="W64659" s="8"/>
      <c r="X64659" s="8"/>
      <c r="Y64659" s="8"/>
      <c r="Z64659" s="8"/>
      <c r="AA64659" s="8"/>
    </row>
    <row r="64660" spans="1:27" x14ac:dyDescent="0.25">
      <c r="A64660" s="8"/>
      <c r="B64660" s="8"/>
      <c r="C64660" s="99"/>
      <c r="D64660" s="8"/>
      <c r="E64660" s="8"/>
      <c r="F64660" s="8"/>
      <c r="G64660" s="8"/>
      <c r="H64660" s="8"/>
      <c r="I64660" s="102"/>
      <c r="J64660" s="8"/>
      <c r="K64660" s="8"/>
      <c r="L64660" s="8"/>
      <c r="M64660" s="8"/>
      <c r="N64660" s="8"/>
      <c r="O64660" s="8"/>
      <c r="P64660" s="8"/>
      <c r="Q64660" s="8"/>
      <c r="R64660" s="103"/>
      <c r="S64660" s="8"/>
      <c r="T64660" s="8"/>
      <c r="U64660" s="8"/>
      <c r="V64660" s="8"/>
      <c r="W64660" s="8"/>
      <c r="X64660" s="8"/>
      <c r="Y64660" s="8"/>
      <c r="Z64660" s="8"/>
      <c r="AA64660" s="8"/>
    </row>
    <row r="64661" spans="1:27" x14ac:dyDescent="0.25">
      <c r="A64661" s="8"/>
      <c r="B64661" s="8"/>
      <c r="C64661" s="99"/>
      <c r="D64661" s="8"/>
      <c r="E64661" s="8"/>
      <c r="F64661" s="8"/>
      <c r="G64661" s="8"/>
      <c r="H64661" s="8"/>
      <c r="I64661" s="102"/>
      <c r="J64661" s="8"/>
      <c r="K64661" s="8"/>
      <c r="L64661" s="8"/>
      <c r="M64661" s="8"/>
      <c r="N64661" s="8"/>
      <c r="O64661" s="8"/>
      <c r="P64661" s="8"/>
      <c r="Q64661" s="8"/>
      <c r="R64661" s="103"/>
      <c r="S64661" s="8"/>
      <c r="T64661" s="8"/>
      <c r="U64661" s="8"/>
      <c r="V64661" s="8"/>
      <c r="W64661" s="8"/>
      <c r="X64661" s="8"/>
      <c r="Y64661" s="8"/>
      <c r="Z64661" s="8"/>
      <c r="AA64661" s="8"/>
    </row>
    <row r="64662" spans="1:27" x14ac:dyDescent="0.25">
      <c r="A64662" s="8"/>
      <c r="B64662" s="8"/>
      <c r="C64662" s="99"/>
      <c r="D64662" s="8"/>
      <c r="E64662" s="8"/>
      <c r="F64662" s="8"/>
      <c r="G64662" s="8"/>
      <c r="H64662" s="8"/>
      <c r="I64662" s="102"/>
      <c r="J64662" s="8"/>
      <c r="K64662" s="8"/>
      <c r="L64662" s="8"/>
      <c r="M64662" s="8"/>
      <c r="N64662" s="8"/>
      <c r="O64662" s="8"/>
      <c r="P64662" s="8"/>
      <c r="Q64662" s="8"/>
      <c r="R64662" s="103"/>
      <c r="S64662" s="8"/>
      <c r="T64662" s="8"/>
      <c r="U64662" s="8"/>
      <c r="V64662" s="8"/>
      <c r="W64662" s="8"/>
      <c r="X64662" s="8"/>
      <c r="Y64662" s="8"/>
      <c r="Z64662" s="8"/>
      <c r="AA64662" s="8"/>
    </row>
    <row r="64663" spans="1:27" x14ac:dyDescent="0.25">
      <c r="A64663" s="8"/>
      <c r="B64663" s="8"/>
      <c r="C64663" s="99"/>
      <c r="D64663" s="8"/>
      <c r="E64663" s="8"/>
      <c r="F64663" s="8"/>
      <c r="G64663" s="8"/>
      <c r="H64663" s="8"/>
      <c r="I64663" s="102"/>
      <c r="J64663" s="8"/>
      <c r="K64663" s="8"/>
      <c r="L64663" s="8"/>
      <c r="M64663" s="8"/>
      <c r="N64663" s="8"/>
      <c r="O64663" s="8"/>
      <c r="P64663" s="8"/>
      <c r="Q64663" s="8"/>
      <c r="R64663" s="103"/>
      <c r="S64663" s="8"/>
      <c r="T64663" s="8"/>
      <c r="U64663" s="8"/>
      <c r="V64663" s="8"/>
      <c r="W64663" s="8"/>
      <c r="X64663" s="8"/>
      <c r="Y64663" s="8"/>
      <c r="Z64663" s="8"/>
      <c r="AA64663" s="8"/>
    </row>
    <row r="64664" spans="1:27" x14ac:dyDescent="0.25">
      <c r="A64664" s="8"/>
      <c r="B64664" s="8"/>
      <c r="C64664" s="99"/>
      <c r="D64664" s="8"/>
      <c r="E64664" s="8"/>
      <c r="F64664" s="8"/>
      <c r="G64664" s="8"/>
      <c r="H64664" s="8"/>
      <c r="I64664" s="102"/>
      <c r="J64664" s="8"/>
      <c r="K64664" s="8"/>
      <c r="L64664" s="8"/>
      <c r="M64664" s="8"/>
      <c r="N64664" s="8"/>
      <c r="O64664" s="8"/>
      <c r="P64664" s="8"/>
      <c r="Q64664" s="8"/>
      <c r="R64664" s="103"/>
      <c r="S64664" s="8"/>
      <c r="T64664" s="8"/>
      <c r="U64664" s="8"/>
      <c r="V64664" s="8"/>
      <c r="W64664" s="8"/>
      <c r="X64664" s="8"/>
      <c r="Y64664" s="8"/>
      <c r="Z64664" s="8"/>
      <c r="AA64664" s="8"/>
    </row>
    <row r="64665" spans="1:27" x14ac:dyDescent="0.25">
      <c r="A64665" s="8"/>
      <c r="B64665" s="8"/>
      <c r="C64665" s="99"/>
      <c r="D64665" s="8"/>
      <c r="E64665" s="8"/>
      <c r="F64665" s="8"/>
      <c r="G64665" s="8"/>
      <c r="H64665" s="8"/>
      <c r="I64665" s="102"/>
      <c r="J64665" s="8"/>
      <c r="K64665" s="8"/>
      <c r="L64665" s="8"/>
      <c r="M64665" s="8"/>
      <c r="N64665" s="8"/>
      <c r="O64665" s="8"/>
      <c r="P64665" s="8"/>
      <c r="Q64665" s="8"/>
      <c r="R64665" s="103"/>
      <c r="S64665" s="8"/>
      <c r="T64665" s="8"/>
      <c r="U64665" s="8"/>
      <c r="V64665" s="8"/>
      <c r="W64665" s="8"/>
      <c r="X64665" s="8"/>
      <c r="Y64665" s="8"/>
      <c r="Z64665" s="8"/>
      <c r="AA64665" s="8"/>
    </row>
    <row r="64666" spans="1:27" x14ac:dyDescent="0.25">
      <c r="A64666" s="8"/>
      <c r="B64666" s="8"/>
      <c r="C64666" s="99"/>
      <c r="D64666" s="8"/>
      <c r="E64666" s="8"/>
      <c r="F64666" s="8"/>
      <c r="G64666" s="8"/>
      <c r="H64666" s="8"/>
      <c r="I64666" s="102"/>
      <c r="J64666" s="8"/>
      <c r="K64666" s="8"/>
      <c r="L64666" s="8"/>
      <c r="M64666" s="8"/>
      <c r="N64666" s="8"/>
      <c r="O64666" s="8"/>
      <c r="P64666" s="8"/>
      <c r="Q64666" s="8"/>
      <c r="R64666" s="103"/>
      <c r="S64666" s="8"/>
      <c r="T64666" s="8"/>
      <c r="U64666" s="8"/>
      <c r="V64666" s="8"/>
      <c r="W64666" s="8"/>
      <c r="X64666" s="8"/>
      <c r="Y64666" s="8"/>
      <c r="Z64666" s="8"/>
      <c r="AA64666" s="8"/>
    </row>
    <row r="64667" spans="1:27" x14ac:dyDescent="0.25">
      <c r="A64667" s="8"/>
      <c r="B64667" s="8"/>
      <c r="C64667" s="99"/>
      <c r="D64667" s="8"/>
      <c r="E64667" s="8"/>
      <c r="F64667" s="8"/>
      <c r="G64667" s="8"/>
      <c r="H64667" s="8"/>
      <c r="I64667" s="102"/>
      <c r="J64667" s="8"/>
      <c r="K64667" s="8"/>
      <c r="L64667" s="8"/>
      <c r="M64667" s="8"/>
      <c r="N64667" s="8"/>
      <c r="O64667" s="8"/>
      <c r="P64667" s="8"/>
      <c r="Q64667" s="8"/>
      <c r="R64667" s="103"/>
      <c r="S64667" s="8"/>
      <c r="T64667" s="8"/>
      <c r="U64667" s="8"/>
      <c r="V64667" s="8"/>
      <c r="W64667" s="8"/>
      <c r="X64667" s="8"/>
      <c r="Y64667" s="8"/>
      <c r="Z64667" s="8"/>
      <c r="AA64667" s="8"/>
    </row>
    <row r="64668" spans="1:27" x14ac:dyDescent="0.25">
      <c r="A64668" s="8"/>
      <c r="B64668" s="8"/>
      <c r="C64668" s="99"/>
      <c r="D64668" s="8"/>
      <c r="E64668" s="8"/>
      <c r="F64668" s="8"/>
      <c r="G64668" s="8"/>
      <c r="H64668" s="8"/>
      <c r="I64668" s="102"/>
      <c r="J64668" s="8"/>
      <c r="K64668" s="8"/>
      <c r="L64668" s="8"/>
      <c r="M64668" s="8"/>
      <c r="N64668" s="8"/>
      <c r="O64668" s="8"/>
      <c r="P64668" s="8"/>
      <c r="Q64668" s="8"/>
      <c r="R64668" s="103"/>
      <c r="S64668" s="8"/>
      <c r="T64668" s="8"/>
      <c r="U64668" s="8"/>
      <c r="V64668" s="8"/>
      <c r="W64668" s="8"/>
      <c r="X64668" s="8"/>
      <c r="Y64668" s="8"/>
      <c r="Z64668" s="8"/>
      <c r="AA64668" s="8"/>
    </row>
    <row r="64669" spans="1:27" x14ac:dyDescent="0.25">
      <c r="A64669" s="8"/>
      <c r="B64669" s="8"/>
      <c r="C64669" s="99"/>
      <c r="D64669" s="8"/>
      <c r="E64669" s="8"/>
      <c r="F64669" s="8"/>
      <c r="G64669" s="8"/>
      <c r="H64669" s="8"/>
      <c r="I64669" s="102"/>
      <c r="J64669" s="8"/>
      <c r="K64669" s="8"/>
      <c r="L64669" s="8"/>
      <c r="M64669" s="8"/>
      <c r="N64669" s="8"/>
      <c r="O64669" s="8"/>
      <c r="P64669" s="8"/>
      <c r="Q64669" s="8"/>
      <c r="R64669" s="103"/>
      <c r="S64669" s="8"/>
      <c r="T64669" s="8"/>
      <c r="U64669" s="8"/>
      <c r="V64669" s="8"/>
      <c r="W64669" s="8"/>
      <c r="X64669" s="8"/>
      <c r="Y64669" s="8"/>
      <c r="Z64669" s="8"/>
      <c r="AA64669" s="8"/>
    </row>
    <row r="64670" spans="1:27" x14ac:dyDescent="0.25">
      <c r="A64670" s="8"/>
      <c r="B64670" s="8"/>
      <c r="C64670" s="99"/>
      <c r="D64670" s="8"/>
      <c r="E64670" s="8"/>
      <c r="F64670" s="8"/>
      <c r="G64670" s="8"/>
      <c r="H64670" s="8"/>
      <c r="I64670" s="102"/>
      <c r="J64670" s="8"/>
      <c r="K64670" s="8"/>
      <c r="L64670" s="8"/>
      <c r="M64670" s="8"/>
      <c r="N64670" s="8"/>
      <c r="O64670" s="8"/>
      <c r="P64670" s="8"/>
      <c r="Q64670" s="8"/>
      <c r="R64670" s="103"/>
      <c r="S64670" s="8"/>
      <c r="T64670" s="8"/>
      <c r="U64670" s="8"/>
      <c r="V64670" s="8"/>
      <c r="W64670" s="8"/>
      <c r="X64670" s="8"/>
      <c r="Y64670" s="8"/>
      <c r="Z64670" s="8"/>
      <c r="AA64670" s="8"/>
    </row>
    <row r="64671" spans="1:27" x14ac:dyDescent="0.25">
      <c r="A64671" s="8"/>
      <c r="B64671" s="8"/>
      <c r="C64671" s="99"/>
      <c r="D64671" s="8"/>
      <c r="E64671" s="8"/>
      <c r="F64671" s="8"/>
      <c r="G64671" s="8"/>
      <c r="H64671" s="8"/>
      <c r="I64671" s="102"/>
      <c r="J64671" s="8"/>
      <c r="K64671" s="8"/>
      <c r="L64671" s="8"/>
      <c r="M64671" s="8"/>
      <c r="N64671" s="8"/>
      <c r="O64671" s="8"/>
      <c r="P64671" s="8"/>
      <c r="Q64671" s="8"/>
      <c r="R64671" s="103"/>
      <c r="S64671" s="8"/>
      <c r="T64671" s="8"/>
      <c r="U64671" s="8"/>
      <c r="V64671" s="8"/>
      <c r="W64671" s="8"/>
      <c r="X64671" s="8"/>
      <c r="Y64671" s="8"/>
      <c r="Z64671" s="8"/>
      <c r="AA64671" s="8"/>
    </row>
    <row r="64672" spans="1:27" x14ac:dyDescent="0.25">
      <c r="A64672" s="8"/>
      <c r="B64672" s="8"/>
      <c r="C64672" s="99"/>
      <c r="D64672" s="8"/>
      <c r="E64672" s="8"/>
      <c r="F64672" s="8"/>
      <c r="G64672" s="8"/>
      <c r="H64672" s="8"/>
      <c r="I64672" s="102"/>
      <c r="J64672" s="8"/>
      <c r="K64672" s="8"/>
      <c r="L64672" s="8"/>
      <c r="M64672" s="8"/>
      <c r="N64672" s="8"/>
      <c r="O64672" s="8"/>
      <c r="P64672" s="8"/>
      <c r="Q64672" s="8"/>
      <c r="R64672" s="103"/>
      <c r="S64672" s="8"/>
      <c r="T64672" s="8"/>
      <c r="U64672" s="8"/>
      <c r="V64672" s="8"/>
      <c r="W64672" s="8"/>
      <c r="X64672" s="8"/>
      <c r="Y64672" s="8"/>
      <c r="Z64672" s="8"/>
      <c r="AA64672" s="8"/>
    </row>
    <row r="64673" spans="1:27" x14ac:dyDescent="0.25">
      <c r="A64673" s="8"/>
      <c r="B64673" s="8"/>
      <c r="C64673" s="99"/>
      <c r="D64673" s="8"/>
      <c r="E64673" s="8"/>
      <c r="F64673" s="8"/>
      <c r="G64673" s="8"/>
      <c r="H64673" s="8"/>
      <c r="I64673" s="102"/>
      <c r="J64673" s="8"/>
      <c r="K64673" s="8"/>
      <c r="L64673" s="8"/>
      <c r="M64673" s="8"/>
      <c r="N64673" s="8"/>
      <c r="O64673" s="8"/>
      <c r="P64673" s="8"/>
      <c r="Q64673" s="8"/>
      <c r="R64673" s="103"/>
      <c r="S64673" s="8"/>
      <c r="T64673" s="8"/>
      <c r="U64673" s="8"/>
      <c r="V64673" s="8"/>
      <c r="W64673" s="8"/>
      <c r="X64673" s="8"/>
      <c r="Y64673" s="8"/>
      <c r="Z64673" s="8"/>
      <c r="AA64673" s="8"/>
    </row>
    <row r="64674" spans="1:27" x14ac:dyDescent="0.25">
      <c r="A64674" s="8"/>
      <c r="B64674" s="8"/>
      <c r="C64674" s="99"/>
      <c r="D64674" s="8"/>
      <c r="E64674" s="8"/>
      <c r="F64674" s="8"/>
      <c r="G64674" s="8"/>
      <c r="H64674" s="8"/>
      <c r="I64674" s="102"/>
      <c r="J64674" s="8"/>
      <c r="K64674" s="8"/>
      <c r="L64674" s="8"/>
      <c r="M64674" s="8"/>
      <c r="N64674" s="8"/>
      <c r="O64674" s="8"/>
      <c r="P64674" s="8"/>
      <c r="Q64674" s="8"/>
      <c r="R64674" s="103"/>
      <c r="S64674" s="8"/>
      <c r="T64674" s="8"/>
      <c r="U64674" s="8"/>
      <c r="V64674" s="8"/>
      <c r="W64674" s="8"/>
      <c r="X64674" s="8"/>
      <c r="Y64674" s="8"/>
      <c r="Z64674" s="8"/>
      <c r="AA64674" s="8"/>
    </row>
    <row r="64675" spans="1:27" x14ac:dyDescent="0.25">
      <c r="A64675" s="8"/>
      <c r="B64675" s="8"/>
      <c r="C64675" s="99"/>
      <c r="D64675" s="8"/>
      <c r="E64675" s="8"/>
      <c r="F64675" s="8"/>
      <c r="G64675" s="8"/>
      <c r="H64675" s="8"/>
      <c r="I64675" s="102"/>
      <c r="J64675" s="8"/>
      <c r="K64675" s="8"/>
      <c r="L64675" s="8"/>
      <c r="M64675" s="8"/>
      <c r="N64675" s="8"/>
      <c r="O64675" s="8"/>
      <c r="P64675" s="8"/>
      <c r="Q64675" s="8"/>
      <c r="R64675" s="103"/>
      <c r="S64675" s="8"/>
      <c r="T64675" s="8"/>
      <c r="U64675" s="8"/>
      <c r="V64675" s="8"/>
      <c r="W64675" s="8"/>
      <c r="X64675" s="8"/>
      <c r="Y64675" s="8"/>
      <c r="Z64675" s="8"/>
      <c r="AA64675" s="8"/>
    </row>
    <row r="64676" spans="1:27" x14ac:dyDescent="0.25">
      <c r="A64676" s="8"/>
      <c r="B64676" s="8"/>
      <c r="C64676" s="99"/>
      <c r="D64676" s="8"/>
      <c r="E64676" s="8"/>
      <c r="F64676" s="8"/>
      <c r="G64676" s="8"/>
      <c r="H64676" s="8"/>
      <c r="I64676" s="102"/>
      <c r="J64676" s="8"/>
      <c r="K64676" s="8"/>
      <c r="L64676" s="8"/>
      <c r="M64676" s="8"/>
      <c r="N64676" s="8"/>
      <c r="O64676" s="8"/>
      <c r="P64676" s="8"/>
      <c r="Q64676" s="8"/>
      <c r="R64676" s="103"/>
      <c r="S64676" s="8"/>
      <c r="T64676" s="8"/>
      <c r="U64676" s="8"/>
      <c r="V64676" s="8"/>
      <c r="W64676" s="8"/>
      <c r="X64676" s="8"/>
      <c r="Y64676" s="8"/>
      <c r="Z64676" s="8"/>
      <c r="AA64676" s="8"/>
    </row>
    <row r="64677" spans="1:27" x14ac:dyDescent="0.25">
      <c r="A64677" s="8"/>
      <c r="B64677" s="8"/>
      <c r="C64677" s="99"/>
      <c r="D64677" s="8"/>
      <c r="E64677" s="8"/>
      <c r="F64677" s="8"/>
      <c r="G64677" s="8"/>
      <c r="H64677" s="8"/>
      <c r="I64677" s="102"/>
      <c r="J64677" s="8"/>
      <c r="K64677" s="8"/>
      <c r="L64677" s="8"/>
      <c r="M64677" s="8"/>
      <c r="N64677" s="8"/>
      <c r="O64677" s="8"/>
      <c r="P64677" s="8"/>
      <c r="Q64677" s="8"/>
      <c r="R64677" s="103"/>
      <c r="S64677" s="8"/>
      <c r="T64677" s="8"/>
      <c r="U64677" s="8"/>
      <c r="V64677" s="8"/>
      <c r="W64677" s="8"/>
      <c r="X64677" s="8"/>
      <c r="Y64677" s="8"/>
      <c r="Z64677" s="8"/>
      <c r="AA64677" s="8"/>
    </row>
    <row r="64678" spans="1:27" x14ac:dyDescent="0.25">
      <c r="A64678" s="8"/>
      <c r="B64678" s="8"/>
      <c r="C64678" s="99"/>
      <c r="D64678" s="8"/>
      <c r="E64678" s="8"/>
      <c r="F64678" s="8"/>
      <c r="G64678" s="8"/>
      <c r="H64678" s="8"/>
      <c r="I64678" s="102"/>
      <c r="J64678" s="8"/>
      <c r="K64678" s="8"/>
      <c r="L64678" s="8"/>
      <c r="M64678" s="8"/>
      <c r="N64678" s="8"/>
      <c r="O64678" s="8"/>
      <c r="P64678" s="8"/>
      <c r="Q64678" s="8"/>
      <c r="R64678" s="103"/>
      <c r="S64678" s="8"/>
      <c r="T64678" s="8"/>
      <c r="U64678" s="8"/>
      <c r="V64678" s="8"/>
      <c r="W64678" s="8"/>
      <c r="X64678" s="8"/>
      <c r="Y64678" s="8"/>
      <c r="Z64678" s="8"/>
      <c r="AA64678" s="8"/>
    </row>
    <row r="64679" spans="1:27" x14ac:dyDescent="0.25">
      <c r="A64679" s="8"/>
      <c r="B64679" s="8"/>
      <c r="C64679" s="99"/>
      <c r="D64679" s="8"/>
      <c r="E64679" s="8"/>
      <c r="F64679" s="8"/>
      <c r="G64679" s="8"/>
      <c r="H64679" s="8"/>
      <c r="I64679" s="102"/>
      <c r="J64679" s="8"/>
      <c r="K64679" s="8"/>
      <c r="L64679" s="8"/>
      <c r="M64679" s="8"/>
      <c r="N64679" s="8"/>
      <c r="O64679" s="8"/>
      <c r="P64679" s="8"/>
      <c r="Q64679" s="8"/>
      <c r="R64679" s="103"/>
      <c r="S64679" s="8"/>
      <c r="T64679" s="8"/>
      <c r="U64679" s="8"/>
      <c r="V64679" s="8"/>
      <c r="W64679" s="8"/>
      <c r="X64679" s="8"/>
      <c r="Y64679" s="8"/>
      <c r="Z64679" s="8"/>
      <c r="AA64679" s="8"/>
    </row>
    <row r="64680" spans="1:27" x14ac:dyDescent="0.25">
      <c r="A64680" s="8"/>
      <c r="B64680" s="8"/>
      <c r="C64680" s="99"/>
      <c r="D64680" s="8"/>
      <c r="E64680" s="8"/>
      <c r="F64680" s="8"/>
      <c r="G64680" s="8"/>
      <c r="H64680" s="8"/>
      <c r="I64680" s="102"/>
      <c r="J64680" s="8"/>
      <c r="K64680" s="8"/>
      <c r="L64680" s="8"/>
      <c r="M64680" s="8"/>
      <c r="N64680" s="8"/>
      <c r="O64680" s="8"/>
      <c r="P64680" s="8"/>
      <c r="Q64680" s="8"/>
      <c r="R64680" s="103"/>
      <c r="S64680" s="8"/>
      <c r="T64680" s="8"/>
      <c r="U64680" s="8"/>
      <c r="V64680" s="8"/>
      <c r="W64680" s="8"/>
      <c r="X64680" s="8"/>
      <c r="Y64680" s="8"/>
      <c r="Z64680" s="8"/>
      <c r="AA64680" s="8"/>
    </row>
    <row r="64681" spans="1:27" x14ac:dyDescent="0.25">
      <c r="A64681" s="8"/>
      <c r="B64681" s="8"/>
      <c r="C64681" s="99"/>
      <c r="D64681" s="8"/>
      <c r="E64681" s="8"/>
      <c r="F64681" s="8"/>
      <c r="G64681" s="8"/>
      <c r="H64681" s="8"/>
      <c r="I64681" s="102"/>
      <c r="J64681" s="8"/>
      <c r="K64681" s="8"/>
      <c r="L64681" s="8"/>
      <c r="M64681" s="8"/>
      <c r="N64681" s="8"/>
      <c r="O64681" s="8"/>
      <c r="P64681" s="8"/>
      <c r="Q64681" s="8"/>
      <c r="R64681" s="103"/>
      <c r="S64681" s="8"/>
      <c r="T64681" s="8"/>
      <c r="U64681" s="8"/>
      <c r="V64681" s="8"/>
      <c r="W64681" s="8"/>
      <c r="X64681" s="8"/>
      <c r="Y64681" s="8"/>
      <c r="Z64681" s="8"/>
      <c r="AA64681" s="8"/>
    </row>
    <row r="64682" spans="1:27" x14ac:dyDescent="0.25">
      <c r="A64682" s="8"/>
      <c r="B64682" s="8"/>
      <c r="C64682" s="99"/>
      <c r="D64682" s="8"/>
      <c r="E64682" s="8"/>
      <c r="F64682" s="8"/>
      <c r="G64682" s="8"/>
      <c r="H64682" s="8"/>
      <c r="I64682" s="102"/>
      <c r="J64682" s="8"/>
      <c r="K64682" s="8"/>
      <c r="L64682" s="8"/>
      <c r="M64682" s="8"/>
      <c r="N64682" s="8"/>
      <c r="O64682" s="8"/>
      <c r="P64682" s="8"/>
      <c r="Q64682" s="8"/>
      <c r="R64682" s="103"/>
      <c r="S64682" s="8"/>
      <c r="T64682" s="8"/>
      <c r="U64682" s="8"/>
      <c r="V64682" s="8"/>
      <c r="W64682" s="8"/>
      <c r="X64682" s="8"/>
      <c r="Y64682" s="8"/>
      <c r="Z64682" s="8"/>
      <c r="AA64682" s="8"/>
    </row>
    <row r="64683" spans="1:27" x14ac:dyDescent="0.25">
      <c r="A64683" s="8"/>
      <c r="B64683" s="8"/>
      <c r="C64683" s="99"/>
      <c r="D64683" s="8"/>
      <c r="E64683" s="8"/>
      <c r="F64683" s="8"/>
      <c r="G64683" s="8"/>
      <c r="H64683" s="8"/>
      <c r="I64683" s="102"/>
      <c r="J64683" s="8"/>
      <c r="K64683" s="8"/>
      <c r="L64683" s="8"/>
      <c r="M64683" s="8"/>
      <c r="N64683" s="8"/>
      <c r="O64683" s="8"/>
      <c r="P64683" s="8"/>
      <c r="Q64683" s="8"/>
      <c r="R64683" s="103"/>
      <c r="S64683" s="8"/>
      <c r="T64683" s="8"/>
      <c r="U64683" s="8"/>
      <c r="V64683" s="8"/>
      <c r="W64683" s="8"/>
      <c r="X64683" s="8"/>
      <c r="Y64683" s="8"/>
      <c r="Z64683" s="8"/>
      <c r="AA64683" s="8"/>
    </row>
    <row r="64684" spans="1:27" x14ac:dyDescent="0.25">
      <c r="A64684" s="8"/>
      <c r="B64684" s="8"/>
      <c r="C64684" s="99"/>
      <c r="D64684" s="8"/>
      <c r="E64684" s="8"/>
      <c r="F64684" s="8"/>
      <c r="G64684" s="8"/>
      <c r="H64684" s="8"/>
      <c r="I64684" s="102"/>
      <c r="J64684" s="8"/>
      <c r="K64684" s="8"/>
      <c r="L64684" s="8"/>
      <c r="M64684" s="8"/>
      <c r="N64684" s="8"/>
      <c r="O64684" s="8"/>
      <c r="P64684" s="8"/>
      <c r="Q64684" s="8"/>
      <c r="R64684" s="103"/>
      <c r="S64684" s="8"/>
      <c r="T64684" s="8"/>
      <c r="U64684" s="8"/>
      <c r="V64684" s="8"/>
      <c r="W64684" s="8"/>
      <c r="X64684" s="8"/>
      <c r="Y64684" s="8"/>
      <c r="Z64684" s="8"/>
      <c r="AA64684" s="8"/>
    </row>
    <row r="64685" spans="1:27" x14ac:dyDescent="0.25">
      <c r="A64685" s="8"/>
      <c r="B64685" s="8"/>
      <c r="C64685" s="99"/>
      <c r="D64685" s="8"/>
      <c r="E64685" s="8"/>
      <c r="F64685" s="8"/>
      <c r="G64685" s="8"/>
      <c r="H64685" s="8"/>
      <c r="I64685" s="102"/>
      <c r="J64685" s="8"/>
      <c r="K64685" s="8"/>
      <c r="L64685" s="8"/>
      <c r="M64685" s="8"/>
      <c r="N64685" s="8"/>
      <c r="O64685" s="8"/>
      <c r="P64685" s="8"/>
      <c r="Q64685" s="8"/>
      <c r="R64685" s="103"/>
      <c r="S64685" s="8"/>
      <c r="T64685" s="8"/>
      <c r="U64685" s="8"/>
      <c r="V64685" s="8"/>
      <c r="W64685" s="8"/>
      <c r="X64685" s="8"/>
      <c r="Y64685" s="8"/>
      <c r="Z64685" s="8"/>
      <c r="AA64685" s="8"/>
    </row>
    <row r="64686" spans="1:27" x14ac:dyDescent="0.25">
      <c r="A64686" s="8"/>
      <c r="B64686" s="8"/>
      <c r="C64686" s="99"/>
      <c r="D64686" s="8"/>
      <c r="E64686" s="8"/>
      <c r="F64686" s="8"/>
      <c r="G64686" s="8"/>
      <c r="H64686" s="8"/>
      <c r="I64686" s="102"/>
      <c r="J64686" s="8"/>
      <c r="K64686" s="8"/>
      <c r="L64686" s="8"/>
      <c r="M64686" s="8"/>
      <c r="N64686" s="8"/>
      <c r="O64686" s="8"/>
      <c r="P64686" s="8"/>
      <c r="Q64686" s="8"/>
      <c r="R64686" s="103"/>
      <c r="S64686" s="8"/>
      <c r="T64686" s="8"/>
      <c r="U64686" s="8"/>
      <c r="V64686" s="8"/>
      <c r="W64686" s="8"/>
      <c r="X64686" s="8"/>
      <c r="Y64686" s="8"/>
      <c r="Z64686" s="8"/>
      <c r="AA64686" s="8"/>
    </row>
    <row r="64687" spans="1:27" x14ac:dyDescent="0.25">
      <c r="A64687" s="8"/>
      <c r="B64687" s="8"/>
      <c r="C64687" s="99"/>
      <c r="D64687" s="8"/>
      <c r="E64687" s="8"/>
      <c r="F64687" s="8"/>
      <c r="G64687" s="8"/>
      <c r="H64687" s="8"/>
      <c r="I64687" s="102"/>
      <c r="J64687" s="8"/>
      <c r="K64687" s="8"/>
      <c r="L64687" s="8"/>
      <c r="M64687" s="8"/>
      <c r="N64687" s="8"/>
      <c r="O64687" s="8"/>
      <c r="P64687" s="8"/>
      <c r="Q64687" s="8"/>
      <c r="R64687" s="103"/>
      <c r="S64687" s="8"/>
      <c r="T64687" s="8"/>
      <c r="U64687" s="8"/>
      <c r="V64687" s="8"/>
      <c r="W64687" s="8"/>
      <c r="X64687" s="8"/>
      <c r="Y64687" s="8"/>
      <c r="Z64687" s="8"/>
      <c r="AA64687" s="8"/>
    </row>
    <row r="64688" spans="1:27" x14ac:dyDescent="0.25">
      <c r="A64688" s="8"/>
      <c r="B64688" s="8"/>
      <c r="C64688" s="99"/>
      <c r="D64688" s="8"/>
      <c r="E64688" s="8"/>
      <c r="F64688" s="8"/>
      <c r="G64688" s="8"/>
      <c r="H64688" s="8"/>
      <c r="I64688" s="102"/>
      <c r="J64688" s="8"/>
      <c r="K64688" s="8"/>
      <c r="L64688" s="8"/>
      <c r="M64688" s="8"/>
      <c r="N64688" s="8"/>
      <c r="O64688" s="8"/>
      <c r="P64688" s="8"/>
      <c r="Q64688" s="8"/>
      <c r="R64688" s="103"/>
      <c r="S64688" s="8"/>
      <c r="T64688" s="8"/>
      <c r="U64688" s="8"/>
      <c r="V64688" s="8"/>
      <c r="W64688" s="8"/>
      <c r="X64688" s="8"/>
      <c r="Y64688" s="8"/>
      <c r="Z64688" s="8"/>
      <c r="AA64688" s="8"/>
    </row>
    <row r="64689" spans="1:27" x14ac:dyDescent="0.25">
      <c r="A64689" s="8"/>
      <c r="B64689" s="8"/>
      <c r="C64689" s="99"/>
      <c r="D64689" s="8"/>
      <c r="E64689" s="8"/>
      <c r="F64689" s="8"/>
      <c r="G64689" s="8"/>
      <c r="H64689" s="8"/>
      <c r="I64689" s="102"/>
      <c r="J64689" s="8"/>
      <c r="K64689" s="8"/>
      <c r="L64689" s="8"/>
      <c r="M64689" s="8"/>
      <c r="N64689" s="8"/>
      <c r="O64689" s="8"/>
      <c r="P64689" s="8"/>
      <c r="Q64689" s="8"/>
      <c r="R64689" s="103"/>
      <c r="S64689" s="8"/>
      <c r="T64689" s="8"/>
      <c r="U64689" s="8"/>
      <c r="V64689" s="8"/>
      <c r="W64689" s="8"/>
      <c r="X64689" s="8"/>
      <c r="Y64689" s="8"/>
      <c r="Z64689" s="8"/>
      <c r="AA64689" s="8"/>
    </row>
    <row r="64690" spans="1:27" x14ac:dyDescent="0.25">
      <c r="A64690" s="8"/>
      <c r="B64690" s="8"/>
      <c r="C64690" s="99"/>
      <c r="D64690" s="8"/>
      <c r="E64690" s="8"/>
      <c r="F64690" s="8"/>
      <c r="G64690" s="8"/>
      <c r="H64690" s="8"/>
      <c r="I64690" s="102"/>
      <c r="J64690" s="8"/>
      <c r="K64690" s="8"/>
      <c r="L64690" s="8"/>
      <c r="M64690" s="8"/>
      <c r="N64690" s="8"/>
      <c r="O64690" s="8"/>
      <c r="P64690" s="8"/>
      <c r="Q64690" s="8"/>
      <c r="R64690" s="103"/>
      <c r="S64690" s="8"/>
      <c r="T64690" s="8"/>
      <c r="U64690" s="8"/>
      <c r="V64690" s="8"/>
      <c r="W64690" s="8"/>
      <c r="X64690" s="8"/>
      <c r="Y64690" s="8"/>
      <c r="Z64690" s="8"/>
      <c r="AA64690" s="8"/>
    </row>
    <row r="64691" spans="1:27" x14ac:dyDescent="0.25">
      <c r="A64691" s="8"/>
      <c r="B64691" s="8"/>
      <c r="C64691" s="99"/>
      <c r="D64691" s="8"/>
      <c r="E64691" s="8"/>
      <c r="F64691" s="8"/>
      <c r="G64691" s="8"/>
      <c r="H64691" s="8"/>
      <c r="I64691" s="102"/>
      <c r="J64691" s="8"/>
      <c r="K64691" s="8"/>
      <c r="L64691" s="8"/>
      <c r="M64691" s="8"/>
      <c r="N64691" s="8"/>
      <c r="O64691" s="8"/>
      <c r="P64691" s="8"/>
      <c r="Q64691" s="8"/>
      <c r="R64691" s="103"/>
      <c r="S64691" s="8"/>
      <c r="T64691" s="8"/>
      <c r="U64691" s="8"/>
      <c r="V64691" s="8"/>
      <c r="W64691" s="8"/>
      <c r="X64691" s="8"/>
      <c r="Y64691" s="8"/>
      <c r="Z64691" s="8"/>
      <c r="AA64691" s="8"/>
    </row>
    <row r="64692" spans="1:27" x14ac:dyDescent="0.25">
      <c r="A64692" s="8"/>
      <c r="B64692" s="8"/>
      <c r="C64692" s="99"/>
      <c r="D64692" s="8"/>
      <c r="E64692" s="8"/>
      <c r="F64692" s="8"/>
      <c r="G64692" s="8"/>
      <c r="H64692" s="8"/>
      <c r="I64692" s="102"/>
      <c r="J64692" s="8"/>
      <c r="K64692" s="8"/>
      <c r="L64692" s="8"/>
      <c r="M64692" s="8"/>
      <c r="N64692" s="8"/>
      <c r="O64692" s="8"/>
      <c r="P64692" s="8"/>
      <c r="Q64692" s="8"/>
      <c r="R64692" s="103"/>
      <c r="S64692" s="8"/>
      <c r="T64692" s="8"/>
      <c r="U64692" s="8"/>
      <c r="V64692" s="8"/>
      <c r="W64692" s="8"/>
      <c r="X64692" s="8"/>
      <c r="Y64692" s="8"/>
      <c r="Z64692" s="8"/>
      <c r="AA64692" s="8"/>
    </row>
    <row r="64693" spans="1:27" x14ac:dyDescent="0.25">
      <c r="A64693" s="8"/>
      <c r="B64693" s="8"/>
      <c r="C64693" s="99"/>
      <c r="D64693" s="8"/>
      <c r="E64693" s="8"/>
      <c r="F64693" s="8"/>
      <c r="G64693" s="8"/>
      <c r="H64693" s="8"/>
      <c r="I64693" s="102"/>
      <c r="J64693" s="8"/>
      <c r="K64693" s="8"/>
      <c r="L64693" s="8"/>
      <c r="M64693" s="8"/>
      <c r="N64693" s="8"/>
      <c r="O64693" s="8"/>
      <c r="P64693" s="8"/>
      <c r="Q64693" s="8"/>
      <c r="R64693" s="103"/>
      <c r="S64693" s="8"/>
      <c r="T64693" s="8"/>
      <c r="U64693" s="8"/>
      <c r="V64693" s="8"/>
      <c r="W64693" s="8"/>
      <c r="X64693" s="8"/>
      <c r="Y64693" s="8"/>
      <c r="Z64693" s="8"/>
      <c r="AA64693" s="8"/>
    </row>
    <row r="64694" spans="1:27" x14ac:dyDescent="0.25">
      <c r="A64694" s="8"/>
      <c r="B64694" s="8"/>
      <c r="C64694" s="99"/>
      <c r="D64694" s="8"/>
      <c r="E64694" s="8"/>
      <c r="F64694" s="8"/>
      <c r="G64694" s="8"/>
      <c r="H64694" s="8"/>
      <c r="I64694" s="102"/>
      <c r="J64694" s="8"/>
      <c r="K64694" s="8"/>
      <c r="L64694" s="8"/>
      <c r="M64694" s="8"/>
      <c r="N64694" s="8"/>
      <c r="O64694" s="8"/>
      <c r="P64694" s="8"/>
      <c r="Q64694" s="8"/>
      <c r="R64694" s="103"/>
      <c r="S64694" s="8"/>
      <c r="T64694" s="8"/>
      <c r="U64694" s="8"/>
      <c r="V64694" s="8"/>
      <c r="W64694" s="8"/>
      <c r="X64694" s="8"/>
      <c r="Y64694" s="8"/>
      <c r="Z64694" s="8"/>
      <c r="AA64694" s="8"/>
    </row>
    <row r="64695" spans="1:27" x14ac:dyDescent="0.25">
      <c r="A64695" s="8"/>
      <c r="B64695" s="8"/>
      <c r="C64695" s="99"/>
      <c r="D64695" s="8"/>
      <c r="E64695" s="8"/>
      <c r="F64695" s="8"/>
      <c r="G64695" s="8"/>
      <c r="H64695" s="8"/>
      <c r="I64695" s="102"/>
      <c r="J64695" s="8"/>
      <c r="K64695" s="8"/>
      <c r="L64695" s="8"/>
      <c r="M64695" s="8"/>
      <c r="N64695" s="8"/>
      <c r="O64695" s="8"/>
      <c r="P64695" s="8"/>
      <c r="Q64695" s="8"/>
      <c r="R64695" s="103"/>
      <c r="S64695" s="8"/>
      <c r="T64695" s="8"/>
      <c r="U64695" s="8"/>
      <c r="V64695" s="8"/>
      <c r="W64695" s="8"/>
      <c r="X64695" s="8"/>
      <c r="Y64695" s="8"/>
      <c r="Z64695" s="8"/>
      <c r="AA64695" s="8"/>
    </row>
    <row r="64696" spans="1:27" x14ac:dyDescent="0.25">
      <c r="A64696" s="8"/>
      <c r="B64696" s="8"/>
      <c r="C64696" s="99"/>
      <c r="D64696" s="8"/>
      <c r="E64696" s="8"/>
      <c r="F64696" s="8"/>
      <c r="G64696" s="8"/>
      <c r="H64696" s="8"/>
      <c r="I64696" s="102"/>
      <c r="J64696" s="8"/>
      <c r="K64696" s="8"/>
      <c r="L64696" s="8"/>
      <c r="M64696" s="8"/>
      <c r="N64696" s="8"/>
      <c r="O64696" s="8"/>
      <c r="P64696" s="8"/>
      <c r="Q64696" s="8"/>
      <c r="R64696" s="103"/>
      <c r="S64696" s="8"/>
      <c r="T64696" s="8"/>
      <c r="U64696" s="8"/>
      <c r="V64696" s="8"/>
      <c r="W64696" s="8"/>
      <c r="X64696" s="8"/>
      <c r="Y64696" s="8"/>
      <c r="Z64696" s="8"/>
      <c r="AA64696" s="8"/>
    </row>
    <row r="64697" spans="1:27" x14ac:dyDescent="0.25">
      <c r="A64697" s="8"/>
      <c r="B64697" s="8"/>
      <c r="C64697" s="99"/>
      <c r="D64697" s="8"/>
      <c r="E64697" s="8"/>
      <c r="F64697" s="8"/>
      <c r="G64697" s="8"/>
      <c r="H64697" s="8"/>
      <c r="I64697" s="102"/>
      <c r="J64697" s="8"/>
      <c r="K64697" s="8"/>
      <c r="L64697" s="8"/>
      <c r="M64697" s="8"/>
      <c r="N64697" s="8"/>
      <c r="O64697" s="8"/>
      <c r="P64697" s="8"/>
      <c r="Q64697" s="8"/>
      <c r="R64697" s="103"/>
      <c r="S64697" s="8"/>
      <c r="T64697" s="8"/>
      <c r="U64697" s="8"/>
      <c r="V64697" s="8"/>
      <c r="W64697" s="8"/>
      <c r="X64697" s="8"/>
      <c r="Y64697" s="8"/>
      <c r="Z64697" s="8"/>
      <c r="AA64697" s="8"/>
    </row>
    <row r="64698" spans="1:27" x14ac:dyDescent="0.25">
      <c r="A64698" s="8"/>
      <c r="B64698" s="8"/>
      <c r="C64698" s="99"/>
      <c r="D64698" s="8"/>
      <c r="E64698" s="8"/>
      <c r="F64698" s="8"/>
      <c r="G64698" s="8"/>
      <c r="H64698" s="8"/>
      <c r="I64698" s="102"/>
      <c r="J64698" s="8"/>
      <c r="K64698" s="8"/>
      <c r="L64698" s="8"/>
      <c r="M64698" s="8"/>
      <c r="N64698" s="8"/>
      <c r="O64698" s="8"/>
      <c r="P64698" s="8"/>
      <c r="Q64698" s="8"/>
      <c r="R64698" s="103"/>
      <c r="S64698" s="8"/>
      <c r="T64698" s="8"/>
      <c r="U64698" s="8"/>
      <c r="V64698" s="8"/>
      <c r="W64698" s="8"/>
      <c r="X64698" s="8"/>
      <c r="Y64698" s="8"/>
      <c r="Z64698" s="8"/>
      <c r="AA64698" s="8"/>
    </row>
    <row r="64699" spans="1:27" x14ac:dyDescent="0.25">
      <c r="A64699" s="8"/>
      <c r="B64699" s="8"/>
      <c r="C64699" s="99"/>
      <c r="D64699" s="8"/>
      <c r="E64699" s="8"/>
      <c r="F64699" s="8"/>
      <c r="G64699" s="8"/>
      <c r="H64699" s="8"/>
      <c r="I64699" s="102"/>
      <c r="J64699" s="8"/>
      <c r="K64699" s="8"/>
      <c r="L64699" s="8"/>
      <c r="M64699" s="8"/>
      <c r="N64699" s="8"/>
      <c r="O64699" s="8"/>
      <c r="P64699" s="8"/>
      <c r="Q64699" s="8"/>
      <c r="R64699" s="103"/>
      <c r="S64699" s="8"/>
      <c r="T64699" s="8"/>
      <c r="U64699" s="8"/>
      <c r="V64699" s="8"/>
      <c r="W64699" s="8"/>
      <c r="X64699" s="8"/>
      <c r="Y64699" s="8"/>
      <c r="Z64699" s="8"/>
      <c r="AA64699" s="8"/>
    </row>
    <row r="64700" spans="1:27" x14ac:dyDescent="0.25">
      <c r="A64700" s="8"/>
      <c r="B64700" s="8"/>
      <c r="C64700" s="99"/>
      <c r="D64700" s="8"/>
      <c r="E64700" s="8"/>
      <c r="F64700" s="8"/>
      <c r="G64700" s="8"/>
      <c r="H64700" s="8"/>
      <c r="I64700" s="102"/>
      <c r="J64700" s="8"/>
      <c r="K64700" s="8"/>
      <c r="L64700" s="8"/>
      <c r="M64700" s="8"/>
      <c r="N64700" s="8"/>
      <c r="O64700" s="8"/>
      <c r="P64700" s="8"/>
      <c r="Q64700" s="8"/>
      <c r="R64700" s="103"/>
      <c r="S64700" s="8"/>
      <c r="T64700" s="8"/>
      <c r="U64700" s="8"/>
      <c r="V64700" s="8"/>
      <c r="W64700" s="8"/>
      <c r="X64700" s="8"/>
      <c r="Y64700" s="8"/>
      <c r="Z64700" s="8"/>
      <c r="AA64700" s="8"/>
    </row>
    <row r="64701" spans="1:27" x14ac:dyDescent="0.25">
      <c r="A64701" s="8"/>
      <c r="B64701" s="8"/>
      <c r="C64701" s="99"/>
      <c r="D64701" s="8"/>
      <c r="E64701" s="8"/>
      <c r="F64701" s="8"/>
      <c r="G64701" s="8"/>
      <c r="H64701" s="8"/>
      <c r="I64701" s="102"/>
      <c r="J64701" s="8"/>
      <c r="K64701" s="8"/>
      <c r="L64701" s="8"/>
      <c r="M64701" s="8"/>
      <c r="N64701" s="8"/>
      <c r="O64701" s="8"/>
      <c r="P64701" s="8"/>
      <c r="Q64701" s="8"/>
      <c r="R64701" s="103"/>
      <c r="S64701" s="8"/>
      <c r="T64701" s="8"/>
      <c r="U64701" s="8"/>
      <c r="V64701" s="8"/>
      <c r="W64701" s="8"/>
      <c r="X64701" s="8"/>
      <c r="Y64701" s="8"/>
      <c r="Z64701" s="8"/>
      <c r="AA64701" s="8"/>
    </row>
    <row r="64702" spans="1:27" x14ac:dyDescent="0.25">
      <c r="A64702" s="8"/>
      <c r="B64702" s="8"/>
      <c r="C64702" s="99"/>
      <c r="D64702" s="8"/>
      <c r="E64702" s="8"/>
      <c r="F64702" s="8"/>
      <c r="G64702" s="8"/>
      <c r="H64702" s="8"/>
      <c r="I64702" s="102"/>
      <c r="J64702" s="8"/>
      <c r="K64702" s="8"/>
      <c r="L64702" s="8"/>
      <c r="M64702" s="8"/>
      <c r="N64702" s="8"/>
      <c r="O64702" s="8"/>
      <c r="P64702" s="8"/>
      <c r="Q64702" s="8"/>
      <c r="R64702" s="103"/>
      <c r="S64702" s="8"/>
      <c r="T64702" s="8"/>
      <c r="U64702" s="8"/>
      <c r="V64702" s="8"/>
      <c r="W64702" s="8"/>
      <c r="X64702" s="8"/>
      <c r="Y64702" s="8"/>
      <c r="Z64702" s="8"/>
      <c r="AA64702" s="8"/>
    </row>
    <row r="64703" spans="1:27" x14ac:dyDescent="0.25">
      <c r="A64703" s="8"/>
      <c r="B64703" s="8"/>
      <c r="C64703" s="99"/>
      <c r="D64703" s="8"/>
      <c r="E64703" s="8"/>
      <c r="F64703" s="8"/>
      <c r="G64703" s="8"/>
      <c r="H64703" s="8"/>
      <c r="I64703" s="102"/>
      <c r="J64703" s="8"/>
      <c r="K64703" s="8"/>
      <c r="L64703" s="8"/>
      <c r="M64703" s="8"/>
      <c r="N64703" s="8"/>
      <c r="O64703" s="8"/>
      <c r="P64703" s="8"/>
      <c r="Q64703" s="8"/>
      <c r="R64703" s="103"/>
      <c r="S64703" s="8"/>
      <c r="T64703" s="8"/>
      <c r="U64703" s="8"/>
      <c r="V64703" s="8"/>
      <c r="W64703" s="8"/>
      <c r="X64703" s="8"/>
      <c r="Y64703" s="8"/>
      <c r="Z64703" s="8"/>
      <c r="AA64703" s="8"/>
    </row>
    <row r="64704" spans="1:27" x14ac:dyDescent="0.25">
      <c r="A64704" s="8"/>
      <c r="B64704" s="8"/>
      <c r="C64704" s="99"/>
      <c r="D64704" s="8"/>
      <c r="E64704" s="8"/>
      <c r="F64704" s="8"/>
      <c r="G64704" s="8"/>
      <c r="H64704" s="8"/>
      <c r="I64704" s="102"/>
      <c r="J64704" s="8"/>
      <c r="K64704" s="8"/>
      <c r="L64704" s="8"/>
      <c r="M64704" s="8"/>
      <c r="N64704" s="8"/>
      <c r="O64704" s="8"/>
      <c r="P64704" s="8"/>
      <c r="Q64704" s="8"/>
      <c r="R64704" s="103"/>
      <c r="S64704" s="8"/>
      <c r="T64704" s="8"/>
      <c r="U64704" s="8"/>
      <c r="V64704" s="8"/>
      <c r="W64704" s="8"/>
      <c r="X64704" s="8"/>
      <c r="Y64704" s="8"/>
      <c r="Z64704" s="8"/>
      <c r="AA64704" s="8"/>
    </row>
    <row r="64705" spans="1:27" x14ac:dyDescent="0.25">
      <c r="A64705" s="8"/>
      <c r="B64705" s="8"/>
      <c r="C64705" s="99"/>
      <c r="D64705" s="8"/>
      <c r="E64705" s="8"/>
      <c r="F64705" s="8"/>
      <c r="G64705" s="8"/>
      <c r="H64705" s="8"/>
      <c r="I64705" s="102"/>
      <c r="J64705" s="8"/>
      <c r="K64705" s="8"/>
      <c r="L64705" s="8"/>
      <c r="M64705" s="8"/>
      <c r="N64705" s="8"/>
      <c r="O64705" s="8"/>
      <c r="P64705" s="8"/>
      <c r="Q64705" s="8"/>
      <c r="R64705" s="103"/>
      <c r="S64705" s="8"/>
      <c r="T64705" s="8"/>
      <c r="U64705" s="8"/>
      <c r="V64705" s="8"/>
      <c r="W64705" s="8"/>
      <c r="X64705" s="8"/>
      <c r="Y64705" s="8"/>
      <c r="Z64705" s="8"/>
      <c r="AA64705" s="8"/>
    </row>
    <row r="64706" spans="1:27" x14ac:dyDescent="0.25">
      <c r="A64706" s="8"/>
      <c r="B64706" s="8"/>
      <c r="C64706" s="99"/>
      <c r="D64706" s="8"/>
      <c r="E64706" s="8"/>
      <c r="F64706" s="8"/>
      <c r="G64706" s="8"/>
      <c r="H64706" s="8"/>
      <c r="I64706" s="102"/>
      <c r="J64706" s="8"/>
      <c r="K64706" s="8"/>
      <c r="L64706" s="8"/>
      <c r="M64706" s="8"/>
      <c r="N64706" s="8"/>
      <c r="O64706" s="8"/>
      <c r="P64706" s="8"/>
      <c r="Q64706" s="8"/>
      <c r="R64706" s="103"/>
      <c r="S64706" s="8"/>
      <c r="T64706" s="8"/>
      <c r="U64706" s="8"/>
      <c r="V64706" s="8"/>
      <c r="W64706" s="8"/>
      <c r="X64706" s="8"/>
      <c r="Y64706" s="8"/>
      <c r="Z64706" s="8"/>
      <c r="AA64706" s="8"/>
    </row>
    <row r="64707" spans="1:27" x14ac:dyDescent="0.25">
      <c r="A64707" s="8"/>
      <c r="B64707" s="8"/>
      <c r="C64707" s="99"/>
      <c r="D64707" s="8"/>
      <c r="E64707" s="8"/>
      <c r="F64707" s="8"/>
      <c r="G64707" s="8"/>
      <c r="H64707" s="8"/>
      <c r="I64707" s="102"/>
      <c r="J64707" s="8"/>
      <c r="K64707" s="8"/>
      <c r="L64707" s="8"/>
      <c r="M64707" s="8"/>
      <c r="N64707" s="8"/>
      <c r="O64707" s="8"/>
      <c r="P64707" s="8"/>
      <c r="Q64707" s="8"/>
      <c r="R64707" s="103"/>
      <c r="S64707" s="8"/>
      <c r="T64707" s="8"/>
      <c r="U64707" s="8"/>
      <c r="V64707" s="8"/>
      <c r="W64707" s="8"/>
      <c r="X64707" s="8"/>
      <c r="Y64707" s="8"/>
      <c r="Z64707" s="8"/>
      <c r="AA64707" s="8"/>
    </row>
    <row r="64708" spans="1:27" x14ac:dyDescent="0.25">
      <c r="A64708" s="8"/>
      <c r="B64708" s="8"/>
      <c r="C64708" s="99"/>
      <c r="D64708" s="8"/>
      <c r="E64708" s="8"/>
      <c r="F64708" s="8"/>
      <c r="G64708" s="8"/>
      <c r="H64708" s="8"/>
      <c r="I64708" s="102"/>
      <c r="J64708" s="8"/>
      <c r="K64708" s="8"/>
      <c r="L64708" s="8"/>
      <c r="M64708" s="8"/>
      <c r="N64708" s="8"/>
      <c r="O64708" s="8"/>
      <c r="P64708" s="8"/>
      <c r="Q64708" s="8"/>
      <c r="R64708" s="103"/>
      <c r="S64708" s="8"/>
      <c r="T64708" s="8"/>
      <c r="U64708" s="8"/>
      <c r="V64708" s="8"/>
      <c r="W64708" s="8"/>
      <c r="X64708" s="8"/>
      <c r="Y64708" s="8"/>
      <c r="Z64708" s="8"/>
      <c r="AA64708" s="8"/>
    </row>
    <row r="64709" spans="1:27" x14ac:dyDescent="0.25">
      <c r="A64709" s="8"/>
      <c r="B64709" s="8"/>
      <c r="C64709" s="99"/>
      <c r="D64709" s="8"/>
      <c r="E64709" s="8"/>
      <c r="F64709" s="8"/>
      <c r="G64709" s="8"/>
      <c r="H64709" s="8"/>
      <c r="I64709" s="102"/>
      <c r="J64709" s="8"/>
      <c r="K64709" s="8"/>
      <c r="L64709" s="8"/>
      <c r="M64709" s="8"/>
      <c r="N64709" s="8"/>
      <c r="O64709" s="8"/>
      <c r="P64709" s="8"/>
      <c r="Q64709" s="8"/>
      <c r="R64709" s="103"/>
      <c r="S64709" s="8"/>
      <c r="T64709" s="8"/>
      <c r="U64709" s="8"/>
      <c r="V64709" s="8"/>
      <c r="W64709" s="8"/>
      <c r="X64709" s="8"/>
      <c r="Y64709" s="8"/>
      <c r="Z64709" s="8"/>
      <c r="AA64709" s="8"/>
    </row>
    <row r="64710" spans="1:27" x14ac:dyDescent="0.25">
      <c r="A64710" s="8"/>
      <c r="B64710" s="8"/>
      <c r="C64710" s="99"/>
      <c r="D64710" s="8"/>
      <c r="E64710" s="8"/>
      <c r="F64710" s="8"/>
      <c r="G64710" s="8"/>
      <c r="H64710" s="8"/>
      <c r="I64710" s="102"/>
      <c r="J64710" s="8"/>
      <c r="K64710" s="8"/>
      <c r="L64710" s="8"/>
      <c r="M64710" s="8"/>
      <c r="N64710" s="8"/>
      <c r="O64710" s="8"/>
      <c r="P64710" s="8"/>
      <c r="Q64710" s="8"/>
      <c r="R64710" s="103"/>
      <c r="S64710" s="8"/>
      <c r="T64710" s="8"/>
      <c r="U64710" s="8"/>
      <c r="V64710" s="8"/>
      <c r="W64710" s="8"/>
      <c r="X64710" s="8"/>
      <c r="Y64710" s="8"/>
      <c r="Z64710" s="8"/>
      <c r="AA64710" s="8"/>
    </row>
    <row r="64711" spans="1:27" x14ac:dyDescent="0.25">
      <c r="A64711" s="8"/>
      <c r="B64711" s="8"/>
      <c r="C64711" s="99"/>
      <c r="D64711" s="8"/>
      <c r="E64711" s="8"/>
      <c r="F64711" s="8"/>
      <c r="G64711" s="8"/>
      <c r="H64711" s="8"/>
      <c r="I64711" s="102"/>
      <c r="J64711" s="8"/>
      <c r="K64711" s="8"/>
      <c r="L64711" s="8"/>
      <c r="M64711" s="8"/>
      <c r="N64711" s="8"/>
      <c r="O64711" s="8"/>
      <c r="P64711" s="8"/>
      <c r="Q64711" s="8"/>
      <c r="R64711" s="103"/>
      <c r="S64711" s="8"/>
      <c r="T64711" s="8"/>
      <c r="U64711" s="8"/>
      <c r="V64711" s="8"/>
      <c r="W64711" s="8"/>
      <c r="X64711" s="8"/>
      <c r="Y64711" s="8"/>
      <c r="Z64711" s="8"/>
      <c r="AA64711" s="8"/>
    </row>
    <row r="64712" spans="1:27" x14ac:dyDescent="0.25">
      <c r="A64712" s="8"/>
      <c r="B64712" s="8"/>
      <c r="C64712" s="99"/>
      <c r="D64712" s="8"/>
      <c r="E64712" s="8"/>
      <c r="F64712" s="8"/>
      <c r="G64712" s="8"/>
      <c r="H64712" s="8"/>
      <c r="I64712" s="102"/>
      <c r="J64712" s="8"/>
      <c r="K64712" s="8"/>
      <c r="L64712" s="8"/>
      <c r="M64712" s="8"/>
      <c r="N64712" s="8"/>
      <c r="O64712" s="8"/>
      <c r="P64712" s="8"/>
      <c r="Q64712" s="8"/>
      <c r="R64712" s="103"/>
      <c r="S64712" s="8"/>
      <c r="T64712" s="8"/>
      <c r="U64712" s="8"/>
      <c r="V64712" s="8"/>
      <c r="W64712" s="8"/>
      <c r="X64712" s="8"/>
      <c r="Y64712" s="8"/>
      <c r="Z64712" s="8"/>
      <c r="AA64712" s="8"/>
    </row>
    <row r="64713" spans="1:27" x14ac:dyDescent="0.25">
      <c r="A64713" s="8"/>
      <c r="B64713" s="8"/>
      <c r="C64713" s="99"/>
      <c r="D64713" s="8"/>
      <c r="E64713" s="8"/>
      <c r="F64713" s="8"/>
      <c r="G64713" s="8"/>
      <c r="H64713" s="8"/>
      <c r="I64713" s="102"/>
      <c r="J64713" s="8"/>
      <c r="K64713" s="8"/>
      <c r="L64713" s="8"/>
      <c r="M64713" s="8"/>
      <c r="N64713" s="8"/>
      <c r="O64713" s="8"/>
      <c r="P64713" s="8"/>
      <c r="Q64713" s="8"/>
      <c r="R64713" s="103"/>
      <c r="S64713" s="8"/>
      <c r="T64713" s="8"/>
      <c r="U64713" s="8"/>
      <c r="V64713" s="8"/>
      <c r="W64713" s="8"/>
      <c r="X64713" s="8"/>
      <c r="Y64713" s="8"/>
      <c r="Z64713" s="8"/>
      <c r="AA64713" s="8"/>
    </row>
    <row r="64714" spans="1:27" x14ac:dyDescent="0.25">
      <c r="A64714" s="8"/>
      <c r="B64714" s="8"/>
      <c r="C64714" s="99"/>
      <c r="D64714" s="8"/>
      <c r="E64714" s="8"/>
      <c r="F64714" s="8"/>
      <c r="G64714" s="8"/>
      <c r="H64714" s="8"/>
      <c r="I64714" s="102"/>
      <c r="J64714" s="8"/>
      <c r="K64714" s="8"/>
      <c r="L64714" s="8"/>
      <c r="M64714" s="8"/>
      <c r="N64714" s="8"/>
      <c r="O64714" s="8"/>
      <c r="P64714" s="8"/>
      <c r="Q64714" s="8"/>
      <c r="R64714" s="103"/>
      <c r="S64714" s="8"/>
      <c r="T64714" s="8"/>
      <c r="U64714" s="8"/>
      <c r="V64714" s="8"/>
      <c r="W64714" s="8"/>
      <c r="X64714" s="8"/>
      <c r="Y64714" s="8"/>
      <c r="Z64714" s="8"/>
      <c r="AA64714" s="8"/>
    </row>
    <row r="64715" spans="1:27" x14ac:dyDescent="0.25">
      <c r="A64715" s="8"/>
      <c r="B64715" s="8"/>
      <c r="C64715" s="99"/>
      <c r="D64715" s="8"/>
      <c r="E64715" s="8"/>
      <c r="F64715" s="8"/>
      <c r="G64715" s="8"/>
      <c r="H64715" s="8"/>
      <c r="I64715" s="102"/>
      <c r="J64715" s="8"/>
      <c r="K64715" s="8"/>
      <c r="L64715" s="8"/>
      <c r="M64715" s="8"/>
      <c r="N64715" s="8"/>
      <c r="O64715" s="8"/>
      <c r="P64715" s="8"/>
      <c r="Q64715" s="8"/>
      <c r="R64715" s="103"/>
      <c r="S64715" s="8"/>
      <c r="T64715" s="8"/>
      <c r="U64715" s="8"/>
      <c r="V64715" s="8"/>
      <c r="W64715" s="8"/>
      <c r="X64715" s="8"/>
      <c r="Y64715" s="8"/>
      <c r="Z64715" s="8"/>
      <c r="AA64715" s="8"/>
    </row>
    <row r="64716" spans="1:27" x14ac:dyDescent="0.25">
      <c r="A64716" s="8"/>
      <c r="B64716" s="8"/>
      <c r="C64716" s="99"/>
      <c r="D64716" s="8"/>
      <c r="E64716" s="8"/>
      <c r="F64716" s="8"/>
      <c r="G64716" s="8"/>
      <c r="H64716" s="8"/>
      <c r="I64716" s="102"/>
      <c r="J64716" s="8"/>
      <c r="K64716" s="8"/>
      <c r="L64716" s="8"/>
      <c r="M64716" s="8"/>
      <c r="N64716" s="8"/>
      <c r="O64716" s="8"/>
      <c r="P64716" s="8"/>
      <c r="Q64716" s="8"/>
      <c r="R64716" s="103"/>
      <c r="S64716" s="8"/>
      <c r="T64716" s="8"/>
      <c r="U64716" s="8"/>
      <c r="V64716" s="8"/>
      <c r="W64716" s="8"/>
      <c r="X64716" s="8"/>
      <c r="Y64716" s="8"/>
      <c r="Z64716" s="8"/>
      <c r="AA64716" s="8"/>
    </row>
    <row r="64717" spans="1:27" x14ac:dyDescent="0.25">
      <c r="A64717" s="8"/>
      <c r="B64717" s="8"/>
      <c r="C64717" s="99"/>
      <c r="D64717" s="8"/>
      <c r="E64717" s="8"/>
      <c r="F64717" s="8"/>
      <c r="G64717" s="8"/>
      <c r="H64717" s="8"/>
      <c r="I64717" s="102"/>
      <c r="J64717" s="8"/>
      <c r="K64717" s="8"/>
      <c r="L64717" s="8"/>
      <c r="M64717" s="8"/>
      <c r="N64717" s="8"/>
      <c r="O64717" s="8"/>
      <c r="P64717" s="8"/>
      <c r="Q64717" s="8"/>
      <c r="R64717" s="103"/>
      <c r="S64717" s="8"/>
      <c r="T64717" s="8"/>
      <c r="U64717" s="8"/>
      <c r="V64717" s="8"/>
      <c r="W64717" s="8"/>
      <c r="X64717" s="8"/>
      <c r="Y64717" s="8"/>
      <c r="Z64717" s="8"/>
      <c r="AA64717" s="8"/>
    </row>
    <row r="64718" spans="1:27" x14ac:dyDescent="0.25">
      <c r="A64718" s="8"/>
      <c r="B64718" s="8"/>
      <c r="C64718" s="99"/>
      <c r="D64718" s="8"/>
      <c r="E64718" s="8"/>
      <c r="F64718" s="8"/>
      <c r="G64718" s="8"/>
      <c r="H64718" s="8"/>
      <c r="I64718" s="102"/>
      <c r="J64718" s="8"/>
      <c r="K64718" s="8"/>
      <c r="L64718" s="8"/>
      <c r="M64718" s="8"/>
      <c r="N64718" s="8"/>
      <c r="O64718" s="8"/>
      <c r="P64718" s="8"/>
      <c r="Q64718" s="8"/>
      <c r="R64718" s="103"/>
      <c r="S64718" s="8"/>
      <c r="T64718" s="8"/>
      <c r="U64718" s="8"/>
      <c r="V64718" s="8"/>
      <c r="W64718" s="8"/>
      <c r="X64718" s="8"/>
      <c r="Y64718" s="8"/>
      <c r="Z64718" s="8"/>
      <c r="AA64718" s="8"/>
    </row>
    <row r="64719" spans="1:27" x14ac:dyDescent="0.25">
      <c r="A64719" s="8"/>
      <c r="B64719" s="8"/>
      <c r="C64719" s="99"/>
      <c r="D64719" s="8"/>
      <c r="E64719" s="8"/>
      <c r="F64719" s="8"/>
      <c r="G64719" s="8"/>
      <c r="H64719" s="8"/>
      <c r="I64719" s="102"/>
      <c r="J64719" s="8"/>
      <c r="K64719" s="8"/>
      <c r="L64719" s="8"/>
      <c r="M64719" s="8"/>
      <c r="N64719" s="8"/>
      <c r="O64719" s="8"/>
      <c r="P64719" s="8"/>
      <c r="Q64719" s="8"/>
      <c r="R64719" s="103"/>
      <c r="S64719" s="8"/>
      <c r="T64719" s="8"/>
      <c r="U64719" s="8"/>
      <c r="V64719" s="8"/>
      <c r="W64719" s="8"/>
      <c r="X64719" s="8"/>
      <c r="Y64719" s="8"/>
      <c r="Z64719" s="8"/>
      <c r="AA64719" s="8"/>
    </row>
    <row r="64720" spans="1:27" x14ac:dyDescent="0.25">
      <c r="A64720" s="8"/>
      <c r="B64720" s="8"/>
      <c r="C64720" s="99"/>
      <c r="D64720" s="8"/>
      <c r="E64720" s="8"/>
      <c r="F64720" s="8"/>
      <c r="G64720" s="8"/>
      <c r="H64720" s="8"/>
      <c r="I64720" s="102"/>
      <c r="J64720" s="8"/>
      <c r="K64720" s="8"/>
      <c r="L64720" s="8"/>
      <c r="M64720" s="8"/>
      <c r="N64720" s="8"/>
      <c r="O64720" s="8"/>
      <c r="P64720" s="8"/>
      <c r="Q64720" s="8"/>
      <c r="R64720" s="103"/>
      <c r="S64720" s="8"/>
      <c r="T64720" s="8"/>
      <c r="U64720" s="8"/>
      <c r="V64720" s="8"/>
      <c r="W64720" s="8"/>
      <c r="X64720" s="8"/>
      <c r="Y64720" s="8"/>
      <c r="Z64720" s="8"/>
      <c r="AA64720" s="8"/>
    </row>
    <row r="64721" spans="1:27" x14ac:dyDescent="0.25">
      <c r="A64721" s="8"/>
      <c r="B64721" s="8"/>
      <c r="C64721" s="99"/>
      <c r="D64721" s="8"/>
      <c r="E64721" s="8"/>
      <c r="F64721" s="8"/>
      <c r="G64721" s="8"/>
      <c r="H64721" s="8"/>
      <c r="I64721" s="102"/>
      <c r="J64721" s="8"/>
      <c r="K64721" s="8"/>
      <c r="L64721" s="8"/>
      <c r="M64721" s="8"/>
      <c r="N64721" s="8"/>
      <c r="O64721" s="8"/>
      <c r="P64721" s="8"/>
      <c r="Q64721" s="8"/>
      <c r="R64721" s="103"/>
      <c r="S64721" s="8"/>
      <c r="T64721" s="8"/>
      <c r="U64721" s="8"/>
      <c r="V64721" s="8"/>
      <c r="W64721" s="8"/>
      <c r="X64721" s="8"/>
      <c r="Y64721" s="8"/>
      <c r="Z64721" s="8"/>
      <c r="AA64721" s="8"/>
    </row>
    <row r="64722" spans="1:27" x14ac:dyDescent="0.25">
      <c r="A64722" s="8"/>
      <c r="B64722" s="8"/>
      <c r="C64722" s="99"/>
      <c r="D64722" s="8"/>
      <c r="E64722" s="8"/>
      <c r="F64722" s="8"/>
      <c r="G64722" s="8"/>
      <c r="H64722" s="8"/>
      <c r="I64722" s="102"/>
      <c r="J64722" s="8"/>
      <c r="K64722" s="8"/>
      <c r="L64722" s="8"/>
      <c r="M64722" s="8"/>
      <c r="N64722" s="8"/>
      <c r="O64722" s="8"/>
      <c r="P64722" s="8"/>
      <c r="Q64722" s="8"/>
      <c r="R64722" s="103"/>
      <c r="S64722" s="8"/>
      <c r="T64722" s="8"/>
      <c r="U64722" s="8"/>
      <c r="V64722" s="8"/>
      <c r="W64722" s="8"/>
      <c r="X64722" s="8"/>
      <c r="Y64722" s="8"/>
      <c r="Z64722" s="8"/>
      <c r="AA64722" s="8"/>
    </row>
    <row r="64723" spans="1:27" x14ac:dyDescent="0.25">
      <c r="A64723" s="8"/>
      <c r="B64723" s="8"/>
      <c r="C64723" s="99"/>
      <c r="D64723" s="8"/>
      <c r="E64723" s="8"/>
      <c r="F64723" s="8"/>
      <c r="G64723" s="8"/>
      <c r="H64723" s="8"/>
      <c r="I64723" s="102"/>
      <c r="J64723" s="8"/>
      <c r="K64723" s="8"/>
      <c r="L64723" s="8"/>
      <c r="M64723" s="8"/>
      <c r="N64723" s="8"/>
      <c r="O64723" s="8"/>
      <c r="P64723" s="8"/>
      <c r="Q64723" s="8"/>
      <c r="R64723" s="103"/>
      <c r="S64723" s="8"/>
      <c r="T64723" s="8"/>
      <c r="U64723" s="8"/>
      <c r="V64723" s="8"/>
      <c r="W64723" s="8"/>
      <c r="X64723" s="8"/>
      <c r="Y64723" s="8"/>
      <c r="Z64723" s="8"/>
      <c r="AA64723" s="8"/>
    </row>
    <row r="64724" spans="1:27" x14ac:dyDescent="0.25">
      <c r="A64724" s="8"/>
      <c r="B64724" s="8"/>
      <c r="C64724" s="99"/>
      <c r="D64724" s="8"/>
      <c r="E64724" s="8"/>
      <c r="F64724" s="8"/>
      <c r="G64724" s="8"/>
      <c r="H64724" s="8"/>
      <c r="I64724" s="102"/>
      <c r="J64724" s="8"/>
      <c r="K64724" s="8"/>
      <c r="L64724" s="8"/>
      <c r="M64724" s="8"/>
      <c r="N64724" s="8"/>
      <c r="O64724" s="8"/>
      <c r="P64724" s="8"/>
      <c r="Q64724" s="8"/>
      <c r="R64724" s="103"/>
      <c r="S64724" s="8"/>
      <c r="T64724" s="8"/>
      <c r="U64724" s="8"/>
      <c r="V64724" s="8"/>
      <c r="W64724" s="8"/>
      <c r="X64724" s="8"/>
      <c r="Y64724" s="8"/>
      <c r="Z64724" s="8"/>
      <c r="AA64724" s="8"/>
    </row>
    <row r="64725" spans="1:27" x14ac:dyDescent="0.25">
      <c r="A64725" s="8"/>
      <c r="B64725" s="8"/>
      <c r="C64725" s="99"/>
      <c r="D64725" s="8"/>
      <c r="E64725" s="8"/>
      <c r="F64725" s="8"/>
      <c r="G64725" s="8"/>
      <c r="H64725" s="8"/>
      <c r="I64725" s="102"/>
      <c r="J64725" s="8"/>
      <c r="K64725" s="8"/>
      <c r="L64725" s="8"/>
      <c r="M64725" s="8"/>
      <c r="N64725" s="8"/>
      <c r="O64725" s="8"/>
      <c r="P64725" s="8"/>
      <c r="Q64725" s="8"/>
      <c r="R64725" s="103"/>
      <c r="S64725" s="8"/>
      <c r="T64725" s="8"/>
      <c r="U64725" s="8"/>
      <c r="V64725" s="8"/>
      <c r="W64725" s="8"/>
      <c r="X64725" s="8"/>
      <c r="Y64725" s="8"/>
      <c r="Z64725" s="8"/>
      <c r="AA64725" s="8"/>
    </row>
    <row r="64726" spans="1:27" x14ac:dyDescent="0.25">
      <c r="A64726" s="8"/>
      <c r="B64726" s="8"/>
      <c r="C64726" s="99"/>
      <c r="D64726" s="8"/>
      <c r="E64726" s="8"/>
      <c r="F64726" s="8"/>
      <c r="G64726" s="8"/>
      <c r="H64726" s="8"/>
      <c r="I64726" s="102"/>
      <c r="J64726" s="8"/>
      <c r="K64726" s="8"/>
      <c r="L64726" s="8"/>
      <c r="M64726" s="8"/>
      <c r="N64726" s="8"/>
      <c r="O64726" s="8"/>
      <c r="P64726" s="8"/>
      <c r="Q64726" s="8"/>
      <c r="R64726" s="103"/>
      <c r="S64726" s="8"/>
      <c r="T64726" s="8"/>
      <c r="U64726" s="8"/>
      <c r="V64726" s="8"/>
      <c r="W64726" s="8"/>
      <c r="X64726" s="8"/>
      <c r="Y64726" s="8"/>
      <c r="Z64726" s="8"/>
      <c r="AA64726" s="8"/>
    </row>
    <row r="64727" spans="1:27" x14ac:dyDescent="0.25">
      <c r="A64727" s="8"/>
      <c r="B64727" s="8"/>
      <c r="C64727" s="99"/>
      <c r="D64727" s="8"/>
      <c r="E64727" s="8"/>
      <c r="F64727" s="8"/>
      <c r="G64727" s="8"/>
      <c r="H64727" s="8"/>
      <c r="I64727" s="102"/>
      <c r="J64727" s="8"/>
      <c r="K64727" s="8"/>
      <c r="L64727" s="8"/>
      <c r="M64727" s="8"/>
      <c r="N64727" s="8"/>
      <c r="O64727" s="8"/>
      <c r="P64727" s="8"/>
      <c r="Q64727" s="8"/>
      <c r="R64727" s="103"/>
      <c r="S64727" s="8"/>
      <c r="T64727" s="8"/>
      <c r="U64727" s="8"/>
      <c r="V64727" s="8"/>
      <c r="W64727" s="8"/>
      <c r="X64727" s="8"/>
      <c r="Y64727" s="8"/>
      <c r="Z64727" s="8"/>
      <c r="AA64727" s="8"/>
    </row>
    <row r="64728" spans="1:27" x14ac:dyDescent="0.25">
      <c r="A64728" s="8"/>
      <c r="B64728" s="8"/>
      <c r="C64728" s="99"/>
      <c r="D64728" s="8"/>
      <c r="E64728" s="8"/>
      <c r="F64728" s="8"/>
      <c r="G64728" s="8"/>
      <c r="H64728" s="8"/>
      <c r="I64728" s="102"/>
      <c r="J64728" s="8"/>
      <c r="K64728" s="8"/>
      <c r="L64728" s="8"/>
      <c r="M64728" s="8"/>
      <c r="N64728" s="8"/>
      <c r="O64728" s="8"/>
      <c r="P64728" s="8"/>
      <c r="Q64728" s="8"/>
      <c r="R64728" s="103"/>
      <c r="S64728" s="8"/>
      <c r="T64728" s="8"/>
      <c r="U64728" s="8"/>
      <c r="V64728" s="8"/>
      <c r="W64728" s="8"/>
      <c r="X64728" s="8"/>
      <c r="Y64728" s="8"/>
      <c r="Z64728" s="8"/>
      <c r="AA64728" s="8"/>
    </row>
    <row r="64729" spans="1:27" x14ac:dyDescent="0.25">
      <c r="A64729" s="8"/>
      <c r="B64729" s="8"/>
      <c r="C64729" s="99"/>
      <c r="D64729" s="8"/>
      <c r="E64729" s="8"/>
      <c r="F64729" s="8"/>
      <c r="G64729" s="8"/>
      <c r="H64729" s="8"/>
      <c r="I64729" s="102"/>
      <c r="J64729" s="8"/>
      <c r="K64729" s="8"/>
      <c r="L64729" s="8"/>
      <c r="M64729" s="8"/>
      <c r="N64729" s="8"/>
      <c r="O64729" s="8"/>
      <c r="P64729" s="8"/>
      <c r="Q64729" s="8"/>
      <c r="R64729" s="103"/>
      <c r="S64729" s="8"/>
      <c r="T64729" s="8"/>
      <c r="U64729" s="8"/>
      <c r="V64729" s="8"/>
      <c r="W64729" s="8"/>
      <c r="X64729" s="8"/>
      <c r="Y64729" s="8"/>
      <c r="Z64729" s="8"/>
      <c r="AA64729" s="8"/>
    </row>
    <row r="64730" spans="1:27" x14ac:dyDescent="0.25">
      <c r="A64730" s="8"/>
      <c r="B64730" s="8"/>
      <c r="C64730" s="99"/>
      <c r="D64730" s="8"/>
      <c r="E64730" s="8"/>
      <c r="F64730" s="8"/>
      <c r="G64730" s="8"/>
      <c r="H64730" s="8"/>
      <c r="I64730" s="102"/>
      <c r="J64730" s="8"/>
      <c r="K64730" s="8"/>
      <c r="L64730" s="8"/>
      <c r="M64730" s="8"/>
      <c r="N64730" s="8"/>
      <c r="O64730" s="8"/>
      <c r="P64730" s="8"/>
      <c r="Q64730" s="8"/>
      <c r="R64730" s="103"/>
      <c r="S64730" s="8"/>
      <c r="T64730" s="8"/>
      <c r="U64730" s="8"/>
      <c r="V64730" s="8"/>
      <c r="W64730" s="8"/>
      <c r="X64730" s="8"/>
      <c r="Y64730" s="8"/>
      <c r="Z64730" s="8"/>
      <c r="AA64730" s="8"/>
    </row>
    <row r="64731" spans="1:27" x14ac:dyDescent="0.25">
      <c r="A64731" s="8"/>
      <c r="B64731" s="8"/>
      <c r="C64731" s="99"/>
      <c r="D64731" s="8"/>
      <c r="E64731" s="8"/>
      <c r="F64731" s="8"/>
      <c r="G64731" s="8"/>
      <c r="H64731" s="8"/>
      <c r="I64731" s="102"/>
      <c r="J64731" s="8"/>
      <c r="K64731" s="8"/>
      <c r="L64731" s="8"/>
      <c r="M64731" s="8"/>
      <c r="N64731" s="8"/>
      <c r="O64731" s="8"/>
      <c r="P64731" s="8"/>
      <c r="Q64731" s="8"/>
      <c r="R64731" s="103"/>
      <c r="S64731" s="8"/>
      <c r="T64731" s="8"/>
      <c r="U64731" s="8"/>
      <c r="V64731" s="8"/>
      <c r="W64731" s="8"/>
      <c r="X64731" s="8"/>
      <c r="Y64731" s="8"/>
      <c r="Z64731" s="8"/>
      <c r="AA64731" s="8"/>
    </row>
    <row r="64732" spans="1:27" x14ac:dyDescent="0.25">
      <c r="A64732" s="8"/>
      <c r="B64732" s="8"/>
      <c r="C64732" s="99"/>
      <c r="D64732" s="8"/>
      <c r="E64732" s="8"/>
      <c r="F64732" s="8"/>
      <c r="G64732" s="8"/>
      <c r="H64732" s="8"/>
      <c r="I64732" s="102"/>
      <c r="J64732" s="8"/>
      <c r="K64732" s="8"/>
      <c r="L64732" s="8"/>
      <c r="M64732" s="8"/>
      <c r="N64732" s="8"/>
      <c r="O64732" s="8"/>
      <c r="P64732" s="8"/>
      <c r="Q64732" s="8"/>
      <c r="R64732" s="103"/>
      <c r="S64732" s="8"/>
      <c r="T64732" s="8"/>
      <c r="U64732" s="8"/>
      <c r="V64732" s="8"/>
      <c r="W64732" s="8"/>
      <c r="X64732" s="8"/>
      <c r="Y64732" s="8"/>
      <c r="Z64732" s="8"/>
      <c r="AA64732" s="8"/>
    </row>
    <row r="64733" spans="1:27" x14ac:dyDescent="0.25">
      <c r="A64733" s="8"/>
      <c r="B64733" s="8"/>
      <c r="C64733" s="99"/>
      <c r="D64733" s="8"/>
      <c r="E64733" s="8"/>
      <c r="F64733" s="8"/>
      <c r="G64733" s="8"/>
      <c r="H64733" s="8"/>
      <c r="I64733" s="102"/>
      <c r="J64733" s="8"/>
      <c r="K64733" s="8"/>
      <c r="L64733" s="8"/>
      <c r="M64733" s="8"/>
      <c r="N64733" s="8"/>
      <c r="O64733" s="8"/>
      <c r="P64733" s="8"/>
      <c r="Q64733" s="8"/>
      <c r="R64733" s="103"/>
      <c r="S64733" s="8"/>
      <c r="T64733" s="8"/>
      <c r="U64733" s="8"/>
      <c r="V64733" s="8"/>
      <c r="W64733" s="8"/>
      <c r="X64733" s="8"/>
      <c r="Y64733" s="8"/>
      <c r="Z64733" s="8"/>
      <c r="AA64733" s="8"/>
    </row>
    <row r="64734" spans="1:27" x14ac:dyDescent="0.25">
      <c r="A64734" s="8"/>
      <c r="B64734" s="8"/>
      <c r="C64734" s="99"/>
      <c r="D64734" s="8"/>
      <c r="E64734" s="8"/>
      <c r="F64734" s="8"/>
      <c r="G64734" s="8"/>
      <c r="H64734" s="8"/>
      <c r="I64734" s="102"/>
      <c r="J64734" s="8"/>
      <c r="K64734" s="8"/>
      <c r="L64734" s="8"/>
      <c r="M64734" s="8"/>
      <c r="N64734" s="8"/>
      <c r="O64734" s="8"/>
      <c r="P64734" s="8"/>
      <c r="Q64734" s="8"/>
      <c r="R64734" s="103"/>
      <c r="S64734" s="8"/>
      <c r="T64734" s="8"/>
      <c r="U64734" s="8"/>
      <c r="V64734" s="8"/>
      <c r="W64734" s="8"/>
      <c r="X64734" s="8"/>
      <c r="Y64734" s="8"/>
      <c r="Z64734" s="8"/>
      <c r="AA64734" s="8"/>
    </row>
    <row r="64735" spans="1:27" x14ac:dyDescent="0.25">
      <c r="A64735" s="8"/>
      <c r="B64735" s="8"/>
      <c r="C64735" s="99"/>
      <c r="D64735" s="8"/>
      <c r="E64735" s="8"/>
      <c r="F64735" s="8"/>
      <c r="G64735" s="8"/>
      <c r="H64735" s="8"/>
      <c r="I64735" s="102"/>
      <c r="J64735" s="8"/>
      <c r="K64735" s="8"/>
      <c r="L64735" s="8"/>
      <c r="M64735" s="8"/>
      <c r="N64735" s="8"/>
      <c r="O64735" s="8"/>
      <c r="P64735" s="8"/>
      <c r="Q64735" s="8"/>
      <c r="R64735" s="103"/>
      <c r="S64735" s="8"/>
      <c r="T64735" s="8"/>
      <c r="U64735" s="8"/>
      <c r="V64735" s="8"/>
      <c r="W64735" s="8"/>
      <c r="X64735" s="8"/>
      <c r="Y64735" s="8"/>
      <c r="Z64735" s="8"/>
      <c r="AA64735" s="8"/>
    </row>
    <row r="64736" spans="1:27" x14ac:dyDescent="0.25">
      <c r="A64736" s="8"/>
      <c r="B64736" s="8"/>
      <c r="C64736" s="99"/>
      <c r="D64736" s="8"/>
      <c r="E64736" s="8"/>
      <c r="F64736" s="8"/>
      <c r="G64736" s="8"/>
      <c r="H64736" s="8"/>
      <c r="I64736" s="102"/>
      <c r="J64736" s="8"/>
      <c r="K64736" s="8"/>
      <c r="L64736" s="8"/>
      <c r="M64736" s="8"/>
      <c r="N64736" s="8"/>
      <c r="O64736" s="8"/>
      <c r="P64736" s="8"/>
      <c r="Q64736" s="8"/>
      <c r="R64736" s="103"/>
      <c r="S64736" s="8"/>
      <c r="T64736" s="8"/>
      <c r="U64736" s="8"/>
      <c r="V64736" s="8"/>
      <c r="W64736" s="8"/>
      <c r="X64736" s="8"/>
      <c r="Y64736" s="8"/>
      <c r="Z64736" s="8"/>
      <c r="AA64736" s="8"/>
    </row>
    <row r="64737" spans="1:27" x14ac:dyDescent="0.25">
      <c r="A64737" s="8"/>
      <c r="B64737" s="8"/>
      <c r="C64737" s="99"/>
      <c r="D64737" s="8"/>
      <c r="E64737" s="8"/>
      <c r="F64737" s="8"/>
      <c r="G64737" s="8"/>
      <c r="H64737" s="8"/>
      <c r="I64737" s="102"/>
      <c r="J64737" s="8"/>
      <c r="K64737" s="8"/>
      <c r="L64737" s="8"/>
      <c r="M64737" s="8"/>
      <c r="N64737" s="8"/>
      <c r="O64737" s="8"/>
      <c r="P64737" s="8"/>
      <c r="Q64737" s="8"/>
      <c r="R64737" s="103"/>
      <c r="S64737" s="8"/>
      <c r="T64737" s="8"/>
      <c r="U64737" s="8"/>
      <c r="V64737" s="8"/>
      <c r="W64737" s="8"/>
      <c r="X64737" s="8"/>
      <c r="Y64737" s="8"/>
      <c r="Z64737" s="8"/>
      <c r="AA64737" s="8"/>
    </row>
    <row r="64738" spans="1:27" x14ac:dyDescent="0.25">
      <c r="A64738" s="8"/>
      <c r="B64738" s="8"/>
      <c r="C64738" s="99"/>
      <c r="D64738" s="8"/>
      <c r="E64738" s="8"/>
      <c r="F64738" s="8"/>
      <c r="G64738" s="8"/>
      <c r="H64738" s="8"/>
      <c r="I64738" s="102"/>
      <c r="J64738" s="8"/>
      <c r="K64738" s="8"/>
      <c r="L64738" s="8"/>
      <c r="M64738" s="8"/>
      <c r="N64738" s="8"/>
      <c r="O64738" s="8"/>
      <c r="P64738" s="8"/>
      <c r="Q64738" s="8"/>
      <c r="R64738" s="103"/>
      <c r="S64738" s="8"/>
      <c r="T64738" s="8"/>
      <c r="U64738" s="8"/>
      <c r="V64738" s="8"/>
      <c r="W64738" s="8"/>
      <c r="X64738" s="8"/>
      <c r="Y64738" s="8"/>
      <c r="Z64738" s="8"/>
      <c r="AA64738" s="8"/>
    </row>
    <row r="64739" spans="1:27" x14ac:dyDescent="0.25">
      <c r="A64739" s="8"/>
      <c r="B64739" s="8"/>
      <c r="C64739" s="99"/>
      <c r="D64739" s="8"/>
      <c r="E64739" s="8"/>
      <c r="F64739" s="8"/>
      <c r="G64739" s="8"/>
      <c r="H64739" s="8"/>
      <c r="I64739" s="102"/>
      <c r="J64739" s="8"/>
      <c r="K64739" s="8"/>
      <c r="L64739" s="8"/>
      <c r="M64739" s="8"/>
      <c r="N64739" s="8"/>
      <c r="O64739" s="8"/>
      <c r="P64739" s="8"/>
      <c r="Q64739" s="8"/>
      <c r="R64739" s="103"/>
      <c r="S64739" s="8"/>
      <c r="T64739" s="8"/>
      <c r="U64739" s="8"/>
      <c r="V64739" s="8"/>
      <c r="W64739" s="8"/>
      <c r="X64739" s="8"/>
      <c r="Y64739" s="8"/>
      <c r="Z64739" s="8"/>
      <c r="AA64739" s="8"/>
    </row>
    <row r="64740" spans="1:27" x14ac:dyDescent="0.25">
      <c r="A64740" s="8"/>
      <c r="B64740" s="8"/>
      <c r="C64740" s="99"/>
      <c r="D64740" s="8"/>
      <c r="E64740" s="8"/>
      <c r="F64740" s="8"/>
      <c r="G64740" s="8"/>
      <c r="H64740" s="8"/>
      <c r="I64740" s="102"/>
      <c r="J64740" s="8"/>
      <c r="K64740" s="8"/>
      <c r="L64740" s="8"/>
      <c r="M64740" s="8"/>
      <c r="N64740" s="8"/>
      <c r="O64740" s="8"/>
      <c r="P64740" s="8"/>
      <c r="Q64740" s="8"/>
      <c r="R64740" s="103"/>
      <c r="S64740" s="8"/>
      <c r="T64740" s="8"/>
      <c r="U64740" s="8"/>
      <c r="V64740" s="8"/>
      <c r="W64740" s="8"/>
      <c r="X64740" s="8"/>
      <c r="Y64740" s="8"/>
      <c r="Z64740" s="8"/>
      <c r="AA64740" s="8"/>
    </row>
    <row r="64741" spans="1:27" x14ac:dyDescent="0.25">
      <c r="A64741" s="8"/>
      <c r="B64741" s="8"/>
      <c r="C64741" s="99"/>
      <c r="D64741" s="8"/>
      <c r="E64741" s="8"/>
      <c r="F64741" s="8"/>
      <c r="G64741" s="8"/>
      <c r="H64741" s="8"/>
      <c r="I64741" s="102"/>
      <c r="J64741" s="8"/>
      <c r="K64741" s="8"/>
      <c r="L64741" s="8"/>
      <c r="M64741" s="8"/>
      <c r="N64741" s="8"/>
      <c r="O64741" s="8"/>
      <c r="P64741" s="8"/>
      <c r="Q64741" s="8"/>
      <c r="R64741" s="103"/>
      <c r="S64741" s="8"/>
      <c r="T64741" s="8"/>
      <c r="U64741" s="8"/>
      <c r="V64741" s="8"/>
      <c r="W64741" s="8"/>
      <c r="X64741" s="8"/>
      <c r="Y64741" s="8"/>
      <c r="Z64741" s="8"/>
      <c r="AA64741" s="8"/>
    </row>
    <row r="64742" spans="1:27" x14ac:dyDescent="0.25">
      <c r="A64742" s="8"/>
      <c r="B64742" s="8"/>
      <c r="C64742" s="99"/>
      <c r="D64742" s="8"/>
      <c r="E64742" s="8"/>
      <c r="F64742" s="8"/>
      <c r="G64742" s="8"/>
      <c r="H64742" s="8"/>
      <c r="I64742" s="102"/>
      <c r="J64742" s="8"/>
      <c r="K64742" s="8"/>
      <c r="L64742" s="8"/>
      <c r="M64742" s="8"/>
      <c r="N64742" s="8"/>
      <c r="O64742" s="8"/>
      <c r="P64742" s="8"/>
      <c r="Q64742" s="8"/>
      <c r="R64742" s="103"/>
      <c r="S64742" s="8"/>
      <c r="T64742" s="8"/>
      <c r="U64742" s="8"/>
      <c r="V64742" s="8"/>
      <c r="W64742" s="8"/>
      <c r="X64742" s="8"/>
      <c r="Y64742" s="8"/>
      <c r="Z64742" s="8"/>
      <c r="AA64742" s="8"/>
    </row>
    <row r="64743" spans="1:27" x14ac:dyDescent="0.25">
      <c r="A64743" s="8"/>
      <c r="B64743" s="8"/>
      <c r="C64743" s="99"/>
      <c r="D64743" s="8"/>
      <c r="E64743" s="8"/>
      <c r="F64743" s="8"/>
      <c r="G64743" s="8"/>
      <c r="H64743" s="8"/>
      <c r="I64743" s="102"/>
      <c r="J64743" s="8"/>
      <c r="K64743" s="8"/>
      <c r="L64743" s="8"/>
      <c r="M64743" s="8"/>
      <c r="N64743" s="8"/>
      <c r="O64743" s="8"/>
      <c r="P64743" s="8"/>
      <c r="Q64743" s="8"/>
      <c r="R64743" s="103"/>
      <c r="S64743" s="8"/>
      <c r="T64743" s="8"/>
      <c r="U64743" s="8"/>
      <c r="V64743" s="8"/>
      <c r="W64743" s="8"/>
      <c r="X64743" s="8"/>
      <c r="Y64743" s="8"/>
      <c r="Z64743" s="8"/>
      <c r="AA64743" s="8"/>
    </row>
    <row r="64744" spans="1:27" x14ac:dyDescent="0.25">
      <c r="A64744" s="8"/>
      <c r="B64744" s="8"/>
      <c r="C64744" s="99"/>
      <c r="D64744" s="8"/>
      <c r="E64744" s="8"/>
      <c r="F64744" s="8"/>
      <c r="G64744" s="8"/>
      <c r="H64744" s="8"/>
      <c r="I64744" s="102"/>
      <c r="J64744" s="8"/>
      <c r="K64744" s="8"/>
      <c r="L64744" s="8"/>
      <c r="M64744" s="8"/>
      <c r="N64744" s="8"/>
      <c r="O64744" s="8"/>
      <c r="P64744" s="8"/>
      <c r="Q64744" s="8"/>
      <c r="R64744" s="103"/>
      <c r="S64744" s="8"/>
      <c r="T64744" s="8"/>
      <c r="U64744" s="8"/>
      <c r="V64744" s="8"/>
      <c r="W64744" s="8"/>
      <c r="X64744" s="8"/>
      <c r="Y64744" s="8"/>
      <c r="Z64744" s="8"/>
      <c r="AA64744" s="8"/>
    </row>
    <row r="64745" spans="1:27" x14ac:dyDescent="0.25">
      <c r="A64745" s="8"/>
      <c r="B64745" s="8"/>
      <c r="C64745" s="99"/>
      <c r="D64745" s="8"/>
      <c r="E64745" s="8"/>
      <c r="F64745" s="8"/>
      <c r="G64745" s="8"/>
      <c r="H64745" s="8"/>
      <c r="I64745" s="102"/>
      <c r="J64745" s="8"/>
      <c r="K64745" s="8"/>
      <c r="L64745" s="8"/>
      <c r="M64745" s="8"/>
      <c r="N64745" s="8"/>
      <c r="O64745" s="8"/>
      <c r="P64745" s="8"/>
      <c r="Q64745" s="8"/>
      <c r="R64745" s="103"/>
      <c r="S64745" s="8"/>
      <c r="T64745" s="8"/>
      <c r="U64745" s="8"/>
      <c r="V64745" s="8"/>
      <c r="W64745" s="8"/>
      <c r="X64745" s="8"/>
      <c r="Y64745" s="8"/>
      <c r="Z64745" s="8"/>
      <c r="AA64745" s="8"/>
    </row>
    <row r="64746" spans="1:27" x14ac:dyDescent="0.25">
      <c r="A64746" s="8"/>
      <c r="B64746" s="8"/>
      <c r="C64746" s="99"/>
      <c r="D64746" s="8"/>
      <c r="E64746" s="8"/>
      <c r="F64746" s="8"/>
      <c r="G64746" s="8"/>
      <c r="H64746" s="8"/>
      <c r="I64746" s="102"/>
      <c r="J64746" s="8"/>
      <c r="K64746" s="8"/>
      <c r="L64746" s="8"/>
      <c r="M64746" s="8"/>
      <c r="N64746" s="8"/>
      <c r="O64746" s="8"/>
      <c r="P64746" s="8"/>
      <c r="Q64746" s="8"/>
      <c r="R64746" s="103"/>
      <c r="S64746" s="8"/>
      <c r="T64746" s="8"/>
      <c r="U64746" s="8"/>
      <c r="V64746" s="8"/>
      <c r="W64746" s="8"/>
      <c r="X64746" s="8"/>
      <c r="Y64746" s="8"/>
      <c r="Z64746" s="8"/>
      <c r="AA64746" s="8"/>
    </row>
    <row r="64747" spans="1:27" x14ac:dyDescent="0.25">
      <c r="A64747" s="8"/>
      <c r="B64747" s="8"/>
      <c r="C64747" s="99"/>
      <c r="D64747" s="8"/>
      <c r="E64747" s="8"/>
      <c r="F64747" s="8"/>
      <c r="G64747" s="8"/>
      <c r="H64747" s="8"/>
      <c r="I64747" s="102"/>
      <c r="J64747" s="8"/>
      <c r="K64747" s="8"/>
      <c r="L64747" s="8"/>
      <c r="M64747" s="8"/>
      <c r="N64747" s="8"/>
      <c r="O64747" s="8"/>
      <c r="P64747" s="8"/>
      <c r="Q64747" s="8"/>
      <c r="R64747" s="103"/>
      <c r="S64747" s="8"/>
      <c r="T64747" s="8"/>
      <c r="U64747" s="8"/>
      <c r="V64747" s="8"/>
      <c r="W64747" s="8"/>
      <c r="X64747" s="8"/>
      <c r="Y64747" s="8"/>
      <c r="Z64747" s="8"/>
      <c r="AA64747" s="8"/>
    </row>
    <row r="64748" spans="1:27" x14ac:dyDescent="0.25">
      <c r="A64748" s="8"/>
      <c r="B64748" s="8"/>
      <c r="C64748" s="99"/>
      <c r="D64748" s="8"/>
      <c r="E64748" s="8"/>
      <c r="F64748" s="8"/>
      <c r="G64748" s="8"/>
      <c r="H64748" s="8"/>
      <c r="I64748" s="102"/>
      <c r="J64748" s="8"/>
      <c r="K64748" s="8"/>
      <c r="L64748" s="8"/>
      <c r="M64748" s="8"/>
      <c r="N64748" s="8"/>
      <c r="O64748" s="8"/>
      <c r="P64748" s="8"/>
      <c r="Q64748" s="8"/>
      <c r="R64748" s="103"/>
      <c r="S64748" s="8"/>
      <c r="T64748" s="8"/>
      <c r="U64748" s="8"/>
      <c r="V64748" s="8"/>
      <c r="W64748" s="8"/>
      <c r="X64748" s="8"/>
      <c r="Y64748" s="8"/>
      <c r="Z64748" s="8"/>
      <c r="AA64748" s="8"/>
    </row>
    <row r="64749" spans="1:27" x14ac:dyDescent="0.25">
      <c r="A64749" s="8"/>
      <c r="B64749" s="8"/>
      <c r="C64749" s="99"/>
      <c r="D64749" s="8"/>
      <c r="E64749" s="8"/>
      <c r="F64749" s="8"/>
      <c r="G64749" s="8"/>
      <c r="H64749" s="8"/>
      <c r="I64749" s="102"/>
      <c r="J64749" s="8"/>
      <c r="K64749" s="8"/>
      <c r="L64749" s="8"/>
      <c r="M64749" s="8"/>
      <c r="N64749" s="8"/>
      <c r="O64749" s="8"/>
      <c r="P64749" s="8"/>
      <c r="Q64749" s="8"/>
      <c r="R64749" s="103"/>
      <c r="S64749" s="8"/>
      <c r="T64749" s="8"/>
      <c r="U64749" s="8"/>
      <c r="V64749" s="8"/>
      <c r="W64749" s="8"/>
      <c r="X64749" s="8"/>
      <c r="Y64749" s="8"/>
      <c r="Z64749" s="8"/>
      <c r="AA64749" s="8"/>
    </row>
    <row r="64750" spans="1:27" x14ac:dyDescent="0.25">
      <c r="A64750" s="8"/>
      <c r="B64750" s="8"/>
      <c r="C64750" s="99"/>
      <c r="D64750" s="8"/>
      <c r="E64750" s="8"/>
      <c r="F64750" s="8"/>
      <c r="G64750" s="8"/>
      <c r="H64750" s="8"/>
      <c r="I64750" s="102"/>
      <c r="J64750" s="8"/>
      <c r="K64750" s="8"/>
      <c r="L64750" s="8"/>
      <c r="M64750" s="8"/>
      <c r="N64750" s="8"/>
      <c r="O64750" s="8"/>
      <c r="P64750" s="8"/>
      <c r="Q64750" s="8"/>
      <c r="R64750" s="103"/>
      <c r="S64750" s="8"/>
      <c r="T64750" s="8"/>
      <c r="U64750" s="8"/>
      <c r="V64750" s="8"/>
      <c r="W64750" s="8"/>
      <c r="X64750" s="8"/>
      <c r="Y64750" s="8"/>
      <c r="Z64750" s="8"/>
      <c r="AA64750" s="8"/>
    </row>
    <row r="64751" spans="1:27" x14ac:dyDescent="0.25">
      <c r="A64751" s="8"/>
      <c r="B64751" s="8"/>
      <c r="C64751" s="99"/>
      <c r="D64751" s="8"/>
      <c r="E64751" s="8"/>
      <c r="F64751" s="8"/>
      <c r="G64751" s="8"/>
      <c r="H64751" s="8"/>
      <c r="I64751" s="102"/>
      <c r="J64751" s="8"/>
      <c r="K64751" s="8"/>
      <c r="L64751" s="8"/>
      <c r="M64751" s="8"/>
      <c r="N64751" s="8"/>
      <c r="O64751" s="8"/>
      <c r="P64751" s="8"/>
      <c r="Q64751" s="8"/>
      <c r="R64751" s="103"/>
      <c r="S64751" s="8"/>
      <c r="T64751" s="8"/>
      <c r="U64751" s="8"/>
      <c r="V64751" s="8"/>
      <c r="W64751" s="8"/>
      <c r="X64751" s="8"/>
      <c r="Y64751" s="8"/>
      <c r="Z64751" s="8"/>
      <c r="AA64751" s="8"/>
    </row>
    <row r="64752" spans="1:27" x14ac:dyDescent="0.25">
      <c r="A64752" s="8"/>
      <c r="B64752" s="8"/>
      <c r="C64752" s="99"/>
      <c r="D64752" s="8"/>
      <c r="E64752" s="8"/>
      <c r="F64752" s="8"/>
      <c r="G64752" s="8"/>
      <c r="H64752" s="8"/>
      <c r="I64752" s="102"/>
      <c r="J64752" s="8"/>
      <c r="K64752" s="8"/>
      <c r="L64752" s="8"/>
      <c r="M64752" s="8"/>
      <c r="N64752" s="8"/>
      <c r="O64752" s="8"/>
      <c r="P64752" s="8"/>
      <c r="Q64752" s="8"/>
      <c r="R64752" s="103"/>
      <c r="S64752" s="8"/>
      <c r="T64752" s="8"/>
      <c r="U64752" s="8"/>
      <c r="V64752" s="8"/>
      <c r="W64752" s="8"/>
      <c r="X64752" s="8"/>
      <c r="Y64752" s="8"/>
      <c r="Z64752" s="8"/>
      <c r="AA64752" s="8"/>
    </row>
    <row r="64753" spans="1:27" x14ac:dyDescent="0.25">
      <c r="A64753" s="8"/>
      <c r="B64753" s="8"/>
      <c r="C64753" s="99"/>
      <c r="D64753" s="8"/>
      <c r="E64753" s="8"/>
      <c r="F64753" s="8"/>
      <c r="G64753" s="8"/>
      <c r="H64753" s="8"/>
      <c r="I64753" s="102"/>
      <c r="J64753" s="8"/>
      <c r="K64753" s="8"/>
      <c r="L64753" s="8"/>
      <c r="M64753" s="8"/>
      <c r="N64753" s="8"/>
      <c r="O64753" s="8"/>
      <c r="P64753" s="8"/>
      <c r="Q64753" s="8"/>
      <c r="R64753" s="103"/>
      <c r="S64753" s="8"/>
      <c r="T64753" s="8"/>
      <c r="U64753" s="8"/>
      <c r="V64753" s="8"/>
      <c r="W64753" s="8"/>
      <c r="X64753" s="8"/>
      <c r="Y64753" s="8"/>
      <c r="Z64753" s="8"/>
      <c r="AA64753" s="8"/>
    </row>
    <row r="64754" spans="1:27" x14ac:dyDescent="0.25">
      <c r="A64754" s="8"/>
      <c r="B64754" s="8"/>
      <c r="C64754" s="99"/>
      <c r="D64754" s="8"/>
      <c r="E64754" s="8"/>
      <c r="F64754" s="8"/>
      <c r="G64754" s="8"/>
      <c r="H64754" s="8"/>
      <c r="I64754" s="102"/>
      <c r="J64754" s="8"/>
      <c r="K64754" s="8"/>
      <c r="L64754" s="8"/>
      <c r="M64754" s="8"/>
      <c r="N64754" s="8"/>
      <c r="O64754" s="8"/>
      <c r="P64754" s="8"/>
      <c r="Q64754" s="8"/>
      <c r="R64754" s="103"/>
      <c r="S64754" s="8"/>
      <c r="T64754" s="8"/>
      <c r="U64754" s="8"/>
      <c r="V64754" s="8"/>
      <c r="W64754" s="8"/>
      <c r="X64754" s="8"/>
      <c r="Y64754" s="8"/>
      <c r="Z64754" s="8"/>
      <c r="AA64754" s="8"/>
    </row>
    <row r="64755" spans="1:27" x14ac:dyDescent="0.25">
      <c r="A64755" s="8"/>
      <c r="B64755" s="8"/>
      <c r="C64755" s="99"/>
      <c r="D64755" s="8"/>
      <c r="E64755" s="8"/>
      <c r="F64755" s="8"/>
      <c r="G64755" s="8"/>
      <c r="H64755" s="8"/>
      <c r="I64755" s="102"/>
      <c r="J64755" s="8"/>
      <c r="K64755" s="8"/>
      <c r="L64755" s="8"/>
      <c r="M64755" s="8"/>
      <c r="N64755" s="8"/>
      <c r="O64755" s="8"/>
      <c r="P64755" s="8"/>
      <c r="Q64755" s="8"/>
      <c r="R64755" s="103"/>
      <c r="S64755" s="8"/>
      <c r="T64755" s="8"/>
      <c r="U64755" s="8"/>
      <c r="V64755" s="8"/>
      <c r="W64755" s="8"/>
      <c r="X64755" s="8"/>
      <c r="Y64755" s="8"/>
      <c r="Z64755" s="8"/>
      <c r="AA64755" s="8"/>
    </row>
    <row r="64756" spans="1:27" x14ac:dyDescent="0.25">
      <c r="A64756" s="8"/>
      <c r="B64756" s="8"/>
      <c r="C64756" s="99"/>
      <c r="D64756" s="8"/>
      <c r="E64756" s="8"/>
      <c r="F64756" s="8"/>
      <c r="G64756" s="8"/>
      <c r="H64756" s="8"/>
      <c r="I64756" s="102"/>
      <c r="J64756" s="8"/>
      <c r="K64756" s="8"/>
      <c r="L64756" s="8"/>
      <c r="M64756" s="8"/>
      <c r="N64756" s="8"/>
      <c r="O64756" s="8"/>
      <c r="P64756" s="8"/>
      <c r="Q64756" s="8"/>
      <c r="R64756" s="103"/>
      <c r="S64756" s="8"/>
      <c r="T64756" s="8"/>
      <c r="U64756" s="8"/>
      <c r="V64756" s="8"/>
      <c r="W64756" s="8"/>
      <c r="X64756" s="8"/>
      <c r="Y64756" s="8"/>
      <c r="Z64756" s="8"/>
      <c r="AA64756" s="8"/>
    </row>
    <row r="64757" spans="1:27" x14ac:dyDescent="0.25">
      <c r="A64757" s="8"/>
      <c r="B64757" s="8"/>
      <c r="C64757" s="99"/>
      <c r="D64757" s="8"/>
      <c r="E64757" s="8"/>
      <c r="F64757" s="8"/>
      <c r="G64757" s="8"/>
      <c r="H64757" s="8"/>
      <c r="I64757" s="102"/>
      <c r="J64757" s="8"/>
      <c r="K64757" s="8"/>
      <c r="L64757" s="8"/>
      <c r="M64757" s="8"/>
      <c r="N64757" s="8"/>
      <c r="O64757" s="8"/>
      <c r="P64757" s="8"/>
      <c r="Q64757" s="8"/>
      <c r="R64757" s="103"/>
      <c r="S64757" s="8"/>
      <c r="T64757" s="8"/>
      <c r="U64757" s="8"/>
      <c r="V64757" s="8"/>
      <c r="W64757" s="8"/>
      <c r="X64757" s="8"/>
      <c r="Y64757" s="8"/>
      <c r="Z64757" s="8"/>
      <c r="AA64757" s="8"/>
    </row>
    <row r="64758" spans="1:27" x14ac:dyDescent="0.25">
      <c r="A64758" s="8"/>
      <c r="B64758" s="8"/>
      <c r="C64758" s="99"/>
      <c r="D64758" s="8"/>
      <c r="E64758" s="8"/>
      <c r="F64758" s="8"/>
      <c r="G64758" s="8"/>
      <c r="H64758" s="8"/>
      <c r="I64758" s="102"/>
      <c r="J64758" s="8"/>
      <c r="K64758" s="8"/>
      <c r="L64758" s="8"/>
      <c r="M64758" s="8"/>
      <c r="N64758" s="8"/>
      <c r="O64758" s="8"/>
      <c r="P64758" s="8"/>
      <c r="Q64758" s="8"/>
      <c r="R64758" s="103"/>
      <c r="S64758" s="8"/>
      <c r="T64758" s="8"/>
      <c r="U64758" s="8"/>
      <c r="V64758" s="8"/>
      <c r="W64758" s="8"/>
      <c r="X64758" s="8"/>
      <c r="Y64758" s="8"/>
      <c r="Z64758" s="8"/>
      <c r="AA64758" s="8"/>
    </row>
    <row r="64759" spans="1:27" x14ac:dyDescent="0.25">
      <c r="A64759" s="8"/>
      <c r="B64759" s="8"/>
      <c r="C64759" s="99"/>
      <c r="D64759" s="8"/>
      <c r="E64759" s="8"/>
      <c r="F64759" s="8"/>
      <c r="G64759" s="8"/>
      <c r="H64759" s="8"/>
      <c r="I64759" s="102"/>
      <c r="J64759" s="8"/>
      <c r="K64759" s="8"/>
      <c r="L64759" s="8"/>
      <c r="M64759" s="8"/>
      <c r="N64759" s="8"/>
      <c r="O64759" s="8"/>
      <c r="P64759" s="8"/>
      <c r="Q64759" s="8"/>
      <c r="R64759" s="103"/>
      <c r="S64759" s="8"/>
      <c r="T64759" s="8"/>
      <c r="U64759" s="8"/>
      <c r="V64759" s="8"/>
      <c r="W64759" s="8"/>
      <c r="X64759" s="8"/>
      <c r="Y64759" s="8"/>
      <c r="Z64759" s="8"/>
      <c r="AA64759" s="8"/>
    </row>
    <row r="64760" spans="1:27" x14ac:dyDescent="0.25">
      <c r="A64760" s="8"/>
      <c r="B64760" s="8"/>
      <c r="C64760" s="99"/>
      <c r="D64760" s="8"/>
      <c r="E64760" s="8"/>
      <c r="F64760" s="8"/>
      <c r="G64760" s="8"/>
      <c r="H64760" s="8"/>
      <c r="I64760" s="102"/>
      <c r="J64760" s="8"/>
      <c r="K64760" s="8"/>
      <c r="L64760" s="8"/>
      <c r="M64760" s="8"/>
      <c r="N64760" s="8"/>
      <c r="O64760" s="8"/>
      <c r="P64760" s="8"/>
      <c r="Q64760" s="8"/>
      <c r="R64760" s="103"/>
      <c r="S64760" s="8"/>
      <c r="T64760" s="8"/>
      <c r="U64760" s="8"/>
      <c r="V64760" s="8"/>
      <c r="W64760" s="8"/>
      <c r="X64760" s="8"/>
      <c r="Y64760" s="8"/>
      <c r="Z64760" s="8"/>
      <c r="AA64760" s="8"/>
    </row>
    <row r="64761" spans="1:27" x14ac:dyDescent="0.25">
      <c r="A64761" s="8"/>
      <c r="B64761" s="8"/>
      <c r="C64761" s="99"/>
      <c r="D64761" s="8"/>
      <c r="E64761" s="8"/>
      <c r="F64761" s="8"/>
      <c r="G64761" s="8"/>
      <c r="H64761" s="8"/>
      <c r="I64761" s="102"/>
      <c r="J64761" s="8"/>
      <c r="K64761" s="8"/>
      <c r="L64761" s="8"/>
      <c r="M64761" s="8"/>
      <c r="N64761" s="8"/>
      <c r="O64761" s="8"/>
      <c r="P64761" s="8"/>
      <c r="Q64761" s="8"/>
      <c r="R64761" s="103"/>
      <c r="S64761" s="8"/>
      <c r="T64761" s="8"/>
      <c r="U64761" s="8"/>
      <c r="V64761" s="8"/>
      <c r="W64761" s="8"/>
      <c r="X64761" s="8"/>
      <c r="Y64761" s="8"/>
      <c r="Z64761" s="8"/>
      <c r="AA64761" s="8"/>
    </row>
    <row r="64762" spans="1:27" x14ac:dyDescent="0.25">
      <c r="A64762" s="8"/>
      <c r="B64762" s="8"/>
      <c r="C64762" s="99"/>
      <c r="D64762" s="8"/>
      <c r="E64762" s="8"/>
      <c r="F64762" s="8"/>
      <c r="G64762" s="8"/>
      <c r="H64762" s="8"/>
      <c r="I64762" s="102"/>
      <c r="J64762" s="8"/>
      <c r="K64762" s="8"/>
      <c r="L64762" s="8"/>
      <c r="M64762" s="8"/>
      <c r="N64762" s="8"/>
      <c r="O64762" s="8"/>
      <c r="P64762" s="8"/>
      <c r="Q64762" s="8"/>
      <c r="R64762" s="103"/>
      <c r="S64762" s="8"/>
      <c r="T64762" s="8"/>
      <c r="U64762" s="8"/>
      <c r="V64762" s="8"/>
      <c r="W64762" s="8"/>
      <c r="X64762" s="8"/>
      <c r="Y64762" s="8"/>
      <c r="Z64762" s="8"/>
      <c r="AA64762" s="8"/>
    </row>
    <row r="64763" spans="1:27" x14ac:dyDescent="0.25">
      <c r="A64763" s="8"/>
      <c r="B64763" s="8"/>
      <c r="C64763" s="99"/>
      <c r="D64763" s="8"/>
      <c r="E64763" s="8"/>
      <c r="F64763" s="8"/>
      <c r="G64763" s="8"/>
      <c r="H64763" s="8"/>
      <c r="I64763" s="102"/>
      <c r="J64763" s="8"/>
      <c r="K64763" s="8"/>
      <c r="L64763" s="8"/>
      <c r="M64763" s="8"/>
      <c r="N64763" s="8"/>
      <c r="O64763" s="8"/>
      <c r="P64763" s="8"/>
      <c r="Q64763" s="8"/>
      <c r="R64763" s="103"/>
      <c r="S64763" s="8"/>
      <c r="T64763" s="8"/>
      <c r="U64763" s="8"/>
      <c r="V64763" s="8"/>
      <c r="W64763" s="8"/>
      <c r="X64763" s="8"/>
      <c r="Y64763" s="8"/>
      <c r="Z64763" s="8"/>
      <c r="AA64763" s="8"/>
    </row>
    <row r="64764" spans="1:27" x14ac:dyDescent="0.25">
      <c r="A64764" s="8"/>
      <c r="B64764" s="8"/>
      <c r="C64764" s="99"/>
      <c r="D64764" s="8"/>
      <c r="E64764" s="8"/>
      <c r="F64764" s="8"/>
      <c r="G64764" s="8"/>
      <c r="H64764" s="8"/>
      <c r="I64764" s="102"/>
      <c r="J64764" s="8"/>
      <c r="K64764" s="8"/>
      <c r="L64764" s="8"/>
      <c r="M64764" s="8"/>
      <c r="N64764" s="8"/>
      <c r="O64764" s="8"/>
      <c r="P64764" s="8"/>
      <c r="Q64764" s="8"/>
      <c r="R64764" s="103"/>
      <c r="S64764" s="8"/>
      <c r="T64764" s="8"/>
      <c r="U64764" s="8"/>
      <c r="V64764" s="8"/>
      <c r="W64764" s="8"/>
      <c r="X64764" s="8"/>
      <c r="Y64764" s="8"/>
      <c r="Z64764" s="8"/>
      <c r="AA64764" s="8"/>
    </row>
    <row r="64765" spans="1:27" x14ac:dyDescent="0.25">
      <c r="A64765" s="8"/>
      <c r="B64765" s="8"/>
      <c r="C64765" s="99"/>
      <c r="D64765" s="8"/>
      <c r="E64765" s="8"/>
      <c r="F64765" s="8"/>
      <c r="G64765" s="8"/>
      <c r="H64765" s="8"/>
      <c r="I64765" s="102"/>
      <c r="J64765" s="8"/>
      <c r="K64765" s="8"/>
      <c r="L64765" s="8"/>
      <c r="M64765" s="8"/>
      <c r="N64765" s="8"/>
      <c r="O64765" s="8"/>
      <c r="P64765" s="8"/>
      <c r="Q64765" s="8"/>
      <c r="R64765" s="103"/>
      <c r="S64765" s="8"/>
      <c r="T64765" s="8"/>
      <c r="U64765" s="8"/>
      <c r="V64765" s="8"/>
      <c r="W64765" s="8"/>
      <c r="X64765" s="8"/>
      <c r="Y64765" s="8"/>
      <c r="Z64765" s="8"/>
      <c r="AA64765" s="8"/>
    </row>
    <row r="64766" spans="1:27" x14ac:dyDescent="0.25">
      <c r="A64766" s="8"/>
      <c r="B64766" s="8"/>
      <c r="C64766" s="99"/>
      <c r="D64766" s="8"/>
      <c r="E64766" s="8"/>
      <c r="F64766" s="8"/>
      <c r="G64766" s="8"/>
      <c r="H64766" s="8"/>
      <c r="I64766" s="102"/>
      <c r="J64766" s="8"/>
      <c r="K64766" s="8"/>
      <c r="L64766" s="8"/>
      <c r="M64766" s="8"/>
      <c r="N64766" s="8"/>
      <c r="O64766" s="8"/>
      <c r="P64766" s="8"/>
      <c r="Q64766" s="8"/>
      <c r="R64766" s="103"/>
      <c r="S64766" s="8"/>
      <c r="T64766" s="8"/>
      <c r="U64766" s="8"/>
      <c r="V64766" s="8"/>
      <c r="W64766" s="8"/>
      <c r="X64766" s="8"/>
      <c r="Y64766" s="8"/>
      <c r="Z64766" s="8"/>
      <c r="AA64766" s="8"/>
    </row>
    <row r="64767" spans="1:27" x14ac:dyDescent="0.25">
      <c r="A64767" s="8"/>
      <c r="B64767" s="8"/>
      <c r="C64767" s="99"/>
      <c r="D64767" s="8"/>
      <c r="E64767" s="8"/>
      <c r="F64767" s="8"/>
      <c r="G64767" s="8"/>
      <c r="H64767" s="8"/>
      <c r="I64767" s="102"/>
      <c r="J64767" s="8"/>
      <c r="K64767" s="8"/>
      <c r="L64767" s="8"/>
      <c r="M64767" s="8"/>
      <c r="N64767" s="8"/>
      <c r="O64767" s="8"/>
      <c r="P64767" s="8"/>
      <c r="Q64767" s="8"/>
      <c r="R64767" s="103"/>
      <c r="S64767" s="8"/>
      <c r="T64767" s="8"/>
      <c r="U64767" s="8"/>
      <c r="V64767" s="8"/>
      <c r="W64767" s="8"/>
      <c r="X64767" s="8"/>
      <c r="Y64767" s="8"/>
      <c r="Z64767" s="8"/>
      <c r="AA64767" s="8"/>
    </row>
    <row r="64768" spans="1:27" x14ac:dyDescent="0.25">
      <c r="A64768" s="8"/>
      <c r="B64768" s="8"/>
      <c r="C64768" s="99"/>
      <c r="D64768" s="8"/>
      <c r="E64768" s="8"/>
      <c r="F64768" s="8"/>
      <c r="G64768" s="8"/>
      <c r="H64768" s="8"/>
      <c r="I64768" s="102"/>
      <c r="J64768" s="8"/>
      <c r="K64768" s="8"/>
      <c r="L64768" s="8"/>
      <c r="M64768" s="8"/>
      <c r="N64768" s="8"/>
      <c r="O64768" s="8"/>
      <c r="P64768" s="8"/>
      <c r="Q64768" s="8"/>
      <c r="R64768" s="103"/>
      <c r="S64768" s="8"/>
      <c r="T64768" s="8"/>
      <c r="U64768" s="8"/>
      <c r="V64768" s="8"/>
      <c r="W64768" s="8"/>
      <c r="X64768" s="8"/>
      <c r="Y64768" s="8"/>
      <c r="Z64768" s="8"/>
      <c r="AA64768" s="8"/>
    </row>
    <row r="64769" spans="1:27" x14ac:dyDescent="0.25">
      <c r="A64769" s="8"/>
      <c r="B64769" s="8"/>
      <c r="C64769" s="99"/>
      <c r="D64769" s="8"/>
      <c r="E64769" s="8"/>
      <c r="F64769" s="8"/>
      <c r="G64769" s="8"/>
      <c r="H64769" s="8"/>
      <c r="I64769" s="102"/>
      <c r="J64769" s="8"/>
      <c r="K64769" s="8"/>
      <c r="L64769" s="8"/>
      <c r="M64769" s="8"/>
      <c r="N64769" s="8"/>
      <c r="O64769" s="8"/>
      <c r="P64769" s="8"/>
      <c r="Q64769" s="8"/>
      <c r="R64769" s="103"/>
      <c r="S64769" s="8"/>
      <c r="T64769" s="8"/>
      <c r="U64769" s="8"/>
      <c r="V64769" s="8"/>
      <c r="W64769" s="8"/>
      <c r="X64769" s="8"/>
      <c r="Y64769" s="8"/>
      <c r="Z64769" s="8"/>
      <c r="AA64769" s="8"/>
    </row>
    <row r="64770" spans="1:27" x14ac:dyDescent="0.25">
      <c r="A64770" s="8"/>
      <c r="B64770" s="8"/>
      <c r="C64770" s="99"/>
      <c r="D64770" s="8"/>
      <c r="E64770" s="8"/>
      <c r="F64770" s="8"/>
      <c r="G64770" s="8"/>
      <c r="H64770" s="8"/>
      <c r="I64770" s="102"/>
      <c r="J64770" s="8"/>
      <c r="K64770" s="8"/>
      <c r="L64770" s="8"/>
      <c r="M64770" s="8"/>
      <c r="N64770" s="8"/>
      <c r="O64770" s="8"/>
      <c r="P64770" s="8"/>
      <c r="Q64770" s="8"/>
      <c r="R64770" s="103"/>
      <c r="S64770" s="8"/>
      <c r="T64770" s="8"/>
      <c r="U64770" s="8"/>
      <c r="V64770" s="8"/>
      <c r="W64770" s="8"/>
      <c r="X64770" s="8"/>
      <c r="Y64770" s="8"/>
      <c r="Z64770" s="8"/>
      <c r="AA64770" s="8"/>
    </row>
    <row r="64771" spans="1:27" x14ac:dyDescent="0.25">
      <c r="A64771" s="8"/>
      <c r="B64771" s="8"/>
      <c r="C64771" s="99"/>
      <c r="D64771" s="8"/>
      <c r="E64771" s="8"/>
      <c r="F64771" s="8"/>
      <c r="G64771" s="8"/>
      <c r="H64771" s="8"/>
      <c r="I64771" s="102"/>
      <c r="J64771" s="8"/>
      <c r="K64771" s="8"/>
      <c r="L64771" s="8"/>
      <c r="M64771" s="8"/>
      <c r="N64771" s="8"/>
      <c r="O64771" s="8"/>
      <c r="P64771" s="8"/>
      <c r="Q64771" s="8"/>
      <c r="R64771" s="103"/>
      <c r="S64771" s="8"/>
      <c r="T64771" s="8"/>
      <c r="U64771" s="8"/>
      <c r="V64771" s="8"/>
      <c r="W64771" s="8"/>
      <c r="X64771" s="8"/>
      <c r="Y64771" s="8"/>
      <c r="Z64771" s="8"/>
      <c r="AA64771" s="8"/>
    </row>
    <row r="64772" spans="1:27" x14ac:dyDescent="0.25">
      <c r="A64772" s="8"/>
      <c r="B64772" s="8"/>
      <c r="C64772" s="99"/>
      <c r="D64772" s="8"/>
      <c r="E64772" s="8"/>
      <c r="F64772" s="8"/>
      <c r="G64772" s="8"/>
      <c r="H64772" s="8"/>
      <c r="I64772" s="102"/>
      <c r="J64772" s="8"/>
      <c r="K64772" s="8"/>
      <c r="L64772" s="8"/>
      <c r="M64772" s="8"/>
      <c r="N64772" s="8"/>
      <c r="O64772" s="8"/>
      <c r="P64772" s="8"/>
      <c r="Q64772" s="8"/>
      <c r="R64772" s="103"/>
      <c r="S64772" s="8"/>
      <c r="T64772" s="8"/>
      <c r="U64772" s="8"/>
      <c r="V64772" s="8"/>
      <c r="W64772" s="8"/>
      <c r="X64772" s="8"/>
      <c r="Y64772" s="8"/>
      <c r="Z64772" s="8"/>
      <c r="AA64772" s="8"/>
    </row>
    <row r="64773" spans="1:27" x14ac:dyDescent="0.25">
      <c r="A64773" s="8"/>
      <c r="B64773" s="8"/>
      <c r="C64773" s="99"/>
      <c r="D64773" s="8"/>
      <c r="E64773" s="8"/>
      <c r="F64773" s="8"/>
      <c r="G64773" s="8"/>
      <c r="H64773" s="8"/>
      <c r="I64773" s="102"/>
      <c r="J64773" s="8"/>
      <c r="K64773" s="8"/>
      <c r="L64773" s="8"/>
      <c r="M64773" s="8"/>
      <c r="N64773" s="8"/>
      <c r="O64773" s="8"/>
      <c r="P64773" s="8"/>
      <c r="Q64773" s="8"/>
      <c r="R64773" s="103"/>
      <c r="S64773" s="8"/>
      <c r="T64773" s="8"/>
      <c r="U64773" s="8"/>
      <c r="V64773" s="8"/>
      <c r="W64773" s="8"/>
      <c r="X64773" s="8"/>
      <c r="Y64773" s="8"/>
      <c r="Z64773" s="8"/>
      <c r="AA64773" s="8"/>
    </row>
    <row r="64774" spans="1:27" x14ac:dyDescent="0.25">
      <c r="A64774" s="8"/>
      <c r="B64774" s="8"/>
      <c r="C64774" s="99"/>
      <c r="D64774" s="8"/>
      <c r="E64774" s="8"/>
      <c r="F64774" s="8"/>
      <c r="G64774" s="8"/>
      <c r="H64774" s="8"/>
      <c r="I64774" s="102"/>
      <c r="J64774" s="8"/>
      <c r="K64774" s="8"/>
      <c r="L64774" s="8"/>
      <c r="M64774" s="8"/>
      <c r="N64774" s="8"/>
      <c r="O64774" s="8"/>
      <c r="P64774" s="8"/>
      <c r="Q64774" s="8"/>
      <c r="R64774" s="103"/>
      <c r="S64774" s="8"/>
      <c r="T64774" s="8"/>
      <c r="U64774" s="8"/>
      <c r="V64774" s="8"/>
      <c r="W64774" s="8"/>
      <c r="X64774" s="8"/>
      <c r="Y64774" s="8"/>
      <c r="Z64774" s="8"/>
      <c r="AA64774" s="8"/>
    </row>
    <row r="64775" spans="1:27" x14ac:dyDescent="0.25">
      <c r="A64775" s="8"/>
      <c r="B64775" s="8"/>
      <c r="C64775" s="99"/>
      <c r="D64775" s="8"/>
      <c r="E64775" s="8"/>
      <c r="F64775" s="8"/>
      <c r="G64775" s="8"/>
      <c r="H64775" s="8"/>
      <c r="I64775" s="102"/>
      <c r="J64775" s="8"/>
      <c r="K64775" s="8"/>
      <c r="L64775" s="8"/>
      <c r="M64775" s="8"/>
      <c r="N64775" s="8"/>
      <c r="O64775" s="8"/>
      <c r="P64775" s="8"/>
      <c r="Q64775" s="8"/>
      <c r="R64775" s="103"/>
      <c r="S64775" s="8"/>
      <c r="T64775" s="8"/>
      <c r="U64775" s="8"/>
      <c r="V64775" s="8"/>
      <c r="W64775" s="8"/>
      <c r="X64775" s="8"/>
      <c r="Y64775" s="8"/>
      <c r="Z64775" s="8"/>
      <c r="AA64775" s="8"/>
    </row>
    <row r="64776" spans="1:27" x14ac:dyDescent="0.25">
      <c r="A64776" s="8"/>
      <c r="B64776" s="8"/>
      <c r="C64776" s="99"/>
      <c r="D64776" s="8"/>
      <c r="E64776" s="8"/>
      <c r="F64776" s="8"/>
      <c r="G64776" s="8"/>
      <c r="H64776" s="8"/>
      <c r="I64776" s="102"/>
      <c r="J64776" s="8"/>
      <c r="K64776" s="8"/>
      <c r="L64776" s="8"/>
      <c r="M64776" s="8"/>
      <c r="N64776" s="8"/>
      <c r="O64776" s="8"/>
      <c r="P64776" s="8"/>
      <c r="Q64776" s="8"/>
      <c r="R64776" s="103"/>
      <c r="S64776" s="8"/>
      <c r="T64776" s="8"/>
      <c r="U64776" s="8"/>
      <c r="V64776" s="8"/>
      <c r="W64776" s="8"/>
      <c r="X64776" s="8"/>
      <c r="Y64776" s="8"/>
      <c r="Z64776" s="8"/>
      <c r="AA64776" s="8"/>
    </row>
    <row r="64777" spans="1:27" x14ac:dyDescent="0.25">
      <c r="A64777" s="8"/>
      <c r="B64777" s="8"/>
      <c r="C64777" s="99"/>
      <c r="D64777" s="8"/>
      <c r="E64777" s="8"/>
      <c r="F64777" s="8"/>
      <c r="G64777" s="8"/>
      <c r="H64777" s="8"/>
      <c r="I64777" s="102"/>
      <c r="J64777" s="8"/>
      <c r="K64777" s="8"/>
      <c r="L64777" s="8"/>
      <c r="M64777" s="8"/>
      <c r="N64777" s="8"/>
      <c r="O64777" s="8"/>
      <c r="P64777" s="8"/>
      <c r="Q64777" s="8"/>
      <c r="R64777" s="103"/>
      <c r="S64777" s="8"/>
      <c r="T64777" s="8"/>
      <c r="U64777" s="8"/>
      <c r="V64777" s="8"/>
      <c r="W64777" s="8"/>
      <c r="X64777" s="8"/>
      <c r="Y64777" s="8"/>
      <c r="Z64777" s="8"/>
      <c r="AA64777" s="8"/>
    </row>
    <row r="64778" spans="1:27" x14ac:dyDescent="0.25">
      <c r="A64778" s="8"/>
      <c r="B64778" s="8"/>
      <c r="C64778" s="99"/>
      <c r="D64778" s="8"/>
      <c r="E64778" s="8"/>
      <c r="F64778" s="8"/>
      <c r="G64778" s="8"/>
      <c r="H64778" s="8"/>
      <c r="I64778" s="102"/>
      <c r="J64778" s="8"/>
      <c r="K64778" s="8"/>
      <c r="L64778" s="8"/>
      <c r="M64778" s="8"/>
      <c r="N64778" s="8"/>
      <c r="O64778" s="8"/>
      <c r="P64778" s="8"/>
      <c r="Q64778" s="8"/>
      <c r="R64778" s="103"/>
      <c r="S64778" s="8"/>
      <c r="T64778" s="8"/>
      <c r="U64778" s="8"/>
      <c r="V64778" s="8"/>
      <c r="W64778" s="8"/>
      <c r="X64778" s="8"/>
      <c r="Y64778" s="8"/>
      <c r="Z64778" s="8"/>
      <c r="AA64778" s="8"/>
    </row>
    <row r="64779" spans="1:27" x14ac:dyDescent="0.25">
      <c r="A64779" s="8"/>
      <c r="B64779" s="8"/>
      <c r="C64779" s="99"/>
      <c r="D64779" s="8"/>
      <c r="E64779" s="8"/>
      <c r="F64779" s="8"/>
      <c r="G64779" s="8"/>
      <c r="H64779" s="8"/>
      <c r="I64779" s="102"/>
      <c r="J64779" s="8"/>
      <c r="K64779" s="8"/>
      <c r="L64779" s="8"/>
      <c r="M64779" s="8"/>
      <c r="N64779" s="8"/>
      <c r="O64779" s="8"/>
      <c r="P64779" s="8"/>
      <c r="Q64779" s="8"/>
      <c r="R64779" s="103"/>
      <c r="S64779" s="8"/>
      <c r="T64779" s="8"/>
      <c r="U64779" s="8"/>
      <c r="V64779" s="8"/>
      <c r="W64779" s="8"/>
      <c r="X64779" s="8"/>
      <c r="Y64779" s="8"/>
      <c r="Z64779" s="8"/>
      <c r="AA64779" s="8"/>
    </row>
    <row r="64780" spans="1:27" x14ac:dyDescent="0.25">
      <c r="A64780" s="8"/>
      <c r="B64780" s="8"/>
      <c r="C64780" s="99"/>
      <c r="D64780" s="8"/>
      <c r="E64780" s="8"/>
      <c r="F64780" s="8"/>
      <c r="G64780" s="8"/>
      <c r="H64780" s="8"/>
      <c r="I64780" s="102"/>
      <c r="J64780" s="8"/>
      <c r="K64780" s="8"/>
      <c r="L64780" s="8"/>
      <c r="M64780" s="8"/>
      <c r="N64780" s="8"/>
      <c r="O64780" s="8"/>
      <c r="P64780" s="8"/>
      <c r="Q64780" s="8"/>
      <c r="R64780" s="103"/>
      <c r="S64780" s="8"/>
      <c r="T64780" s="8"/>
      <c r="U64780" s="8"/>
      <c r="V64780" s="8"/>
      <c r="W64780" s="8"/>
      <c r="X64780" s="8"/>
      <c r="Y64780" s="8"/>
      <c r="Z64780" s="8"/>
      <c r="AA64780" s="8"/>
    </row>
    <row r="64781" spans="1:27" x14ac:dyDescent="0.25">
      <c r="A64781" s="8"/>
      <c r="B64781" s="8"/>
      <c r="C64781" s="99"/>
      <c r="D64781" s="8"/>
      <c r="E64781" s="8"/>
      <c r="F64781" s="8"/>
      <c r="G64781" s="8"/>
      <c r="H64781" s="8"/>
      <c r="I64781" s="102"/>
      <c r="J64781" s="8"/>
      <c r="K64781" s="8"/>
      <c r="L64781" s="8"/>
      <c r="M64781" s="8"/>
      <c r="N64781" s="8"/>
      <c r="O64781" s="8"/>
      <c r="P64781" s="8"/>
      <c r="Q64781" s="8"/>
      <c r="R64781" s="103"/>
      <c r="S64781" s="8"/>
      <c r="T64781" s="8"/>
      <c r="U64781" s="8"/>
      <c r="V64781" s="8"/>
      <c r="W64781" s="8"/>
      <c r="X64781" s="8"/>
      <c r="Y64781" s="8"/>
      <c r="Z64781" s="8"/>
      <c r="AA64781" s="8"/>
    </row>
    <row r="64782" spans="1:27" x14ac:dyDescent="0.25">
      <c r="A64782" s="8"/>
      <c r="B64782" s="8"/>
      <c r="C64782" s="99"/>
      <c r="D64782" s="8"/>
      <c r="E64782" s="8"/>
      <c r="F64782" s="8"/>
      <c r="G64782" s="8"/>
      <c r="H64782" s="8"/>
      <c r="I64782" s="102"/>
      <c r="J64782" s="8"/>
      <c r="K64782" s="8"/>
      <c r="L64782" s="8"/>
      <c r="M64782" s="8"/>
      <c r="N64782" s="8"/>
      <c r="O64782" s="8"/>
      <c r="P64782" s="8"/>
      <c r="Q64782" s="8"/>
      <c r="R64782" s="103"/>
      <c r="S64782" s="8"/>
      <c r="T64782" s="8"/>
      <c r="U64782" s="8"/>
      <c r="V64782" s="8"/>
      <c r="W64782" s="8"/>
      <c r="X64782" s="8"/>
      <c r="Y64782" s="8"/>
      <c r="Z64782" s="8"/>
      <c r="AA64782" s="8"/>
    </row>
    <row r="64783" spans="1:27" x14ac:dyDescent="0.25">
      <c r="A64783" s="8"/>
      <c r="B64783" s="8"/>
      <c r="C64783" s="99"/>
      <c r="D64783" s="8"/>
      <c r="E64783" s="8"/>
      <c r="F64783" s="8"/>
      <c r="G64783" s="8"/>
      <c r="H64783" s="8"/>
      <c r="I64783" s="102"/>
      <c r="J64783" s="8"/>
      <c r="K64783" s="8"/>
      <c r="L64783" s="8"/>
      <c r="M64783" s="8"/>
      <c r="N64783" s="8"/>
      <c r="O64783" s="8"/>
      <c r="P64783" s="8"/>
      <c r="Q64783" s="8"/>
      <c r="R64783" s="103"/>
      <c r="S64783" s="8"/>
      <c r="T64783" s="8"/>
      <c r="U64783" s="8"/>
      <c r="V64783" s="8"/>
      <c r="W64783" s="8"/>
      <c r="X64783" s="8"/>
      <c r="Y64783" s="8"/>
      <c r="Z64783" s="8"/>
      <c r="AA64783" s="8"/>
    </row>
    <row r="64784" spans="1:27" x14ac:dyDescent="0.25">
      <c r="A64784" s="8"/>
      <c r="B64784" s="8"/>
      <c r="C64784" s="99"/>
      <c r="D64784" s="8"/>
      <c r="E64784" s="8"/>
      <c r="F64784" s="8"/>
      <c r="G64784" s="8"/>
      <c r="H64784" s="8"/>
      <c r="I64784" s="102"/>
      <c r="J64784" s="8"/>
      <c r="K64784" s="8"/>
      <c r="L64784" s="8"/>
      <c r="M64784" s="8"/>
      <c r="N64784" s="8"/>
      <c r="O64784" s="8"/>
      <c r="P64784" s="8"/>
      <c r="Q64784" s="8"/>
      <c r="R64784" s="103"/>
      <c r="S64784" s="8"/>
      <c r="T64784" s="8"/>
      <c r="U64784" s="8"/>
      <c r="V64784" s="8"/>
      <c r="W64784" s="8"/>
      <c r="X64784" s="8"/>
      <c r="Y64784" s="8"/>
      <c r="Z64784" s="8"/>
      <c r="AA64784" s="8"/>
    </row>
    <row r="64785" spans="1:27" x14ac:dyDescent="0.25">
      <c r="A64785" s="8"/>
      <c r="B64785" s="8"/>
      <c r="C64785" s="99"/>
      <c r="D64785" s="8"/>
      <c r="E64785" s="8"/>
      <c r="F64785" s="8"/>
      <c r="G64785" s="8"/>
      <c r="H64785" s="8"/>
      <c r="I64785" s="102"/>
      <c r="J64785" s="8"/>
      <c r="K64785" s="8"/>
      <c r="L64785" s="8"/>
      <c r="M64785" s="8"/>
      <c r="N64785" s="8"/>
      <c r="O64785" s="8"/>
      <c r="P64785" s="8"/>
      <c r="Q64785" s="8"/>
      <c r="R64785" s="103"/>
      <c r="S64785" s="8"/>
      <c r="T64785" s="8"/>
      <c r="U64785" s="8"/>
      <c r="V64785" s="8"/>
      <c r="W64785" s="8"/>
      <c r="X64785" s="8"/>
      <c r="Y64785" s="8"/>
      <c r="Z64785" s="8"/>
      <c r="AA64785" s="8"/>
    </row>
    <row r="64786" spans="1:27" x14ac:dyDescent="0.25">
      <c r="A64786" s="8"/>
      <c r="B64786" s="8"/>
      <c r="C64786" s="99"/>
      <c r="D64786" s="8"/>
      <c r="E64786" s="8"/>
      <c r="F64786" s="8"/>
      <c r="G64786" s="8"/>
      <c r="H64786" s="8"/>
      <c r="I64786" s="102"/>
      <c r="J64786" s="8"/>
      <c r="K64786" s="8"/>
      <c r="L64786" s="8"/>
      <c r="M64786" s="8"/>
      <c r="N64786" s="8"/>
      <c r="O64786" s="8"/>
      <c r="P64786" s="8"/>
      <c r="Q64786" s="8"/>
      <c r="R64786" s="103"/>
      <c r="S64786" s="8"/>
      <c r="T64786" s="8"/>
      <c r="U64786" s="8"/>
      <c r="V64786" s="8"/>
      <c r="W64786" s="8"/>
      <c r="X64786" s="8"/>
      <c r="Y64786" s="8"/>
      <c r="Z64786" s="8"/>
      <c r="AA64786" s="8"/>
    </row>
    <row r="64787" spans="1:27" x14ac:dyDescent="0.25">
      <c r="A64787" s="8"/>
      <c r="B64787" s="8"/>
      <c r="C64787" s="99"/>
      <c r="D64787" s="8"/>
      <c r="E64787" s="8"/>
      <c r="F64787" s="8"/>
      <c r="G64787" s="8"/>
      <c r="H64787" s="8"/>
      <c r="I64787" s="102"/>
      <c r="J64787" s="8"/>
      <c r="K64787" s="8"/>
      <c r="L64787" s="8"/>
      <c r="M64787" s="8"/>
      <c r="N64787" s="8"/>
      <c r="O64787" s="8"/>
      <c r="P64787" s="8"/>
      <c r="Q64787" s="8"/>
      <c r="R64787" s="103"/>
      <c r="S64787" s="8"/>
      <c r="T64787" s="8"/>
      <c r="U64787" s="8"/>
      <c r="V64787" s="8"/>
      <c r="W64787" s="8"/>
      <c r="X64787" s="8"/>
      <c r="Y64787" s="8"/>
      <c r="Z64787" s="8"/>
      <c r="AA64787" s="8"/>
    </row>
    <row r="64788" spans="1:27" x14ac:dyDescent="0.25">
      <c r="A64788" s="8"/>
      <c r="B64788" s="8"/>
      <c r="C64788" s="99"/>
      <c r="D64788" s="8"/>
      <c r="E64788" s="8"/>
      <c r="F64788" s="8"/>
      <c r="G64788" s="8"/>
      <c r="H64788" s="8"/>
      <c r="I64788" s="102"/>
      <c r="J64788" s="8"/>
      <c r="K64788" s="8"/>
      <c r="L64788" s="8"/>
      <c r="M64788" s="8"/>
      <c r="N64788" s="8"/>
      <c r="O64788" s="8"/>
      <c r="P64788" s="8"/>
      <c r="Q64788" s="8"/>
      <c r="R64788" s="103"/>
      <c r="S64788" s="8"/>
      <c r="T64788" s="8"/>
      <c r="U64788" s="8"/>
      <c r="V64788" s="8"/>
      <c r="W64788" s="8"/>
      <c r="X64788" s="8"/>
      <c r="Y64788" s="8"/>
      <c r="Z64788" s="8"/>
      <c r="AA64788" s="8"/>
    </row>
    <row r="64789" spans="1:27" x14ac:dyDescent="0.25">
      <c r="A64789" s="8"/>
      <c r="B64789" s="8"/>
      <c r="C64789" s="99"/>
      <c r="D64789" s="8"/>
      <c r="E64789" s="8"/>
      <c r="F64789" s="8"/>
      <c r="G64789" s="8"/>
      <c r="H64789" s="8"/>
      <c r="I64789" s="102"/>
      <c r="J64789" s="8"/>
      <c r="K64789" s="8"/>
      <c r="L64789" s="8"/>
      <c r="M64789" s="8"/>
      <c r="N64789" s="8"/>
      <c r="O64789" s="8"/>
      <c r="P64789" s="8"/>
      <c r="Q64789" s="8"/>
      <c r="R64789" s="103"/>
      <c r="S64789" s="8"/>
      <c r="T64789" s="8"/>
      <c r="U64789" s="8"/>
      <c r="V64789" s="8"/>
      <c r="W64789" s="8"/>
      <c r="X64789" s="8"/>
      <c r="Y64789" s="8"/>
      <c r="Z64789" s="8"/>
      <c r="AA64789" s="8"/>
    </row>
    <row r="64790" spans="1:27" x14ac:dyDescent="0.25">
      <c r="A64790" s="8"/>
      <c r="B64790" s="8"/>
      <c r="C64790" s="99"/>
      <c r="D64790" s="8"/>
      <c r="E64790" s="8"/>
      <c r="F64790" s="8"/>
      <c r="G64790" s="8"/>
      <c r="H64790" s="8"/>
      <c r="I64790" s="102"/>
      <c r="J64790" s="8"/>
      <c r="K64790" s="8"/>
      <c r="L64790" s="8"/>
      <c r="M64790" s="8"/>
      <c r="N64790" s="8"/>
      <c r="O64790" s="8"/>
      <c r="P64790" s="8"/>
      <c r="Q64790" s="8"/>
      <c r="R64790" s="103"/>
      <c r="S64790" s="8"/>
      <c r="T64790" s="8"/>
      <c r="U64790" s="8"/>
      <c r="V64790" s="8"/>
      <c r="W64790" s="8"/>
      <c r="X64790" s="8"/>
      <c r="Y64790" s="8"/>
      <c r="Z64790" s="8"/>
      <c r="AA64790" s="8"/>
    </row>
    <row r="64791" spans="1:27" x14ac:dyDescent="0.25">
      <c r="A64791" s="8"/>
      <c r="B64791" s="8"/>
      <c r="C64791" s="99"/>
      <c r="D64791" s="8"/>
      <c r="E64791" s="8"/>
      <c r="F64791" s="8"/>
      <c r="G64791" s="8"/>
      <c r="H64791" s="8"/>
      <c r="I64791" s="102"/>
      <c r="J64791" s="8"/>
      <c r="K64791" s="8"/>
      <c r="L64791" s="8"/>
      <c r="M64791" s="8"/>
      <c r="N64791" s="8"/>
      <c r="O64791" s="8"/>
      <c r="P64791" s="8"/>
      <c r="Q64791" s="8"/>
      <c r="R64791" s="103"/>
      <c r="S64791" s="8"/>
      <c r="T64791" s="8"/>
      <c r="U64791" s="8"/>
      <c r="V64791" s="8"/>
      <c r="W64791" s="8"/>
      <c r="X64791" s="8"/>
      <c r="Y64791" s="8"/>
      <c r="Z64791" s="8"/>
      <c r="AA64791" s="8"/>
    </row>
    <row r="64792" spans="1:27" x14ac:dyDescent="0.25">
      <c r="A64792" s="8"/>
      <c r="B64792" s="8"/>
      <c r="C64792" s="99"/>
      <c r="D64792" s="8"/>
      <c r="E64792" s="8"/>
      <c r="F64792" s="8"/>
      <c r="G64792" s="8"/>
      <c r="H64792" s="8"/>
      <c r="I64792" s="102"/>
      <c r="J64792" s="8"/>
      <c r="K64792" s="8"/>
      <c r="L64792" s="8"/>
      <c r="M64792" s="8"/>
      <c r="N64792" s="8"/>
      <c r="O64792" s="8"/>
      <c r="P64792" s="8"/>
      <c r="Q64792" s="8"/>
      <c r="R64792" s="103"/>
      <c r="S64792" s="8"/>
      <c r="T64792" s="8"/>
      <c r="U64792" s="8"/>
      <c r="V64792" s="8"/>
      <c r="W64792" s="8"/>
      <c r="X64792" s="8"/>
      <c r="Y64792" s="8"/>
      <c r="Z64792" s="8"/>
      <c r="AA64792" s="8"/>
    </row>
    <row r="64793" spans="1:27" x14ac:dyDescent="0.25">
      <c r="A64793" s="8"/>
      <c r="B64793" s="8"/>
      <c r="C64793" s="99"/>
      <c r="D64793" s="8"/>
      <c r="E64793" s="8"/>
      <c r="F64793" s="8"/>
      <c r="G64793" s="8"/>
      <c r="H64793" s="8"/>
      <c r="I64793" s="102"/>
      <c r="J64793" s="8"/>
      <c r="K64793" s="8"/>
      <c r="L64793" s="8"/>
      <c r="M64793" s="8"/>
      <c r="N64793" s="8"/>
      <c r="O64793" s="8"/>
      <c r="P64793" s="8"/>
      <c r="Q64793" s="8"/>
      <c r="R64793" s="103"/>
      <c r="S64793" s="8"/>
      <c r="T64793" s="8"/>
      <c r="U64793" s="8"/>
      <c r="V64793" s="8"/>
      <c r="W64793" s="8"/>
      <c r="X64793" s="8"/>
      <c r="Y64793" s="8"/>
      <c r="Z64793" s="8"/>
      <c r="AA64793" s="8"/>
    </row>
    <row r="64794" spans="1:27" x14ac:dyDescent="0.25">
      <c r="A64794" s="8"/>
      <c r="B64794" s="8"/>
      <c r="C64794" s="99"/>
      <c r="D64794" s="8"/>
      <c r="E64794" s="8"/>
      <c r="F64794" s="8"/>
      <c r="G64794" s="8"/>
      <c r="H64794" s="8"/>
      <c r="I64794" s="102"/>
      <c r="J64794" s="8"/>
      <c r="K64794" s="8"/>
      <c r="L64794" s="8"/>
      <c r="M64794" s="8"/>
      <c r="N64794" s="8"/>
      <c r="O64794" s="8"/>
      <c r="P64794" s="8"/>
      <c r="Q64794" s="8"/>
      <c r="R64794" s="103"/>
      <c r="S64794" s="8"/>
      <c r="T64794" s="8"/>
      <c r="U64794" s="8"/>
      <c r="V64794" s="8"/>
      <c r="W64794" s="8"/>
      <c r="X64794" s="8"/>
      <c r="Y64794" s="8"/>
      <c r="Z64794" s="8"/>
      <c r="AA64794" s="8"/>
    </row>
    <row r="64795" spans="1:27" x14ac:dyDescent="0.25">
      <c r="A64795" s="8"/>
      <c r="B64795" s="8"/>
      <c r="C64795" s="99"/>
      <c r="D64795" s="8"/>
      <c r="E64795" s="8"/>
      <c r="F64795" s="8"/>
      <c r="G64795" s="8"/>
      <c r="H64795" s="8"/>
      <c r="I64795" s="102"/>
      <c r="J64795" s="8"/>
      <c r="K64795" s="8"/>
      <c r="L64795" s="8"/>
      <c r="M64795" s="8"/>
      <c r="N64795" s="8"/>
      <c r="O64795" s="8"/>
      <c r="P64795" s="8"/>
      <c r="Q64795" s="8"/>
      <c r="R64795" s="103"/>
      <c r="S64795" s="8"/>
      <c r="T64795" s="8"/>
      <c r="U64795" s="8"/>
      <c r="V64795" s="8"/>
      <c r="W64795" s="8"/>
      <c r="X64795" s="8"/>
      <c r="Y64795" s="8"/>
      <c r="Z64795" s="8"/>
      <c r="AA64795" s="8"/>
    </row>
    <row r="64796" spans="1:27" x14ac:dyDescent="0.25">
      <c r="A64796" s="8"/>
      <c r="B64796" s="8"/>
      <c r="C64796" s="99"/>
      <c r="D64796" s="8"/>
      <c r="E64796" s="8"/>
      <c r="F64796" s="8"/>
      <c r="G64796" s="8"/>
      <c r="H64796" s="8"/>
      <c r="I64796" s="102"/>
      <c r="J64796" s="8"/>
      <c r="K64796" s="8"/>
      <c r="L64796" s="8"/>
      <c r="M64796" s="8"/>
      <c r="N64796" s="8"/>
      <c r="O64796" s="8"/>
      <c r="P64796" s="8"/>
      <c r="Q64796" s="8"/>
      <c r="R64796" s="103"/>
      <c r="S64796" s="8"/>
      <c r="T64796" s="8"/>
      <c r="U64796" s="8"/>
      <c r="V64796" s="8"/>
      <c r="W64796" s="8"/>
      <c r="X64796" s="8"/>
      <c r="Y64796" s="8"/>
      <c r="Z64796" s="8"/>
      <c r="AA64796" s="8"/>
    </row>
    <row r="64797" spans="1:27" x14ac:dyDescent="0.25">
      <c r="A64797" s="8"/>
      <c r="B64797" s="8"/>
      <c r="C64797" s="99"/>
      <c r="D64797" s="8"/>
      <c r="E64797" s="8"/>
      <c r="F64797" s="8"/>
      <c r="G64797" s="8"/>
      <c r="H64797" s="8"/>
      <c r="I64797" s="102"/>
      <c r="J64797" s="8"/>
      <c r="K64797" s="8"/>
      <c r="L64797" s="8"/>
      <c r="M64797" s="8"/>
      <c r="N64797" s="8"/>
      <c r="O64797" s="8"/>
      <c r="P64797" s="8"/>
      <c r="Q64797" s="8"/>
      <c r="R64797" s="103"/>
      <c r="S64797" s="8"/>
      <c r="T64797" s="8"/>
      <c r="U64797" s="8"/>
      <c r="V64797" s="8"/>
      <c r="W64797" s="8"/>
      <c r="X64797" s="8"/>
      <c r="Y64797" s="8"/>
      <c r="Z64797" s="8"/>
      <c r="AA64797" s="8"/>
    </row>
    <row r="64798" spans="1:27" x14ac:dyDescent="0.25">
      <c r="A64798" s="8"/>
      <c r="B64798" s="8"/>
      <c r="C64798" s="99"/>
      <c r="D64798" s="8"/>
      <c r="E64798" s="8"/>
      <c r="F64798" s="8"/>
      <c r="G64798" s="8"/>
      <c r="H64798" s="8"/>
      <c r="I64798" s="102"/>
      <c r="J64798" s="8"/>
      <c r="K64798" s="8"/>
      <c r="L64798" s="8"/>
      <c r="M64798" s="8"/>
      <c r="N64798" s="8"/>
      <c r="O64798" s="8"/>
      <c r="P64798" s="8"/>
      <c r="Q64798" s="8"/>
      <c r="R64798" s="103"/>
      <c r="S64798" s="8"/>
      <c r="T64798" s="8"/>
      <c r="U64798" s="8"/>
      <c r="V64798" s="8"/>
      <c r="W64798" s="8"/>
      <c r="X64798" s="8"/>
      <c r="Y64798" s="8"/>
      <c r="Z64798" s="8"/>
      <c r="AA64798" s="8"/>
    </row>
    <row r="64799" spans="1:27" x14ac:dyDescent="0.25">
      <c r="A64799" s="8"/>
      <c r="B64799" s="8"/>
      <c r="C64799" s="99"/>
      <c r="D64799" s="8"/>
      <c r="E64799" s="8"/>
      <c r="F64799" s="8"/>
      <c r="G64799" s="8"/>
      <c r="H64799" s="8"/>
      <c r="I64799" s="102"/>
      <c r="J64799" s="8"/>
      <c r="K64799" s="8"/>
      <c r="L64799" s="8"/>
      <c r="M64799" s="8"/>
      <c r="N64799" s="8"/>
      <c r="O64799" s="8"/>
      <c r="P64799" s="8"/>
      <c r="Q64799" s="8"/>
      <c r="R64799" s="103"/>
      <c r="S64799" s="8"/>
      <c r="T64799" s="8"/>
      <c r="U64799" s="8"/>
      <c r="V64799" s="8"/>
      <c r="W64799" s="8"/>
      <c r="X64799" s="8"/>
      <c r="Y64799" s="8"/>
      <c r="Z64799" s="8"/>
      <c r="AA64799" s="8"/>
    </row>
    <row r="64800" spans="1:27" x14ac:dyDescent="0.25">
      <c r="A64800" s="8"/>
      <c r="B64800" s="8"/>
      <c r="C64800" s="99"/>
      <c r="D64800" s="8"/>
      <c r="E64800" s="8"/>
      <c r="F64800" s="8"/>
      <c r="G64800" s="8"/>
      <c r="H64800" s="8"/>
      <c r="I64800" s="102"/>
      <c r="J64800" s="8"/>
      <c r="K64800" s="8"/>
      <c r="L64800" s="8"/>
      <c r="M64800" s="8"/>
      <c r="N64800" s="8"/>
      <c r="O64800" s="8"/>
      <c r="P64800" s="8"/>
      <c r="Q64800" s="8"/>
      <c r="R64800" s="103"/>
      <c r="S64800" s="8"/>
      <c r="T64800" s="8"/>
      <c r="U64800" s="8"/>
      <c r="V64800" s="8"/>
      <c r="W64800" s="8"/>
      <c r="X64800" s="8"/>
      <c r="Y64800" s="8"/>
      <c r="Z64800" s="8"/>
      <c r="AA64800" s="8"/>
    </row>
    <row r="64801" spans="1:27" x14ac:dyDescent="0.25">
      <c r="A64801" s="8"/>
      <c r="B64801" s="8"/>
      <c r="C64801" s="99"/>
      <c r="D64801" s="8"/>
      <c r="E64801" s="8"/>
      <c r="F64801" s="8"/>
      <c r="G64801" s="8"/>
      <c r="H64801" s="8"/>
      <c r="I64801" s="102"/>
      <c r="J64801" s="8"/>
      <c r="K64801" s="8"/>
      <c r="L64801" s="8"/>
      <c r="M64801" s="8"/>
      <c r="N64801" s="8"/>
      <c r="O64801" s="8"/>
      <c r="P64801" s="8"/>
      <c r="Q64801" s="8"/>
      <c r="R64801" s="103"/>
      <c r="S64801" s="8"/>
      <c r="T64801" s="8"/>
      <c r="U64801" s="8"/>
      <c r="V64801" s="8"/>
      <c r="W64801" s="8"/>
      <c r="X64801" s="8"/>
      <c r="Y64801" s="8"/>
      <c r="Z64801" s="8"/>
      <c r="AA64801" s="8"/>
    </row>
    <row r="64802" spans="1:27" x14ac:dyDescent="0.25">
      <c r="A64802" s="8"/>
      <c r="B64802" s="8"/>
      <c r="C64802" s="99"/>
      <c r="D64802" s="8"/>
      <c r="E64802" s="8"/>
      <c r="F64802" s="8"/>
      <c r="G64802" s="8"/>
      <c r="H64802" s="8"/>
      <c r="I64802" s="102"/>
      <c r="J64802" s="8"/>
      <c r="K64802" s="8"/>
      <c r="L64802" s="8"/>
      <c r="M64802" s="8"/>
      <c r="N64802" s="8"/>
      <c r="O64802" s="8"/>
      <c r="P64802" s="8"/>
      <c r="Q64802" s="8"/>
      <c r="R64802" s="103"/>
      <c r="S64802" s="8"/>
      <c r="T64802" s="8"/>
      <c r="U64802" s="8"/>
      <c r="V64802" s="8"/>
      <c r="W64802" s="8"/>
      <c r="X64802" s="8"/>
      <c r="Y64802" s="8"/>
      <c r="Z64802" s="8"/>
      <c r="AA64802" s="8"/>
    </row>
    <row r="64803" spans="1:27" x14ac:dyDescent="0.25">
      <c r="A64803" s="8"/>
      <c r="B64803" s="8"/>
      <c r="C64803" s="99"/>
      <c r="D64803" s="8"/>
      <c r="E64803" s="8"/>
      <c r="F64803" s="8"/>
      <c r="G64803" s="8"/>
      <c r="H64803" s="8"/>
      <c r="I64803" s="102"/>
      <c r="J64803" s="8"/>
      <c r="K64803" s="8"/>
      <c r="L64803" s="8"/>
      <c r="M64803" s="8"/>
      <c r="N64803" s="8"/>
      <c r="O64803" s="8"/>
      <c r="P64803" s="8"/>
      <c r="Q64803" s="8"/>
      <c r="R64803" s="103"/>
      <c r="S64803" s="8"/>
      <c r="T64803" s="8"/>
      <c r="U64803" s="8"/>
      <c r="V64803" s="8"/>
      <c r="W64803" s="8"/>
      <c r="X64803" s="8"/>
      <c r="Y64803" s="8"/>
      <c r="Z64803" s="8"/>
      <c r="AA64803" s="8"/>
    </row>
    <row r="64804" spans="1:27" x14ac:dyDescent="0.25">
      <c r="A64804" s="8"/>
      <c r="B64804" s="8"/>
      <c r="C64804" s="99"/>
      <c r="D64804" s="8"/>
      <c r="E64804" s="8"/>
      <c r="F64804" s="8"/>
      <c r="G64804" s="8"/>
      <c r="H64804" s="8"/>
      <c r="I64804" s="102"/>
      <c r="J64804" s="8"/>
      <c r="K64804" s="8"/>
      <c r="L64804" s="8"/>
      <c r="M64804" s="8"/>
      <c r="N64804" s="8"/>
      <c r="O64804" s="8"/>
      <c r="P64804" s="8"/>
      <c r="Q64804" s="8"/>
      <c r="R64804" s="103"/>
      <c r="S64804" s="8"/>
      <c r="T64804" s="8"/>
      <c r="U64804" s="8"/>
      <c r="V64804" s="8"/>
      <c r="W64804" s="8"/>
      <c r="X64804" s="8"/>
      <c r="Y64804" s="8"/>
      <c r="Z64804" s="8"/>
      <c r="AA64804" s="8"/>
    </row>
    <row r="64805" spans="1:27" x14ac:dyDescent="0.25">
      <c r="A64805" s="8"/>
      <c r="B64805" s="8"/>
      <c r="C64805" s="99"/>
      <c r="D64805" s="8"/>
      <c r="E64805" s="8"/>
      <c r="F64805" s="8"/>
      <c r="G64805" s="8"/>
      <c r="H64805" s="8"/>
      <c r="I64805" s="102"/>
      <c r="J64805" s="8"/>
      <c r="K64805" s="8"/>
      <c r="L64805" s="8"/>
      <c r="M64805" s="8"/>
      <c r="N64805" s="8"/>
      <c r="O64805" s="8"/>
      <c r="P64805" s="8"/>
      <c r="Q64805" s="8"/>
      <c r="R64805" s="103"/>
      <c r="S64805" s="8"/>
      <c r="T64805" s="8"/>
      <c r="U64805" s="8"/>
      <c r="V64805" s="8"/>
      <c r="W64805" s="8"/>
      <c r="X64805" s="8"/>
      <c r="Y64805" s="8"/>
      <c r="Z64805" s="8"/>
      <c r="AA64805" s="8"/>
    </row>
    <row r="64806" spans="1:27" x14ac:dyDescent="0.25">
      <c r="A64806" s="8"/>
      <c r="B64806" s="8"/>
      <c r="C64806" s="99"/>
      <c r="D64806" s="8"/>
      <c r="E64806" s="8"/>
      <c r="F64806" s="8"/>
      <c r="G64806" s="8"/>
      <c r="H64806" s="8"/>
      <c r="I64806" s="102"/>
      <c r="J64806" s="8"/>
      <c r="K64806" s="8"/>
      <c r="L64806" s="8"/>
      <c r="M64806" s="8"/>
      <c r="N64806" s="8"/>
      <c r="O64806" s="8"/>
      <c r="P64806" s="8"/>
      <c r="Q64806" s="8"/>
      <c r="R64806" s="103"/>
      <c r="S64806" s="8"/>
      <c r="T64806" s="8"/>
      <c r="U64806" s="8"/>
      <c r="V64806" s="8"/>
      <c r="W64806" s="8"/>
      <c r="X64806" s="8"/>
      <c r="Y64806" s="8"/>
      <c r="Z64806" s="8"/>
      <c r="AA64806" s="8"/>
    </row>
    <row r="64807" spans="1:27" x14ac:dyDescent="0.25">
      <c r="A64807" s="8"/>
      <c r="B64807" s="8"/>
      <c r="C64807" s="99"/>
      <c r="D64807" s="8"/>
      <c r="E64807" s="8"/>
      <c r="F64807" s="8"/>
      <c r="G64807" s="8"/>
      <c r="H64807" s="8"/>
      <c r="I64807" s="102"/>
      <c r="J64807" s="8"/>
      <c r="K64807" s="8"/>
      <c r="L64807" s="8"/>
      <c r="M64807" s="8"/>
      <c r="N64807" s="8"/>
      <c r="O64807" s="8"/>
      <c r="P64807" s="8"/>
      <c r="Q64807" s="8"/>
      <c r="R64807" s="103"/>
      <c r="S64807" s="8"/>
      <c r="T64807" s="8"/>
      <c r="U64807" s="8"/>
      <c r="V64807" s="8"/>
      <c r="W64807" s="8"/>
      <c r="X64807" s="8"/>
      <c r="Y64807" s="8"/>
      <c r="Z64807" s="8"/>
      <c r="AA64807" s="8"/>
    </row>
    <row r="64808" spans="1:27" x14ac:dyDescent="0.25">
      <c r="A64808" s="8"/>
      <c r="B64808" s="8"/>
      <c r="C64808" s="99"/>
      <c r="D64808" s="8"/>
      <c r="E64808" s="8"/>
      <c r="F64808" s="8"/>
      <c r="G64808" s="8"/>
      <c r="H64808" s="8"/>
      <c r="I64808" s="102"/>
      <c r="J64808" s="8"/>
      <c r="K64808" s="8"/>
      <c r="L64808" s="8"/>
      <c r="M64808" s="8"/>
      <c r="N64808" s="8"/>
      <c r="O64808" s="8"/>
      <c r="P64808" s="8"/>
      <c r="Q64808" s="8"/>
      <c r="R64808" s="103"/>
      <c r="S64808" s="8"/>
      <c r="T64808" s="8"/>
      <c r="U64808" s="8"/>
      <c r="V64808" s="8"/>
      <c r="W64808" s="8"/>
      <c r="X64808" s="8"/>
      <c r="Y64808" s="8"/>
      <c r="Z64808" s="8"/>
      <c r="AA64808" s="8"/>
    </row>
    <row r="64809" spans="1:27" x14ac:dyDescent="0.25">
      <c r="A64809" s="8"/>
      <c r="B64809" s="8"/>
      <c r="C64809" s="99"/>
      <c r="D64809" s="8"/>
      <c r="E64809" s="8"/>
      <c r="F64809" s="8"/>
      <c r="G64809" s="8"/>
      <c r="H64809" s="8"/>
      <c r="I64809" s="102"/>
      <c r="J64809" s="8"/>
      <c r="K64809" s="8"/>
      <c r="L64809" s="8"/>
      <c r="M64809" s="8"/>
      <c r="N64809" s="8"/>
      <c r="O64809" s="8"/>
      <c r="P64809" s="8"/>
      <c r="Q64809" s="8"/>
      <c r="R64809" s="103"/>
      <c r="S64809" s="8"/>
      <c r="T64809" s="8"/>
      <c r="U64809" s="8"/>
      <c r="V64809" s="8"/>
      <c r="W64809" s="8"/>
      <c r="X64809" s="8"/>
      <c r="Y64809" s="8"/>
      <c r="Z64809" s="8"/>
      <c r="AA64809" s="8"/>
    </row>
    <row r="64810" spans="1:27" x14ac:dyDescent="0.25">
      <c r="A64810" s="8"/>
      <c r="B64810" s="8"/>
      <c r="C64810" s="99"/>
      <c r="D64810" s="8"/>
      <c r="E64810" s="8"/>
      <c r="F64810" s="8"/>
      <c r="G64810" s="8"/>
      <c r="H64810" s="8"/>
      <c r="I64810" s="102"/>
      <c r="J64810" s="8"/>
      <c r="K64810" s="8"/>
      <c r="L64810" s="8"/>
      <c r="M64810" s="8"/>
      <c r="N64810" s="8"/>
      <c r="O64810" s="8"/>
      <c r="P64810" s="8"/>
      <c r="Q64810" s="8"/>
      <c r="R64810" s="103"/>
      <c r="S64810" s="8"/>
      <c r="T64810" s="8"/>
      <c r="U64810" s="8"/>
      <c r="V64810" s="8"/>
      <c r="W64810" s="8"/>
      <c r="X64810" s="8"/>
      <c r="Y64810" s="8"/>
      <c r="Z64810" s="8"/>
      <c r="AA64810" s="8"/>
    </row>
    <row r="64811" spans="1:27" x14ac:dyDescent="0.25">
      <c r="A64811" s="8"/>
      <c r="B64811" s="8"/>
      <c r="C64811" s="99"/>
      <c r="D64811" s="8"/>
      <c r="E64811" s="8"/>
      <c r="F64811" s="8"/>
      <c r="G64811" s="8"/>
      <c r="H64811" s="8"/>
      <c r="I64811" s="102"/>
      <c r="J64811" s="8"/>
      <c r="K64811" s="8"/>
      <c r="L64811" s="8"/>
      <c r="M64811" s="8"/>
      <c r="N64811" s="8"/>
      <c r="O64811" s="8"/>
      <c r="P64811" s="8"/>
      <c r="Q64811" s="8"/>
      <c r="R64811" s="103"/>
      <c r="S64811" s="8"/>
      <c r="T64811" s="8"/>
      <c r="U64811" s="8"/>
      <c r="V64811" s="8"/>
      <c r="W64811" s="8"/>
      <c r="X64811" s="8"/>
      <c r="Y64811" s="8"/>
      <c r="Z64811" s="8"/>
      <c r="AA64811" s="8"/>
    </row>
    <row r="64812" spans="1:27" x14ac:dyDescent="0.25">
      <c r="A64812" s="8"/>
      <c r="B64812" s="8"/>
      <c r="C64812" s="99"/>
      <c r="D64812" s="8"/>
      <c r="E64812" s="8"/>
      <c r="F64812" s="8"/>
      <c r="G64812" s="8"/>
      <c r="H64812" s="8"/>
      <c r="I64812" s="102"/>
      <c r="J64812" s="8"/>
      <c r="K64812" s="8"/>
      <c r="L64812" s="8"/>
      <c r="M64812" s="8"/>
      <c r="N64812" s="8"/>
      <c r="O64812" s="8"/>
      <c r="P64812" s="8"/>
      <c r="Q64812" s="8"/>
      <c r="R64812" s="103"/>
      <c r="S64812" s="8"/>
      <c r="T64812" s="8"/>
      <c r="U64812" s="8"/>
      <c r="V64812" s="8"/>
      <c r="W64812" s="8"/>
      <c r="X64812" s="8"/>
      <c r="Y64812" s="8"/>
      <c r="Z64812" s="8"/>
      <c r="AA64812" s="8"/>
    </row>
    <row r="64813" spans="1:27" x14ac:dyDescent="0.25">
      <c r="A64813" s="8"/>
      <c r="B64813" s="8"/>
      <c r="C64813" s="99"/>
      <c r="D64813" s="8"/>
      <c r="E64813" s="8"/>
      <c r="F64813" s="8"/>
      <c r="G64813" s="8"/>
      <c r="H64813" s="8"/>
      <c r="I64813" s="102"/>
      <c r="J64813" s="8"/>
      <c r="K64813" s="8"/>
      <c r="L64813" s="8"/>
      <c r="M64813" s="8"/>
      <c r="N64813" s="8"/>
      <c r="O64813" s="8"/>
      <c r="P64813" s="8"/>
      <c r="Q64813" s="8"/>
      <c r="R64813" s="103"/>
      <c r="S64813" s="8"/>
      <c r="T64813" s="8"/>
      <c r="U64813" s="8"/>
      <c r="V64813" s="8"/>
      <c r="W64813" s="8"/>
      <c r="X64813" s="8"/>
      <c r="Y64813" s="8"/>
      <c r="Z64813" s="8"/>
      <c r="AA64813" s="8"/>
    </row>
    <row r="64814" spans="1:27" x14ac:dyDescent="0.25">
      <c r="A64814" s="8"/>
      <c r="B64814" s="8"/>
      <c r="C64814" s="99"/>
      <c r="D64814" s="8"/>
      <c r="E64814" s="8"/>
      <c r="F64814" s="8"/>
      <c r="G64814" s="8"/>
      <c r="H64814" s="8"/>
      <c r="I64814" s="102"/>
      <c r="J64814" s="8"/>
      <c r="K64814" s="8"/>
      <c r="L64814" s="8"/>
      <c r="M64814" s="8"/>
      <c r="N64814" s="8"/>
      <c r="O64814" s="8"/>
      <c r="P64814" s="8"/>
      <c r="Q64814" s="8"/>
      <c r="R64814" s="103"/>
      <c r="S64814" s="8"/>
      <c r="T64814" s="8"/>
      <c r="U64814" s="8"/>
      <c r="V64814" s="8"/>
      <c r="W64814" s="8"/>
      <c r="X64814" s="8"/>
      <c r="Y64814" s="8"/>
      <c r="Z64814" s="8"/>
      <c r="AA64814" s="8"/>
    </row>
    <row r="64815" spans="1:27" x14ac:dyDescent="0.25">
      <c r="A64815" s="8"/>
      <c r="B64815" s="8"/>
      <c r="C64815" s="99"/>
      <c r="D64815" s="8"/>
      <c r="E64815" s="8"/>
      <c r="F64815" s="8"/>
      <c r="G64815" s="8"/>
      <c r="H64815" s="8"/>
      <c r="I64815" s="102"/>
      <c r="J64815" s="8"/>
      <c r="K64815" s="8"/>
      <c r="L64815" s="8"/>
      <c r="M64815" s="8"/>
      <c r="N64815" s="8"/>
      <c r="O64815" s="8"/>
      <c r="P64815" s="8"/>
      <c r="Q64815" s="8"/>
      <c r="R64815" s="103"/>
      <c r="S64815" s="8"/>
      <c r="T64815" s="8"/>
      <c r="U64815" s="8"/>
      <c r="V64815" s="8"/>
      <c r="W64815" s="8"/>
      <c r="X64815" s="8"/>
      <c r="Y64815" s="8"/>
      <c r="Z64815" s="8"/>
      <c r="AA64815" s="8"/>
    </row>
    <row r="64816" spans="1:27" x14ac:dyDescent="0.25">
      <c r="A64816" s="8"/>
      <c r="B64816" s="8"/>
      <c r="C64816" s="99"/>
      <c r="D64816" s="8"/>
      <c r="E64816" s="8"/>
      <c r="F64816" s="8"/>
      <c r="G64816" s="8"/>
      <c r="H64816" s="8"/>
      <c r="I64816" s="102"/>
      <c r="J64816" s="8"/>
      <c r="K64816" s="8"/>
      <c r="L64816" s="8"/>
      <c r="M64816" s="8"/>
      <c r="N64816" s="8"/>
      <c r="O64816" s="8"/>
      <c r="P64816" s="8"/>
      <c r="Q64816" s="8"/>
      <c r="R64816" s="103"/>
      <c r="S64816" s="8"/>
      <c r="T64816" s="8"/>
      <c r="U64816" s="8"/>
      <c r="V64816" s="8"/>
      <c r="W64816" s="8"/>
      <c r="X64816" s="8"/>
      <c r="Y64816" s="8"/>
      <c r="Z64816" s="8"/>
      <c r="AA64816" s="8"/>
    </row>
    <row r="64817" spans="1:27" x14ac:dyDescent="0.25">
      <c r="A64817" s="8"/>
      <c r="B64817" s="8"/>
      <c r="C64817" s="99"/>
      <c r="D64817" s="8"/>
      <c r="E64817" s="8"/>
      <c r="F64817" s="8"/>
      <c r="G64817" s="8"/>
      <c r="H64817" s="8"/>
      <c r="I64817" s="102"/>
      <c r="J64817" s="8"/>
      <c r="K64817" s="8"/>
      <c r="L64817" s="8"/>
      <c r="M64817" s="8"/>
      <c r="N64817" s="8"/>
      <c r="O64817" s="8"/>
      <c r="P64817" s="8"/>
      <c r="Q64817" s="8"/>
      <c r="R64817" s="103"/>
      <c r="S64817" s="8"/>
      <c r="T64817" s="8"/>
      <c r="U64817" s="8"/>
      <c r="V64817" s="8"/>
      <c r="W64817" s="8"/>
      <c r="X64817" s="8"/>
      <c r="Y64817" s="8"/>
      <c r="Z64817" s="8"/>
      <c r="AA64817" s="8"/>
    </row>
    <row r="64818" spans="1:27" x14ac:dyDescent="0.25">
      <c r="A64818" s="8"/>
      <c r="B64818" s="8"/>
      <c r="C64818" s="99"/>
      <c r="D64818" s="8"/>
      <c r="E64818" s="8"/>
      <c r="F64818" s="8"/>
      <c r="G64818" s="8"/>
      <c r="H64818" s="8"/>
      <c r="I64818" s="102"/>
      <c r="J64818" s="8"/>
      <c r="K64818" s="8"/>
      <c r="L64818" s="8"/>
      <c r="M64818" s="8"/>
      <c r="N64818" s="8"/>
      <c r="O64818" s="8"/>
      <c r="P64818" s="8"/>
      <c r="Q64818" s="8"/>
      <c r="R64818" s="103"/>
      <c r="S64818" s="8"/>
      <c r="T64818" s="8"/>
      <c r="U64818" s="8"/>
      <c r="V64818" s="8"/>
      <c r="W64818" s="8"/>
      <c r="X64818" s="8"/>
      <c r="Y64818" s="8"/>
      <c r="Z64818" s="8"/>
      <c r="AA64818" s="8"/>
    </row>
    <row r="64819" spans="1:27" x14ac:dyDescent="0.25">
      <c r="A64819" s="8"/>
      <c r="B64819" s="8"/>
      <c r="C64819" s="99"/>
      <c r="D64819" s="8"/>
      <c r="E64819" s="8"/>
      <c r="F64819" s="8"/>
      <c r="G64819" s="8"/>
      <c r="H64819" s="8"/>
      <c r="I64819" s="102"/>
      <c r="J64819" s="8"/>
      <c r="K64819" s="8"/>
      <c r="L64819" s="8"/>
      <c r="M64819" s="8"/>
      <c r="N64819" s="8"/>
      <c r="O64819" s="8"/>
      <c r="P64819" s="8"/>
      <c r="Q64819" s="8"/>
      <c r="R64819" s="103"/>
      <c r="S64819" s="8"/>
      <c r="T64819" s="8"/>
      <c r="U64819" s="8"/>
      <c r="V64819" s="8"/>
      <c r="W64819" s="8"/>
      <c r="X64819" s="8"/>
      <c r="Y64819" s="8"/>
      <c r="Z64819" s="8"/>
      <c r="AA64819" s="8"/>
    </row>
    <row r="64820" spans="1:27" x14ac:dyDescent="0.25">
      <c r="A64820" s="8"/>
      <c r="B64820" s="8"/>
      <c r="C64820" s="99"/>
      <c r="D64820" s="8"/>
      <c r="E64820" s="8"/>
      <c r="F64820" s="8"/>
      <c r="G64820" s="8"/>
      <c r="H64820" s="8"/>
      <c r="I64820" s="102"/>
      <c r="J64820" s="8"/>
      <c r="K64820" s="8"/>
      <c r="L64820" s="8"/>
      <c r="M64820" s="8"/>
      <c r="N64820" s="8"/>
      <c r="O64820" s="8"/>
      <c r="P64820" s="8"/>
      <c r="Q64820" s="8"/>
      <c r="R64820" s="103"/>
      <c r="S64820" s="8"/>
      <c r="T64820" s="8"/>
      <c r="U64820" s="8"/>
      <c r="V64820" s="8"/>
      <c r="W64820" s="8"/>
      <c r="X64820" s="8"/>
      <c r="Y64820" s="8"/>
      <c r="Z64820" s="8"/>
      <c r="AA64820" s="8"/>
    </row>
    <row r="64821" spans="1:27" x14ac:dyDescent="0.25">
      <c r="A64821" s="8"/>
      <c r="B64821" s="8"/>
      <c r="C64821" s="99"/>
      <c r="D64821" s="8"/>
      <c r="E64821" s="8"/>
      <c r="F64821" s="8"/>
      <c r="G64821" s="8"/>
      <c r="H64821" s="8"/>
      <c r="I64821" s="102"/>
      <c r="J64821" s="8"/>
      <c r="K64821" s="8"/>
      <c r="L64821" s="8"/>
      <c r="M64821" s="8"/>
      <c r="N64821" s="8"/>
      <c r="O64821" s="8"/>
      <c r="P64821" s="8"/>
      <c r="Q64821" s="8"/>
      <c r="R64821" s="103"/>
      <c r="S64821" s="8"/>
      <c r="T64821" s="8"/>
      <c r="U64821" s="8"/>
      <c r="V64821" s="8"/>
      <c r="W64821" s="8"/>
      <c r="X64821" s="8"/>
      <c r="Y64821" s="8"/>
      <c r="Z64821" s="8"/>
      <c r="AA64821" s="8"/>
    </row>
    <row r="64822" spans="1:27" x14ac:dyDescent="0.25">
      <c r="A64822" s="8"/>
      <c r="B64822" s="8"/>
      <c r="C64822" s="99"/>
      <c r="D64822" s="8"/>
      <c r="E64822" s="8"/>
      <c r="F64822" s="8"/>
      <c r="G64822" s="8"/>
      <c r="H64822" s="8"/>
      <c r="I64822" s="102"/>
      <c r="J64822" s="8"/>
      <c r="K64822" s="8"/>
      <c r="L64822" s="8"/>
      <c r="M64822" s="8"/>
      <c r="N64822" s="8"/>
      <c r="O64822" s="8"/>
      <c r="P64822" s="8"/>
      <c r="Q64822" s="8"/>
      <c r="R64822" s="103"/>
      <c r="S64822" s="8"/>
      <c r="T64822" s="8"/>
      <c r="U64822" s="8"/>
      <c r="V64822" s="8"/>
      <c r="W64822" s="8"/>
      <c r="X64822" s="8"/>
      <c r="Y64822" s="8"/>
      <c r="Z64822" s="8"/>
      <c r="AA64822" s="8"/>
    </row>
    <row r="64823" spans="1:27" x14ac:dyDescent="0.25">
      <c r="A64823" s="8"/>
      <c r="B64823" s="8"/>
      <c r="C64823" s="99"/>
      <c r="D64823" s="8"/>
      <c r="E64823" s="8"/>
      <c r="F64823" s="8"/>
      <c r="G64823" s="8"/>
      <c r="H64823" s="8"/>
      <c r="I64823" s="102"/>
      <c r="J64823" s="8"/>
      <c r="K64823" s="8"/>
      <c r="L64823" s="8"/>
      <c r="M64823" s="8"/>
      <c r="N64823" s="8"/>
      <c r="O64823" s="8"/>
      <c r="P64823" s="8"/>
      <c r="Q64823" s="8"/>
      <c r="R64823" s="103"/>
      <c r="S64823" s="8"/>
      <c r="T64823" s="8"/>
      <c r="U64823" s="8"/>
      <c r="V64823" s="8"/>
      <c r="W64823" s="8"/>
      <c r="X64823" s="8"/>
      <c r="Y64823" s="8"/>
      <c r="Z64823" s="8"/>
      <c r="AA64823" s="8"/>
    </row>
    <row r="64824" spans="1:27" x14ac:dyDescent="0.25">
      <c r="A64824" s="8"/>
      <c r="B64824" s="8"/>
      <c r="C64824" s="99"/>
      <c r="D64824" s="8"/>
      <c r="E64824" s="8"/>
      <c r="F64824" s="8"/>
      <c r="G64824" s="8"/>
      <c r="H64824" s="8"/>
      <c r="I64824" s="102"/>
      <c r="J64824" s="8"/>
      <c r="K64824" s="8"/>
      <c r="L64824" s="8"/>
      <c r="M64824" s="8"/>
      <c r="N64824" s="8"/>
      <c r="O64824" s="8"/>
      <c r="P64824" s="8"/>
      <c r="Q64824" s="8"/>
      <c r="R64824" s="103"/>
      <c r="S64824" s="8"/>
      <c r="T64824" s="8"/>
      <c r="U64824" s="8"/>
      <c r="V64824" s="8"/>
      <c r="W64824" s="8"/>
      <c r="X64824" s="8"/>
      <c r="Y64824" s="8"/>
      <c r="Z64824" s="8"/>
      <c r="AA64824" s="8"/>
    </row>
    <row r="64825" spans="1:27" x14ac:dyDescent="0.25">
      <c r="A64825" s="8"/>
      <c r="B64825" s="8"/>
      <c r="C64825" s="99"/>
      <c r="D64825" s="8"/>
      <c r="E64825" s="8"/>
      <c r="F64825" s="8"/>
      <c r="G64825" s="8"/>
      <c r="H64825" s="8"/>
      <c r="I64825" s="102"/>
      <c r="J64825" s="8"/>
      <c r="K64825" s="8"/>
      <c r="L64825" s="8"/>
      <c r="M64825" s="8"/>
      <c r="N64825" s="8"/>
      <c r="O64825" s="8"/>
      <c r="P64825" s="8"/>
      <c r="Q64825" s="8"/>
      <c r="R64825" s="103"/>
      <c r="S64825" s="8"/>
      <c r="T64825" s="8"/>
      <c r="U64825" s="8"/>
      <c r="V64825" s="8"/>
      <c r="W64825" s="8"/>
      <c r="X64825" s="8"/>
      <c r="Y64825" s="8"/>
      <c r="Z64825" s="8"/>
      <c r="AA64825" s="8"/>
    </row>
    <row r="64826" spans="1:27" x14ac:dyDescent="0.25">
      <c r="A64826" s="8"/>
      <c r="B64826" s="8"/>
      <c r="C64826" s="99"/>
      <c r="D64826" s="8"/>
      <c r="E64826" s="8"/>
      <c r="F64826" s="8"/>
      <c r="G64826" s="8"/>
      <c r="H64826" s="8"/>
      <c r="I64826" s="102"/>
      <c r="J64826" s="8"/>
      <c r="K64826" s="8"/>
      <c r="L64826" s="8"/>
      <c r="M64826" s="8"/>
      <c r="N64826" s="8"/>
      <c r="O64826" s="8"/>
      <c r="P64826" s="8"/>
      <c r="Q64826" s="8"/>
      <c r="R64826" s="103"/>
      <c r="S64826" s="8"/>
      <c r="T64826" s="8"/>
      <c r="U64826" s="8"/>
      <c r="V64826" s="8"/>
      <c r="W64826" s="8"/>
      <c r="X64826" s="8"/>
      <c r="Y64826" s="8"/>
      <c r="Z64826" s="8"/>
      <c r="AA64826" s="8"/>
    </row>
    <row r="64827" spans="1:27" x14ac:dyDescent="0.25">
      <c r="A64827" s="8"/>
      <c r="B64827" s="8"/>
      <c r="C64827" s="99"/>
      <c r="D64827" s="8"/>
      <c r="E64827" s="8"/>
      <c r="F64827" s="8"/>
      <c r="G64827" s="8"/>
      <c r="H64827" s="8"/>
      <c r="I64827" s="102"/>
      <c r="J64827" s="8"/>
      <c r="K64827" s="8"/>
      <c r="L64827" s="8"/>
      <c r="M64827" s="8"/>
      <c r="N64827" s="8"/>
      <c r="O64827" s="8"/>
      <c r="P64827" s="8"/>
      <c r="Q64827" s="8"/>
      <c r="R64827" s="103"/>
      <c r="S64827" s="8"/>
      <c r="T64827" s="8"/>
      <c r="U64827" s="8"/>
      <c r="V64827" s="8"/>
      <c r="W64827" s="8"/>
      <c r="X64827" s="8"/>
      <c r="Y64827" s="8"/>
      <c r="Z64827" s="8"/>
      <c r="AA64827" s="8"/>
    </row>
    <row r="64828" spans="1:27" x14ac:dyDescent="0.25">
      <c r="A64828" s="8"/>
      <c r="B64828" s="8"/>
      <c r="C64828" s="99"/>
      <c r="D64828" s="8"/>
      <c r="E64828" s="8"/>
      <c r="F64828" s="8"/>
      <c r="G64828" s="8"/>
      <c r="H64828" s="8"/>
      <c r="I64828" s="102"/>
      <c r="J64828" s="8"/>
      <c r="K64828" s="8"/>
      <c r="L64828" s="8"/>
      <c r="M64828" s="8"/>
      <c r="N64828" s="8"/>
      <c r="O64828" s="8"/>
      <c r="P64828" s="8"/>
      <c r="Q64828" s="8"/>
      <c r="R64828" s="103"/>
      <c r="S64828" s="8"/>
      <c r="T64828" s="8"/>
      <c r="U64828" s="8"/>
      <c r="V64828" s="8"/>
      <c r="W64828" s="8"/>
      <c r="X64828" s="8"/>
      <c r="Y64828" s="8"/>
      <c r="Z64828" s="8"/>
      <c r="AA64828" s="8"/>
    </row>
    <row r="64829" spans="1:27" x14ac:dyDescent="0.25">
      <c r="A64829" s="8"/>
      <c r="B64829" s="8"/>
      <c r="C64829" s="99"/>
      <c r="D64829" s="8"/>
      <c r="E64829" s="8"/>
      <c r="F64829" s="8"/>
      <c r="G64829" s="8"/>
      <c r="H64829" s="8"/>
      <c r="I64829" s="102"/>
      <c r="J64829" s="8"/>
      <c r="K64829" s="8"/>
      <c r="L64829" s="8"/>
      <c r="M64829" s="8"/>
      <c r="N64829" s="8"/>
      <c r="O64829" s="8"/>
      <c r="P64829" s="8"/>
      <c r="Q64829" s="8"/>
      <c r="R64829" s="103"/>
      <c r="S64829" s="8"/>
      <c r="T64829" s="8"/>
      <c r="U64829" s="8"/>
      <c r="V64829" s="8"/>
      <c r="W64829" s="8"/>
      <c r="X64829" s="8"/>
      <c r="Y64829" s="8"/>
      <c r="Z64829" s="8"/>
      <c r="AA64829" s="8"/>
    </row>
    <row r="64830" spans="1:27" x14ac:dyDescent="0.25">
      <c r="A64830" s="8"/>
      <c r="B64830" s="8"/>
      <c r="C64830" s="99"/>
      <c r="D64830" s="8"/>
      <c r="E64830" s="8"/>
      <c r="F64830" s="8"/>
      <c r="G64830" s="8"/>
      <c r="H64830" s="8"/>
      <c r="I64830" s="102"/>
      <c r="J64830" s="8"/>
      <c r="K64830" s="8"/>
      <c r="L64830" s="8"/>
      <c r="M64830" s="8"/>
      <c r="N64830" s="8"/>
      <c r="O64830" s="8"/>
      <c r="P64830" s="8"/>
      <c r="Q64830" s="8"/>
      <c r="R64830" s="103"/>
      <c r="S64830" s="8"/>
      <c r="T64830" s="8"/>
      <c r="U64830" s="8"/>
      <c r="V64830" s="8"/>
      <c r="W64830" s="8"/>
      <c r="X64830" s="8"/>
      <c r="Y64830" s="8"/>
      <c r="Z64830" s="8"/>
      <c r="AA64830" s="8"/>
    </row>
    <row r="64831" spans="1:27" x14ac:dyDescent="0.25">
      <c r="A64831" s="8"/>
      <c r="B64831" s="8"/>
      <c r="C64831" s="99"/>
      <c r="D64831" s="8"/>
      <c r="E64831" s="8"/>
      <c r="F64831" s="8"/>
      <c r="G64831" s="8"/>
      <c r="H64831" s="8"/>
      <c r="I64831" s="102"/>
      <c r="J64831" s="8"/>
      <c r="K64831" s="8"/>
      <c r="L64831" s="8"/>
      <c r="M64831" s="8"/>
      <c r="N64831" s="8"/>
      <c r="O64831" s="8"/>
      <c r="P64831" s="8"/>
      <c r="Q64831" s="8"/>
      <c r="R64831" s="103"/>
      <c r="S64831" s="8"/>
      <c r="T64831" s="8"/>
      <c r="U64831" s="8"/>
      <c r="V64831" s="8"/>
      <c r="W64831" s="8"/>
      <c r="X64831" s="8"/>
      <c r="Y64831" s="8"/>
      <c r="Z64831" s="8"/>
      <c r="AA64831" s="8"/>
    </row>
    <row r="64832" spans="1:27" x14ac:dyDescent="0.25">
      <c r="A64832" s="8"/>
      <c r="B64832" s="8"/>
      <c r="C64832" s="99"/>
      <c r="D64832" s="8"/>
      <c r="E64832" s="8"/>
      <c r="F64832" s="8"/>
      <c r="G64832" s="8"/>
      <c r="H64832" s="8"/>
      <c r="I64832" s="102"/>
      <c r="J64832" s="8"/>
      <c r="K64832" s="8"/>
      <c r="L64832" s="8"/>
      <c r="M64832" s="8"/>
      <c r="N64832" s="8"/>
      <c r="O64832" s="8"/>
      <c r="P64832" s="8"/>
      <c r="Q64832" s="8"/>
      <c r="R64832" s="103"/>
      <c r="S64832" s="8"/>
      <c r="T64832" s="8"/>
      <c r="U64832" s="8"/>
      <c r="V64832" s="8"/>
      <c r="W64832" s="8"/>
      <c r="X64832" s="8"/>
      <c r="Y64832" s="8"/>
      <c r="Z64832" s="8"/>
      <c r="AA64832" s="8"/>
    </row>
    <row r="64833" spans="1:27" x14ac:dyDescent="0.25">
      <c r="A64833" s="8"/>
      <c r="B64833" s="8"/>
      <c r="C64833" s="99"/>
      <c r="D64833" s="8"/>
      <c r="E64833" s="8"/>
      <c r="F64833" s="8"/>
      <c r="G64833" s="8"/>
      <c r="H64833" s="8"/>
      <c r="I64833" s="102"/>
      <c r="J64833" s="8"/>
      <c r="K64833" s="8"/>
      <c r="L64833" s="8"/>
      <c r="M64833" s="8"/>
      <c r="N64833" s="8"/>
      <c r="O64833" s="8"/>
      <c r="P64833" s="8"/>
      <c r="Q64833" s="8"/>
      <c r="R64833" s="103"/>
      <c r="S64833" s="8"/>
      <c r="T64833" s="8"/>
      <c r="U64833" s="8"/>
      <c r="V64833" s="8"/>
      <c r="W64833" s="8"/>
      <c r="X64833" s="8"/>
      <c r="Y64833" s="8"/>
      <c r="Z64833" s="8"/>
      <c r="AA64833" s="8"/>
    </row>
    <row r="64834" spans="1:27" x14ac:dyDescent="0.25">
      <c r="A64834" s="8"/>
      <c r="B64834" s="8"/>
      <c r="C64834" s="99"/>
      <c r="D64834" s="8"/>
      <c r="E64834" s="8"/>
      <c r="F64834" s="8"/>
      <c r="G64834" s="8"/>
      <c r="H64834" s="8"/>
      <c r="I64834" s="102"/>
      <c r="J64834" s="8"/>
      <c r="K64834" s="8"/>
      <c r="L64834" s="8"/>
      <c r="M64834" s="8"/>
      <c r="N64834" s="8"/>
      <c r="O64834" s="8"/>
      <c r="P64834" s="8"/>
      <c r="Q64834" s="8"/>
      <c r="R64834" s="103"/>
      <c r="S64834" s="8"/>
      <c r="T64834" s="8"/>
      <c r="U64834" s="8"/>
      <c r="V64834" s="8"/>
      <c r="W64834" s="8"/>
      <c r="X64834" s="8"/>
      <c r="Y64834" s="8"/>
      <c r="Z64834" s="8"/>
      <c r="AA64834" s="8"/>
    </row>
    <row r="64835" spans="1:27" x14ac:dyDescent="0.25">
      <c r="A64835" s="8"/>
      <c r="B64835" s="8"/>
      <c r="C64835" s="99"/>
      <c r="D64835" s="8"/>
      <c r="E64835" s="8"/>
      <c r="F64835" s="8"/>
      <c r="G64835" s="8"/>
      <c r="H64835" s="8"/>
      <c r="I64835" s="102"/>
      <c r="J64835" s="8"/>
      <c r="K64835" s="8"/>
      <c r="L64835" s="8"/>
      <c r="M64835" s="8"/>
      <c r="N64835" s="8"/>
      <c r="O64835" s="8"/>
      <c r="P64835" s="8"/>
      <c r="Q64835" s="8"/>
      <c r="R64835" s="103"/>
      <c r="S64835" s="8"/>
      <c r="T64835" s="8"/>
      <c r="U64835" s="8"/>
      <c r="V64835" s="8"/>
      <c r="W64835" s="8"/>
      <c r="X64835" s="8"/>
      <c r="Y64835" s="8"/>
      <c r="Z64835" s="8"/>
      <c r="AA64835" s="8"/>
    </row>
    <row r="64836" spans="1:27" x14ac:dyDescent="0.25">
      <c r="A64836" s="8"/>
      <c r="B64836" s="8"/>
      <c r="C64836" s="99"/>
      <c r="D64836" s="8"/>
      <c r="E64836" s="8"/>
      <c r="F64836" s="8"/>
      <c r="G64836" s="8"/>
      <c r="H64836" s="8"/>
      <c r="I64836" s="102"/>
      <c r="J64836" s="8"/>
      <c r="K64836" s="8"/>
      <c r="L64836" s="8"/>
      <c r="M64836" s="8"/>
      <c r="N64836" s="8"/>
      <c r="O64836" s="8"/>
      <c r="P64836" s="8"/>
      <c r="Q64836" s="8"/>
      <c r="R64836" s="103"/>
      <c r="S64836" s="8"/>
      <c r="T64836" s="8"/>
      <c r="U64836" s="8"/>
      <c r="V64836" s="8"/>
      <c r="W64836" s="8"/>
      <c r="X64836" s="8"/>
      <c r="Y64836" s="8"/>
      <c r="Z64836" s="8"/>
      <c r="AA64836" s="8"/>
    </row>
    <row r="64837" spans="1:27" x14ac:dyDescent="0.25">
      <c r="A64837" s="8"/>
      <c r="B64837" s="8"/>
      <c r="C64837" s="99"/>
      <c r="D64837" s="8"/>
      <c r="E64837" s="8"/>
      <c r="F64837" s="8"/>
      <c r="G64837" s="8"/>
      <c r="H64837" s="8"/>
      <c r="I64837" s="102"/>
      <c r="J64837" s="8"/>
      <c r="K64837" s="8"/>
      <c r="L64837" s="8"/>
      <c r="M64837" s="8"/>
      <c r="N64837" s="8"/>
      <c r="O64837" s="8"/>
      <c r="P64837" s="8"/>
      <c r="Q64837" s="8"/>
      <c r="R64837" s="103"/>
      <c r="S64837" s="8"/>
      <c r="T64837" s="8"/>
      <c r="U64837" s="8"/>
      <c r="V64837" s="8"/>
      <c r="W64837" s="8"/>
      <c r="X64837" s="8"/>
      <c r="Y64837" s="8"/>
      <c r="Z64837" s="8"/>
      <c r="AA64837" s="8"/>
    </row>
    <row r="64838" spans="1:27" x14ac:dyDescent="0.25">
      <c r="A64838" s="8"/>
      <c r="B64838" s="8"/>
      <c r="C64838" s="99"/>
      <c r="D64838" s="8"/>
      <c r="E64838" s="8"/>
      <c r="F64838" s="8"/>
      <c r="G64838" s="8"/>
      <c r="H64838" s="8"/>
      <c r="I64838" s="102"/>
      <c r="J64838" s="8"/>
      <c r="K64838" s="8"/>
      <c r="L64838" s="8"/>
      <c r="M64838" s="8"/>
      <c r="N64838" s="8"/>
      <c r="O64838" s="8"/>
      <c r="P64838" s="8"/>
      <c r="Q64838" s="8"/>
      <c r="R64838" s="103"/>
      <c r="S64838" s="8"/>
      <c r="T64838" s="8"/>
      <c r="U64838" s="8"/>
      <c r="V64838" s="8"/>
      <c r="W64838" s="8"/>
      <c r="X64838" s="8"/>
      <c r="Y64838" s="8"/>
      <c r="Z64838" s="8"/>
      <c r="AA64838" s="8"/>
    </row>
    <row r="64839" spans="1:27" x14ac:dyDescent="0.25">
      <c r="A64839" s="8"/>
      <c r="B64839" s="8"/>
      <c r="C64839" s="99"/>
      <c r="D64839" s="8"/>
      <c r="E64839" s="8"/>
      <c r="F64839" s="8"/>
      <c r="G64839" s="8"/>
      <c r="H64839" s="8"/>
      <c r="I64839" s="102"/>
      <c r="J64839" s="8"/>
      <c r="K64839" s="8"/>
      <c r="L64839" s="8"/>
      <c r="M64839" s="8"/>
      <c r="N64839" s="8"/>
      <c r="O64839" s="8"/>
      <c r="P64839" s="8"/>
      <c r="Q64839" s="8"/>
      <c r="R64839" s="103"/>
      <c r="S64839" s="8"/>
      <c r="T64839" s="8"/>
      <c r="U64839" s="8"/>
      <c r="V64839" s="8"/>
      <c r="W64839" s="8"/>
      <c r="X64839" s="8"/>
      <c r="Y64839" s="8"/>
      <c r="Z64839" s="8"/>
      <c r="AA64839" s="8"/>
    </row>
    <row r="64840" spans="1:27" x14ac:dyDescent="0.25">
      <c r="A64840" s="8"/>
      <c r="B64840" s="8"/>
      <c r="C64840" s="99"/>
      <c r="D64840" s="8"/>
      <c r="E64840" s="8"/>
      <c r="F64840" s="8"/>
      <c r="G64840" s="8"/>
      <c r="H64840" s="8"/>
      <c r="I64840" s="102"/>
      <c r="J64840" s="8"/>
      <c r="K64840" s="8"/>
      <c r="L64840" s="8"/>
      <c r="M64840" s="8"/>
      <c r="N64840" s="8"/>
      <c r="O64840" s="8"/>
      <c r="P64840" s="8"/>
      <c r="Q64840" s="8"/>
      <c r="R64840" s="103"/>
    </row>
    <row r="64841" spans="1:27" x14ac:dyDescent="0.25">
      <c r="A64841" s="8"/>
      <c r="B64841" s="8"/>
      <c r="C64841" s="99"/>
      <c r="D64841" s="8"/>
      <c r="E64841" s="8"/>
      <c r="F64841" s="8"/>
      <c r="G64841" s="8"/>
      <c r="H64841" s="8"/>
      <c r="I64841" s="102"/>
      <c r="J64841" s="8"/>
      <c r="K64841" s="8"/>
      <c r="L64841" s="8"/>
      <c r="M64841" s="8"/>
      <c r="N64841" s="8"/>
      <c r="O64841" s="8"/>
      <c r="P64841" s="8"/>
      <c r="Q64841" s="8"/>
      <c r="R64841" s="103"/>
    </row>
    <row r="64842" spans="1:27" x14ac:dyDescent="0.25">
      <c r="A64842" s="8"/>
      <c r="B64842" s="8"/>
      <c r="C64842" s="99"/>
      <c r="D64842" s="8"/>
      <c r="E64842" s="8"/>
      <c r="F64842" s="8"/>
      <c r="G64842" s="8"/>
      <c r="H64842" s="8"/>
      <c r="I64842" s="102"/>
      <c r="J64842" s="8"/>
      <c r="K64842" s="8"/>
      <c r="L64842" s="8"/>
      <c r="M64842" s="8"/>
      <c r="N64842" s="8"/>
      <c r="O64842" s="8"/>
      <c r="P64842" s="8"/>
      <c r="Q64842" s="8"/>
      <c r="R64842" s="103"/>
    </row>
    <row r="64843" spans="1:27" x14ac:dyDescent="0.25">
      <c r="A64843" s="8"/>
      <c r="B64843" s="8"/>
      <c r="C64843" s="99"/>
      <c r="D64843" s="8"/>
      <c r="E64843" s="8"/>
      <c r="F64843" s="8"/>
      <c r="G64843" s="8"/>
      <c r="H64843" s="8"/>
      <c r="I64843" s="102"/>
      <c r="J64843" s="8"/>
      <c r="K64843" s="8"/>
      <c r="L64843" s="8"/>
      <c r="M64843" s="8"/>
      <c r="N64843" s="8"/>
      <c r="O64843" s="8"/>
      <c r="P64843" s="8"/>
      <c r="Q64843" s="8"/>
      <c r="R64843" s="103"/>
    </row>
    <row r="64844" spans="1:27" x14ac:dyDescent="0.25">
      <c r="A64844" s="8"/>
      <c r="B64844" s="8"/>
      <c r="C64844" s="99"/>
      <c r="D64844" s="8"/>
      <c r="E64844" s="8"/>
      <c r="F64844" s="8"/>
      <c r="G64844" s="8"/>
      <c r="H64844" s="8"/>
      <c r="I64844" s="102"/>
      <c r="J64844" s="8"/>
      <c r="K64844" s="8"/>
      <c r="L64844" s="8"/>
      <c r="M64844" s="8"/>
      <c r="N64844" s="8"/>
      <c r="O64844" s="8"/>
      <c r="P64844" s="8"/>
      <c r="Q64844" s="8"/>
      <c r="R64844" s="103"/>
    </row>
    <row r="64845" spans="1:27" x14ac:dyDescent="0.25">
      <c r="A64845" s="8"/>
      <c r="B64845" s="8"/>
      <c r="C64845" s="99"/>
      <c r="D64845" s="8"/>
      <c r="E64845" s="8"/>
      <c r="F64845" s="8"/>
      <c r="G64845" s="8"/>
      <c r="H64845" s="8"/>
      <c r="I64845" s="102"/>
      <c r="J64845" s="8"/>
      <c r="K64845" s="8"/>
      <c r="L64845" s="8"/>
      <c r="M64845" s="8"/>
      <c r="N64845" s="8"/>
      <c r="O64845" s="8"/>
      <c r="P64845" s="8"/>
      <c r="Q64845" s="8"/>
      <c r="R64845" s="103"/>
    </row>
    <row r="64846" spans="1:27" x14ac:dyDescent="0.25">
      <c r="A64846" s="8"/>
      <c r="B64846" s="8"/>
      <c r="C64846" s="99"/>
      <c r="D64846" s="8"/>
      <c r="E64846" s="8"/>
      <c r="F64846" s="8"/>
      <c r="G64846" s="8"/>
      <c r="H64846" s="8"/>
      <c r="I64846" s="102"/>
      <c r="J64846" s="8"/>
      <c r="K64846" s="8"/>
      <c r="L64846" s="8"/>
      <c r="M64846" s="8"/>
      <c r="N64846" s="8"/>
      <c r="O64846" s="8"/>
      <c r="P64846" s="8"/>
      <c r="Q64846" s="8"/>
      <c r="R64846" s="103"/>
    </row>
    <row r="64847" spans="1:27" x14ac:dyDescent="0.25">
      <c r="A64847" s="8"/>
      <c r="B64847" s="8"/>
      <c r="C64847" s="99"/>
      <c r="D64847" s="8"/>
      <c r="E64847" s="8"/>
      <c r="F64847" s="8"/>
      <c r="G64847" s="8"/>
      <c r="H64847" s="8"/>
      <c r="I64847" s="102"/>
      <c r="J64847" s="8"/>
      <c r="K64847" s="8"/>
      <c r="L64847" s="8"/>
      <c r="M64847" s="8"/>
      <c r="N64847" s="8"/>
      <c r="O64847" s="8"/>
      <c r="P64847" s="8"/>
      <c r="Q64847" s="8"/>
      <c r="R64847" s="103"/>
    </row>
    <row r="64848" spans="1:27" x14ac:dyDescent="0.25">
      <c r="A64848" s="8"/>
      <c r="B64848" s="8"/>
      <c r="C64848" s="99"/>
      <c r="D64848" s="8"/>
      <c r="E64848" s="8"/>
      <c r="F64848" s="8"/>
      <c r="G64848" s="8"/>
      <c r="H64848" s="8"/>
      <c r="I64848" s="102"/>
      <c r="J64848" s="8"/>
      <c r="K64848" s="8"/>
      <c r="L64848" s="8"/>
      <c r="M64848" s="8"/>
      <c r="N64848" s="8"/>
      <c r="O64848" s="8"/>
      <c r="P64848" s="8"/>
      <c r="Q64848" s="8"/>
      <c r="R64848" s="103"/>
    </row>
    <row r="64849" spans="1:18" x14ac:dyDescent="0.25">
      <c r="A64849" s="8"/>
      <c r="B64849" s="8"/>
      <c r="C64849" s="99"/>
      <c r="D64849" s="8"/>
      <c r="E64849" s="8"/>
      <c r="F64849" s="8"/>
      <c r="G64849" s="8"/>
      <c r="H64849" s="8"/>
      <c r="I64849" s="102"/>
      <c r="J64849" s="8"/>
      <c r="K64849" s="8"/>
      <c r="L64849" s="8"/>
      <c r="M64849" s="8"/>
      <c r="N64849" s="8"/>
      <c r="O64849" s="8"/>
      <c r="P64849" s="8"/>
      <c r="Q64849" s="8"/>
      <c r="R64849" s="103"/>
    </row>
    <row r="64850" spans="1:18" x14ac:dyDescent="0.25">
      <c r="A64850" s="8"/>
      <c r="B64850" s="8"/>
      <c r="C64850" s="99"/>
      <c r="D64850" s="8"/>
      <c r="E64850" s="8"/>
      <c r="F64850" s="8"/>
      <c r="G64850" s="8"/>
      <c r="H64850" s="8"/>
      <c r="I64850" s="102"/>
      <c r="J64850" s="8"/>
      <c r="K64850" s="8"/>
      <c r="L64850" s="8"/>
      <c r="M64850" s="8"/>
      <c r="N64850" s="8"/>
      <c r="O64850" s="8"/>
      <c r="P64850" s="8"/>
      <c r="Q64850" s="8"/>
      <c r="R64850" s="103"/>
    </row>
    <row r="64851" spans="1:18" x14ac:dyDescent="0.25">
      <c r="A64851" s="8"/>
      <c r="B64851" s="8"/>
      <c r="C64851" s="99"/>
      <c r="D64851" s="8"/>
      <c r="E64851" s="8"/>
      <c r="F64851" s="8"/>
      <c r="G64851" s="8"/>
      <c r="H64851" s="8"/>
      <c r="I64851" s="102"/>
      <c r="J64851" s="8"/>
      <c r="K64851" s="8"/>
      <c r="L64851" s="8"/>
      <c r="M64851" s="8"/>
      <c r="N64851" s="8"/>
      <c r="O64851" s="8"/>
      <c r="P64851" s="8"/>
      <c r="Q64851" s="8"/>
      <c r="R64851" s="103"/>
    </row>
    <row r="64852" spans="1:18" x14ac:dyDescent="0.25">
      <c r="A64852" s="8"/>
      <c r="B64852" s="8"/>
      <c r="C64852" s="99"/>
      <c r="D64852" s="8"/>
      <c r="E64852" s="8"/>
      <c r="F64852" s="8"/>
      <c r="G64852" s="8"/>
      <c r="H64852" s="8"/>
      <c r="I64852" s="102"/>
      <c r="J64852" s="8"/>
      <c r="K64852" s="8"/>
      <c r="L64852" s="8"/>
      <c r="M64852" s="8"/>
      <c r="N64852" s="8"/>
      <c r="O64852" s="8"/>
      <c r="P64852" s="8"/>
      <c r="Q64852" s="8"/>
      <c r="R64852" s="103"/>
    </row>
    <row r="64853" spans="1:18" x14ac:dyDescent="0.25">
      <c r="A64853" s="8"/>
      <c r="B64853" s="8"/>
      <c r="C64853" s="99"/>
      <c r="D64853" s="8"/>
      <c r="E64853" s="8"/>
      <c r="F64853" s="8"/>
      <c r="G64853" s="8"/>
      <c r="H64853" s="8"/>
      <c r="I64853" s="102"/>
      <c r="J64853" s="8"/>
      <c r="K64853" s="8"/>
      <c r="L64853" s="8"/>
      <c r="M64853" s="8"/>
      <c r="N64853" s="8"/>
      <c r="O64853" s="8"/>
      <c r="P64853" s="8"/>
      <c r="Q64853" s="8"/>
      <c r="R64853" s="103"/>
    </row>
    <row r="64854" spans="1:18" x14ac:dyDescent="0.25">
      <c r="A64854" s="8"/>
      <c r="B64854" s="8"/>
      <c r="C64854" s="99"/>
      <c r="D64854" s="8"/>
      <c r="E64854" s="8"/>
      <c r="F64854" s="8"/>
      <c r="G64854" s="8"/>
      <c r="H64854" s="8"/>
      <c r="I64854" s="102"/>
      <c r="J64854" s="8"/>
      <c r="K64854" s="8"/>
      <c r="L64854" s="8"/>
      <c r="M64854" s="8"/>
      <c r="N64854" s="8"/>
      <c r="O64854" s="8"/>
      <c r="P64854" s="8"/>
      <c r="Q64854" s="8"/>
      <c r="R64854" s="103"/>
    </row>
    <row r="64855" spans="1:18" x14ac:dyDescent="0.25">
      <c r="A64855" s="8"/>
      <c r="B64855" s="8"/>
      <c r="C64855" s="99"/>
      <c r="D64855" s="8"/>
      <c r="E64855" s="8"/>
      <c r="F64855" s="8"/>
      <c r="G64855" s="8"/>
      <c r="H64855" s="8"/>
      <c r="I64855" s="102"/>
      <c r="J64855" s="8"/>
      <c r="K64855" s="8"/>
      <c r="L64855" s="8"/>
      <c r="M64855" s="8"/>
      <c r="N64855" s="8"/>
      <c r="O64855" s="8"/>
      <c r="P64855" s="8"/>
      <c r="Q64855" s="8"/>
      <c r="R64855" s="103"/>
    </row>
    <row r="64856" spans="1:18" x14ac:dyDescent="0.25">
      <c r="A64856" s="8"/>
      <c r="B64856" s="8"/>
      <c r="C64856" s="99"/>
      <c r="D64856" s="8"/>
      <c r="E64856" s="8"/>
      <c r="F64856" s="8"/>
      <c r="G64856" s="8"/>
      <c r="H64856" s="8"/>
      <c r="I64856" s="102"/>
      <c r="J64856" s="8"/>
      <c r="K64856" s="8"/>
      <c r="L64856" s="8"/>
      <c r="M64856" s="8"/>
      <c r="N64856" s="8"/>
      <c r="O64856" s="8"/>
      <c r="P64856" s="8"/>
      <c r="Q64856" s="8"/>
      <c r="R64856" s="103"/>
    </row>
    <row r="64857" spans="1:18" x14ac:dyDescent="0.25">
      <c r="A64857" s="8"/>
      <c r="B64857" s="8"/>
      <c r="C64857" s="99"/>
      <c r="D64857" s="8"/>
      <c r="E64857" s="8"/>
      <c r="F64857" s="8"/>
      <c r="G64857" s="8"/>
      <c r="H64857" s="8"/>
      <c r="I64857" s="102"/>
      <c r="J64857" s="8"/>
      <c r="K64857" s="8"/>
      <c r="L64857" s="8"/>
      <c r="M64857" s="8"/>
      <c r="N64857" s="8"/>
      <c r="O64857" s="8"/>
      <c r="P64857" s="8"/>
      <c r="Q64857" s="8"/>
      <c r="R64857" s="103"/>
    </row>
    <row r="64858" spans="1:18" x14ac:dyDescent="0.25">
      <c r="A64858" s="8"/>
      <c r="B64858" s="8"/>
      <c r="C64858" s="99"/>
      <c r="D64858" s="8"/>
      <c r="E64858" s="8"/>
      <c r="F64858" s="8"/>
      <c r="G64858" s="8"/>
      <c r="H64858" s="8"/>
      <c r="I64858" s="102"/>
      <c r="J64858" s="8"/>
      <c r="K64858" s="8"/>
      <c r="L64858" s="8"/>
      <c r="M64858" s="8"/>
      <c r="N64858" s="8"/>
      <c r="O64858" s="8"/>
      <c r="P64858" s="8"/>
      <c r="Q64858" s="8"/>
      <c r="R64858" s="103"/>
    </row>
    <row r="64859" spans="1:18" x14ac:dyDescent="0.25">
      <c r="A64859" s="8"/>
      <c r="B64859" s="8"/>
      <c r="C64859" s="99"/>
      <c r="D64859" s="8"/>
      <c r="E64859" s="8"/>
      <c r="F64859" s="8"/>
      <c r="G64859" s="8"/>
      <c r="H64859" s="8"/>
      <c r="I64859" s="102"/>
      <c r="J64859" s="8"/>
      <c r="K64859" s="8"/>
      <c r="L64859" s="8"/>
      <c r="M64859" s="8"/>
      <c r="N64859" s="8"/>
      <c r="O64859" s="8"/>
      <c r="P64859" s="8"/>
      <c r="Q64859" s="8"/>
      <c r="R64859" s="103"/>
    </row>
    <row r="64860" spans="1:18" x14ac:dyDescent="0.25">
      <c r="A64860" s="8"/>
      <c r="B64860" s="8"/>
      <c r="C64860" s="99"/>
      <c r="D64860" s="8"/>
      <c r="E64860" s="8"/>
      <c r="F64860" s="8"/>
      <c r="G64860" s="8"/>
      <c r="H64860" s="8"/>
      <c r="I64860" s="102"/>
      <c r="J64860" s="8"/>
      <c r="K64860" s="8"/>
      <c r="L64860" s="8"/>
      <c r="M64860" s="8"/>
      <c r="N64860" s="8"/>
      <c r="O64860" s="8"/>
      <c r="P64860" s="8"/>
      <c r="Q64860" s="8"/>
      <c r="R64860" s="103"/>
    </row>
    <row r="64861" spans="1:18" x14ac:dyDescent="0.25">
      <c r="A64861" s="8"/>
      <c r="B64861" s="8"/>
      <c r="C64861" s="99"/>
      <c r="D64861" s="8"/>
      <c r="E64861" s="8"/>
      <c r="F64861" s="8"/>
      <c r="G64861" s="8"/>
      <c r="H64861" s="8"/>
      <c r="I64861" s="102"/>
      <c r="J64861" s="8"/>
      <c r="K64861" s="8"/>
      <c r="L64861" s="8"/>
      <c r="M64861" s="8"/>
      <c r="N64861" s="8"/>
      <c r="O64861" s="8"/>
      <c r="P64861" s="8"/>
      <c r="Q64861" s="8"/>
      <c r="R64861" s="103"/>
    </row>
    <row r="64862" spans="1:18" x14ac:dyDescent="0.25">
      <c r="A64862" s="8"/>
      <c r="B64862" s="8"/>
      <c r="C64862" s="99"/>
      <c r="D64862" s="8"/>
      <c r="E64862" s="8"/>
      <c r="F64862" s="8"/>
      <c r="G64862" s="8"/>
      <c r="H64862" s="8"/>
      <c r="I64862" s="102"/>
      <c r="J64862" s="8"/>
      <c r="K64862" s="8"/>
      <c r="L64862" s="8"/>
      <c r="M64862" s="8"/>
      <c r="N64862" s="8"/>
      <c r="O64862" s="8"/>
      <c r="P64862" s="8"/>
      <c r="Q64862" s="8"/>
      <c r="R64862" s="103"/>
    </row>
    <row r="64863" spans="1:18" x14ac:dyDescent="0.25">
      <c r="A64863" s="8"/>
      <c r="B64863" s="8"/>
      <c r="C64863" s="99"/>
      <c r="D64863" s="8"/>
      <c r="E64863" s="8"/>
      <c r="F64863" s="8"/>
      <c r="G64863" s="8"/>
      <c r="H64863" s="8"/>
      <c r="I64863" s="102"/>
      <c r="J64863" s="8"/>
      <c r="K64863" s="8"/>
      <c r="L64863" s="8"/>
      <c r="M64863" s="8"/>
      <c r="N64863" s="8"/>
      <c r="O64863" s="8"/>
      <c r="P64863" s="8"/>
      <c r="Q64863" s="8"/>
      <c r="R64863" s="103"/>
    </row>
    <row r="64864" spans="1:18" x14ac:dyDescent="0.25">
      <c r="A64864" s="8"/>
      <c r="B64864" s="8"/>
      <c r="C64864" s="99"/>
      <c r="D64864" s="8"/>
      <c r="E64864" s="8"/>
      <c r="F64864" s="8"/>
      <c r="G64864" s="8"/>
      <c r="H64864" s="8"/>
      <c r="I64864" s="102"/>
      <c r="J64864" s="8"/>
      <c r="K64864" s="8"/>
      <c r="L64864" s="8"/>
      <c r="M64864" s="8"/>
      <c r="N64864" s="8"/>
      <c r="O64864" s="8"/>
      <c r="P64864" s="8"/>
      <c r="Q64864" s="8"/>
      <c r="R64864" s="103"/>
    </row>
    <row r="64865" spans="1:18" x14ac:dyDescent="0.25">
      <c r="A64865" s="8"/>
      <c r="B64865" s="8"/>
      <c r="C64865" s="99"/>
      <c r="D64865" s="8"/>
      <c r="E64865" s="8"/>
      <c r="F64865" s="8"/>
      <c r="G64865" s="8"/>
      <c r="H64865" s="8"/>
      <c r="I64865" s="102"/>
      <c r="J64865" s="8"/>
      <c r="K64865" s="8"/>
      <c r="L64865" s="8"/>
      <c r="M64865" s="8"/>
      <c r="N64865" s="8"/>
      <c r="O64865" s="8"/>
      <c r="P64865" s="8"/>
      <c r="Q64865" s="8"/>
      <c r="R64865" s="103"/>
    </row>
    <row r="64866" spans="1:18" x14ac:dyDescent="0.25">
      <c r="A64866" s="8"/>
      <c r="B64866" s="8"/>
      <c r="C64866" s="99"/>
      <c r="D64866" s="8"/>
      <c r="E64866" s="8"/>
      <c r="F64866" s="8"/>
      <c r="G64866" s="8"/>
      <c r="H64866" s="8"/>
      <c r="I64866" s="102"/>
      <c r="J64866" s="8"/>
      <c r="K64866" s="8"/>
      <c r="L64866" s="8"/>
      <c r="M64866" s="8"/>
      <c r="N64866" s="8"/>
      <c r="O64866" s="8"/>
      <c r="P64866" s="8"/>
      <c r="Q64866" s="8"/>
      <c r="R64866" s="103"/>
    </row>
    <row r="64867" spans="1:18" x14ac:dyDescent="0.25">
      <c r="A64867" s="8"/>
      <c r="B64867" s="8"/>
      <c r="C64867" s="99"/>
      <c r="D64867" s="8"/>
      <c r="E64867" s="8"/>
      <c r="F64867" s="8"/>
      <c r="G64867" s="8"/>
      <c r="H64867" s="8"/>
      <c r="I64867" s="102"/>
      <c r="J64867" s="8"/>
      <c r="K64867" s="8"/>
      <c r="L64867" s="8"/>
      <c r="M64867" s="8"/>
      <c r="N64867" s="8"/>
      <c r="O64867" s="8"/>
      <c r="P64867" s="8"/>
      <c r="Q64867" s="8"/>
      <c r="R64867" s="103"/>
    </row>
    <row r="64868" spans="1:18" x14ac:dyDescent="0.25">
      <c r="A64868" s="8"/>
      <c r="B64868" s="8"/>
      <c r="C64868" s="99"/>
      <c r="D64868" s="8"/>
      <c r="E64868" s="8"/>
      <c r="F64868" s="8"/>
      <c r="G64868" s="8"/>
      <c r="H64868" s="8"/>
      <c r="I64868" s="102"/>
      <c r="J64868" s="8"/>
      <c r="K64868" s="8"/>
      <c r="L64868" s="8"/>
      <c r="M64868" s="8"/>
      <c r="N64868" s="8"/>
      <c r="O64868" s="8"/>
      <c r="P64868" s="8"/>
      <c r="Q64868" s="8"/>
      <c r="R64868" s="103"/>
    </row>
    <row r="64869" spans="1:18" x14ac:dyDescent="0.25">
      <c r="A64869" s="8"/>
      <c r="B64869" s="8"/>
      <c r="C64869" s="99"/>
      <c r="D64869" s="8"/>
      <c r="E64869" s="8"/>
      <c r="F64869" s="8"/>
      <c r="G64869" s="8"/>
      <c r="H64869" s="8"/>
      <c r="I64869" s="102"/>
      <c r="J64869" s="8"/>
      <c r="K64869" s="8"/>
      <c r="L64869" s="8"/>
      <c r="M64869" s="8"/>
      <c r="N64869" s="8"/>
      <c r="O64869" s="8"/>
      <c r="P64869" s="8"/>
      <c r="Q64869" s="8"/>
      <c r="R64869" s="103"/>
    </row>
    <row r="64870" spans="1:18" x14ac:dyDescent="0.25">
      <c r="A64870" s="8"/>
      <c r="B64870" s="8"/>
      <c r="C64870" s="99"/>
      <c r="D64870" s="8"/>
      <c r="E64870" s="8"/>
      <c r="F64870" s="8"/>
      <c r="G64870" s="8"/>
      <c r="H64870" s="8"/>
      <c r="I64870" s="102"/>
      <c r="J64870" s="8"/>
      <c r="K64870" s="8"/>
      <c r="L64870" s="8"/>
      <c r="M64870" s="8"/>
      <c r="N64870" s="8"/>
      <c r="O64870" s="8"/>
      <c r="P64870" s="8"/>
      <c r="Q64870" s="8"/>
      <c r="R64870" s="103"/>
    </row>
    <row r="64871" spans="1:18" x14ac:dyDescent="0.25">
      <c r="A64871" s="8"/>
      <c r="B64871" s="8"/>
      <c r="C64871" s="99"/>
      <c r="D64871" s="8"/>
      <c r="E64871" s="8"/>
      <c r="F64871" s="8"/>
      <c r="G64871" s="8"/>
      <c r="H64871" s="8"/>
      <c r="I64871" s="102"/>
      <c r="J64871" s="8"/>
      <c r="K64871" s="8"/>
      <c r="L64871" s="8"/>
      <c r="M64871" s="8"/>
      <c r="N64871" s="8"/>
      <c r="O64871" s="8"/>
      <c r="P64871" s="8"/>
      <c r="Q64871" s="8"/>
      <c r="R64871" s="103"/>
    </row>
    <row r="64872" spans="1:18" x14ac:dyDescent="0.25">
      <c r="A64872" s="8"/>
      <c r="B64872" s="8"/>
      <c r="C64872" s="99"/>
      <c r="D64872" s="8"/>
      <c r="E64872" s="8"/>
      <c r="F64872" s="8"/>
      <c r="G64872" s="8"/>
      <c r="H64872" s="8"/>
      <c r="I64872" s="102"/>
      <c r="J64872" s="8"/>
      <c r="K64872" s="8"/>
      <c r="L64872" s="8"/>
      <c r="M64872" s="8"/>
      <c r="N64872" s="8"/>
      <c r="O64872" s="8"/>
      <c r="P64872" s="8"/>
      <c r="Q64872" s="8"/>
      <c r="R64872" s="103"/>
    </row>
    <row r="64873" spans="1:18" x14ac:dyDescent="0.25">
      <c r="A64873" s="8"/>
      <c r="B64873" s="8"/>
      <c r="C64873" s="99"/>
      <c r="D64873" s="8"/>
      <c r="E64873" s="8"/>
      <c r="F64873" s="8"/>
      <c r="G64873" s="8"/>
      <c r="H64873" s="8"/>
      <c r="I64873" s="102"/>
      <c r="J64873" s="8"/>
      <c r="K64873" s="8"/>
      <c r="L64873" s="8"/>
      <c r="M64873" s="8"/>
      <c r="N64873" s="8"/>
      <c r="O64873" s="8"/>
      <c r="P64873" s="8"/>
      <c r="Q64873" s="8"/>
      <c r="R64873" s="103"/>
    </row>
    <row r="64874" spans="1:18" x14ac:dyDescent="0.25">
      <c r="A64874" s="8"/>
      <c r="B64874" s="8"/>
      <c r="C64874" s="99"/>
      <c r="D64874" s="8"/>
      <c r="E64874" s="8"/>
      <c r="F64874" s="8"/>
      <c r="G64874" s="8"/>
      <c r="H64874" s="8"/>
      <c r="I64874" s="102"/>
      <c r="J64874" s="8"/>
      <c r="K64874" s="8"/>
      <c r="L64874" s="8"/>
      <c r="M64874" s="8"/>
      <c r="N64874" s="8"/>
      <c r="O64874" s="8"/>
      <c r="P64874" s="8"/>
      <c r="Q64874" s="8"/>
      <c r="R64874" s="103"/>
    </row>
    <row r="64875" spans="1:18" x14ac:dyDescent="0.25">
      <c r="A64875" s="8"/>
      <c r="B64875" s="8"/>
      <c r="C64875" s="99"/>
      <c r="D64875" s="8"/>
      <c r="E64875" s="8"/>
      <c r="F64875" s="8"/>
      <c r="G64875" s="8"/>
      <c r="H64875" s="8"/>
      <c r="I64875" s="102"/>
      <c r="J64875" s="8"/>
      <c r="K64875" s="8"/>
      <c r="L64875" s="8"/>
      <c r="M64875" s="8"/>
      <c r="N64875" s="8"/>
      <c r="O64875" s="8"/>
      <c r="P64875" s="8"/>
      <c r="Q64875" s="8"/>
      <c r="R64875" s="103"/>
    </row>
    <row r="64876" spans="1:18" x14ac:dyDescent="0.25">
      <c r="A64876" s="8"/>
      <c r="B64876" s="8"/>
      <c r="C64876" s="99"/>
      <c r="D64876" s="8"/>
      <c r="E64876" s="8"/>
      <c r="F64876" s="8"/>
      <c r="G64876" s="8"/>
      <c r="H64876" s="8"/>
      <c r="I64876" s="102"/>
      <c r="J64876" s="8"/>
      <c r="K64876" s="8"/>
      <c r="L64876" s="8"/>
      <c r="M64876" s="8"/>
      <c r="N64876" s="8"/>
      <c r="O64876" s="8"/>
      <c r="P64876" s="8"/>
      <c r="Q64876" s="8"/>
      <c r="R64876" s="103"/>
    </row>
    <row r="64877" spans="1:18" x14ac:dyDescent="0.25">
      <c r="A64877" s="8"/>
      <c r="B64877" s="8"/>
      <c r="C64877" s="99"/>
      <c r="D64877" s="8"/>
      <c r="E64877" s="8"/>
      <c r="F64877" s="8"/>
      <c r="G64877" s="8"/>
      <c r="H64877" s="8"/>
      <c r="I64877" s="102"/>
      <c r="J64877" s="8"/>
      <c r="K64877" s="8"/>
      <c r="L64877" s="8"/>
      <c r="M64877" s="8"/>
      <c r="N64877" s="8"/>
      <c r="O64877" s="8"/>
      <c r="P64877" s="8"/>
      <c r="Q64877" s="8"/>
      <c r="R64877" s="103"/>
    </row>
    <row r="64878" spans="1:18" x14ac:dyDescent="0.25">
      <c r="A64878" s="8"/>
      <c r="B64878" s="8"/>
      <c r="C64878" s="99"/>
      <c r="D64878" s="8"/>
      <c r="E64878" s="8"/>
      <c r="F64878" s="8"/>
      <c r="G64878" s="8"/>
      <c r="H64878" s="8"/>
      <c r="I64878" s="102"/>
      <c r="J64878" s="8"/>
      <c r="K64878" s="8"/>
      <c r="L64878" s="8"/>
      <c r="M64878" s="8"/>
      <c r="N64878" s="8"/>
      <c r="O64878" s="8"/>
      <c r="P64878" s="8"/>
      <c r="Q64878" s="8"/>
      <c r="R64878" s="103"/>
    </row>
    <row r="64879" spans="1:18" x14ac:dyDescent="0.25">
      <c r="A64879" s="8"/>
      <c r="B64879" s="8"/>
      <c r="C64879" s="99"/>
      <c r="D64879" s="8"/>
      <c r="E64879" s="8"/>
      <c r="F64879" s="8"/>
      <c r="G64879" s="8"/>
      <c r="H64879" s="8"/>
      <c r="I64879" s="102"/>
      <c r="J64879" s="8"/>
      <c r="K64879" s="8"/>
      <c r="L64879" s="8"/>
      <c r="M64879" s="8"/>
      <c r="N64879" s="8"/>
      <c r="O64879" s="8"/>
      <c r="P64879" s="8"/>
      <c r="Q64879" s="8"/>
      <c r="R64879" s="103"/>
    </row>
    <row r="64880" spans="1:18" x14ac:dyDescent="0.25">
      <c r="A64880" s="8"/>
      <c r="B64880" s="8"/>
      <c r="C64880" s="99"/>
      <c r="D64880" s="8"/>
      <c r="E64880" s="8"/>
      <c r="F64880" s="8"/>
      <c r="G64880" s="8"/>
      <c r="H64880" s="8"/>
      <c r="I64880" s="102"/>
      <c r="J64880" s="8"/>
      <c r="K64880" s="8"/>
      <c r="L64880" s="8"/>
      <c r="M64880" s="8"/>
      <c r="N64880" s="8"/>
      <c r="O64880" s="8"/>
      <c r="P64880" s="8"/>
      <c r="Q64880" s="8"/>
      <c r="R64880" s="103"/>
    </row>
    <row r="64881" spans="1:18" x14ac:dyDescent="0.25">
      <c r="A64881" s="8"/>
      <c r="B64881" s="8"/>
      <c r="C64881" s="99"/>
      <c r="D64881" s="8"/>
      <c r="E64881" s="8"/>
      <c r="F64881" s="8"/>
      <c r="G64881" s="8"/>
      <c r="H64881" s="8"/>
      <c r="I64881" s="102"/>
      <c r="J64881" s="8"/>
      <c r="K64881" s="8"/>
      <c r="L64881" s="8"/>
      <c r="M64881" s="8"/>
      <c r="N64881" s="8"/>
      <c r="O64881" s="8"/>
      <c r="P64881" s="8"/>
      <c r="Q64881" s="8"/>
      <c r="R64881" s="103"/>
    </row>
    <row r="64882" spans="1:18" x14ac:dyDescent="0.25">
      <c r="A64882" s="8"/>
      <c r="B64882" s="8"/>
      <c r="C64882" s="99"/>
      <c r="D64882" s="8"/>
      <c r="E64882" s="8"/>
      <c r="F64882" s="8"/>
      <c r="G64882" s="8"/>
      <c r="H64882" s="8"/>
      <c r="I64882" s="102"/>
      <c r="J64882" s="8"/>
      <c r="K64882" s="8"/>
      <c r="L64882" s="8"/>
      <c r="M64882" s="8"/>
      <c r="N64882" s="8"/>
      <c r="O64882" s="8"/>
      <c r="P64882" s="8"/>
      <c r="Q64882" s="8"/>
      <c r="R64882" s="103"/>
    </row>
    <row r="64883" spans="1:18" x14ac:dyDescent="0.25">
      <c r="A64883" s="8"/>
      <c r="B64883" s="8"/>
      <c r="C64883" s="99"/>
      <c r="D64883" s="8"/>
      <c r="E64883" s="8"/>
      <c r="F64883" s="8"/>
      <c r="G64883" s="8"/>
      <c r="H64883" s="8"/>
      <c r="I64883" s="102"/>
      <c r="J64883" s="8"/>
      <c r="K64883" s="8"/>
      <c r="L64883" s="8"/>
      <c r="M64883" s="8"/>
      <c r="N64883" s="8"/>
      <c r="O64883" s="8"/>
      <c r="P64883" s="8"/>
      <c r="Q64883" s="8"/>
      <c r="R64883" s="103"/>
    </row>
    <row r="64884" spans="1:18" x14ac:dyDescent="0.25">
      <c r="A64884" s="8"/>
      <c r="B64884" s="8"/>
      <c r="C64884" s="99"/>
      <c r="D64884" s="8"/>
      <c r="E64884" s="8"/>
      <c r="F64884" s="8"/>
      <c r="G64884" s="8"/>
      <c r="H64884" s="8"/>
      <c r="I64884" s="102"/>
      <c r="J64884" s="8"/>
      <c r="K64884" s="8"/>
      <c r="L64884" s="8"/>
      <c r="M64884" s="8"/>
      <c r="N64884" s="8"/>
      <c r="O64884" s="8"/>
      <c r="P64884" s="8"/>
      <c r="Q64884" s="8"/>
      <c r="R64884" s="103"/>
    </row>
    <row r="64885" spans="1:18" x14ac:dyDescent="0.25">
      <c r="A64885" s="8"/>
      <c r="B64885" s="8"/>
      <c r="C64885" s="99"/>
      <c r="D64885" s="8"/>
      <c r="E64885" s="8"/>
      <c r="F64885" s="8"/>
      <c r="G64885" s="8"/>
      <c r="H64885" s="8"/>
      <c r="I64885" s="102"/>
      <c r="J64885" s="8"/>
      <c r="K64885" s="8"/>
      <c r="L64885" s="8"/>
      <c r="M64885" s="8"/>
      <c r="N64885" s="8"/>
      <c r="O64885" s="8"/>
      <c r="P64885" s="8"/>
      <c r="Q64885" s="8"/>
      <c r="R64885" s="103"/>
    </row>
    <row r="64886" spans="1:18" x14ac:dyDescent="0.25">
      <c r="A64886" s="8"/>
      <c r="B64886" s="8"/>
      <c r="C64886" s="99"/>
      <c r="D64886" s="8"/>
      <c r="E64886" s="8"/>
      <c r="F64886" s="8"/>
      <c r="G64886" s="8"/>
      <c r="H64886" s="8"/>
      <c r="I64886" s="102"/>
      <c r="J64886" s="8"/>
      <c r="K64886" s="8"/>
      <c r="L64886" s="8"/>
      <c r="M64886" s="8"/>
      <c r="N64886" s="8"/>
      <c r="O64886" s="8"/>
      <c r="P64886" s="8"/>
      <c r="Q64886" s="8"/>
      <c r="R64886" s="103"/>
    </row>
    <row r="64887" spans="1:18" x14ac:dyDescent="0.25">
      <c r="A64887" s="8"/>
      <c r="B64887" s="8"/>
      <c r="C64887" s="99"/>
      <c r="D64887" s="8"/>
      <c r="E64887" s="8"/>
      <c r="F64887" s="8"/>
      <c r="G64887" s="8"/>
      <c r="H64887" s="8"/>
      <c r="I64887" s="102"/>
      <c r="J64887" s="8"/>
      <c r="K64887" s="8"/>
      <c r="L64887" s="8"/>
      <c r="M64887" s="8"/>
      <c r="N64887" s="8"/>
      <c r="O64887" s="8"/>
      <c r="P64887" s="8"/>
      <c r="Q64887" s="8"/>
      <c r="R64887" s="103"/>
    </row>
    <row r="64888" spans="1:18" x14ac:dyDescent="0.25">
      <c r="A64888" s="8"/>
      <c r="B64888" s="8"/>
      <c r="C64888" s="99"/>
      <c r="D64888" s="8"/>
      <c r="E64888" s="8"/>
      <c r="F64888" s="8"/>
      <c r="G64888" s="8"/>
      <c r="H64888" s="8"/>
      <c r="I64888" s="102"/>
      <c r="J64888" s="8"/>
      <c r="K64888" s="8"/>
      <c r="L64888" s="8"/>
      <c r="M64888" s="8"/>
      <c r="N64888" s="8"/>
      <c r="O64888" s="8"/>
      <c r="P64888" s="8"/>
      <c r="Q64888" s="8"/>
      <c r="R64888" s="103"/>
    </row>
    <row r="64889" spans="1:18" x14ac:dyDescent="0.25">
      <c r="A64889" s="8"/>
      <c r="B64889" s="8"/>
      <c r="C64889" s="99"/>
      <c r="D64889" s="8"/>
      <c r="E64889" s="8"/>
      <c r="F64889" s="8"/>
      <c r="G64889" s="8"/>
      <c r="H64889" s="8"/>
      <c r="I64889" s="102"/>
      <c r="J64889" s="8"/>
      <c r="K64889" s="8"/>
      <c r="L64889" s="8"/>
      <c r="M64889" s="8"/>
      <c r="N64889" s="8"/>
      <c r="O64889" s="8"/>
      <c r="P64889" s="8"/>
      <c r="Q64889" s="8"/>
      <c r="R64889" s="103"/>
    </row>
    <row r="64890" spans="1:18" x14ac:dyDescent="0.25">
      <c r="A64890" s="8"/>
      <c r="B64890" s="8"/>
      <c r="C64890" s="99"/>
      <c r="D64890" s="8"/>
      <c r="E64890" s="8"/>
      <c r="F64890" s="8"/>
      <c r="G64890" s="8"/>
      <c r="H64890" s="8"/>
      <c r="I64890" s="102"/>
      <c r="J64890" s="8"/>
      <c r="K64890" s="8"/>
      <c r="L64890" s="8"/>
      <c r="M64890" s="8"/>
      <c r="N64890" s="8"/>
      <c r="O64890" s="8"/>
      <c r="P64890" s="8"/>
      <c r="Q64890" s="8"/>
      <c r="R64890" s="103"/>
    </row>
    <row r="64891" spans="1:18" x14ac:dyDescent="0.25">
      <c r="A64891" s="8"/>
      <c r="B64891" s="8"/>
      <c r="C64891" s="99"/>
      <c r="D64891" s="8"/>
      <c r="E64891" s="8"/>
      <c r="F64891" s="8"/>
      <c r="G64891" s="8"/>
      <c r="H64891" s="8"/>
      <c r="I64891" s="102"/>
      <c r="J64891" s="8"/>
      <c r="K64891" s="8"/>
      <c r="L64891" s="8"/>
      <c r="M64891" s="8"/>
      <c r="N64891" s="8"/>
      <c r="O64891" s="8"/>
      <c r="P64891" s="8"/>
      <c r="Q64891" s="8"/>
      <c r="R64891" s="103"/>
    </row>
    <row r="64892" spans="1:18" x14ac:dyDescent="0.25">
      <c r="A64892" s="8"/>
      <c r="B64892" s="8"/>
      <c r="C64892" s="99"/>
      <c r="D64892" s="8"/>
      <c r="E64892" s="8"/>
      <c r="F64892" s="8"/>
      <c r="G64892" s="8"/>
      <c r="H64892" s="8"/>
      <c r="I64892" s="102"/>
      <c r="J64892" s="8"/>
      <c r="K64892" s="8"/>
      <c r="L64892" s="8"/>
      <c r="M64892" s="8"/>
      <c r="N64892" s="8"/>
      <c r="O64892" s="8"/>
      <c r="P64892" s="8"/>
      <c r="Q64892" s="8"/>
      <c r="R64892" s="103"/>
    </row>
    <row r="64893" spans="1:18" x14ac:dyDescent="0.25">
      <c r="A64893" s="8"/>
      <c r="B64893" s="8"/>
      <c r="C64893" s="99"/>
      <c r="D64893" s="8"/>
      <c r="E64893" s="8"/>
      <c r="F64893" s="8"/>
      <c r="G64893" s="8"/>
      <c r="H64893" s="8"/>
      <c r="I64893" s="102"/>
      <c r="J64893" s="8"/>
      <c r="K64893" s="8"/>
      <c r="L64893" s="8"/>
      <c r="M64893" s="8"/>
      <c r="N64893" s="8"/>
      <c r="O64893" s="8"/>
      <c r="P64893" s="8"/>
      <c r="Q64893" s="8"/>
      <c r="R64893" s="103"/>
    </row>
    <row r="64894" spans="1:18" x14ac:dyDescent="0.25">
      <c r="A64894" s="8"/>
      <c r="B64894" s="8"/>
      <c r="C64894" s="99"/>
      <c r="D64894" s="8"/>
      <c r="E64894" s="8"/>
      <c r="F64894" s="8"/>
      <c r="G64894" s="8"/>
      <c r="H64894" s="8"/>
      <c r="I64894" s="102"/>
      <c r="J64894" s="8"/>
      <c r="K64894" s="8"/>
      <c r="L64894" s="8"/>
      <c r="M64894" s="8"/>
      <c r="N64894" s="8"/>
      <c r="O64894" s="8"/>
      <c r="P64894" s="8"/>
      <c r="Q64894" s="8"/>
      <c r="R64894" s="103"/>
    </row>
    <row r="64895" spans="1:18" x14ac:dyDescent="0.25">
      <c r="A64895" s="8"/>
      <c r="B64895" s="8"/>
      <c r="C64895" s="99"/>
      <c r="D64895" s="8"/>
      <c r="E64895" s="8"/>
      <c r="F64895" s="8"/>
      <c r="G64895" s="8"/>
      <c r="H64895" s="8"/>
      <c r="I64895" s="102"/>
      <c r="J64895" s="8"/>
      <c r="K64895" s="8"/>
      <c r="L64895" s="8"/>
      <c r="M64895" s="8"/>
      <c r="N64895" s="8"/>
      <c r="O64895" s="8"/>
      <c r="P64895" s="8"/>
      <c r="Q64895" s="8"/>
      <c r="R64895" s="103"/>
    </row>
    <row r="64896" spans="1:18" x14ac:dyDescent="0.25">
      <c r="A64896" s="8"/>
      <c r="B64896" s="8"/>
      <c r="C64896" s="99"/>
      <c r="D64896" s="8"/>
      <c r="E64896" s="8"/>
      <c r="F64896" s="8"/>
      <c r="G64896" s="8"/>
      <c r="H64896" s="8"/>
      <c r="I64896" s="102"/>
      <c r="J64896" s="8"/>
      <c r="K64896" s="8"/>
      <c r="L64896" s="8"/>
      <c r="M64896" s="8"/>
      <c r="N64896" s="8"/>
      <c r="O64896" s="8"/>
      <c r="P64896" s="8"/>
      <c r="Q64896" s="8"/>
      <c r="R64896" s="103"/>
    </row>
    <row r="64897" spans="1:18" x14ac:dyDescent="0.25">
      <c r="A64897" s="8"/>
      <c r="B64897" s="8"/>
      <c r="C64897" s="99"/>
      <c r="D64897" s="8"/>
      <c r="E64897" s="8"/>
      <c r="F64897" s="8"/>
      <c r="G64897" s="8"/>
      <c r="H64897" s="8"/>
      <c r="I64897" s="102"/>
      <c r="J64897" s="8"/>
      <c r="K64897" s="8"/>
      <c r="L64897" s="8"/>
      <c r="M64897" s="8"/>
      <c r="N64897" s="8"/>
      <c r="O64897" s="8"/>
      <c r="P64897" s="8"/>
      <c r="Q64897" s="8"/>
      <c r="R64897" s="103"/>
    </row>
    <row r="64898" spans="1:18" x14ac:dyDescent="0.25">
      <c r="A64898" s="8"/>
      <c r="B64898" s="8"/>
      <c r="C64898" s="99"/>
      <c r="D64898" s="8"/>
      <c r="E64898" s="8"/>
      <c r="F64898" s="8"/>
      <c r="G64898" s="8"/>
      <c r="H64898" s="8"/>
      <c r="I64898" s="102"/>
      <c r="J64898" s="8"/>
      <c r="K64898" s="8"/>
      <c r="L64898" s="8"/>
      <c r="M64898" s="8"/>
      <c r="N64898" s="8"/>
      <c r="O64898" s="8"/>
      <c r="P64898" s="8"/>
      <c r="Q64898" s="8"/>
      <c r="R64898" s="103"/>
    </row>
    <row r="64899" spans="1:18" x14ac:dyDescent="0.25">
      <c r="A64899" s="8"/>
      <c r="B64899" s="8"/>
      <c r="C64899" s="99"/>
      <c r="D64899" s="8"/>
      <c r="E64899" s="8"/>
      <c r="F64899" s="8"/>
      <c r="G64899" s="8"/>
      <c r="H64899" s="8"/>
      <c r="I64899" s="102"/>
      <c r="J64899" s="8"/>
      <c r="K64899" s="8"/>
      <c r="L64899" s="8"/>
      <c r="M64899" s="8"/>
      <c r="N64899" s="8"/>
      <c r="O64899" s="8"/>
      <c r="P64899" s="8"/>
      <c r="Q64899" s="8"/>
      <c r="R64899" s="103"/>
    </row>
    <row r="64900" spans="1:18" x14ac:dyDescent="0.25">
      <c r="A64900" s="8"/>
      <c r="B64900" s="8"/>
      <c r="C64900" s="99"/>
      <c r="D64900" s="8"/>
      <c r="E64900" s="8"/>
      <c r="F64900" s="8"/>
      <c r="G64900" s="8"/>
      <c r="H64900" s="8"/>
      <c r="I64900" s="102"/>
      <c r="J64900" s="8"/>
      <c r="K64900" s="8"/>
      <c r="L64900" s="8"/>
      <c r="M64900" s="8"/>
      <c r="N64900" s="8"/>
      <c r="O64900" s="8"/>
      <c r="P64900" s="8"/>
      <c r="Q64900" s="8"/>
      <c r="R64900" s="103"/>
    </row>
    <row r="64901" spans="1:18" x14ac:dyDescent="0.25">
      <c r="A64901" s="8"/>
      <c r="B64901" s="8"/>
      <c r="C64901" s="99"/>
      <c r="D64901" s="8"/>
      <c r="E64901" s="8"/>
      <c r="F64901" s="8"/>
      <c r="G64901" s="8"/>
      <c r="H64901" s="8"/>
      <c r="I64901" s="102"/>
      <c r="J64901" s="8"/>
      <c r="K64901" s="8"/>
      <c r="L64901" s="8"/>
      <c r="M64901" s="8"/>
      <c r="N64901" s="8"/>
      <c r="O64901" s="8"/>
      <c r="P64901" s="8"/>
      <c r="Q64901" s="8"/>
      <c r="R64901" s="103"/>
    </row>
    <row r="64902" spans="1:18" x14ac:dyDescent="0.25">
      <c r="A64902" s="8"/>
      <c r="B64902" s="8"/>
      <c r="C64902" s="99"/>
      <c r="D64902" s="8"/>
      <c r="E64902" s="8"/>
      <c r="F64902" s="8"/>
      <c r="G64902" s="8"/>
      <c r="H64902" s="8"/>
      <c r="I64902" s="102"/>
      <c r="J64902" s="8"/>
      <c r="K64902" s="8"/>
      <c r="L64902" s="8"/>
      <c r="M64902" s="8"/>
      <c r="N64902" s="8"/>
      <c r="O64902" s="8"/>
      <c r="P64902" s="8"/>
      <c r="Q64902" s="8"/>
      <c r="R64902" s="103"/>
    </row>
    <row r="64903" spans="1:18" x14ac:dyDescent="0.25">
      <c r="A64903" s="8"/>
      <c r="B64903" s="8"/>
      <c r="C64903" s="99"/>
      <c r="D64903" s="8"/>
      <c r="E64903" s="8"/>
      <c r="F64903" s="8"/>
      <c r="G64903" s="8"/>
      <c r="H64903" s="8"/>
      <c r="I64903" s="102"/>
      <c r="J64903" s="8"/>
      <c r="K64903" s="8"/>
      <c r="L64903" s="8"/>
      <c r="M64903" s="8"/>
      <c r="N64903" s="8"/>
      <c r="O64903" s="8"/>
      <c r="P64903" s="8"/>
      <c r="Q64903" s="8"/>
      <c r="R64903" s="103"/>
    </row>
    <row r="64904" spans="1:18" x14ac:dyDescent="0.25">
      <c r="A64904" s="8"/>
      <c r="B64904" s="8"/>
      <c r="C64904" s="99"/>
      <c r="D64904" s="8"/>
      <c r="E64904" s="8"/>
      <c r="F64904" s="8"/>
      <c r="G64904" s="8"/>
      <c r="H64904" s="8"/>
      <c r="I64904" s="102"/>
      <c r="J64904" s="8"/>
      <c r="K64904" s="8"/>
      <c r="L64904" s="8"/>
      <c r="M64904" s="8"/>
      <c r="N64904" s="8"/>
      <c r="O64904" s="8"/>
      <c r="P64904" s="8"/>
      <c r="Q64904" s="8"/>
      <c r="R64904" s="103"/>
    </row>
    <row r="64905" spans="1:18" x14ac:dyDescent="0.25">
      <c r="A64905" s="8"/>
      <c r="B64905" s="8"/>
      <c r="C64905" s="99"/>
      <c r="D64905" s="8"/>
      <c r="E64905" s="8"/>
      <c r="F64905" s="8"/>
      <c r="G64905" s="8"/>
      <c r="H64905" s="8"/>
      <c r="I64905" s="102"/>
      <c r="J64905" s="8"/>
      <c r="K64905" s="8"/>
      <c r="L64905" s="8"/>
      <c r="M64905" s="8"/>
      <c r="N64905" s="8"/>
      <c r="O64905" s="8"/>
      <c r="P64905" s="8"/>
      <c r="Q64905" s="8"/>
      <c r="R64905" s="103"/>
    </row>
    <row r="64906" spans="1:18" x14ac:dyDescent="0.25">
      <c r="A64906" s="8"/>
      <c r="B64906" s="8"/>
      <c r="C64906" s="99"/>
      <c r="D64906" s="8"/>
      <c r="E64906" s="8"/>
      <c r="F64906" s="8"/>
      <c r="G64906" s="8"/>
      <c r="H64906" s="8"/>
      <c r="I64906" s="102"/>
      <c r="J64906" s="8"/>
      <c r="K64906" s="8"/>
      <c r="L64906" s="8"/>
      <c r="M64906" s="8"/>
      <c r="N64906" s="8"/>
      <c r="O64906" s="8"/>
      <c r="P64906" s="8"/>
      <c r="Q64906" s="8"/>
      <c r="R64906" s="103"/>
    </row>
    <row r="64907" spans="1:18" x14ac:dyDescent="0.25">
      <c r="A64907" s="8"/>
      <c r="B64907" s="8"/>
      <c r="C64907" s="99"/>
      <c r="D64907" s="8"/>
      <c r="E64907" s="8"/>
      <c r="F64907" s="8"/>
      <c r="G64907" s="8"/>
      <c r="H64907" s="8"/>
      <c r="I64907" s="102"/>
      <c r="J64907" s="8"/>
      <c r="K64907" s="8"/>
      <c r="L64907" s="8"/>
      <c r="M64907" s="8"/>
      <c r="N64907" s="8"/>
      <c r="O64907" s="8"/>
      <c r="P64907" s="8"/>
      <c r="Q64907" s="8"/>
      <c r="R64907" s="103"/>
    </row>
    <row r="64908" spans="1:18" x14ac:dyDescent="0.25">
      <c r="A64908" s="8"/>
      <c r="B64908" s="8"/>
      <c r="C64908" s="99"/>
      <c r="D64908" s="8"/>
      <c r="E64908" s="8"/>
      <c r="F64908" s="8"/>
      <c r="G64908" s="8"/>
      <c r="H64908" s="8"/>
      <c r="I64908" s="102"/>
      <c r="J64908" s="8"/>
      <c r="K64908" s="8"/>
      <c r="L64908" s="8"/>
      <c r="M64908" s="8"/>
      <c r="N64908" s="8"/>
      <c r="O64908" s="8"/>
      <c r="P64908" s="8"/>
      <c r="Q64908" s="8"/>
      <c r="R64908" s="103"/>
    </row>
    <row r="64909" spans="1:18" x14ac:dyDescent="0.25">
      <c r="A64909" s="8"/>
      <c r="B64909" s="8"/>
      <c r="C64909" s="99"/>
      <c r="D64909" s="8"/>
      <c r="E64909" s="8"/>
      <c r="F64909" s="8"/>
      <c r="G64909" s="8"/>
      <c r="H64909" s="8"/>
      <c r="I64909" s="102"/>
      <c r="J64909" s="8"/>
      <c r="K64909" s="8"/>
      <c r="L64909" s="8"/>
      <c r="M64909" s="8"/>
      <c r="N64909" s="8"/>
      <c r="O64909" s="8"/>
      <c r="P64909" s="8"/>
      <c r="Q64909" s="8"/>
      <c r="R64909" s="103"/>
    </row>
    <row r="64910" spans="1:18" x14ac:dyDescent="0.25">
      <c r="A64910" s="8"/>
      <c r="B64910" s="8"/>
      <c r="C64910" s="99"/>
      <c r="D64910" s="8"/>
      <c r="E64910" s="8"/>
      <c r="F64910" s="8"/>
      <c r="G64910" s="8"/>
      <c r="H64910" s="8"/>
      <c r="I64910" s="102"/>
      <c r="J64910" s="8"/>
      <c r="K64910" s="8"/>
      <c r="L64910" s="8"/>
      <c r="M64910" s="8"/>
      <c r="N64910" s="8"/>
      <c r="O64910" s="8"/>
      <c r="P64910" s="8"/>
      <c r="Q64910" s="8"/>
      <c r="R64910" s="103"/>
    </row>
    <row r="64911" spans="1:18" x14ac:dyDescent="0.25">
      <c r="A64911" s="8"/>
      <c r="B64911" s="8"/>
      <c r="C64911" s="99"/>
      <c r="D64911" s="8"/>
      <c r="E64911" s="8"/>
      <c r="F64911" s="8"/>
      <c r="G64911" s="8"/>
      <c r="H64911" s="8"/>
      <c r="I64911" s="102"/>
      <c r="J64911" s="8"/>
      <c r="K64911" s="8"/>
      <c r="L64911" s="8"/>
      <c r="M64911" s="8"/>
      <c r="N64911" s="8"/>
      <c r="O64911" s="8"/>
      <c r="P64911" s="8"/>
      <c r="Q64911" s="8"/>
      <c r="R64911" s="103"/>
    </row>
    <row r="64912" spans="1:18" x14ac:dyDescent="0.25">
      <c r="A64912" s="8"/>
      <c r="B64912" s="8"/>
      <c r="C64912" s="99"/>
      <c r="D64912" s="8"/>
      <c r="E64912" s="8"/>
      <c r="F64912" s="8"/>
      <c r="G64912" s="8"/>
      <c r="H64912" s="8"/>
      <c r="I64912" s="102"/>
      <c r="J64912" s="8"/>
      <c r="K64912" s="8"/>
      <c r="L64912" s="8"/>
      <c r="M64912" s="8"/>
      <c r="N64912" s="8"/>
      <c r="O64912" s="8"/>
      <c r="P64912" s="8"/>
      <c r="Q64912" s="8"/>
      <c r="R64912" s="103"/>
    </row>
    <row r="64913" spans="1:18" x14ac:dyDescent="0.25">
      <c r="A64913" s="8"/>
      <c r="B64913" s="8"/>
      <c r="C64913" s="99"/>
      <c r="D64913" s="8"/>
      <c r="E64913" s="8"/>
      <c r="F64913" s="8"/>
      <c r="G64913" s="8"/>
      <c r="H64913" s="8"/>
      <c r="I64913" s="102"/>
      <c r="J64913" s="8"/>
      <c r="K64913" s="8"/>
      <c r="L64913" s="8"/>
      <c r="M64913" s="8"/>
      <c r="N64913" s="8"/>
      <c r="O64913" s="8"/>
      <c r="P64913" s="8"/>
      <c r="Q64913" s="8"/>
      <c r="R64913" s="103"/>
    </row>
    <row r="64914" spans="1:18" x14ac:dyDescent="0.25">
      <c r="A64914" s="8"/>
      <c r="B64914" s="8"/>
      <c r="C64914" s="99"/>
      <c r="D64914" s="8"/>
      <c r="E64914" s="8"/>
      <c r="F64914" s="8"/>
      <c r="G64914" s="8"/>
      <c r="H64914" s="8"/>
      <c r="I64914" s="102"/>
      <c r="J64914" s="8"/>
      <c r="K64914" s="8"/>
      <c r="L64914" s="8"/>
      <c r="M64914" s="8"/>
      <c r="N64914" s="8"/>
      <c r="O64914" s="8"/>
      <c r="P64914" s="8"/>
      <c r="Q64914" s="8"/>
      <c r="R64914" s="103"/>
    </row>
    <row r="64915" spans="1:18" x14ac:dyDescent="0.25">
      <c r="A64915" s="8"/>
      <c r="B64915" s="8"/>
      <c r="C64915" s="99"/>
      <c r="D64915" s="8"/>
      <c r="E64915" s="8"/>
      <c r="F64915" s="8"/>
      <c r="G64915" s="8"/>
      <c r="H64915" s="8"/>
      <c r="I64915" s="102"/>
      <c r="J64915" s="8"/>
      <c r="K64915" s="8"/>
      <c r="L64915" s="8"/>
      <c r="M64915" s="8"/>
      <c r="N64915" s="8"/>
      <c r="O64915" s="8"/>
      <c r="P64915" s="8"/>
      <c r="Q64915" s="8"/>
      <c r="R64915" s="103"/>
    </row>
    <row r="64916" spans="1:18" x14ac:dyDescent="0.25">
      <c r="A64916" s="8"/>
      <c r="B64916" s="8"/>
      <c r="C64916" s="99"/>
      <c r="D64916" s="8"/>
      <c r="E64916" s="8"/>
      <c r="F64916" s="8"/>
      <c r="G64916" s="8"/>
      <c r="H64916" s="8"/>
      <c r="I64916" s="102"/>
      <c r="J64916" s="8"/>
      <c r="K64916" s="8"/>
      <c r="L64916" s="8"/>
      <c r="M64916" s="8"/>
      <c r="N64916" s="8"/>
      <c r="O64916" s="8"/>
      <c r="P64916" s="8"/>
      <c r="Q64916" s="8"/>
      <c r="R64916" s="103"/>
    </row>
    <row r="64917" spans="1:18" x14ac:dyDescent="0.25">
      <c r="A64917" s="8"/>
      <c r="B64917" s="8"/>
      <c r="C64917" s="99"/>
      <c r="D64917" s="8"/>
      <c r="E64917" s="8"/>
      <c r="F64917" s="8"/>
      <c r="G64917" s="8"/>
      <c r="H64917" s="8"/>
      <c r="I64917" s="102"/>
      <c r="J64917" s="8"/>
      <c r="K64917" s="8"/>
      <c r="L64917" s="8"/>
      <c r="M64917" s="8"/>
      <c r="N64917" s="8"/>
      <c r="O64917" s="8"/>
      <c r="P64917" s="8"/>
      <c r="Q64917" s="8"/>
      <c r="R64917" s="103"/>
    </row>
    <row r="64918" spans="1:18" x14ac:dyDescent="0.25">
      <c r="A64918" s="8"/>
      <c r="B64918" s="8"/>
      <c r="C64918" s="99"/>
      <c r="D64918" s="8"/>
      <c r="E64918" s="8"/>
      <c r="F64918" s="8"/>
      <c r="G64918" s="8"/>
      <c r="H64918" s="8"/>
      <c r="I64918" s="102"/>
      <c r="J64918" s="8"/>
      <c r="K64918" s="8"/>
      <c r="L64918" s="8"/>
      <c r="M64918" s="8"/>
      <c r="N64918" s="8"/>
      <c r="O64918" s="8"/>
      <c r="P64918" s="8"/>
      <c r="Q64918" s="8"/>
      <c r="R64918" s="103"/>
    </row>
    <row r="64919" spans="1:18" x14ac:dyDescent="0.25">
      <c r="A64919" s="8"/>
      <c r="B64919" s="8"/>
      <c r="C64919" s="99"/>
      <c r="D64919" s="8"/>
      <c r="E64919" s="8"/>
      <c r="F64919" s="8"/>
      <c r="G64919" s="8"/>
      <c r="H64919" s="8"/>
      <c r="I64919" s="102"/>
      <c r="J64919" s="8"/>
      <c r="K64919" s="8"/>
      <c r="L64919" s="8"/>
      <c r="M64919" s="8"/>
      <c r="N64919" s="8"/>
      <c r="O64919" s="8"/>
      <c r="P64919" s="8"/>
      <c r="Q64919" s="8"/>
      <c r="R64919" s="103"/>
    </row>
    <row r="64920" spans="1:18" x14ac:dyDescent="0.25">
      <c r="A64920" s="8"/>
      <c r="B64920" s="8"/>
      <c r="C64920" s="99"/>
      <c r="D64920" s="8"/>
      <c r="E64920" s="8"/>
      <c r="F64920" s="8"/>
      <c r="G64920" s="8"/>
      <c r="H64920" s="8"/>
      <c r="I64920" s="102"/>
      <c r="J64920" s="8"/>
      <c r="K64920" s="8"/>
      <c r="L64920" s="8"/>
      <c r="M64920" s="8"/>
      <c r="N64920" s="8"/>
      <c r="O64920" s="8"/>
      <c r="P64920" s="8"/>
      <c r="Q64920" s="8"/>
      <c r="R64920" s="103"/>
    </row>
    <row r="64921" spans="1:18" x14ac:dyDescent="0.25">
      <c r="A64921" s="8"/>
      <c r="B64921" s="8"/>
      <c r="C64921" s="99"/>
      <c r="D64921" s="8"/>
      <c r="E64921" s="8"/>
      <c r="F64921" s="8"/>
      <c r="G64921" s="8"/>
      <c r="H64921" s="8"/>
      <c r="I64921" s="102"/>
      <c r="J64921" s="8"/>
      <c r="K64921" s="8"/>
      <c r="L64921" s="8"/>
      <c r="M64921" s="8"/>
      <c r="N64921" s="8"/>
      <c r="O64921" s="8"/>
      <c r="P64921" s="8"/>
      <c r="Q64921" s="8"/>
      <c r="R64921" s="103"/>
    </row>
    <row r="64922" spans="1:18" x14ac:dyDescent="0.25">
      <c r="A64922" s="8"/>
      <c r="B64922" s="8"/>
      <c r="C64922" s="99"/>
      <c r="D64922" s="8"/>
      <c r="E64922" s="8"/>
      <c r="F64922" s="8"/>
      <c r="G64922" s="8"/>
      <c r="H64922" s="8"/>
      <c r="I64922" s="102"/>
      <c r="J64922" s="8"/>
      <c r="K64922" s="8"/>
      <c r="L64922" s="8"/>
      <c r="M64922" s="8"/>
      <c r="N64922" s="8"/>
      <c r="O64922" s="8"/>
      <c r="P64922" s="8"/>
      <c r="Q64922" s="8"/>
      <c r="R64922" s="103"/>
    </row>
    <row r="64923" spans="1:18" x14ac:dyDescent="0.25">
      <c r="A64923" s="8"/>
      <c r="B64923" s="8"/>
      <c r="C64923" s="99"/>
      <c r="D64923" s="8"/>
      <c r="E64923" s="8"/>
      <c r="F64923" s="8"/>
      <c r="G64923" s="8"/>
      <c r="H64923" s="8"/>
      <c r="I64923" s="102"/>
      <c r="J64923" s="8"/>
      <c r="K64923" s="8"/>
      <c r="L64923" s="8"/>
      <c r="M64923" s="8"/>
      <c r="N64923" s="8"/>
      <c r="O64923" s="8"/>
      <c r="P64923" s="8"/>
      <c r="Q64923" s="8"/>
      <c r="R64923" s="103"/>
    </row>
    <row r="64924" spans="1:18" x14ac:dyDescent="0.25">
      <c r="A64924" s="8"/>
      <c r="B64924" s="8"/>
      <c r="C64924" s="99"/>
      <c r="D64924" s="8"/>
      <c r="E64924" s="8"/>
      <c r="F64924" s="8"/>
      <c r="G64924" s="8"/>
      <c r="H64924" s="8"/>
      <c r="I64924" s="102"/>
      <c r="J64924" s="8"/>
      <c r="K64924" s="8"/>
      <c r="L64924" s="8"/>
      <c r="M64924" s="8"/>
      <c r="N64924" s="8"/>
      <c r="O64924" s="8"/>
      <c r="P64924" s="8"/>
      <c r="Q64924" s="8"/>
      <c r="R64924" s="103"/>
    </row>
    <row r="64925" spans="1:18" x14ac:dyDescent="0.25">
      <c r="A64925" s="8"/>
      <c r="B64925" s="8"/>
      <c r="C64925" s="99"/>
      <c r="D64925" s="8"/>
      <c r="E64925" s="8"/>
      <c r="F64925" s="8"/>
      <c r="G64925" s="8"/>
      <c r="H64925" s="8"/>
      <c r="I64925" s="102"/>
      <c r="J64925" s="8"/>
      <c r="K64925" s="8"/>
      <c r="L64925" s="8"/>
      <c r="M64925" s="8"/>
      <c r="N64925" s="8"/>
      <c r="O64925" s="8"/>
      <c r="P64925" s="8"/>
      <c r="Q64925" s="8"/>
      <c r="R64925" s="103"/>
    </row>
    <row r="64926" spans="1:18" x14ac:dyDescent="0.25">
      <c r="A64926" s="8"/>
      <c r="B64926" s="8"/>
      <c r="C64926" s="99"/>
      <c r="D64926" s="8"/>
      <c r="E64926" s="8"/>
      <c r="F64926" s="8"/>
      <c r="G64926" s="8"/>
      <c r="H64926" s="8"/>
      <c r="I64926" s="102"/>
      <c r="J64926" s="8"/>
      <c r="K64926" s="8"/>
      <c r="L64926" s="8"/>
      <c r="M64926" s="8"/>
      <c r="N64926" s="8"/>
      <c r="O64926" s="8"/>
      <c r="P64926" s="8"/>
      <c r="Q64926" s="8"/>
      <c r="R64926" s="103"/>
    </row>
    <row r="64927" spans="1:18" x14ac:dyDescent="0.25">
      <c r="A64927" s="8"/>
      <c r="B64927" s="8"/>
      <c r="C64927" s="99"/>
      <c r="D64927" s="8"/>
      <c r="E64927" s="8"/>
      <c r="F64927" s="8"/>
      <c r="G64927" s="8"/>
      <c r="H64927" s="8"/>
      <c r="I64927" s="102"/>
      <c r="J64927" s="8"/>
      <c r="K64927" s="8"/>
      <c r="L64927" s="8"/>
      <c r="M64927" s="8"/>
      <c r="N64927" s="8"/>
      <c r="O64927" s="8"/>
      <c r="P64927" s="8"/>
      <c r="Q64927" s="8"/>
      <c r="R64927" s="103"/>
    </row>
    <row r="64928" spans="1:18" x14ac:dyDescent="0.25">
      <c r="A64928" s="8"/>
      <c r="B64928" s="8"/>
      <c r="C64928" s="99"/>
      <c r="D64928" s="8"/>
      <c r="E64928" s="8"/>
      <c r="F64928" s="8"/>
      <c r="G64928" s="8"/>
      <c r="H64928" s="8"/>
      <c r="I64928" s="102"/>
      <c r="J64928" s="8"/>
      <c r="K64928" s="8"/>
      <c r="L64928" s="8"/>
      <c r="M64928" s="8"/>
      <c r="N64928" s="8"/>
      <c r="O64928" s="8"/>
      <c r="P64928" s="8"/>
      <c r="Q64928" s="8"/>
      <c r="R64928" s="103"/>
    </row>
    <row r="64929" spans="1:18" x14ac:dyDescent="0.25">
      <c r="A64929" s="8"/>
      <c r="B64929" s="8"/>
      <c r="C64929" s="99"/>
      <c r="D64929" s="8"/>
      <c r="E64929" s="8"/>
      <c r="F64929" s="8"/>
      <c r="G64929" s="8"/>
      <c r="H64929" s="8"/>
      <c r="I64929" s="102"/>
      <c r="J64929" s="8"/>
      <c r="K64929" s="8"/>
      <c r="L64929" s="8"/>
      <c r="M64929" s="8"/>
      <c r="N64929" s="8"/>
      <c r="O64929" s="8"/>
      <c r="P64929" s="8"/>
      <c r="Q64929" s="8"/>
      <c r="R64929" s="103"/>
    </row>
    <row r="64930" spans="1:18" x14ac:dyDescent="0.25">
      <c r="A64930" s="8"/>
      <c r="B64930" s="8"/>
      <c r="C64930" s="99"/>
      <c r="D64930" s="8"/>
      <c r="E64930" s="8"/>
      <c r="F64930" s="8"/>
      <c r="G64930" s="8"/>
      <c r="H64930" s="8"/>
      <c r="I64930" s="102"/>
      <c r="J64930" s="8"/>
      <c r="K64930" s="8"/>
      <c r="L64930" s="8"/>
      <c r="M64930" s="8"/>
      <c r="N64930" s="8"/>
      <c r="O64930" s="8"/>
      <c r="P64930" s="8"/>
      <c r="Q64930" s="8"/>
      <c r="R64930" s="103"/>
    </row>
    <row r="64931" spans="1:18" x14ac:dyDescent="0.25">
      <c r="A64931" s="8"/>
      <c r="B64931" s="8"/>
      <c r="C64931" s="99"/>
      <c r="D64931" s="8"/>
      <c r="E64931" s="8"/>
      <c r="F64931" s="8"/>
      <c r="G64931" s="8"/>
      <c r="H64931" s="8"/>
      <c r="I64931" s="102"/>
      <c r="J64931" s="8"/>
      <c r="K64931" s="8"/>
      <c r="L64931" s="8"/>
      <c r="M64931" s="8"/>
      <c r="N64931" s="8"/>
      <c r="O64931" s="8"/>
      <c r="P64931" s="8"/>
      <c r="Q64931" s="8"/>
      <c r="R64931" s="103"/>
    </row>
    <row r="64932" spans="1:18" x14ac:dyDescent="0.25">
      <c r="A64932" s="8"/>
      <c r="B64932" s="8"/>
      <c r="C64932" s="99"/>
      <c r="D64932" s="8"/>
      <c r="E64932" s="8"/>
      <c r="F64932" s="8"/>
      <c r="G64932" s="8"/>
      <c r="H64932" s="8"/>
      <c r="I64932" s="102"/>
      <c r="J64932" s="8"/>
      <c r="K64932" s="8"/>
      <c r="L64932" s="8"/>
      <c r="M64932" s="8"/>
      <c r="N64932" s="8"/>
      <c r="O64932" s="8"/>
      <c r="P64932" s="8"/>
      <c r="Q64932" s="8"/>
      <c r="R64932" s="103"/>
    </row>
    <row r="64933" spans="1:18" x14ac:dyDescent="0.25">
      <c r="A64933" s="8"/>
      <c r="B64933" s="8"/>
      <c r="C64933" s="99"/>
      <c r="D64933" s="8"/>
      <c r="E64933" s="8"/>
      <c r="F64933" s="8"/>
      <c r="G64933" s="8"/>
      <c r="H64933" s="8"/>
      <c r="I64933" s="102"/>
      <c r="J64933" s="8"/>
      <c r="K64933" s="8"/>
      <c r="L64933" s="8"/>
      <c r="M64933" s="8"/>
      <c r="N64933" s="8"/>
      <c r="O64933" s="8"/>
      <c r="P64933" s="8"/>
      <c r="Q64933" s="8"/>
      <c r="R64933" s="103"/>
    </row>
    <row r="64934" spans="1:18" x14ac:dyDescent="0.25">
      <c r="A64934" s="8"/>
      <c r="B64934" s="8"/>
      <c r="C64934" s="99"/>
      <c r="D64934" s="8"/>
      <c r="E64934" s="8"/>
      <c r="F64934" s="8"/>
      <c r="G64934" s="8"/>
      <c r="H64934" s="8"/>
      <c r="I64934" s="102"/>
      <c r="J64934" s="8"/>
      <c r="K64934" s="8"/>
      <c r="L64934" s="8"/>
      <c r="M64934" s="8"/>
      <c r="N64934" s="8"/>
      <c r="O64934" s="8"/>
      <c r="P64934" s="8"/>
      <c r="Q64934" s="8"/>
      <c r="R64934" s="103"/>
    </row>
    <row r="64935" spans="1:18" x14ac:dyDescent="0.25">
      <c r="A64935" s="8"/>
      <c r="B64935" s="8"/>
      <c r="C64935" s="99"/>
      <c r="D64935" s="8"/>
      <c r="E64935" s="8"/>
      <c r="F64935" s="8"/>
      <c r="G64935" s="8"/>
      <c r="H64935" s="8"/>
      <c r="I64935" s="102"/>
      <c r="J64935" s="8"/>
      <c r="K64935" s="8"/>
      <c r="L64935" s="8"/>
      <c r="M64935" s="8"/>
      <c r="N64935" s="8"/>
      <c r="O64935" s="8"/>
      <c r="P64935" s="8"/>
      <c r="Q64935" s="8"/>
      <c r="R64935" s="103"/>
    </row>
    <row r="64936" spans="1:18" x14ac:dyDescent="0.25">
      <c r="A64936" s="8"/>
      <c r="B64936" s="8"/>
      <c r="C64936" s="99"/>
      <c r="D64936" s="8"/>
      <c r="E64936" s="8"/>
      <c r="F64936" s="8"/>
      <c r="G64936" s="8"/>
      <c r="H64936" s="8"/>
      <c r="I64936" s="102"/>
      <c r="J64936" s="8"/>
      <c r="K64936" s="8"/>
      <c r="L64936" s="8"/>
      <c r="M64936" s="8"/>
      <c r="N64936" s="8"/>
      <c r="O64936" s="8"/>
      <c r="P64936" s="8"/>
      <c r="Q64936" s="8"/>
      <c r="R64936" s="103"/>
    </row>
    <row r="64937" spans="1:18" x14ac:dyDescent="0.25">
      <c r="A64937" s="8"/>
      <c r="B64937" s="8"/>
      <c r="C64937" s="99"/>
      <c r="D64937" s="8"/>
      <c r="E64937" s="8"/>
      <c r="F64937" s="8"/>
      <c r="G64937" s="8"/>
      <c r="H64937" s="8"/>
      <c r="I64937" s="102"/>
      <c r="J64937" s="8"/>
      <c r="K64937" s="8"/>
      <c r="L64937" s="8"/>
      <c r="M64937" s="8"/>
      <c r="N64937" s="8"/>
      <c r="O64937" s="8"/>
      <c r="P64937" s="8"/>
      <c r="Q64937" s="8"/>
      <c r="R64937" s="103"/>
    </row>
    <row r="64938" spans="1:18" x14ac:dyDescent="0.25">
      <c r="A64938" s="8"/>
      <c r="B64938" s="8"/>
      <c r="C64938" s="99"/>
      <c r="D64938" s="8"/>
      <c r="E64938" s="8"/>
      <c r="F64938" s="8"/>
      <c r="G64938" s="8"/>
      <c r="H64938" s="8"/>
      <c r="I64938" s="102"/>
      <c r="J64938" s="8"/>
      <c r="K64938" s="8"/>
      <c r="L64938" s="8"/>
      <c r="M64938" s="8"/>
      <c r="N64938" s="8"/>
      <c r="O64938" s="8"/>
      <c r="P64938" s="8"/>
      <c r="Q64938" s="8"/>
      <c r="R64938" s="103"/>
    </row>
    <row r="64939" spans="1:18" x14ac:dyDescent="0.25">
      <c r="A64939" s="8"/>
      <c r="B64939" s="8"/>
      <c r="C64939" s="99"/>
      <c r="D64939" s="8"/>
      <c r="E64939" s="8"/>
      <c r="F64939" s="8"/>
      <c r="G64939" s="8"/>
      <c r="H64939" s="8"/>
      <c r="I64939" s="102"/>
      <c r="J64939" s="8"/>
      <c r="K64939" s="8"/>
      <c r="L64939" s="8"/>
      <c r="M64939" s="8"/>
      <c r="N64939" s="8"/>
      <c r="O64939" s="8"/>
      <c r="P64939" s="8"/>
      <c r="Q64939" s="8"/>
      <c r="R64939" s="103"/>
    </row>
    <row r="64940" spans="1:18" x14ac:dyDescent="0.25">
      <c r="A64940" s="8"/>
      <c r="B64940" s="8"/>
      <c r="C64940" s="99"/>
      <c r="D64940" s="8"/>
      <c r="E64940" s="8"/>
      <c r="F64940" s="8"/>
      <c r="G64940" s="8"/>
      <c r="H64940" s="8"/>
      <c r="I64940" s="102"/>
      <c r="J64940" s="8"/>
      <c r="K64940" s="8"/>
      <c r="L64940" s="8"/>
      <c r="M64940" s="8"/>
      <c r="N64940" s="8"/>
      <c r="O64940" s="8"/>
      <c r="P64940" s="8"/>
      <c r="Q64940" s="8"/>
      <c r="R64940" s="103"/>
    </row>
    <row r="64941" spans="1:18" x14ac:dyDescent="0.25">
      <c r="A64941" s="8"/>
      <c r="B64941" s="8"/>
      <c r="C64941" s="99"/>
      <c r="D64941" s="8"/>
      <c r="E64941" s="8"/>
      <c r="F64941" s="8"/>
      <c r="G64941" s="8"/>
      <c r="H64941" s="8"/>
      <c r="I64941" s="102"/>
      <c r="J64941" s="8"/>
      <c r="K64941" s="8"/>
      <c r="L64941" s="8"/>
      <c r="M64941" s="8"/>
      <c r="N64941" s="8"/>
      <c r="O64941" s="8"/>
      <c r="P64941" s="8"/>
      <c r="Q64941" s="8"/>
      <c r="R64941" s="103"/>
    </row>
    <row r="64942" spans="1:18" x14ac:dyDescent="0.25">
      <c r="A64942" s="8"/>
      <c r="B64942" s="8"/>
      <c r="C64942" s="99"/>
      <c r="D64942" s="8"/>
      <c r="E64942" s="8"/>
      <c r="F64942" s="8"/>
      <c r="G64942" s="8"/>
      <c r="H64942" s="8"/>
      <c r="I64942" s="102"/>
      <c r="J64942" s="8"/>
      <c r="K64942" s="8"/>
      <c r="L64942" s="8"/>
      <c r="M64942" s="8"/>
      <c r="N64942" s="8"/>
      <c r="O64942" s="8"/>
      <c r="P64942" s="8"/>
      <c r="Q64942" s="8"/>
      <c r="R64942" s="103"/>
    </row>
    <row r="64943" spans="1:18" x14ac:dyDescent="0.25">
      <c r="A64943" s="8"/>
      <c r="B64943" s="8"/>
      <c r="C64943" s="99"/>
      <c r="D64943" s="8"/>
      <c r="E64943" s="8"/>
      <c r="F64943" s="8"/>
      <c r="G64943" s="8"/>
      <c r="H64943" s="8"/>
      <c r="I64943" s="102"/>
      <c r="J64943" s="8"/>
      <c r="K64943" s="8"/>
      <c r="L64943" s="8"/>
      <c r="M64943" s="8"/>
      <c r="N64943" s="8"/>
      <c r="O64943" s="8"/>
      <c r="P64943" s="8"/>
      <c r="Q64943" s="8"/>
      <c r="R64943" s="103"/>
    </row>
    <row r="64944" spans="1:18" x14ac:dyDescent="0.25">
      <c r="A64944" s="8"/>
      <c r="B64944" s="8"/>
      <c r="C64944" s="99"/>
      <c r="D64944" s="8"/>
      <c r="E64944" s="8"/>
      <c r="F64944" s="8"/>
      <c r="G64944" s="8"/>
      <c r="H64944" s="8"/>
      <c r="I64944" s="102"/>
      <c r="J64944" s="8"/>
      <c r="K64944" s="8"/>
      <c r="L64944" s="8"/>
      <c r="M64944" s="8"/>
      <c r="N64944" s="8"/>
      <c r="O64944" s="8"/>
      <c r="P64944" s="8"/>
      <c r="Q64944" s="8"/>
      <c r="R64944" s="103"/>
    </row>
    <row r="64945" spans="1:18" x14ac:dyDescent="0.25">
      <c r="A64945" s="8"/>
      <c r="B64945" s="8"/>
      <c r="C64945" s="99"/>
      <c r="D64945" s="8"/>
      <c r="E64945" s="8"/>
      <c r="F64945" s="8"/>
      <c r="G64945" s="8"/>
      <c r="H64945" s="8"/>
      <c r="I64945" s="102"/>
      <c r="J64945" s="8"/>
      <c r="K64945" s="8"/>
      <c r="L64945" s="8"/>
      <c r="M64945" s="8"/>
      <c r="N64945" s="8"/>
      <c r="O64945" s="8"/>
      <c r="P64945" s="8"/>
      <c r="Q64945" s="8"/>
      <c r="R64945" s="103"/>
    </row>
    <row r="64946" spans="1:18" x14ac:dyDescent="0.25">
      <c r="A64946" s="8"/>
      <c r="B64946" s="8"/>
      <c r="C64946" s="99"/>
      <c r="D64946" s="8"/>
      <c r="E64946" s="8"/>
      <c r="F64946" s="8"/>
      <c r="G64946" s="8"/>
      <c r="H64946" s="8"/>
      <c r="I64946" s="102"/>
      <c r="J64946" s="8"/>
      <c r="K64946" s="8"/>
      <c r="L64946" s="8"/>
      <c r="M64946" s="8"/>
      <c r="N64946" s="8"/>
      <c r="O64946" s="8"/>
      <c r="P64946" s="8"/>
      <c r="Q64946" s="8"/>
      <c r="R64946" s="103"/>
    </row>
    <row r="64947" spans="1:18" x14ac:dyDescent="0.25">
      <c r="A64947" s="8"/>
      <c r="B64947" s="8"/>
      <c r="C64947" s="99"/>
      <c r="D64947" s="8"/>
      <c r="E64947" s="8"/>
      <c r="F64947" s="8"/>
      <c r="G64947" s="8"/>
      <c r="H64947" s="8"/>
      <c r="I64947" s="102"/>
      <c r="J64947" s="8"/>
      <c r="K64947" s="8"/>
      <c r="L64947" s="8"/>
      <c r="M64947" s="8"/>
      <c r="N64947" s="8"/>
      <c r="O64947" s="8"/>
      <c r="P64947" s="8"/>
      <c r="Q64947" s="8"/>
      <c r="R64947" s="103"/>
    </row>
    <row r="64948" spans="1:18" x14ac:dyDescent="0.25">
      <c r="A64948" s="8"/>
      <c r="B64948" s="8"/>
      <c r="C64948" s="99"/>
      <c r="D64948" s="8"/>
      <c r="E64948" s="8"/>
      <c r="F64948" s="8"/>
      <c r="G64948" s="8"/>
      <c r="H64948" s="8"/>
      <c r="I64948" s="102"/>
      <c r="J64948" s="8"/>
      <c r="K64948" s="8"/>
      <c r="L64948" s="8"/>
      <c r="M64948" s="8"/>
      <c r="N64948" s="8"/>
      <c r="O64948" s="8"/>
      <c r="P64948" s="8"/>
      <c r="Q64948" s="8"/>
      <c r="R64948" s="103"/>
    </row>
    <row r="64949" spans="1:18" x14ac:dyDescent="0.25">
      <c r="A64949" s="8"/>
      <c r="B64949" s="8"/>
      <c r="C64949" s="99"/>
      <c r="D64949" s="8"/>
      <c r="E64949" s="8"/>
      <c r="F64949" s="8"/>
      <c r="G64949" s="8"/>
      <c r="H64949" s="8"/>
      <c r="I64949" s="102"/>
      <c r="J64949" s="8"/>
      <c r="K64949" s="8"/>
      <c r="L64949" s="8"/>
      <c r="M64949" s="8"/>
      <c r="N64949" s="8"/>
      <c r="O64949" s="8"/>
      <c r="P64949" s="8"/>
      <c r="Q64949" s="8"/>
      <c r="R64949" s="103"/>
    </row>
    <row r="64950" spans="1:18" x14ac:dyDescent="0.25">
      <c r="A64950" s="8"/>
      <c r="B64950" s="8"/>
      <c r="C64950" s="99"/>
      <c r="D64950" s="8"/>
      <c r="E64950" s="8"/>
      <c r="F64950" s="8"/>
      <c r="G64950" s="8"/>
      <c r="H64950" s="8"/>
      <c r="I64950" s="102"/>
      <c r="J64950" s="8"/>
      <c r="K64950" s="8"/>
      <c r="L64950" s="8"/>
      <c r="M64950" s="8"/>
      <c r="N64950" s="8"/>
      <c r="O64950" s="8"/>
      <c r="P64950" s="8"/>
      <c r="Q64950" s="8"/>
      <c r="R64950" s="103"/>
    </row>
    <row r="64951" spans="1:18" x14ac:dyDescent="0.25">
      <c r="A64951" s="8"/>
      <c r="B64951" s="8"/>
      <c r="C64951" s="99"/>
      <c r="D64951" s="8"/>
      <c r="E64951" s="8"/>
      <c r="F64951" s="8"/>
      <c r="G64951" s="8"/>
      <c r="H64951" s="8"/>
      <c r="I64951" s="102"/>
      <c r="J64951" s="8"/>
      <c r="K64951" s="8"/>
      <c r="L64951" s="8"/>
      <c r="M64951" s="8"/>
      <c r="N64951" s="8"/>
      <c r="O64951" s="8"/>
      <c r="P64951" s="8"/>
      <c r="Q64951" s="8"/>
      <c r="R64951" s="103"/>
    </row>
    <row r="64952" spans="1:18" x14ac:dyDescent="0.25">
      <c r="A64952" s="8"/>
      <c r="B64952" s="8"/>
      <c r="C64952" s="99"/>
      <c r="D64952" s="8"/>
      <c r="E64952" s="8"/>
      <c r="F64952" s="8"/>
      <c r="G64952" s="8"/>
      <c r="H64952" s="8"/>
      <c r="I64952" s="102"/>
      <c r="J64952" s="8"/>
      <c r="K64952" s="8"/>
      <c r="L64952" s="8"/>
      <c r="M64952" s="8"/>
      <c r="N64952" s="8"/>
      <c r="O64952" s="8"/>
      <c r="P64952" s="8"/>
      <c r="Q64952" s="8"/>
      <c r="R64952" s="103"/>
    </row>
    <row r="64953" spans="1:18" x14ac:dyDescent="0.25">
      <c r="A64953" s="8"/>
      <c r="B64953" s="8"/>
      <c r="C64953" s="99"/>
      <c r="D64953" s="8"/>
      <c r="E64953" s="8"/>
      <c r="F64953" s="8"/>
      <c r="G64953" s="8"/>
      <c r="H64953" s="8"/>
      <c r="I64953" s="102"/>
      <c r="J64953" s="8"/>
      <c r="K64953" s="8"/>
      <c r="L64953" s="8"/>
      <c r="M64953" s="8"/>
      <c r="N64953" s="8"/>
      <c r="O64953" s="8"/>
      <c r="P64953" s="8"/>
      <c r="Q64953" s="8"/>
      <c r="R64953" s="103"/>
    </row>
    <row r="64954" spans="1:18" x14ac:dyDescent="0.25">
      <c r="A64954" s="8"/>
      <c r="B64954" s="8"/>
      <c r="C64954" s="99"/>
      <c r="D64954" s="8"/>
      <c r="E64954" s="8"/>
      <c r="F64954" s="8"/>
      <c r="G64954" s="8"/>
      <c r="H64954" s="8"/>
      <c r="I64954" s="102"/>
      <c r="J64954" s="8"/>
      <c r="K64954" s="8"/>
      <c r="L64954" s="8"/>
      <c r="M64954" s="8"/>
      <c r="N64954" s="8"/>
      <c r="O64954" s="8"/>
      <c r="P64954" s="8"/>
      <c r="Q64954" s="8"/>
      <c r="R64954" s="103"/>
    </row>
    <row r="64955" spans="1:18" x14ac:dyDescent="0.25">
      <c r="A64955" s="8"/>
      <c r="B64955" s="8"/>
      <c r="C64955" s="99"/>
      <c r="D64955" s="8"/>
      <c r="E64955" s="8"/>
      <c r="F64955" s="8"/>
      <c r="G64955" s="8"/>
      <c r="H64955" s="8"/>
      <c r="I64955" s="102"/>
      <c r="J64955" s="8"/>
      <c r="K64955" s="8"/>
      <c r="L64955" s="8"/>
      <c r="M64955" s="8"/>
      <c r="N64955" s="8"/>
      <c r="O64955" s="8"/>
      <c r="P64955" s="8"/>
      <c r="Q64955" s="8"/>
      <c r="R64955" s="103"/>
    </row>
    <row r="64956" spans="1:18" x14ac:dyDescent="0.25">
      <c r="A64956" s="8"/>
      <c r="B64956" s="8"/>
      <c r="C64956" s="99"/>
      <c r="D64956" s="8"/>
      <c r="E64956" s="8"/>
      <c r="F64956" s="8"/>
      <c r="G64956" s="8"/>
      <c r="H64956" s="8"/>
      <c r="I64956" s="102"/>
      <c r="J64956" s="8"/>
      <c r="K64956" s="8"/>
      <c r="L64956" s="8"/>
      <c r="M64956" s="8"/>
      <c r="N64956" s="8"/>
      <c r="O64956" s="8"/>
      <c r="P64956" s="8"/>
      <c r="Q64956" s="8"/>
      <c r="R64956" s="103"/>
    </row>
    <row r="64957" spans="1:18" x14ac:dyDescent="0.25">
      <c r="A64957" s="8"/>
      <c r="B64957" s="8"/>
      <c r="C64957" s="99"/>
      <c r="D64957" s="8"/>
      <c r="E64957" s="8"/>
      <c r="F64957" s="8"/>
      <c r="G64957" s="8"/>
      <c r="H64957" s="8"/>
      <c r="I64957" s="102"/>
      <c r="J64957" s="8"/>
      <c r="K64957" s="8"/>
      <c r="L64957" s="8"/>
      <c r="M64957" s="8"/>
      <c r="N64957" s="8"/>
      <c r="O64957" s="8"/>
      <c r="P64957" s="8"/>
      <c r="Q64957" s="8"/>
      <c r="R64957" s="103"/>
    </row>
    <row r="64958" spans="1:18" x14ac:dyDescent="0.25">
      <c r="A64958" s="8"/>
      <c r="B64958" s="8"/>
      <c r="C64958" s="99"/>
      <c r="D64958" s="8"/>
      <c r="E64958" s="8"/>
      <c r="F64958" s="8"/>
      <c r="G64958" s="8"/>
      <c r="H64958" s="8"/>
      <c r="I64958" s="102"/>
      <c r="J64958" s="8"/>
      <c r="K64958" s="8"/>
      <c r="L64958" s="8"/>
      <c r="M64958" s="8"/>
      <c r="N64958" s="8"/>
      <c r="O64958" s="8"/>
      <c r="P64958" s="8"/>
      <c r="Q64958" s="8"/>
      <c r="R64958" s="103"/>
    </row>
    <row r="64959" spans="1:18" x14ac:dyDescent="0.25">
      <c r="A64959" s="8"/>
      <c r="B64959" s="8"/>
      <c r="C64959" s="99"/>
      <c r="D64959" s="8"/>
      <c r="E64959" s="8"/>
      <c r="F64959" s="8"/>
      <c r="G64959" s="8"/>
      <c r="H64959" s="8"/>
      <c r="I64959" s="102"/>
      <c r="J64959" s="8"/>
      <c r="K64959" s="8"/>
      <c r="L64959" s="8"/>
      <c r="M64959" s="8"/>
      <c r="N64959" s="8"/>
      <c r="O64959" s="8"/>
      <c r="P64959" s="8"/>
      <c r="Q64959" s="8"/>
      <c r="R64959" s="103"/>
    </row>
    <row r="64960" spans="1:18" x14ac:dyDescent="0.25">
      <c r="A64960" s="8"/>
      <c r="B64960" s="8"/>
      <c r="C64960" s="99"/>
      <c r="D64960" s="8"/>
      <c r="E64960" s="8"/>
      <c r="F64960" s="8"/>
      <c r="G64960" s="8"/>
      <c r="H64960" s="8"/>
      <c r="I64960" s="102"/>
      <c r="J64960" s="8"/>
      <c r="K64960" s="8"/>
      <c r="L64960" s="8"/>
      <c r="M64960" s="8"/>
      <c r="N64960" s="8"/>
      <c r="O64960" s="8"/>
      <c r="P64960" s="8"/>
      <c r="Q64960" s="8"/>
      <c r="R64960" s="103"/>
    </row>
    <row r="64961" spans="1:18" x14ac:dyDescent="0.25">
      <c r="A64961" s="8"/>
      <c r="B64961" s="8"/>
      <c r="C64961" s="99"/>
      <c r="D64961" s="8"/>
      <c r="E64961" s="8"/>
      <c r="F64961" s="8"/>
      <c r="G64961" s="8"/>
      <c r="H64961" s="8"/>
      <c r="I64961" s="102"/>
      <c r="J64961" s="8"/>
      <c r="K64961" s="8"/>
      <c r="L64961" s="8"/>
      <c r="M64961" s="8"/>
      <c r="N64961" s="8"/>
      <c r="O64961" s="8"/>
      <c r="P64961" s="8"/>
      <c r="Q64961" s="8"/>
      <c r="R64961" s="103"/>
    </row>
    <row r="64962" spans="1:18" x14ac:dyDescent="0.25">
      <c r="A64962" s="8"/>
      <c r="B64962" s="8"/>
      <c r="C64962" s="99"/>
      <c r="D64962" s="8"/>
      <c r="E64962" s="8"/>
      <c r="F64962" s="8"/>
      <c r="G64962" s="8"/>
      <c r="H64962" s="8"/>
      <c r="I64962" s="102"/>
      <c r="J64962" s="8"/>
      <c r="K64962" s="8"/>
      <c r="L64962" s="8"/>
      <c r="M64962" s="8"/>
      <c r="N64962" s="8"/>
      <c r="O64962" s="8"/>
      <c r="P64962" s="8"/>
      <c r="Q64962" s="8"/>
      <c r="R64962" s="103"/>
    </row>
    <row r="64963" spans="1:18" x14ac:dyDescent="0.25">
      <c r="A64963" s="8"/>
      <c r="B64963" s="8"/>
      <c r="C64963" s="99"/>
      <c r="D64963" s="8"/>
      <c r="E64963" s="8"/>
      <c r="F64963" s="8"/>
      <c r="G64963" s="8"/>
      <c r="H64963" s="8"/>
      <c r="I64963" s="102"/>
      <c r="J64963" s="8"/>
      <c r="K64963" s="8"/>
      <c r="L64963" s="8"/>
      <c r="M64963" s="8"/>
      <c r="N64963" s="8"/>
      <c r="O64963" s="8"/>
      <c r="P64963" s="8"/>
      <c r="Q64963" s="8"/>
      <c r="R64963" s="103"/>
    </row>
    <row r="64964" spans="1:18" x14ac:dyDescent="0.25">
      <c r="A64964" s="8"/>
      <c r="B64964" s="8"/>
      <c r="C64964" s="99"/>
      <c r="D64964" s="8"/>
      <c r="E64964" s="8"/>
      <c r="F64964" s="8"/>
      <c r="G64964" s="8"/>
      <c r="H64964" s="8"/>
      <c r="I64964" s="102"/>
      <c r="J64964" s="8"/>
      <c r="K64964" s="8"/>
      <c r="L64964" s="8"/>
      <c r="M64964" s="8"/>
      <c r="N64964" s="8"/>
      <c r="O64964" s="8"/>
      <c r="P64964" s="8"/>
      <c r="Q64964" s="8"/>
      <c r="R64964" s="103"/>
    </row>
    <row r="64965" spans="1:18" x14ac:dyDescent="0.25">
      <c r="A64965" s="8"/>
      <c r="B64965" s="8"/>
      <c r="C64965" s="99"/>
      <c r="D64965" s="8"/>
      <c r="E64965" s="8"/>
      <c r="F64965" s="8"/>
      <c r="G64965" s="8"/>
      <c r="H64965" s="8"/>
      <c r="I64965" s="102"/>
      <c r="J64965" s="8"/>
      <c r="K64965" s="8"/>
      <c r="L64965" s="8"/>
      <c r="M64965" s="8"/>
      <c r="N64965" s="8"/>
      <c r="O64965" s="8"/>
      <c r="P64965" s="8"/>
      <c r="Q64965" s="8"/>
      <c r="R64965" s="103"/>
    </row>
    <row r="64966" spans="1:18" x14ac:dyDescent="0.25">
      <c r="A64966" s="8"/>
      <c r="B64966" s="8"/>
      <c r="C64966" s="99"/>
      <c r="D64966" s="8"/>
      <c r="E64966" s="8"/>
      <c r="F64966" s="8"/>
      <c r="G64966" s="8"/>
      <c r="H64966" s="8"/>
      <c r="I64966" s="102"/>
      <c r="J64966" s="8"/>
      <c r="K64966" s="8"/>
      <c r="L64966" s="8"/>
      <c r="M64966" s="8"/>
      <c r="N64966" s="8"/>
      <c r="O64966" s="8"/>
      <c r="P64966" s="8"/>
      <c r="Q64966" s="8"/>
      <c r="R64966" s="103"/>
    </row>
    <row r="64967" spans="1:18" x14ac:dyDescent="0.25">
      <c r="A64967" s="8"/>
      <c r="B64967" s="8"/>
      <c r="C64967" s="99"/>
      <c r="D64967" s="8"/>
      <c r="E64967" s="8"/>
      <c r="F64967" s="8"/>
      <c r="G64967" s="8"/>
      <c r="H64967" s="8"/>
      <c r="I64967" s="102"/>
      <c r="J64967" s="8"/>
      <c r="K64967" s="8"/>
      <c r="L64967" s="8"/>
      <c r="M64967" s="8"/>
      <c r="N64967" s="8"/>
      <c r="O64967" s="8"/>
      <c r="P64967" s="8"/>
      <c r="Q64967" s="8"/>
      <c r="R64967" s="103"/>
    </row>
    <row r="64968" spans="1:18" x14ac:dyDescent="0.25">
      <c r="A64968" s="8"/>
      <c r="B64968" s="8"/>
      <c r="C64968" s="99"/>
      <c r="D64968" s="8"/>
      <c r="E64968" s="8"/>
      <c r="F64968" s="8"/>
      <c r="G64968" s="8"/>
      <c r="H64968" s="8"/>
      <c r="I64968" s="102"/>
      <c r="J64968" s="8"/>
      <c r="K64968" s="8"/>
      <c r="L64968" s="8"/>
      <c r="M64968" s="8"/>
      <c r="N64968" s="8"/>
      <c r="O64968" s="8"/>
      <c r="P64968" s="8"/>
      <c r="Q64968" s="8"/>
      <c r="R64968" s="103"/>
    </row>
    <row r="64969" spans="1:18" x14ac:dyDescent="0.25">
      <c r="A64969" s="8"/>
      <c r="B64969" s="8"/>
      <c r="C64969" s="99"/>
      <c r="D64969" s="8"/>
      <c r="E64969" s="8"/>
      <c r="F64969" s="8"/>
      <c r="G64969" s="8"/>
      <c r="H64969" s="8"/>
      <c r="I64969" s="102"/>
      <c r="J64969" s="8"/>
      <c r="K64969" s="8"/>
      <c r="L64969" s="8"/>
      <c r="M64969" s="8"/>
      <c r="N64969" s="8"/>
      <c r="O64969" s="8"/>
      <c r="P64969" s="8"/>
      <c r="Q64969" s="8"/>
      <c r="R64969" s="103"/>
    </row>
    <row r="64970" spans="1:18" x14ac:dyDescent="0.25">
      <c r="A64970" s="8"/>
      <c r="B64970" s="8"/>
      <c r="C64970" s="99"/>
      <c r="D64970" s="8"/>
      <c r="E64970" s="8"/>
      <c r="F64970" s="8"/>
      <c r="G64970" s="8"/>
      <c r="H64970" s="8"/>
      <c r="I64970" s="102"/>
      <c r="J64970" s="8"/>
      <c r="K64970" s="8"/>
      <c r="L64970" s="8"/>
      <c r="M64970" s="8"/>
      <c r="N64970" s="8"/>
      <c r="O64970" s="8"/>
      <c r="P64970" s="8"/>
      <c r="Q64970" s="8"/>
      <c r="R64970" s="103"/>
    </row>
    <row r="64971" spans="1:18" x14ac:dyDescent="0.25">
      <c r="A64971" s="8"/>
      <c r="B64971" s="8"/>
      <c r="C64971" s="99"/>
      <c r="D64971" s="8"/>
      <c r="E64971" s="8"/>
      <c r="F64971" s="8"/>
      <c r="G64971" s="8"/>
      <c r="H64971" s="8"/>
      <c r="I64971" s="102"/>
      <c r="J64971" s="8"/>
      <c r="K64971" s="8"/>
      <c r="L64971" s="8"/>
      <c r="M64971" s="8"/>
      <c r="N64971" s="8"/>
      <c r="O64971" s="8"/>
      <c r="P64971" s="8"/>
      <c r="Q64971" s="8"/>
      <c r="R64971" s="103"/>
    </row>
    <row r="64972" spans="1:18" x14ac:dyDescent="0.25">
      <c r="A64972" s="8"/>
      <c r="B64972" s="8"/>
      <c r="C64972" s="99"/>
      <c r="D64972" s="8"/>
      <c r="E64972" s="8"/>
      <c r="F64972" s="8"/>
      <c r="G64972" s="8"/>
      <c r="H64972" s="8"/>
      <c r="I64972" s="102"/>
      <c r="J64972" s="8"/>
      <c r="K64972" s="8"/>
      <c r="L64972" s="8"/>
      <c r="M64972" s="8"/>
      <c r="N64972" s="8"/>
      <c r="O64972" s="8"/>
      <c r="P64972" s="8"/>
      <c r="Q64972" s="8"/>
      <c r="R64972" s="103"/>
    </row>
    <row r="64973" spans="1:18" x14ac:dyDescent="0.25">
      <c r="A64973" s="8"/>
      <c r="B64973" s="8"/>
      <c r="C64973" s="99"/>
      <c r="D64973" s="8"/>
      <c r="E64973" s="8"/>
      <c r="F64973" s="8"/>
      <c r="G64973" s="8"/>
      <c r="H64973" s="8"/>
      <c r="I64973" s="102"/>
      <c r="J64973" s="8"/>
      <c r="K64973" s="8"/>
      <c r="L64973" s="8"/>
      <c r="M64973" s="8"/>
      <c r="N64973" s="8"/>
      <c r="O64973" s="8"/>
      <c r="P64973" s="8"/>
      <c r="Q64973" s="8"/>
      <c r="R64973" s="103"/>
    </row>
    <row r="64974" spans="1:18" x14ac:dyDescent="0.25">
      <c r="A64974" s="8"/>
      <c r="B64974" s="8"/>
      <c r="C64974" s="99"/>
      <c r="D64974" s="8"/>
      <c r="E64974" s="8"/>
      <c r="F64974" s="8"/>
      <c r="G64974" s="8"/>
      <c r="H64974" s="8"/>
      <c r="I64974" s="102"/>
      <c r="J64974" s="8"/>
      <c r="K64974" s="8"/>
      <c r="L64974" s="8"/>
      <c r="M64974" s="8"/>
      <c r="N64974" s="8"/>
      <c r="O64974" s="8"/>
      <c r="P64974" s="8"/>
      <c r="Q64974" s="8"/>
      <c r="R64974" s="103"/>
    </row>
    <row r="64975" spans="1:18" x14ac:dyDescent="0.25">
      <c r="A64975" s="8"/>
      <c r="B64975" s="8"/>
      <c r="C64975" s="99"/>
      <c r="D64975" s="8"/>
      <c r="E64975" s="8"/>
      <c r="F64975" s="8"/>
      <c r="G64975" s="8"/>
      <c r="H64975" s="8"/>
      <c r="I64975" s="102"/>
      <c r="J64975" s="8"/>
      <c r="K64975" s="8"/>
      <c r="L64975" s="8"/>
      <c r="M64975" s="8"/>
      <c r="N64975" s="8"/>
      <c r="O64975" s="8"/>
      <c r="P64975" s="8"/>
      <c r="Q64975" s="8"/>
      <c r="R64975" s="103"/>
    </row>
    <row r="64976" spans="1:18" x14ac:dyDescent="0.25">
      <c r="A64976" s="8"/>
      <c r="B64976" s="8"/>
      <c r="C64976" s="99"/>
      <c r="D64976" s="8"/>
      <c r="E64976" s="8"/>
      <c r="F64976" s="8"/>
      <c r="G64976" s="8"/>
      <c r="H64976" s="8"/>
      <c r="I64976" s="102"/>
      <c r="J64976" s="8"/>
      <c r="K64976" s="8"/>
      <c r="L64976" s="8"/>
      <c r="M64976" s="8"/>
      <c r="N64976" s="8"/>
      <c r="O64976" s="8"/>
      <c r="P64976" s="8"/>
      <c r="Q64976" s="8"/>
      <c r="R64976" s="103"/>
    </row>
    <row r="64977" spans="1:18" x14ac:dyDescent="0.25">
      <c r="A64977" s="8"/>
      <c r="B64977" s="8"/>
      <c r="C64977" s="99"/>
      <c r="D64977" s="8"/>
      <c r="E64977" s="8"/>
      <c r="F64977" s="8"/>
      <c r="G64977" s="8"/>
      <c r="H64977" s="8"/>
      <c r="I64977" s="102"/>
      <c r="J64977" s="8"/>
      <c r="K64977" s="8"/>
      <c r="L64977" s="8"/>
      <c r="M64977" s="8"/>
      <c r="N64977" s="8"/>
      <c r="O64977" s="8"/>
      <c r="P64977" s="8"/>
      <c r="Q64977" s="8"/>
      <c r="R64977" s="103"/>
    </row>
    <row r="64978" spans="1:18" x14ac:dyDescent="0.25">
      <c r="A64978" s="8"/>
      <c r="B64978" s="8"/>
      <c r="C64978" s="99"/>
      <c r="D64978" s="8"/>
      <c r="E64978" s="8"/>
      <c r="F64978" s="8"/>
      <c r="G64978" s="8"/>
      <c r="H64978" s="8"/>
      <c r="I64978" s="102"/>
      <c r="J64978" s="8"/>
      <c r="K64978" s="8"/>
      <c r="L64978" s="8"/>
      <c r="M64978" s="8"/>
      <c r="N64978" s="8"/>
      <c r="O64978" s="8"/>
      <c r="P64978" s="8"/>
      <c r="Q64978" s="8"/>
      <c r="R64978" s="103"/>
    </row>
    <row r="64979" spans="1:18" x14ac:dyDescent="0.25">
      <c r="A64979" s="8"/>
      <c r="B64979" s="8"/>
      <c r="C64979" s="99"/>
      <c r="D64979" s="8"/>
      <c r="E64979" s="8"/>
      <c r="F64979" s="8"/>
      <c r="G64979" s="8"/>
      <c r="H64979" s="8"/>
      <c r="I64979" s="102"/>
      <c r="J64979" s="8"/>
      <c r="K64979" s="8"/>
      <c r="L64979" s="8"/>
      <c r="M64979" s="8"/>
      <c r="N64979" s="8"/>
      <c r="O64979" s="8"/>
      <c r="P64979" s="8"/>
      <c r="Q64979" s="8"/>
      <c r="R64979" s="103"/>
    </row>
    <row r="64980" spans="1:18" x14ac:dyDescent="0.25">
      <c r="A64980" s="8"/>
      <c r="B64980" s="8"/>
      <c r="C64980" s="99"/>
      <c r="D64980" s="8"/>
      <c r="E64980" s="8"/>
      <c r="F64980" s="8"/>
      <c r="G64980" s="8"/>
      <c r="H64980" s="8"/>
      <c r="I64980" s="102"/>
      <c r="J64980" s="8"/>
      <c r="K64980" s="8"/>
      <c r="L64980" s="8"/>
      <c r="M64980" s="8"/>
      <c r="N64980" s="8"/>
      <c r="O64980" s="8"/>
      <c r="P64980" s="8"/>
      <c r="Q64980" s="8"/>
      <c r="R64980" s="103"/>
    </row>
    <row r="64981" spans="1:18" x14ac:dyDescent="0.25">
      <c r="A64981" s="8"/>
      <c r="B64981" s="8"/>
      <c r="C64981" s="99"/>
      <c r="D64981" s="8"/>
      <c r="E64981" s="8"/>
      <c r="F64981" s="8"/>
      <c r="G64981" s="8"/>
      <c r="H64981" s="8"/>
      <c r="I64981" s="102"/>
      <c r="J64981" s="8"/>
      <c r="K64981" s="8"/>
      <c r="L64981" s="8"/>
      <c r="M64981" s="8"/>
      <c r="N64981" s="8"/>
      <c r="O64981" s="8"/>
      <c r="P64981" s="8"/>
      <c r="Q64981" s="8"/>
      <c r="R64981" s="103"/>
    </row>
    <row r="64982" spans="1:18" x14ac:dyDescent="0.25">
      <c r="A64982" s="8"/>
      <c r="B64982" s="8"/>
      <c r="C64982" s="99"/>
      <c r="D64982" s="8"/>
      <c r="E64982" s="8"/>
      <c r="F64982" s="8"/>
      <c r="G64982" s="8"/>
      <c r="H64982" s="8"/>
      <c r="I64982" s="102"/>
      <c r="J64982" s="8"/>
      <c r="K64982" s="8"/>
      <c r="L64982" s="8"/>
      <c r="M64982" s="8"/>
      <c r="N64982" s="8"/>
      <c r="O64982" s="8"/>
      <c r="P64982" s="8"/>
      <c r="Q64982" s="8"/>
      <c r="R64982" s="103"/>
    </row>
    <row r="64983" spans="1:18" x14ac:dyDescent="0.25">
      <c r="A64983" s="8"/>
      <c r="B64983" s="8"/>
      <c r="C64983" s="99"/>
      <c r="D64983" s="8"/>
      <c r="E64983" s="8"/>
      <c r="F64983" s="8"/>
      <c r="G64983" s="8"/>
      <c r="H64983" s="8"/>
      <c r="I64983" s="102"/>
      <c r="J64983" s="8"/>
      <c r="K64983" s="8"/>
      <c r="L64983" s="8"/>
      <c r="M64983" s="8"/>
      <c r="N64983" s="8"/>
      <c r="O64983" s="8"/>
      <c r="P64983" s="8"/>
      <c r="Q64983" s="8"/>
      <c r="R64983" s="103"/>
    </row>
    <row r="64984" spans="1:18" x14ac:dyDescent="0.25">
      <c r="A64984" s="8"/>
      <c r="B64984" s="8"/>
      <c r="C64984" s="99"/>
      <c r="D64984" s="8"/>
      <c r="E64984" s="8"/>
      <c r="F64984" s="8"/>
      <c r="G64984" s="8"/>
      <c r="H64984" s="8"/>
      <c r="I64984" s="102"/>
      <c r="J64984" s="8"/>
      <c r="K64984" s="8"/>
      <c r="L64984" s="8"/>
      <c r="M64984" s="8"/>
      <c r="N64984" s="8"/>
      <c r="O64984" s="8"/>
      <c r="P64984" s="8"/>
      <c r="Q64984" s="8"/>
      <c r="R64984" s="103"/>
    </row>
    <row r="64985" spans="1:18" x14ac:dyDescent="0.25">
      <c r="A64985" s="8"/>
      <c r="B64985" s="8"/>
      <c r="C64985" s="99"/>
      <c r="D64985" s="8"/>
      <c r="E64985" s="8"/>
      <c r="F64985" s="8"/>
      <c r="G64985" s="8"/>
      <c r="H64985" s="8"/>
      <c r="I64985" s="102"/>
      <c r="J64985" s="8"/>
      <c r="K64985" s="8"/>
      <c r="L64985" s="8"/>
      <c r="M64985" s="8"/>
      <c r="N64985" s="8"/>
      <c r="O64985" s="8"/>
      <c r="P64985" s="8"/>
      <c r="Q64985" s="8"/>
      <c r="R64985" s="103"/>
    </row>
    <row r="64986" spans="1:18" x14ac:dyDescent="0.25">
      <c r="A64986" s="8"/>
      <c r="B64986" s="8"/>
      <c r="C64986" s="99"/>
      <c r="D64986" s="8"/>
      <c r="E64986" s="8"/>
      <c r="F64986" s="8"/>
      <c r="G64986" s="8"/>
      <c r="H64986" s="8"/>
      <c r="I64986" s="102"/>
      <c r="J64986" s="8"/>
      <c r="K64986" s="8"/>
      <c r="L64986" s="8"/>
      <c r="M64986" s="8"/>
      <c r="N64986" s="8"/>
      <c r="O64986" s="8"/>
      <c r="P64986" s="8"/>
      <c r="Q64986" s="8"/>
      <c r="R64986" s="103"/>
    </row>
    <row r="64987" spans="1:18" x14ac:dyDescent="0.25">
      <c r="A64987" s="8"/>
      <c r="B64987" s="8"/>
      <c r="C64987" s="99"/>
      <c r="D64987" s="8"/>
      <c r="E64987" s="8"/>
      <c r="F64987" s="8"/>
      <c r="G64987" s="8"/>
      <c r="H64987" s="8"/>
      <c r="I64987" s="102"/>
      <c r="J64987" s="8"/>
      <c r="K64987" s="8"/>
      <c r="L64987" s="8"/>
      <c r="M64987" s="8"/>
      <c r="N64987" s="8"/>
      <c r="O64987" s="8"/>
      <c r="P64987" s="8"/>
      <c r="Q64987" s="8"/>
      <c r="R64987" s="103"/>
    </row>
    <row r="64988" spans="1:18" x14ac:dyDescent="0.25">
      <c r="A64988" s="8"/>
      <c r="B64988" s="8"/>
      <c r="C64988" s="99"/>
      <c r="D64988" s="8"/>
      <c r="E64988" s="8"/>
      <c r="F64988" s="8"/>
      <c r="G64988" s="8"/>
      <c r="H64988" s="8"/>
      <c r="I64988" s="102"/>
      <c r="J64988" s="8"/>
      <c r="K64988" s="8"/>
      <c r="L64988" s="8"/>
      <c r="M64988" s="8"/>
      <c r="N64988" s="8"/>
      <c r="O64988" s="8"/>
      <c r="P64988" s="8"/>
      <c r="Q64988" s="8"/>
      <c r="R64988" s="103"/>
    </row>
    <row r="64989" spans="1:18" x14ac:dyDescent="0.25">
      <c r="A64989" s="8"/>
      <c r="B64989" s="8"/>
      <c r="C64989" s="99"/>
      <c r="D64989" s="8"/>
      <c r="E64989" s="8"/>
      <c r="F64989" s="8"/>
      <c r="G64989" s="8"/>
      <c r="H64989" s="8"/>
      <c r="I64989" s="102"/>
      <c r="J64989" s="8"/>
      <c r="K64989" s="8"/>
      <c r="L64989" s="8"/>
      <c r="M64989" s="8"/>
      <c r="N64989" s="8"/>
      <c r="O64989" s="8"/>
      <c r="P64989" s="8"/>
      <c r="Q64989" s="8"/>
      <c r="R64989" s="103"/>
    </row>
    <row r="64990" spans="1:18" x14ac:dyDescent="0.25">
      <c r="A64990" s="8"/>
      <c r="B64990" s="8"/>
      <c r="C64990" s="99"/>
      <c r="D64990" s="8"/>
      <c r="E64990" s="8"/>
      <c r="F64990" s="8"/>
      <c r="G64990" s="8"/>
      <c r="H64990" s="8"/>
      <c r="I64990" s="102"/>
      <c r="J64990" s="8"/>
      <c r="K64990" s="8"/>
      <c r="L64990" s="8"/>
      <c r="M64990" s="8"/>
      <c r="N64990" s="8"/>
      <c r="O64990" s="8"/>
      <c r="P64990" s="8"/>
      <c r="Q64990" s="8"/>
      <c r="R64990" s="103"/>
    </row>
    <row r="64991" spans="1:18" x14ac:dyDescent="0.25">
      <c r="A64991" s="8"/>
      <c r="B64991" s="8"/>
      <c r="C64991" s="99"/>
      <c r="D64991" s="8"/>
      <c r="E64991" s="8"/>
      <c r="F64991" s="8"/>
      <c r="G64991" s="8"/>
      <c r="H64991" s="8"/>
      <c r="I64991" s="102"/>
      <c r="J64991" s="8"/>
      <c r="K64991" s="8"/>
      <c r="L64991" s="8"/>
      <c r="M64991" s="8"/>
      <c r="N64991" s="8"/>
      <c r="O64991" s="8"/>
      <c r="P64991" s="8"/>
      <c r="Q64991" s="8"/>
      <c r="R64991" s="103"/>
    </row>
    <row r="64992" spans="1:18" x14ac:dyDescent="0.25">
      <c r="A64992" s="8"/>
      <c r="B64992" s="8"/>
      <c r="C64992" s="99"/>
      <c r="D64992" s="8"/>
      <c r="E64992" s="8"/>
      <c r="F64992" s="8"/>
      <c r="G64992" s="8"/>
      <c r="H64992" s="8"/>
      <c r="I64992" s="102"/>
      <c r="J64992" s="8"/>
      <c r="K64992" s="8"/>
      <c r="L64992" s="8"/>
      <c r="M64992" s="8"/>
      <c r="N64992" s="8"/>
      <c r="O64992" s="8"/>
      <c r="P64992" s="8"/>
      <c r="Q64992" s="8"/>
      <c r="R64992" s="103"/>
    </row>
    <row r="64993" spans="1:18" x14ac:dyDescent="0.25">
      <c r="A64993" s="8"/>
      <c r="B64993" s="8"/>
      <c r="C64993" s="99"/>
      <c r="D64993" s="8"/>
      <c r="E64993" s="8"/>
      <c r="F64993" s="8"/>
      <c r="G64993" s="8"/>
      <c r="H64993" s="8"/>
      <c r="I64993" s="102"/>
      <c r="J64993" s="8"/>
      <c r="K64993" s="8"/>
      <c r="L64993" s="8"/>
      <c r="M64993" s="8"/>
      <c r="N64993" s="8"/>
      <c r="O64993" s="8"/>
      <c r="P64993" s="8"/>
      <c r="Q64993" s="8"/>
      <c r="R64993" s="103"/>
    </row>
    <row r="64994" spans="1:18" x14ac:dyDescent="0.25">
      <c r="A64994" s="8"/>
      <c r="B64994" s="8"/>
      <c r="C64994" s="99"/>
      <c r="D64994" s="8"/>
      <c r="E64994" s="8"/>
      <c r="F64994" s="8"/>
      <c r="G64994" s="8"/>
      <c r="H64994" s="8"/>
      <c r="I64994" s="102"/>
      <c r="J64994" s="8"/>
      <c r="K64994" s="8"/>
      <c r="L64994" s="8"/>
      <c r="M64994" s="8"/>
      <c r="N64994" s="8"/>
      <c r="O64994" s="8"/>
      <c r="P64994" s="8"/>
      <c r="Q64994" s="8"/>
      <c r="R64994" s="103"/>
    </row>
    <row r="64995" spans="1:18" x14ac:dyDescent="0.25">
      <c r="A64995" s="8"/>
      <c r="B64995" s="8"/>
      <c r="C64995" s="99"/>
      <c r="D64995" s="8"/>
      <c r="E64995" s="8"/>
      <c r="F64995" s="8"/>
      <c r="G64995" s="8"/>
      <c r="H64995" s="8"/>
      <c r="I64995" s="102"/>
      <c r="J64995" s="8"/>
      <c r="K64995" s="8"/>
      <c r="L64995" s="8"/>
      <c r="M64995" s="8"/>
      <c r="N64995" s="8"/>
      <c r="O64995" s="8"/>
      <c r="P64995" s="8"/>
      <c r="Q64995" s="8"/>
      <c r="R64995" s="103"/>
    </row>
    <row r="64996" spans="1:18" x14ac:dyDescent="0.25">
      <c r="A64996" s="8"/>
      <c r="B64996" s="8"/>
      <c r="C64996" s="99"/>
      <c r="D64996" s="8"/>
      <c r="E64996" s="8"/>
      <c r="F64996" s="8"/>
      <c r="G64996" s="8"/>
      <c r="H64996" s="8"/>
      <c r="I64996" s="102"/>
      <c r="J64996" s="8"/>
      <c r="K64996" s="8"/>
      <c r="L64996" s="8"/>
      <c r="M64996" s="8"/>
      <c r="N64996" s="8"/>
      <c r="O64996" s="8"/>
      <c r="P64996" s="8"/>
      <c r="Q64996" s="8"/>
      <c r="R64996" s="103"/>
    </row>
    <row r="64997" spans="1:18" x14ac:dyDescent="0.25">
      <c r="A64997" s="8"/>
      <c r="B64997" s="8"/>
      <c r="C64997" s="99"/>
      <c r="D64997" s="8"/>
      <c r="E64997" s="8"/>
      <c r="F64997" s="8"/>
      <c r="G64997" s="8"/>
      <c r="H64997" s="8"/>
      <c r="I64997" s="102"/>
      <c r="J64997" s="8"/>
      <c r="K64997" s="8"/>
      <c r="L64997" s="8"/>
      <c r="M64997" s="8"/>
      <c r="N64997" s="8"/>
      <c r="O64997" s="8"/>
      <c r="P64997" s="8"/>
      <c r="Q64997" s="8"/>
      <c r="R64997" s="103"/>
    </row>
    <row r="64998" spans="1:18" x14ac:dyDescent="0.25">
      <c r="A64998" s="8"/>
      <c r="B64998" s="8"/>
      <c r="C64998" s="99"/>
      <c r="D64998" s="8"/>
      <c r="E64998" s="8"/>
      <c r="F64998" s="8"/>
      <c r="G64998" s="8"/>
      <c r="H64998" s="8"/>
      <c r="I64998" s="102"/>
      <c r="J64998" s="8"/>
      <c r="K64998" s="8"/>
      <c r="L64998" s="8"/>
      <c r="M64998" s="8"/>
      <c r="N64998" s="8"/>
      <c r="O64998" s="8"/>
      <c r="P64998" s="8"/>
      <c r="Q64998" s="8"/>
      <c r="R64998" s="103"/>
    </row>
    <row r="64999" spans="1:18" x14ac:dyDescent="0.25">
      <c r="A64999" s="8"/>
      <c r="B64999" s="8"/>
      <c r="C64999" s="99"/>
      <c r="D64999" s="8"/>
      <c r="E64999" s="8"/>
      <c r="F64999" s="8"/>
      <c r="G64999" s="8"/>
      <c r="H64999" s="8"/>
      <c r="I64999" s="102"/>
      <c r="J64999" s="8"/>
      <c r="K64999" s="8"/>
      <c r="L64999" s="8"/>
      <c r="M64999" s="8"/>
      <c r="N64999" s="8"/>
      <c r="O64999" s="8"/>
      <c r="P64999" s="8"/>
      <c r="Q64999" s="8"/>
      <c r="R64999" s="103"/>
    </row>
    <row r="65000" spans="1:18" x14ac:dyDescent="0.25">
      <c r="A65000" s="8"/>
      <c r="B65000" s="8"/>
      <c r="C65000" s="99"/>
      <c r="D65000" s="8"/>
      <c r="E65000" s="8"/>
      <c r="F65000" s="8"/>
      <c r="G65000" s="8"/>
      <c r="H65000" s="8"/>
      <c r="I65000" s="102"/>
      <c r="J65000" s="8"/>
      <c r="K65000" s="8"/>
      <c r="L65000" s="8"/>
      <c r="M65000" s="8"/>
      <c r="N65000" s="8"/>
      <c r="O65000" s="8"/>
      <c r="P65000" s="8"/>
      <c r="Q65000" s="8"/>
      <c r="R65000" s="103"/>
    </row>
    <row r="65001" spans="1:18" x14ac:dyDescent="0.25">
      <c r="A65001" s="8"/>
      <c r="B65001" s="8"/>
      <c r="C65001" s="99"/>
      <c r="D65001" s="8"/>
      <c r="E65001" s="8"/>
      <c r="F65001" s="8"/>
      <c r="G65001" s="8"/>
      <c r="H65001" s="8"/>
      <c r="I65001" s="102"/>
      <c r="J65001" s="8"/>
      <c r="K65001" s="8"/>
      <c r="L65001" s="8"/>
      <c r="M65001" s="8"/>
      <c r="N65001" s="8"/>
      <c r="O65001" s="8"/>
      <c r="P65001" s="8"/>
      <c r="Q65001" s="8"/>
      <c r="R65001" s="103"/>
    </row>
    <row r="65002" spans="1:18" x14ac:dyDescent="0.25">
      <c r="A65002" s="8"/>
      <c r="B65002" s="8"/>
      <c r="C65002" s="99"/>
      <c r="D65002" s="8"/>
      <c r="E65002" s="8"/>
      <c r="F65002" s="8"/>
      <c r="G65002" s="8"/>
      <c r="H65002" s="8"/>
      <c r="I65002" s="102"/>
      <c r="J65002" s="8"/>
      <c r="K65002" s="8"/>
      <c r="L65002" s="8"/>
      <c r="M65002" s="8"/>
      <c r="N65002" s="8"/>
      <c r="O65002" s="8"/>
      <c r="P65002" s="8"/>
      <c r="Q65002" s="8"/>
      <c r="R65002" s="103"/>
    </row>
    <row r="65003" spans="1:18" x14ac:dyDescent="0.25">
      <c r="A65003" s="8"/>
      <c r="B65003" s="8"/>
      <c r="C65003" s="99"/>
      <c r="D65003" s="8"/>
      <c r="E65003" s="8"/>
      <c r="F65003" s="8"/>
      <c r="G65003" s="8"/>
      <c r="H65003" s="8"/>
      <c r="I65003" s="102"/>
      <c r="J65003" s="8"/>
      <c r="K65003" s="8"/>
      <c r="L65003" s="8"/>
      <c r="M65003" s="8"/>
      <c r="N65003" s="8"/>
      <c r="O65003" s="8"/>
      <c r="P65003" s="8"/>
      <c r="Q65003" s="8"/>
      <c r="R65003" s="103"/>
    </row>
    <row r="65004" spans="1:18" x14ac:dyDescent="0.25">
      <c r="A65004" s="8"/>
      <c r="B65004" s="8"/>
      <c r="C65004" s="99"/>
      <c r="D65004" s="8"/>
      <c r="E65004" s="8"/>
      <c r="F65004" s="8"/>
      <c r="G65004" s="8"/>
      <c r="H65004" s="8"/>
      <c r="I65004" s="102"/>
      <c r="J65004" s="8"/>
      <c r="K65004" s="8"/>
      <c r="L65004" s="8"/>
      <c r="M65004" s="8"/>
      <c r="N65004" s="8"/>
      <c r="O65004" s="8"/>
      <c r="P65004" s="8"/>
      <c r="Q65004" s="8"/>
      <c r="R65004" s="103"/>
    </row>
    <row r="65005" spans="1:18" x14ac:dyDescent="0.25">
      <c r="A65005" s="8"/>
      <c r="B65005" s="8"/>
      <c r="C65005" s="99"/>
      <c r="D65005" s="8"/>
      <c r="E65005" s="8"/>
      <c r="F65005" s="8"/>
      <c r="G65005" s="8"/>
      <c r="H65005" s="8"/>
      <c r="I65005" s="102"/>
      <c r="J65005" s="8"/>
      <c r="K65005" s="8"/>
      <c r="L65005" s="8"/>
      <c r="M65005" s="8"/>
      <c r="N65005" s="8"/>
      <c r="O65005" s="8"/>
      <c r="P65005" s="8"/>
      <c r="Q65005" s="8"/>
      <c r="R65005" s="103"/>
    </row>
    <row r="65006" spans="1:18" x14ac:dyDescent="0.25">
      <c r="A65006" s="8"/>
      <c r="B65006" s="8"/>
      <c r="C65006" s="99"/>
      <c r="D65006" s="8"/>
      <c r="E65006" s="8"/>
      <c r="F65006" s="8"/>
      <c r="G65006" s="8"/>
      <c r="H65006" s="8"/>
      <c r="I65006" s="102"/>
      <c r="J65006" s="8"/>
      <c r="K65006" s="8"/>
      <c r="L65006" s="8"/>
      <c r="M65006" s="8"/>
      <c r="N65006" s="8"/>
      <c r="O65006" s="8"/>
      <c r="P65006" s="8"/>
      <c r="Q65006" s="8"/>
      <c r="R65006" s="103"/>
    </row>
    <row r="65007" spans="1:18" x14ac:dyDescent="0.25">
      <c r="A65007" s="8"/>
      <c r="B65007" s="8"/>
      <c r="C65007" s="99"/>
      <c r="D65007" s="8"/>
      <c r="E65007" s="8"/>
      <c r="F65007" s="8"/>
      <c r="G65007" s="8"/>
      <c r="H65007" s="8"/>
      <c r="I65007" s="102"/>
      <c r="J65007" s="8"/>
      <c r="K65007" s="8"/>
      <c r="L65007" s="8"/>
      <c r="M65007" s="8"/>
      <c r="N65007" s="8"/>
      <c r="O65007" s="8"/>
      <c r="P65007" s="8"/>
      <c r="Q65007" s="8"/>
      <c r="R65007" s="103"/>
    </row>
    <row r="65008" spans="1:18" x14ac:dyDescent="0.25">
      <c r="A65008" s="8"/>
      <c r="B65008" s="8"/>
      <c r="C65008" s="99"/>
      <c r="D65008" s="8"/>
      <c r="E65008" s="8"/>
      <c r="F65008" s="8"/>
      <c r="G65008" s="8"/>
      <c r="H65008" s="8"/>
      <c r="I65008" s="102"/>
      <c r="J65008" s="8"/>
      <c r="K65008" s="8"/>
      <c r="L65008" s="8"/>
      <c r="M65008" s="8"/>
      <c r="N65008" s="8"/>
      <c r="O65008" s="8"/>
      <c r="P65008" s="8"/>
      <c r="Q65008" s="8"/>
      <c r="R65008" s="103"/>
    </row>
    <row r="65009" spans="1:18" x14ac:dyDescent="0.25">
      <c r="A65009" s="8"/>
      <c r="B65009" s="8"/>
      <c r="C65009" s="99"/>
      <c r="D65009" s="8"/>
      <c r="E65009" s="8"/>
      <c r="F65009" s="8"/>
      <c r="G65009" s="8"/>
      <c r="H65009" s="8"/>
      <c r="I65009" s="102"/>
      <c r="J65009" s="8"/>
      <c r="K65009" s="8"/>
      <c r="L65009" s="8"/>
      <c r="M65009" s="8"/>
      <c r="N65009" s="8"/>
      <c r="O65009" s="8"/>
      <c r="P65009" s="8"/>
      <c r="Q65009" s="8"/>
      <c r="R65009" s="103"/>
    </row>
    <row r="65010" spans="1:18" x14ac:dyDescent="0.25">
      <c r="A65010" s="8"/>
      <c r="B65010" s="8"/>
      <c r="C65010" s="99"/>
      <c r="D65010" s="8"/>
      <c r="E65010" s="8"/>
      <c r="F65010" s="8"/>
      <c r="G65010" s="8"/>
      <c r="H65010" s="8"/>
      <c r="I65010" s="102"/>
      <c r="J65010" s="8"/>
      <c r="K65010" s="8"/>
      <c r="L65010" s="8"/>
      <c r="M65010" s="8"/>
      <c r="N65010" s="8"/>
      <c r="O65010" s="8"/>
      <c r="P65010" s="8"/>
      <c r="Q65010" s="8"/>
      <c r="R65010" s="103"/>
    </row>
    <row r="65011" spans="1:18" x14ac:dyDescent="0.25">
      <c r="A65011" s="8"/>
      <c r="B65011" s="8"/>
      <c r="C65011" s="99"/>
      <c r="D65011" s="8"/>
      <c r="E65011" s="8"/>
      <c r="F65011" s="8"/>
      <c r="G65011" s="8"/>
      <c r="H65011" s="8"/>
      <c r="I65011" s="102"/>
      <c r="J65011" s="8"/>
      <c r="K65011" s="8"/>
      <c r="L65011" s="8"/>
      <c r="M65011" s="8"/>
      <c r="N65011" s="8"/>
      <c r="O65011" s="8"/>
      <c r="P65011" s="8"/>
      <c r="Q65011" s="8"/>
      <c r="R65011" s="103"/>
    </row>
    <row r="65012" spans="1:18" x14ac:dyDescent="0.25">
      <c r="A65012" s="8"/>
      <c r="B65012" s="8"/>
      <c r="C65012" s="99"/>
      <c r="D65012" s="8"/>
      <c r="E65012" s="8"/>
      <c r="F65012" s="8"/>
      <c r="G65012" s="8"/>
      <c r="H65012" s="8"/>
      <c r="I65012" s="102"/>
      <c r="J65012" s="8"/>
      <c r="K65012" s="8"/>
      <c r="L65012" s="8"/>
      <c r="M65012" s="8"/>
      <c r="N65012" s="8"/>
      <c r="O65012" s="8"/>
      <c r="P65012" s="8"/>
      <c r="Q65012" s="8"/>
      <c r="R65012" s="103"/>
    </row>
    <row r="65013" spans="1:18" x14ac:dyDescent="0.25">
      <c r="A65013" s="8"/>
      <c r="B65013" s="8"/>
      <c r="C65013" s="99"/>
      <c r="D65013" s="8"/>
      <c r="E65013" s="8"/>
      <c r="F65013" s="8"/>
      <c r="G65013" s="8"/>
      <c r="H65013" s="8"/>
      <c r="I65013" s="102"/>
      <c r="J65013" s="8"/>
      <c r="K65013" s="8"/>
      <c r="L65013" s="8"/>
      <c r="M65013" s="8"/>
      <c r="N65013" s="8"/>
      <c r="O65013" s="8"/>
      <c r="P65013" s="8"/>
      <c r="Q65013" s="8"/>
      <c r="R65013" s="103"/>
    </row>
    <row r="65014" spans="1:18" x14ac:dyDescent="0.25">
      <c r="A65014" s="8"/>
      <c r="B65014" s="8"/>
      <c r="C65014" s="99"/>
      <c r="D65014" s="8"/>
      <c r="E65014" s="8"/>
      <c r="F65014" s="8"/>
      <c r="G65014" s="8"/>
      <c r="H65014" s="8"/>
      <c r="I65014" s="102"/>
      <c r="J65014" s="8"/>
      <c r="K65014" s="8"/>
      <c r="L65014" s="8"/>
      <c r="M65014" s="8"/>
      <c r="N65014" s="8"/>
      <c r="O65014" s="8"/>
      <c r="P65014" s="8"/>
      <c r="Q65014" s="8"/>
      <c r="R65014" s="103"/>
    </row>
    <row r="65015" spans="1:18" x14ac:dyDescent="0.25">
      <c r="A65015" s="8"/>
      <c r="B65015" s="8"/>
      <c r="C65015" s="99"/>
      <c r="D65015" s="8"/>
      <c r="E65015" s="8"/>
      <c r="F65015" s="8"/>
      <c r="G65015" s="8"/>
      <c r="H65015" s="8"/>
      <c r="I65015" s="102"/>
      <c r="J65015" s="8"/>
      <c r="K65015" s="8"/>
      <c r="L65015" s="8"/>
      <c r="M65015" s="8"/>
      <c r="N65015" s="8"/>
      <c r="O65015" s="8"/>
      <c r="P65015" s="8"/>
      <c r="Q65015" s="8"/>
      <c r="R65015" s="103"/>
    </row>
    <row r="65016" spans="1:18" x14ac:dyDescent="0.25">
      <c r="A65016" s="8"/>
      <c r="B65016" s="8"/>
      <c r="C65016" s="99"/>
      <c r="D65016" s="8"/>
      <c r="E65016" s="8"/>
      <c r="F65016" s="8"/>
      <c r="G65016" s="8"/>
      <c r="H65016" s="8"/>
      <c r="I65016" s="102"/>
      <c r="J65016" s="8"/>
      <c r="K65016" s="8"/>
      <c r="L65016" s="8"/>
      <c r="M65016" s="8"/>
      <c r="N65016" s="8"/>
      <c r="O65016" s="8"/>
      <c r="P65016" s="8"/>
      <c r="Q65016" s="8"/>
      <c r="R65016" s="103"/>
    </row>
    <row r="65017" spans="1:18" x14ac:dyDescent="0.25">
      <c r="A65017" s="8"/>
      <c r="B65017" s="8"/>
      <c r="C65017" s="99"/>
      <c r="D65017" s="8"/>
      <c r="E65017" s="8"/>
      <c r="F65017" s="8"/>
      <c r="G65017" s="8"/>
      <c r="H65017" s="8"/>
      <c r="I65017" s="102"/>
      <c r="J65017" s="8"/>
      <c r="K65017" s="8"/>
      <c r="L65017" s="8"/>
      <c r="M65017" s="8"/>
      <c r="N65017" s="8"/>
      <c r="O65017" s="8"/>
      <c r="P65017" s="8"/>
      <c r="Q65017" s="8"/>
      <c r="R65017" s="103"/>
    </row>
    <row r="65018" spans="1:18" x14ac:dyDescent="0.25">
      <c r="A65018" s="8"/>
      <c r="B65018" s="8"/>
      <c r="C65018" s="99"/>
      <c r="D65018" s="8"/>
      <c r="E65018" s="8"/>
      <c r="F65018" s="8"/>
      <c r="G65018" s="8"/>
      <c r="H65018" s="8"/>
      <c r="I65018" s="102"/>
      <c r="J65018" s="8"/>
      <c r="K65018" s="8"/>
      <c r="L65018" s="8"/>
      <c r="M65018" s="8"/>
      <c r="N65018" s="8"/>
      <c r="O65018" s="8"/>
      <c r="P65018" s="8"/>
      <c r="Q65018" s="8"/>
      <c r="R65018" s="103"/>
    </row>
    <row r="65019" spans="1:18" x14ac:dyDescent="0.25">
      <c r="A65019" s="8"/>
      <c r="B65019" s="8"/>
      <c r="C65019" s="99"/>
      <c r="D65019" s="8"/>
      <c r="E65019" s="8"/>
      <c r="F65019" s="8"/>
      <c r="G65019" s="8"/>
      <c r="H65019" s="8"/>
      <c r="I65019" s="102"/>
      <c r="J65019" s="8"/>
      <c r="K65019" s="8"/>
      <c r="L65019" s="8"/>
      <c r="M65019" s="8"/>
      <c r="N65019" s="8"/>
      <c r="O65019" s="8"/>
      <c r="P65019" s="8"/>
      <c r="Q65019" s="8"/>
      <c r="R65019" s="103"/>
    </row>
    <row r="65020" spans="1:18" x14ac:dyDescent="0.25">
      <c r="A65020" s="8"/>
      <c r="B65020" s="8"/>
      <c r="C65020" s="99"/>
      <c r="D65020" s="8"/>
      <c r="E65020" s="8"/>
      <c r="F65020" s="8"/>
      <c r="G65020" s="8"/>
      <c r="H65020" s="8"/>
      <c r="I65020" s="102"/>
      <c r="J65020" s="8"/>
      <c r="K65020" s="8"/>
      <c r="L65020" s="8"/>
      <c r="M65020" s="8"/>
      <c r="N65020" s="8"/>
      <c r="O65020" s="8"/>
      <c r="P65020" s="8"/>
      <c r="Q65020" s="8"/>
      <c r="R65020" s="103"/>
    </row>
    <row r="65021" spans="1:18" x14ac:dyDescent="0.25">
      <c r="A65021" s="8"/>
      <c r="B65021" s="8"/>
      <c r="C65021" s="99"/>
      <c r="D65021" s="8"/>
      <c r="E65021" s="8"/>
      <c r="F65021" s="8"/>
      <c r="G65021" s="8"/>
      <c r="H65021" s="8"/>
      <c r="I65021" s="102"/>
      <c r="J65021" s="8"/>
      <c r="K65021" s="8"/>
      <c r="L65021" s="8"/>
      <c r="M65021" s="8"/>
      <c r="N65021" s="8"/>
      <c r="O65021" s="8"/>
      <c r="P65021" s="8"/>
      <c r="Q65021" s="8"/>
      <c r="R65021" s="103"/>
    </row>
    <row r="65022" spans="1:18" x14ac:dyDescent="0.25">
      <c r="A65022" s="8"/>
      <c r="B65022" s="8"/>
      <c r="C65022" s="99"/>
      <c r="D65022" s="8"/>
      <c r="E65022" s="8"/>
      <c r="F65022" s="8"/>
      <c r="G65022" s="8"/>
      <c r="H65022" s="8"/>
      <c r="I65022" s="102"/>
      <c r="J65022" s="8"/>
      <c r="K65022" s="8"/>
      <c r="L65022" s="8"/>
      <c r="M65022" s="8"/>
      <c r="N65022" s="8"/>
      <c r="O65022" s="8"/>
      <c r="P65022" s="8"/>
      <c r="Q65022" s="8"/>
      <c r="R65022" s="103"/>
    </row>
    <row r="65023" spans="1:18" x14ac:dyDescent="0.25">
      <c r="A65023" s="8"/>
      <c r="B65023" s="8"/>
      <c r="C65023" s="99"/>
      <c r="D65023" s="8"/>
      <c r="E65023" s="8"/>
      <c r="F65023" s="8"/>
      <c r="G65023" s="8"/>
      <c r="H65023" s="8"/>
      <c r="I65023" s="102"/>
      <c r="J65023" s="8"/>
      <c r="K65023" s="8"/>
      <c r="L65023" s="8"/>
      <c r="M65023" s="8"/>
      <c r="N65023" s="8"/>
      <c r="O65023" s="8"/>
      <c r="P65023" s="8"/>
      <c r="Q65023" s="8"/>
      <c r="R65023" s="103"/>
    </row>
    <row r="65024" spans="1:18" x14ac:dyDescent="0.25">
      <c r="A65024" s="8"/>
      <c r="B65024" s="8"/>
      <c r="C65024" s="99"/>
      <c r="D65024" s="8"/>
      <c r="E65024" s="8"/>
      <c r="F65024" s="8"/>
      <c r="G65024" s="8"/>
      <c r="H65024" s="8"/>
      <c r="I65024" s="102"/>
      <c r="J65024" s="8"/>
      <c r="K65024" s="8"/>
      <c r="L65024" s="8"/>
      <c r="M65024" s="8"/>
      <c r="N65024" s="8"/>
      <c r="O65024" s="8"/>
      <c r="P65024" s="8"/>
      <c r="Q65024" s="8"/>
      <c r="R65024" s="103"/>
    </row>
    <row r="65025" spans="1:18" x14ac:dyDescent="0.25">
      <c r="A65025" s="8"/>
      <c r="B65025" s="8"/>
      <c r="C65025" s="99"/>
      <c r="D65025" s="8"/>
      <c r="E65025" s="8"/>
      <c r="F65025" s="8"/>
      <c r="G65025" s="8"/>
      <c r="H65025" s="8"/>
      <c r="I65025" s="102"/>
      <c r="J65025" s="8"/>
      <c r="K65025" s="8"/>
      <c r="L65025" s="8"/>
      <c r="M65025" s="8"/>
      <c r="N65025" s="8"/>
      <c r="O65025" s="8"/>
      <c r="P65025" s="8"/>
      <c r="Q65025" s="8"/>
      <c r="R65025" s="103"/>
    </row>
    <row r="65026" spans="1:18" x14ac:dyDescent="0.25">
      <c r="A65026" s="8"/>
      <c r="B65026" s="8"/>
      <c r="C65026" s="99"/>
      <c r="D65026" s="8"/>
      <c r="E65026" s="8"/>
      <c r="F65026" s="8"/>
      <c r="G65026" s="8"/>
      <c r="H65026" s="8"/>
      <c r="I65026" s="102"/>
      <c r="J65026" s="8"/>
      <c r="K65026" s="8"/>
      <c r="L65026" s="8"/>
      <c r="M65026" s="8"/>
      <c r="N65026" s="8"/>
      <c r="O65026" s="8"/>
      <c r="P65026" s="8"/>
      <c r="Q65026" s="8"/>
      <c r="R65026" s="103"/>
    </row>
    <row r="65027" spans="1:18" x14ac:dyDescent="0.25">
      <c r="A65027" s="8"/>
      <c r="B65027" s="8"/>
      <c r="C65027" s="99"/>
      <c r="D65027" s="8"/>
      <c r="E65027" s="8"/>
      <c r="F65027" s="8"/>
      <c r="G65027" s="8"/>
      <c r="H65027" s="8"/>
      <c r="I65027" s="102"/>
      <c r="J65027" s="8"/>
      <c r="K65027" s="8"/>
      <c r="L65027" s="8"/>
      <c r="M65027" s="8"/>
      <c r="N65027" s="8"/>
      <c r="O65027" s="8"/>
      <c r="P65027" s="8"/>
      <c r="Q65027" s="8"/>
      <c r="R65027" s="103"/>
    </row>
    <row r="65028" spans="1:18" x14ac:dyDescent="0.25">
      <c r="A65028" s="8"/>
      <c r="B65028" s="8"/>
      <c r="C65028" s="99"/>
      <c r="D65028" s="8"/>
      <c r="E65028" s="8"/>
      <c r="F65028" s="8"/>
      <c r="G65028" s="8"/>
      <c r="H65028" s="8"/>
      <c r="I65028" s="102"/>
      <c r="J65028" s="8"/>
      <c r="K65028" s="8"/>
      <c r="L65028" s="8"/>
      <c r="M65028" s="8"/>
      <c r="N65028" s="8"/>
      <c r="O65028" s="8"/>
      <c r="P65028" s="8"/>
      <c r="Q65028" s="8"/>
      <c r="R65028" s="103"/>
    </row>
    <row r="65029" spans="1:18" x14ac:dyDescent="0.25">
      <c r="A65029" s="8"/>
      <c r="B65029" s="8"/>
      <c r="C65029" s="99"/>
      <c r="D65029" s="8"/>
      <c r="E65029" s="8"/>
      <c r="F65029" s="8"/>
      <c r="G65029" s="8"/>
      <c r="H65029" s="8"/>
      <c r="I65029" s="102"/>
      <c r="J65029" s="8"/>
      <c r="K65029" s="8"/>
      <c r="L65029" s="8"/>
      <c r="M65029" s="8"/>
      <c r="N65029" s="8"/>
      <c r="O65029" s="8"/>
      <c r="P65029" s="8"/>
      <c r="Q65029" s="8"/>
      <c r="R65029" s="103"/>
    </row>
    <row r="65030" spans="1:18" x14ac:dyDescent="0.25">
      <c r="A65030" s="8"/>
      <c r="B65030" s="8"/>
      <c r="C65030" s="99"/>
      <c r="D65030" s="8"/>
      <c r="E65030" s="8"/>
      <c r="F65030" s="8"/>
      <c r="G65030" s="8"/>
      <c r="H65030" s="8"/>
      <c r="I65030" s="102"/>
      <c r="J65030" s="8"/>
      <c r="K65030" s="8"/>
      <c r="L65030" s="8"/>
      <c r="M65030" s="8"/>
      <c r="N65030" s="8"/>
      <c r="O65030" s="8"/>
      <c r="P65030" s="8"/>
      <c r="Q65030" s="8"/>
      <c r="R65030" s="103"/>
    </row>
    <row r="65031" spans="1:18" x14ac:dyDescent="0.25">
      <c r="A65031" s="8"/>
      <c r="B65031" s="8"/>
      <c r="C65031" s="99"/>
      <c r="D65031" s="8"/>
      <c r="E65031" s="8"/>
      <c r="F65031" s="8"/>
      <c r="G65031" s="8"/>
      <c r="H65031" s="8"/>
      <c r="I65031" s="102"/>
      <c r="J65031" s="8"/>
      <c r="K65031" s="8"/>
      <c r="L65031" s="8"/>
      <c r="M65031" s="8"/>
      <c r="N65031" s="8"/>
      <c r="O65031" s="8"/>
      <c r="P65031" s="8"/>
      <c r="Q65031" s="8"/>
      <c r="R65031" s="103"/>
    </row>
    <row r="65032" spans="1:18" x14ac:dyDescent="0.25">
      <c r="A65032" s="8"/>
      <c r="B65032" s="8"/>
      <c r="C65032" s="99"/>
      <c r="D65032" s="8"/>
      <c r="E65032" s="8"/>
      <c r="F65032" s="8"/>
      <c r="G65032" s="8"/>
      <c r="H65032" s="8"/>
      <c r="I65032" s="102"/>
      <c r="J65032" s="8"/>
      <c r="K65032" s="8"/>
      <c r="L65032" s="8"/>
      <c r="M65032" s="8"/>
      <c r="N65032" s="8"/>
      <c r="O65032" s="8"/>
      <c r="P65032" s="8"/>
      <c r="Q65032" s="8"/>
      <c r="R65032" s="103"/>
    </row>
    <row r="65033" spans="1:18" x14ac:dyDescent="0.25">
      <c r="A65033" s="8"/>
      <c r="B65033" s="8"/>
      <c r="C65033" s="99"/>
      <c r="D65033" s="8"/>
      <c r="E65033" s="8"/>
      <c r="F65033" s="8"/>
      <c r="G65033" s="8"/>
      <c r="H65033" s="8"/>
      <c r="I65033" s="102"/>
      <c r="J65033" s="8"/>
      <c r="K65033" s="8"/>
      <c r="L65033" s="8"/>
      <c r="M65033" s="8"/>
      <c r="N65033" s="8"/>
      <c r="O65033" s="8"/>
      <c r="P65033" s="8"/>
      <c r="Q65033" s="8"/>
      <c r="R65033" s="103"/>
    </row>
    <row r="65034" spans="1:18" x14ac:dyDescent="0.25">
      <c r="A65034" s="8"/>
      <c r="B65034" s="8"/>
      <c r="C65034" s="99"/>
      <c r="D65034" s="8"/>
      <c r="E65034" s="8"/>
      <c r="F65034" s="8"/>
      <c r="G65034" s="8"/>
      <c r="H65034" s="8"/>
      <c r="I65034" s="102"/>
      <c r="J65034" s="8"/>
      <c r="K65034" s="8"/>
      <c r="L65034" s="8"/>
      <c r="M65034" s="8"/>
      <c r="N65034" s="8"/>
      <c r="O65034" s="8"/>
      <c r="P65034" s="8"/>
      <c r="Q65034" s="8"/>
      <c r="R65034" s="103"/>
    </row>
    <row r="65035" spans="1:18" x14ac:dyDescent="0.25">
      <c r="A65035" s="8"/>
      <c r="B65035" s="8"/>
      <c r="C65035" s="99"/>
      <c r="D65035" s="8"/>
      <c r="E65035" s="8"/>
      <c r="F65035" s="8"/>
      <c r="G65035" s="8"/>
      <c r="H65035" s="8"/>
      <c r="I65035" s="102"/>
      <c r="J65035" s="8"/>
      <c r="K65035" s="8"/>
      <c r="L65035" s="8"/>
      <c r="M65035" s="8"/>
      <c r="N65035" s="8"/>
      <c r="O65035" s="8"/>
      <c r="P65035" s="8"/>
      <c r="Q65035" s="8"/>
      <c r="R65035" s="103"/>
    </row>
    <row r="65036" spans="1:18" x14ac:dyDescent="0.25">
      <c r="A65036" s="8"/>
      <c r="B65036" s="8"/>
      <c r="C65036" s="99"/>
      <c r="D65036" s="8"/>
      <c r="E65036" s="8"/>
      <c r="F65036" s="8"/>
      <c r="G65036" s="8"/>
      <c r="H65036" s="8"/>
      <c r="I65036" s="102"/>
      <c r="J65036" s="8"/>
      <c r="K65036" s="8"/>
      <c r="L65036" s="8"/>
      <c r="M65036" s="8"/>
      <c r="N65036" s="8"/>
      <c r="O65036" s="8"/>
      <c r="P65036" s="8"/>
      <c r="Q65036" s="8"/>
      <c r="R65036" s="103"/>
    </row>
    <row r="65037" spans="1:18" x14ac:dyDescent="0.25">
      <c r="A65037" s="8"/>
      <c r="B65037" s="8"/>
      <c r="C65037" s="99"/>
      <c r="D65037" s="8"/>
      <c r="E65037" s="8"/>
      <c r="F65037" s="8"/>
      <c r="G65037" s="8"/>
      <c r="H65037" s="8"/>
      <c r="I65037" s="102"/>
      <c r="J65037" s="8"/>
      <c r="K65037" s="8"/>
      <c r="L65037" s="8"/>
      <c r="M65037" s="8"/>
      <c r="N65037" s="8"/>
      <c r="O65037" s="8"/>
      <c r="P65037" s="8"/>
      <c r="Q65037" s="8"/>
      <c r="R65037" s="103"/>
    </row>
    <row r="65038" spans="1:18" x14ac:dyDescent="0.25">
      <c r="A65038" s="8"/>
      <c r="B65038" s="8"/>
      <c r="C65038" s="99"/>
      <c r="D65038" s="8"/>
      <c r="E65038" s="8"/>
      <c r="F65038" s="8"/>
      <c r="G65038" s="8"/>
      <c r="H65038" s="8"/>
      <c r="I65038" s="102"/>
      <c r="J65038" s="8"/>
      <c r="K65038" s="8"/>
      <c r="L65038" s="8"/>
      <c r="M65038" s="8"/>
      <c r="N65038" s="8"/>
      <c r="O65038" s="8"/>
      <c r="P65038" s="8"/>
      <c r="Q65038" s="8"/>
      <c r="R65038" s="103"/>
    </row>
    <row r="65039" spans="1:18" x14ac:dyDescent="0.25">
      <c r="A65039" s="8"/>
      <c r="B65039" s="8"/>
      <c r="C65039" s="99"/>
      <c r="D65039" s="8"/>
      <c r="E65039" s="8"/>
      <c r="F65039" s="8"/>
      <c r="G65039" s="8"/>
      <c r="H65039" s="8"/>
      <c r="I65039" s="102"/>
      <c r="J65039" s="8"/>
      <c r="K65039" s="8"/>
      <c r="L65039" s="8"/>
      <c r="M65039" s="8"/>
      <c r="N65039" s="8"/>
      <c r="O65039" s="8"/>
      <c r="P65039" s="8"/>
      <c r="Q65039" s="8"/>
      <c r="R65039" s="103"/>
    </row>
    <row r="65040" spans="1:18" x14ac:dyDescent="0.25">
      <c r="A65040" s="8"/>
      <c r="B65040" s="8"/>
      <c r="C65040" s="99"/>
      <c r="D65040" s="8"/>
      <c r="E65040" s="8"/>
      <c r="F65040" s="8"/>
      <c r="G65040" s="8"/>
      <c r="H65040" s="8"/>
      <c r="I65040" s="102"/>
      <c r="J65040" s="8"/>
      <c r="K65040" s="8"/>
      <c r="L65040" s="8"/>
      <c r="M65040" s="8"/>
      <c r="N65040" s="8"/>
      <c r="O65040" s="8"/>
      <c r="P65040" s="8"/>
      <c r="Q65040" s="8"/>
      <c r="R65040" s="103"/>
    </row>
  </sheetData>
  <mergeCells count="29">
    <mergeCell ref="AA9:AA10"/>
    <mergeCell ref="U9:U10"/>
    <mergeCell ref="V9:V10"/>
    <mergeCell ref="W9:W10"/>
    <mergeCell ref="X9:X10"/>
    <mergeCell ref="Y9:Y10"/>
    <mergeCell ref="Z9:Z10"/>
    <mergeCell ref="O9:O10"/>
    <mergeCell ref="P9:P10"/>
    <mergeCell ref="Q9:Q10"/>
    <mergeCell ref="R9:R10"/>
    <mergeCell ref="S9:S10"/>
    <mergeCell ref="T9:T10"/>
    <mergeCell ref="H9:H10"/>
    <mergeCell ref="I9:I10"/>
    <mergeCell ref="J9:K9"/>
    <mergeCell ref="L9:L10"/>
    <mergeCell ref="M9:M10"/>
    <mergeCell ref="N9:N10"/>
    <mergeCell ref="A4:AA4"/>
    <mergeCell ref="A5:W6"/>
    <mergeCell ref="A8:A10"/>
    <mergeCell ref="B8:B10"/>
    <mergeCell ref="C8:C10"/>
    <mergeCell ref="D8:D10"/>
    <mergeCell ref="E8:R8"/>
    <mergeCell ref="S8:AA8"/>
    <mergeCell ref="E9:E10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2025-04-03T07:36:00Z</dcterms:created>
  <dcterms:modified xsi:type="dcterms:W3CDTF">2025-04-03T07:36:32Z</dcterms:modified>
</cp:coreProperties>
</file>